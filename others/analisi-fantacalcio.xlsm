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C0DEF5E9-D35B-4C36-ADCD-E444091A7405}" xr6:coauthVersionLast="36" xr6:coauthVersionMax="47" xr10:uidLastSave="{00000000-0000-0000-0000-000000000000}"/>
  <bookViews>
    <workbookView xWindow="-105" yWindow="-105" windowWidth="15465" windowHeight="7530" activeTab="4" xr2:uid="{ACE3FCC3-DDF1-41BB-910E-56E1C89267D1}"/>
  </bookViews>
  <sheets>
    <sheet name="avgPt and Ruolo" sheetId="6" r:id="rId1"/>
    <sheet name="avgPt and PosRuolo and casa" sheetId="9" r:id="rId2"/>
    <sheet name="avgPt and PosRuoloCasa" sheetId="7" r:id="rId3"/>
    <sheet name="Sheet2" sheetId="2" r:id="rId4"/>
    <sheet name="Sheet3" sheetId="3" r:id="rId5"/>
    <sheet name="Sheet8" sheetId="8" r:id="rId6"/>
    <sheet name="Foglio1" sheetId="10" r:id="rId7"/>
    <sheet name="Foglio3" sheetId="12" r:id="rId8"/>
    <sheet name="Foglio2" sheetId="11" r:id="rId9"/>
  </sheets>
  <definedNames>
    <definedName name="_xlnm._FilterDatabase" localSheetId="3" hidden="1">Sheet2!$D$2:$AA$222</definedName>
    <definedName name="_xleta.SUM" hidden="1" xlm="1">#NAME?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9" i="7" l="1"/>
  <c r="Z40" i="7"/>
  <c r="Z41" i="7"/>
  <c r="Z42" i="7"/>
  <c r="Z43" i="7"/>
  <c r="Z44" i="7"/>
  <c r="Z45" i="7"/>
  <c r="Z46" i="7"/>
  <c r="Z47" i="7"/>
  <c r="Z48" i="7"/>
  <c r="Z49" i="7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3" i="12"/>
  <c r="F4" i="10"/>
  <c r="F5" i="10"/>
  <c r="AA5" i="10" s="1"/>
  <c r="F6" i="10"/>
  <c r="F7" i="10"/>
  <c r="AA7" i="10" s="1"/>
  <c r="F8" i="10"/>
  <c r="F9" i="10"/>
  <c r="F10" i="10"/>
  <c r="F11" i="10"/>
  <c r="F12" i="10"/>
  <c r="F13" i="10"/>
  <c r="AA13" i="10" s="1"/>
  <c r="F14" i="10"/>
  <c r="AA14" i="10" s="1"/>
  <c r="F15" i="10"/>
  <c r="AA15" i="10" s="1"/>
  <c r="F16" i="10"/>
  <c r="F17" i="10"/>
  <c r="AA17" i="10" s="1"/>
  <c r="F18" i="10"/>
  <c r="AA18" i="10" s="1"/>
  <c r="F19" i="10"/>
  <c r="AA19" i="10" s="1"/>
  <c r="F20" i="10"/>
  <c r="F21" i="10"/>
  <c r="F22" i="10"/>
  <c r="F23" i="10"/>
  <c r="AA23" i="10" s="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3" i="10"/>
  <c r="AA8" i="10"/>
  <c r="AA9" i="10"/>
  <c r="AA12" i="10"/>
  <c r="AA16" i="10"/>
  <c r="AA20" i="10"/>
  <c r="AA22" i="10"/>
  <c r="AA24" i="10"/>
  <c r="AA21" i="10"/>
  <c r="X336" i="10"/>
  <c r="X338" i="10"/>
  <c r="X339" i="10"/>
  <c r="X346" i="10"/>
  <c r="X350" i="10"/>
  <c r="X351" i="10"/>
  <c r="X359" i="10"/>
  <c r="X360" i="10"/>
  <c r="X362" i="10"/>
  <c r="X363" i="10"/>
  <c r="X372" i="10"/>
  <c r="X375" i="10"/>
  <c r="X384" i="10"/>
  <c r="X386" i="10"/>
  <c r="X387" i="10"/>
  <c r="X395" i="10"/>
  <c r="X396" i="10"/>
  <c r="X397" i="10"/>
  <c r="X398" i="10"/>
  <c r="X399" i="10"/>
  <c r="X408" i="10"/>
  <c r="X410" i="10"/>
  <c r="X411" i="10"/>
  <c r="X329" i="10"/>
  <c r="X330" i="10"/>
  <c r="X331" i="10"/>
  <c r="X341" i="10"/>
  <c r="X342" i="10"/>
  <c r="X343" i="10"/>
  <c r="X348" i="10"/>
  <c r="X353" i="10"/>
  <c r="X355" i="10"/>
  <c r="X365" i="10"/>
  <c r="X371" i="10"/>
  <c r="X373" i="10"/>
  <c r="X377" i="10"/>
  <c r="X378" i="10"/>
  <c r="X379" i="10"/>
  <c r="X385" i="10"/>
  <c r="X389" i="10"/>
  <c r="X390" i="10"/>
  <c r="X391" i="10"/>
  <c r="X401" i="10"/>
  <c r="X402" i="10"/>
  <c r="X403" i="10"/>
  <c r="X414" i="10"/>
  <c r="X415" i="10"/>
  <c r="X337" i="10"/>
  <c r="X354" i="10"/>
  <c r="X361" i="10"/>
  <c r="X366" i="10"/>
  <c r="X409" i="10"/>
  <c r="X334" i="10"/>
  <c r="X335" i="10"/>
  <c r="X340" i="10"/>
  <c r="X344" i="10"/>
  <c r="X345" i="10"/>
  <c r="X347" i="10"/>
  <c r="X349" i="10"/>
  <c r="X357" i="10"/>
  <c r="X367" i="10"/>
  <c r="X374" i="10"/>
  <c r="X383" i="10"/>
  <c r="X393" i="10"/>
  <c r="K45" i="8"/>
  <c r="X5" i="10"/>
  <c r="Y5" i="10"/>
  <c r="Z5" i="10"/>
  <c r="AB5" i="10"/>
  <c r="AC5" i="10"/>
  <c r="AD5" i="10"/>
  <c r="AE5" i="10"/>
  <c r="AF5" i="10"/>
  <c r="AG5" i="10"/>
  <c r="X6" i="10"/>
  <c r="Y6" i="10"/>
  <c r="Z6" i="10"/>
  <c r="AB6" i="10"/>
  <c r="AC6" i="10"/>
  <c r="AD6" i="10"/>
  <c r="AE6" i="10"/>
  <c r="AF6" i="10"/>
  <c r="AG6" i="10"/>
  <c r="X7" i="10"/>
  <c r="Y7" i="10"/>
  <c r="Z7" i="10"/>
  <c r="AB7" i="10"/>
  <c r="AC7" i="10"/>
  <c r="AD7" i="10"/>
  <c r="AE7" i="10"/>
  <c r="AF7" i="10"/>
  <c r="AG7" i="10"/>
  <c r="X8" i="10"/>
  <c r="Y8" i="10"/>
  <c r="Z8" i="10"/>
  <c r="AB8" i="10"/>
  <c r="AC8" i="10"/>
  <c r="AD8" i="10"/>
  <c r="AE8" i="10"/>
  <c r="AF8" i="10"/>
  <c r="AG8" i="10"/>
  <c r="X9" i="10"/>
  <c r="Y9" i="10"/>
  <c r="Z9" i="10"/>
  <c r="AB9" i="10"/>
  <c r="AC9" i="10"/>
  <c r="AD9" i="10"/>
  <c r="AE9" i="10"/>
  <c r="AF9" i="10"/>
  <c r="AG9" i="10"/>
  <c r="X10" i="10"/>
  <c r="Y10" i="10"/>
  <c r="Z10" i="10"/>
  <c r="AB10" i="10"/>
  <c r="AC10" i="10"/>
  <c r="AD10" i="10"/>
  <c r="AE10" i="10"/>
  <c r="AF10" i="10"/>
  <c r="AG10" i="10"/>
  <c r="X11" i="10"/>
  <c r="Y11" i="10"/>
  <c r="Z11" i="10"/>
  <c r="AB11" i="10"/>
  <c r="AC11" i="10"/>
  <c r="AD11" i="10"/>
  <c r="AE11" i="10"/>
  <c r="AF11" i="10"/>
  <c r="AG11" i="10"/>
  <c r="X12" i="10"/>
  <c r="Y12" i="10"/>
  <c r="Z12" i="10"/>
  <c r="AB12" i="10"/>
  <c r="AC12" i="10"/>
  <c r="AD12" i="10"/>
  <c r="AE12" i="10"/>
  <c r="AF12" i="10"/>
  <c r="AG12" i="10"/>
  <c r="X13" i="10"/>
  <c r="Y13" i="10"/>
  <c r="Z13" i="10"/>
  <c r="AB13" i="10"/>
  <c r="AC13" i="10"/>
  <c r="AD13" i="10"/>
  <c r="AE13" i="10"/>
  <c r="AF13" i="10"/>
  <c r="AG13" i="10"/>
  <c r="X14" i="10"/>
  <c r="Y14" i="10"/>
  <c r="Z14" i="10"/>
  <c r="AB14" i="10"/>
  <c r="AC14" i="10"/>
  <c r="AD14" i="10"/>
  <c r="AE14" i="10"/>
  <c r="AF14" i="10"/>
  <c r="AG14" i="10"/>
  <c r="X15" i="10"/>
  <c r="Y15" i="10"/>
  <c r="Z15" i="10"/>
  <c r="AB15" i="10"/>
  <c r="AC15" i="10"/>
  <c r="AD15" i="10"/>
  <c r="AE15" i="10"/>
  <c r="AF15" i="10"/>
  <c r="AG15" i="10"/>
  <c r="X16" i="10"/>
  <c r="Y16" i="10"/>
  <c r="Z16" i="10"/>
  <c r="AB16" i="10"/>
  <c r="AC16" i="10"/>
  <c r="AD16" i="10"/>
  <c r="AE16" i="10"/>
  <c r="AF16" i="10"/>
  <c r="AG16" i="10"/>
  <c r="X17" i="10"/>
  <c r="Y17" i="10"/>
  <c r="Z17" i="10"/>
  <c r="AB17" i="10"/>
  <c r="AC17" i="10"/>
  <c r="AD17" i="10"/>
  <c r="AE17" i="10"/>
  <c r="AF17" i="10"/>
  <c r="AG17" i="10"/>
  <c r="X18" i="10"/>
  <c r="Y18" i="10"/>
  <c r="Z18" i="10"/>
  <c r="AB18" i="10"/>
  <c r="AC18" i="10"/>
  <c r="AD18" i="10"/>
  <c r="AE18" i="10"/>
  <c r="AF18" i="10"/>
  <c r="AG18" i="10"/>
  <c r="X19" i="10"/>
  <c r="Y19" i="10"/>
  <c r="Z19" i="10"/>
  <c r="AB19" i="10"/>
  <c r="AC19" i="10"/>
  <c r="AD19" i="10"/>
  <c r="AE19" i="10"/>
  <c r="AF19" i="10"/>
  <c r="AG19" i="10"/>
  <c r="X20" i="10"/>
  <c r="Y20" i="10"/>
  <c r="Z20" i="10"/>
  <c r="AB20" i="10"/>
  <c r="AC20" i="10"/>
  <c r="AD20" i="10"/>
  <c r="AE20" i="10"/>
  <c r="AF20" i="10"/>
  <c r="AG20" i="10"/>
  <c r="X21" i="10"/>
  <c r="Y21" i="10"/>
  <c r="Z21" i="10"/>
  <c r="AB21" i="10"/>
  <c r="AC21" i="10"/>
  <c r="AD21" i="10"/>
  <c r="AE21" i="10"/>
  <c r="AF21" i="10"/>
  <c r="AG21" i="10"/>
  <c r="X22" i="10"/>
  <c r="Y22" i="10"/>
  <c r="Z22" i="10"/>
  <c r="AB22" i="10"/>
  <c r="AC22" i="10"/>
  <c r="AD22" i="10"/>
  <c r="AE22" i="10"/>
  <c r="AF22" i="10"/>
  <c r="AG22" i="10"/>
  <c r="X23" i="10"/>
  <c r="Y23" i="10"/>
  <c r="Z23" i="10"/>
  <c r="AB23" i="10"/>
  <c r="AC23" i="10"/>
  <c r="AD23" i="10"/>
  <c r="AE23" i="10"/>
  <c r="AF23" i="10"/>
  <c r="AG23" i="10"/>
  <c r="X24" i="10"/>
  <c r="Y24" i="10"/>
  <c r="Z24" i="10"/>
  <c r="AB24" i="10"/>
  <c r="AC24" i="10"/>
  <c r="AD24" i="10"/>
  <c r="AE24" i="10"/>
  <c r="AF24" i="10"/>
  <c r="AG24" i="10"/>
  <c r="AG4" i="10"/>
  <c r="Y4" i="10"/>
  <c r="Z4" i="10"/>
  <c r="AB4" i="10"/>
  <c r="AC4" i="10"/>
  <c r="AD4" i="10"/>
  <c r="AE4" i="10"/>
  <c r="AF4" i="10"/>
  <c r="X4" i="10"/>
  <c r="V329" i="10"/>
  <c r="W329" i="10"/>
  <c r="Y329" i="10"/>
  <c r="Z329" i="10"/>
  <c r="AA329" i="10"/>
  <c r="AB329" i="10"/>
  <c r="AC329" i="10"/>
  <c r="V330" i="10"/>
  <c r="W330" i="10"/>
  <c r="Y330" i="10"/>
  <c r="Z330" i="10"/>
  <c r="AA330" i="10"/>
  <c r="AB330" i="10"/>
  <c r="AC330" i="10"/>
  <c r="V331" i="10"/>
  <c r="W331" i="10"/>
  <c r="Y331" i="10"/>
  <c r="Z331" i="10"/>
  <c r="AA331" i="10"/>
  <c r="AB331" i="10"/>
  <c r="AC331" i="10"/>
  <c r="V332" i="10"/>
  <c r="W332" i="10"/>
  <c r="X332" i="10"/>
  <c r="Y332" i="10"/>
  <c r="Z332" i="10"/>
  <c r="AA332" i="10"/>
  <c r="AB332" i="10"/>
  <c r="AC332" i="10"/>
  <c r="V333" i="10"/>
  <c r="W333" i="10"/>
  <c r="X333" i="10"/>
  <c r="Y333" i="10"/>
  <c r="Z333" i="10"/>
  <c r="AA333" i="10"/>
  <c r="AB333" i="10"/>
  <c r="AC333" i="10"/>
  <c r="V334" i="10"/>
  <c r="W334" i="10"/>
  <c r="Y334" i="10"/>
  <c r="Z334" i="10"/>
  <c r="AA334" i="10"/>
  <c r="AB334" i="10"/>
  <c r="AC334" i="10"/>
  <c r="V335" i="10"/>
  <c r="W335" i="10"/>
  <c r="Y335" i="10"/>
  <c r="Z335" i="10"/>
  <c r="AA335" i="10"/>
  <c r="AB335" i="10"/>
  <c r="AC335" i="10"/>
  <c r="V336" i="10"/>
  <c r="W336" i="10"/>
  <c r="Y336" i="10"/>
  <c r="Z336" i="10"/>
  <c r="AA336" i="10"/>
  <c r="AB336" i="10"/>
  <c r="AC336" i="10"/>
  <c r="V337" i="10"/>
  <c r="W337" i="10"/>
  <c r="Y337" i="10"/>
  <c r="Z337" i="10"/>
  <c r="AA337" i="10"/>
  <c r="AB337" i="10"/>
  <c r="AC337" i="10"/>
  <c r="V338" i="10"/>
  <c r="W338" i="10"/>
  <c r="Y338" i="10"/>
  <c r="Z338" i="10"/>
  <c r="AA338" i="10"/>
  <c r="AB338" i="10"/>
  <c r="AC338" i="10"/>
  <c r="V339" i="10"/>
  <c r="W339" i="10"/>
  <c r="Y339" i="10"/>
  <c r="Z339" i="10"/>
  <c r="AA339" i="10"/>
  <c r="AB339" i="10"/>
  <c r="AC339" i="10"/>
  <c r="V340" i="10"/>
  <c r="W340" i="10"/>
  <c r="Y340" i="10"/>
  <c r="Z340" i="10"/>
  <c r="AA340" i="10"/>
  <c r="AB340" i="10"/>
  <c r="AC340" i="10"/>
  <c r="V341" i="10"/>
  <c r="W341" i="10"/>
  <c r="Y341" i="10"/>
  <c r="Z341" i="10"/>
  <c r="AA341" i="10"/>
  <c r="AB341" i="10"/>
  <c r="AC341" i="10"/>
  <c r="V342" i="10"/>
  <c r="W342" i="10"/>
  <c r="Y342" i="10"/>
  <c r="Z342" i="10"/>
  <c r="AA342" i="10"/>
  <c r="AB342" i="10"/>
  <c r="AC342" i="10"/>
  <c r="V343" i="10"/>
  <c r="W343" i="10"/>
  <c r="Y343" i="10"/>
  <c r="Z343" i="10"/>
  <c r="AA343" i="10"/>
  <c r="AB343" i="10"/>
  <c r="AC343" i="10"/>
  <c r="V344" i="10"/>
  <c r="W344" i="10"/>
  <c r="Y344" i="10"/>
  <c r="Z344" i="10"/>
  <c r="AA344" i="10"/>
  <c r="AB344" i="10"/>
  <c r="AC344" i="10"/>
  <c r="V345" i="10"/>
  <c r="W345" i="10"/>
  <c r="Y345" i="10"/>
  <c r="Z345" i="10"/>
  <c r="AA345" i="10"/>
  <c r="AB345" i="10"/>
  <c r="AC345" i="10"/>
  <c r="V346" i="10"/>
  <c r="W346" i="10"/>
  <c r="Y346" i="10"/>
  <c r="Z346" i="10"/>
  <c r="AA346" i="10"/>
  <c r="AB346" i="10"/>
  <c r="AC346" i="10"/>
  <c r="V347" i="10"/>
  <c r="W347" i="10"/>
  <c r="Y347" i="10"/>
  <c r="Z347" i="10"/>
  <c r="AA347" i="10"/>
  <c r="AB347" i="10"/>
  <c r="AC347" i="10"/>
  <c r="V348" i="10"/>
  <c r="W348" i="10"/>
  <c r="Y348" i="10"/>
  <c r="Z348" i="10"/>
  <c r="AA348" i="10"/>
  <c r="AB348" i="10"/>
  <c r="AC348" i="10"/>
  <c r="V349" i="10"/>
  <c r="W349" i="10"/>
  <c r="Y349" i="10"/>
  <c r="Z349" i="10"/>
  <c r="AA349" i="10"/>
  <c r="AB349" i="10"/>
  <c r="AC349" i="10"/>
  <c r="V350" i="10"/>
  <c r="W350" i="10"/>
  <c r="Y350" i="10"/>
  <c r="Z350" i="10"/>
  <c r="AA350" i="10"/>
  <c r="AB350" i="10"/>
  <c r="AC350" i="10"/>
  <c r="V351" i="10"/>
  <c r="W351" i="10"/>
  <c r="Y351" i="10"/>
  <c r="Z351" i="10"/>
  <c r="AA351" i="10"/>
  <c r="AB351" i="10"/>
  <c r="AC351" i="10"/>
  <c r="V352" i="10"/>
  <c r="W352" i="10"/>
  <c r="X352" i="10"/>
  <c r="Y352" i="10"/>
  <c r="Z352" i="10"/>
  <c r="AA352" i="10"/>
  <c r="AB352" i="10"/>
  <c r="AC352" i="10"/>
  <c r="V353" i="10"/>
  <c r="W353" i="10"/>
  <c r="Y353" i="10"/>
  <c r="Z353" i="10"/>
  <c r="AA353" i="10"/>
  <c r="AB353" i="10"/>
  <c r="AC353" i="10"/>
  <c r="V354" i="10"/>
  <c r="W354" i="10"/>
  <c r="Y354" i="10"/>
  <c r="Z354" i="10"/>
  <c r="AA354" i="10"/>
  <c r="AB354" i="10"/>
  <c r="AC354" i="10"/>
  <c r="V355" i="10"/>
  <c r="W355" i="10"/>
  <c r="Y355" i="10"/>
  <c r="Z355" i="10"/>
  <c r="AA355" i="10"/>
  <c r="AB355" i="10"/>
  <c r="AC355" i="10"/>
  <c r="V356" i="10"/>
  <c r="W356" i="10"/>
  <c r="X356" i="10"/>
  <c r="Y356" i="10"/>
  <c r="Z356" i="10"/>
  <c r="AA356" i="10"/>
  <c r="AB356" i="10"/>
  <c r="AC356" i="10"/>
  <c r="V357" i="10"/>
  <c r="W357" i="10"/>
  <c r="Y357" i="10"/>
  <c r="Z357" i="10"/>
  <c r="AA357" i="10"/>
  <c r="AB357" i="10"/>
  <c r="AC357" i="10"/>
  <c r="V358" i="10"/>
  <c r="W358" i="10"/>
  <c r="X358" i="10"/>
  <c r="Y358" i="10"/>
  <c r="Z358" i="10"/>
  <c r="AA358" i="10"/>
  <c r="AB358" i="10"/>
  <c r="AC358" i="10"/>
  <c r="V359" i="10"/>
  <c r="W359" i="10"/>
  <c r="Y359" i="10"/>
  <c r="Z359" i="10"/>
  <c r="AA359" i="10"/>
  <c r="AB359" i="10"/>
  <c r="AC359" i="10"/>
  <c r="V360" i="10"/>
  <c r="W360" i="10"/>
  <c r="Y360" i="10"/>
  <c r="Z360" i="10"/>
  <c r="AA360" i="10"/>
  <c r="AB360" i="10"/>
  <c r="AC360" i="10"/>
  <c r="V361" i="10"/>
  <c r="W361" i="10"/>
  <c r="Y361" i="10"/>
  <c r="Z361" i="10"/>
  <c r="AA361" i="10"/>
  <c r="AB361" i="10"/>
  <c r="AC361" i="10"/>
  <c r="V362" i="10"/>
  <c r="W362" i="10"/>
  <c r="Y362" i="10"/>
  <c r="Z362" i="10"/>
  <c r="AA362" i="10"/>
  <c r="AB362" i="10"/>
  <c r="AC362" i="10"/>
  <c r="V363" i="10"/>
  <c r="W363" i="10"/>
  <c r="Y363" i="10"/>
  <c r="Z363" i="10"/>
  <c r="AA363" i="10"/>
  <c r="AB363" i="10"/>
  <c r="AC363" i="10"/>
  <c r="V364" i="10"/>
  <c r="W364" i="10"/>
  <c r="X364" i="10"/>
  <c r="Y364" i="10"/>
  <c r="Z364" i="10"/>
  <c r="AA364" i="10"/>
  <c r="AB364" i="10"/>
  <c r="AC364" i="10"/>
  <c r="V365" i="10"/>
  <c r="W365" i="10"/>
  <c r="Y365" i="10"/>
  <c r="Z365" i="10"/>
  <c r="AA365" i="10"/>
  <c r="AB365" i="10"/>
  <c r="AC365" i="10"/>
  <c r="V366" i="10"/>
  <c r="W366" i="10"/>
  <c r="Y366" i="10"/>
  <c r="Z366" i="10"/>
  <c r="AA366" i="10"/>
  <c r="AB366" i="10"/>
  <c r="AC366" i="10"/>
  <c r="V367" i="10"/>
  <c r="W367" i="10"/>
  <c r="Y367" i="10"/>
  <c r="Z367" i="10"/>
  <c r="AA367" i="10"/>
  <c r="AB367" i="10"/>
  <c r="AC367" i="10"/>
  <c r="V368" i="10"/>
  <c r="W368" i="10"/>
  <c r="X368" i="10"/>
  <c r="Y368" i="10"/>
  <c r="Z368" i="10"/>
  <c r="AA368" i="10"/>
  <c r="AB368" i="10"/>
  <c r="AC368" i="10"/>
  <c r="V369" i="10"/>
  <c r="W369" i="10"/>
  <c r="X369" i="10"/>
  <c r="Y369" i="10"/>
  <c r="Z369" i="10"/>
  <c r="AA369" i="10"/>
  <c r="AB369" i="10"/>
  <c r="AC369" i="10"/>
  <c r="V370" i="10"/>
  <c r="W370" i="10"/>
  <c r="X370" i="10"/>
  <c r="Y370" i="10"/>
  <c r="Z370" i="10"/>
  <c r="AA370" i="10"/>
  <c r="AB370" i="10"/>
  <c r="AC370" i="10"/>
  <c r="V371" i="10"/>
  <c r="W371" i="10"/>
  <c r="Y371" i="10"/>
  <c r="Z371" i="10"/>
  <c r="AA371" i="10"/>
  <c r="AB371" i="10"/>
  <c r="AC371" i="10"/>
  <c r="V372" i="10"/>
  <c r="W372" i="10"/>
  <c r="Y372" i="10"/>
  <c r="Z372" i="10"/>
  <c r="AA372" i="10"/>
  <c r="AB372" i="10"/>
  <c r="AC372" i="10"/>
  <c r="V373" i="10"/>
  <c r="W373" i="10"/>
  <c r="Y373" i="10"/>
  <c r="Z373" i="10"/>
  <c r="AA373" i="10"/>
  <c r="AB373" i="10"/>
  <c r="AC373" i="10"/>
  <c r="V374" i="10"/>
  <c r="W374" i="10"/>
  <c r="Y374" i="10"/>
  <c r="Z374" i="10"/>
  <c r="AA374" i="10"/>
  <c r="AB374" i="10"/>
  <c r="AC374" i="10"/>
  <c r="V375" i="10"/>
  <c r="W375" i="10"/>
  <c r="Y375" i="10"/>
  <c r="Z375" i="10"/>
  <c r="AA375" i="10"/>
  <c r="AB375" i="10"/>
  <c r="AC375" i="10"/>
  <c r="V376" i="10"/>
  <c r="W376" i="10"/>
  <c r="X376" i="10"/>
  <c r="Y376" i="10"/>
  <c r="Z376" i="10"/>
  <c r="AA376" i="10"/>
  <c r="AB376" i="10"/>
  <c r="AC376" i="10"/>
  <c r="V377" i="10"/>
  <c r="W377" i="10"/>
  <c r="Y377" i="10"/>
  <c r="Z377" i="10"/>
  <c r="AA377" i="10"/>
  <c r="AB377" i="10"/>
  <c r="AC377" i="10"/>
  <c r="V378" i="10"/>
  <c r="W378" i="10"/>
  <c r="Y378" i="10"/>
  <c r="Z378" i="10"/>
  <c r="AA378" i="10"/>
  <c r="AB378" i="10"/>
  <c r="AC378" i="10"/>
  <c r="V379" i="10"/>
  <c r="W379" i="10"/>
  <c r="Y379" i="10"/>
  <c r="Z379" i="10"/>
  <c r="AA379" i="10"/>
  <c r="AB379" i="10"/>
  <c r="AC379" i="10"/>
  <c r="V380" i="10"/>
  <c r="W380" i="10"/>
  <c r="X380" i="10"/>
  <c r="Y380" i="10"/>
  <c r="Z380" i="10"/>
  <c r="AA380" i="10"/>
  <c r="AB380" i="10"/>
  <c r="AC380" i="10"/>
  <c r="V381" i="10"/>
  <c r="W381" i="10"/>
  <c r="X381" i="10"/>
  <c r="Y381" i="10"/>
  <c r="Z381" i="10"/>
  <c r="AA381" i="10"/>
  <c r="AB381" i="10"/>
  <c r="AC381" i="10"/>
  <c r="V382" i="10"/>
  <c r="W382" i="10"/>
  <c r="X382" i="10"/>
  <c r="Y382" i="10"/>
  <c r="Z382" i="10"/>
  <c r="AA382" i="10"/>
  <c r="AB382" i="10"/>
  <c r="AC382" i="10"/>
  <c r="V383" i="10"/>
  <c r="W383" i="10"/>
  <c r="Y383" i="10"/>
  <c r="Z383" i="10"/>
  <c r="AA383" i="10"/>
  <c r="AB383" i="10"/>
  <c r="AC383" i="10"/>
  <c r="V384" i="10"/>
  <c r="W384" i="10"/>
  <c r="Y384" i="10"/>
  <c r="Z384" i="10"/>
  <c r="AA384" i="10"/>
  <c r="AB384" i="10"/>
  <c r="AC384" i="10"/>
  <c r="V385" i="10"/>
  <c r="W385" i="10"/>
  <c r="Y385" i="10"/>
  <c r="Z385" i="10"/>
  <c r="AA385" i="10"/>
  <c r="AB385" i="10"/>
  <c r="AC385" i="10"/>
  <c r="V386" i="10"/>
  <c r="W386" i="10"/>
  <c r="Y386" i="10"/>
  <c r="Z386" i="10"/>
  <c r="AA386" i="10"/>
  <c r="AB386" i="10"/>
  <c r="AC386" i="10"/>
  <c r="V387" i="10"/>
  <c r="W387" i="10"/>
  <c r="Y387" i="10"/>
  <c r="Z387" i="10"/>
  <c r="AA387" i="10"/>
  <c r="AB387" i="10"/>
  <c r="AC387" i="10"/>
  <c r="V388" i="10"/>
  <c r="W388" i="10"/>
  <c r="X388" i="10"/>
  <c r="Y388" i="10"/>
  <c r="Z388" i="10"/>
  <c r="AA388" i="10"/>
  <c r="AB388" i="10"/>
  <c r="AC388" i="10"/>
  <c r="V389" i="10"/>
  <c r="W389" i="10"/>
  <c r="Y389" i="10"/>
  <c r="Z389" i="10"/>
  <c r="AA389" i="10"/>
  <c r="AB389" i="10"/>
  <c r="AC389" i="10"/>
  <c r="V390" i="10"/>
  <c r="W390" i="10"/>
  <c r="Y390" i="10"/>
  <c r="Z390" i="10"/>
  <c r="AA390" i="10"/>
  <c r="AB390" i="10"/>
  <c r="AC390" i="10"/>
  <c r="V391" i="10"/>
  <c r="W391" i="10"/>
  <c r="Y391" i="10"/>
  <c r="Z391" i="10"/>
  <c r="AA391" i="10"/>
  <c r="AB391" i="10"/>
  <c r="AC391" i="10"/>
  <c r="V392" i="10"/>
  <c r="W392" i="10"/>
  <c r="X392" i="10"/>
  <c r="Y392" i="10"/>
  <c r="Z392" i="10"/>
  <c r="AA392" i="10"/>
  <c r="AB392" i="10"/>
  <c r="AC392" i="10"/>
  <c r="V393" i="10"/>
  <c r="W393" i="10"/>
  <c r="Y393" i="10"/>
  <c r="Z393" i="10"/>
  <c r="AA393" i="10"/>
  <c r="AB393" i="10"/>
  <c r="AC393" i="10"/>
  <c r="V394" i="10"/>
  <c r="W394" i="10"/>
  <c r="X394" i="10"/>
  <c r="Y394" i="10"/>
  <c r="Z394" i="10"/>
  <c r="AA394" i="10"/>
  <c r="AB394" i="10"/>
  <c r="AC394" i="10"/>
  <c r="V395" i="10"/>
  <c r="W395" i="10"/>
  <c r="Y395" i="10"/>
  <c r="Z395" i="10"/>
  <c r="AA395" i="10"/>
  <c r="AB395" i="10"/>
  <c r="AC395" i="10"/>
  <c r="V396" i="10"/>
  <c r="W396" i="10"/>
  <c r="Y396" i="10"/>
  <c r="Z396" i="10"/>
  <c r="AA396" i="10"/>
  <c r="AB396" i="10"/>
  <c r="AC396" i="10"/>
  <c r="V397" i="10"/>
  <c r="W397" i="10"/>
  <c r="Y397" i="10"/>
  <c r="Z397" i="10"/>
  <c r="AA397" i="10"/>
  <c r="AB397" i="10"/>
  <c r="AC397" i="10"/>
  <c r="V398" i="10"/>
  <c r="W398" i="10"/>
  <c r="Y398" i="10"/>
  <c r="Z398" i="10"/>
  <c r="AA398" i="10"/>
  <c r="AB398" i="10"/>
  <c r="AC398" i="10"/>
  <c r="V399" i="10"/>
  <c r="W399" i="10"/>
  <c r="Y399" i="10"/>
  <c r="Z399" i="10"/>
  <c r="AA399" i="10"/>
  <c r="AB399" i="10"/>
  <c r="AC399" i="10"/>
  <c r="V400" i="10"/>
  <c r="W400" i="10"/>
  <c r="X400" i="10"/>
  <c r="Y400" i="10"/>
  <c r="Z400" i="10"/>
  <c r="AA400" i="10"/>
  <c r="AB400" i="10"/>
  <c r="AC400" i="10"/>
  <c r="V401" i="10"/>
  <c r="W401" i="10"/>
  <c r="Y401" i="10"/>
  <c r="Z401" i="10"/>
  <c r="AA401" i="10"/>
  <c r="AB401" i="10"/>
  <c r="AC401" i="10"/>
  <c r="V402" i="10"/>
  <c r="W402" i="10"/>
  <c r="Y402" i="10"/>
  <c r="Z402" i="10"/>
  <c r="AA402" i="10"/>
  <c r="AB402" i="10"/>
  <c r="AC402" i="10"/>
  <c r="V403" i="10"/>
  <c r="W403" i="10"/>
  <c r="Y403" i="10"/>
  <c r="Z403" i="10"/>
  <c r="AA403" i="10"/>
  <c r="AB403" i="10"/>
  <c r="AC403" i="10"/>
  <c r="V404" i="10"/>
  <c r="W404" i="10"/>
  <c r="X404" i="10"/>
  <c r="Y404" i="10"/>
  <c r="Z404" i="10"/>
  <c r="AA404" i="10"/>
  <c r="AB404" i="10"/>
  <c r="AC404" i="10"/>
  <c r="V405" i="10"/>
  <c r="W405" i="10"/>
  <c r="X405" i="10"/>
  <c r="Y405" i="10"/>
  <c r="Z405" i="10"/>
  <c r="AA405" i="10"/>
  <c r="AB405" i="10"/>
  <c r="AC405" i="10"/>
  <c r="V406" i="10"/>
  <c r="W406" i="10"/>
  <c r="X406" i="10"/>
  <c r="Y406" i="10"/>
  <c r="Z406" i="10"/>
  <c r="AA406" i="10"/>
  <c r="AB406" i="10"/>
  <c r="AC406" i="10"/>
  <c r="V407" i="10"/>
  <c r="W407" i="10"/>
  <c r="X407" i="10"/>
  <c r="Y407" i="10"/>
  <c r="Z407" i="10"/>
  <c r="AA407" i="10"/>
  <c r="AB407" i="10"/>
  <c r="AC407" i="10"/>
  <c r="V408" i="10"/>
  <c r="W408" i="10"/>
  <c r="Y408" i="10"/>
  <c r="Z408" i="10"/>
  <c r="AA408" i="10"/>
  <c r="AB408" i="10"/>
  <c r="AC408" i="10"/>
  <c r="V409" i="10"/>
  <c r="W409" i="10"/>
  <c r="Y409" i="10"/>
  <c r="Z409" i="10"/>
  <c r="AA409" i="10"/>
  <c r="AB409" i="10"/>
  <c r="AC409" i="10"/>
  <c r="V410" i="10"/>
  <c r="W410" i="10"/>
  <c r="Y410" i="10"/>
  <c r="Z410" i="10"/>
  <c r="AA410" i="10"/>
  <c r="AB410" i="10"/>
  <c r="AC410" i="10"/>
  <c r="V411" i="10"/>
  <c r="W411" i="10"/>
  <c r="Y411" i="10"/>
  <c r="Z411" i="10"/>
  <c r="AA411" i="10"/>
  <c r="AB411" i="10"/>
  <c r="AC411" i="10"/>
  <c r="V412" i="10"/>
  <c r="W412" i="10"/>
  <c r="X412" i="10"/>
  <c r="Y412" i="10"/>
  <c r="Z412" i="10"/>
  <c r="AA412" i="10"/>
  <c r="AB412" i="10"/>
  <c r="AC412" i="10"/>
  <c r="V413" i="10"/>
  <c r="W413" i="10"/>
  <c r="X413" i="10"/>
  <c r="Y413" i="10"/>
  <c r="Z413" i="10"/>
  <c r="AA413" i="10"/>
  <c r="AB413" i="10"/>
  <c r="AC413" i="10"/>
  <c r="V414" i="10"/>
  <c r="W414" i="10"/>
  <c r="Y414" i="10"/>
  <c r="Z414" i="10"/>
  <c r="AA414" i="10"/>
  <c r="AB414" i="10"/>
  <c r="AC414" i="10"/>
  <c r="V415" i="10"/>
  <c r="W415" i="10"/>
  <c r="Y415" i="10"/>
  <c r="Z415" i="10"/>
  <c r="AA415" i="10"/>
  <c r="AB415" i="10"/>
  <c r="AC415" i="10"/>
  <c r="V416" i="10"/>
  <c r="W416" i="10"/>
  <c r="X416" i="10"/>
  <c r="Y416" i="10"/>
  <c r="Z416" i="10"/>
  <c r="AA416" i="10"/>
  <c r="AB416" i="10"/>
  <c r="AC416" i="10"/>
  <c r="AC328" i="10"/>
  <c r="AB328" i="10"/>
  <c r="AA328" i="10"/>
  <c r="W328" i="10"/>
  <c r="X328" i="10"/>
  <c r="Y328" i="10"/>
  <c r="Z328" i="10"/>
  <c r="V328" i="10"/>
  <c r="N45" i="8"/>
  <c r="B45" i="8"/>
  <c r="E45" i="8"/>
  <c r="H45" i="8"/>
  <c r="AA11" i="10" l="1"/>
  <c r="AA10" i="10"/>
  <c r="AA6" i="10"/>
  <c r="AA4" i="10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Y39" i="7" l="1"/>
  <c r="Y40" i="7"/>
  <c r="Y41" i="7"/>
  <c r="Y42" i="7"/>
  <c r="Y43" i="7"/>
  <c r="Y44" i="7"/>
  <c r="Y45" i="7"/>
  <c r="Y46" i="7"/>
  <c r="Y47" i="7"/>
  <c r="Y48" i="7"/>
  <c r="X36" i="7"/>
  <c r="Y36" i="7"/>
  <c r="Y49" i="7" l="1"/>
  <c r="AB53" i="2"/>
  <c r="AB203" i="2"/>
  <c r="AB193" i="2"/>
  <c r="AB183" i="2"/>
  <c r="AB173" i="2"/>
  <c r="AB163" i="2"/>
  <c r="AB153" i="2"/>
  <c r="AB143" i="2"/>
  <c r="AB133" i="2"/>
  <c r="AB123" i="2"/>
  <c r="AB113" i="2"/>
  <c r="AB103" i="2"/>
  <c r="AB93" i="2"/>
  <c r="AB83" i="2"/>
  <c r="AB73" i="2"/>
  <c r="AB63" i="2"/>
  <c r="Z4" i="2" l="1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3" i="2"/>
  <c r="V203" i="2"/>
  <c r="AA203" i="2"/>
  <c r="V204" i="2"/>
  <c r="AA204" i="2"/>
  <c r="V205" i="2"/>
  <c r="AA205" i="2"/>
  <c r="V206" i="2"/>
  <c r="AA206" i="2"/>
  <c r="V207" i="2"/>
  <c r="AA207" i="2"/>
  <c r="V208" i="2"/>
  <c r="AA208" i="2"/>
  <c r="V209" i="2"/>
  <c r="AA209" i="2"/>
  <c r="V210" i="2"/>
  <c r="AA210" i="2"/>
  <c r="V211" i="2"/>
  <c r="AA211" i="2"/>
  <c r="V212" i="2"/>
  <c r="AA212" i="2"/>
  <c r="AA35" i="2" l="1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34" i="2"/>
  <c r="AA25" i="2"/>
  <c r="AA26" i="2"/>
  <c r="AA27" i="2"/>
  <c r="AA28" i="2"/>
  <c r="AA29" i="2"/>
  <c r="AA30" i="2"/>
  <c r="AA31" i="2"/>
  <c r="AA32" i="2"/>
  <c r="AA33" i="2"/>
  <c r="AA24" i="2"/>
  <c r="AA15" i="2"/>
  <c r="AA16" i="2"/>
  <c r="AA17" i="2"/>
  <c r="AA18" i="2"/>
  <c r="AA19" i="2"/>
  <c r="AA20" i="2"/>
  <c r="AA21" i="2"/>
  <c r="AA22" i="2"/>
  <c r="AA23" i="2"/>
  <c r="AA14" i="2"/>
  <c r="AA5" i="2"/>
  <c r="AA6" i="2"/>
  <c r="AA7" i="2"/>
  <c r="AA8" i="2"/>
  <c r="AA9" i="2"/>
  <c r="AA10" i="2"/>
  <c r="AA11" i="2"/>
  <c r="AA12" i="2"/>
  <c r="AA13" i="2"/>
  <c r="AA3" i="2"/>
  <c r="AA4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3" i="2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AC43" i="7" l="1"/>
  <c r="AC44" i="7"/>
  <c r="AC40" i="7"/>
  <c r="AC48" i="7"/>
  <c r="AC47" i="7"/>
  <c r="AC46" i="7"/>
  <c r="AC45" i="7"/>
  <c r="AC42" i="7"/>
  <c r="AC41" i="7"/>
  <c r="AC39" i="7"/>
  <c r="M49" i="7"/>
  <c r="X49" i="7"/>
  <c r="W49" i="7"/>
  <c r="V49" i="7"/>
  <c r="U49" i="7"/>
  <c r="T49" i="7"/>
  <c r="S49" i="7"/>
  <c r="R49" i="7"/>
  <c r="Q49" i="7"/>
  <c r="P49" i="7"/>
  <c r="O49" i="7"/>
  <c r="N49" i="7"/>
  <c r="L49" i="7"/>
  <c r="K49" i="7"/>
  <c r="J49" i="7"/>
  <c r="I49" i="7"/>
  <c r="AE46" i="7"/>
  <c r="AE45" i="7"/>
  <c r="AE44" i="7"/>
  <c r="AE43" i="7"/>
  <c r="AE42" i="7"/>
  <c r="AE41" i="7"/>
  <c r="AE40" i="7"/>
  <c r="AE39" i="7"/>
  <c r="L36" i="7" l="1"/>
  <c r="M36" i="7"/>
  <c r="N36" i="7"/>
  <c r="O36" i="7"/>
  <c r="P36" i="7"/>
  <c r="Q36" i="7"/>
  <c r="R36" i="7"/>
  <c r="S36" i="7"/>
  <c r="T36" i="7"/>
  <c r="U36" i="7"/>
  <c r="V36" i="7"/>
  <c r="W36" i="7"/>
  <c r="K36" i="7"/>
  <c r="D39" i="7" l="1"/>
  <c r="C3" i="7" l="1"/>
  <c r="C4" i="7"/>
  <c r="C5" i="7"/>
  <c r="C6" i="7"/>
  <c r="C7" i="7"/>
  <c r="C8" i="7"/>
  <c r="C9" i="7"/>
  <c r="C10" i="7"/>
  <c r="C11" i="7"/>
  <c r="C2" i="7"/>
  <c r="C15" i="7"/>
  <c r="C16" i="7"/>
  <c r="C17" i="7"/>
  <c r="C18" i="7"/>
  <c r="C19" i="7"/>
  <c r="C20" i="7"/>
  <c r="C21" i="7"/>
  <c r="C22" i="7"/>
  <c r="C23" i="7"/>
  <c r="C14" i="7"/>
  <c r="E36" i="7"/>
  <c r="F36" i="7"/>
  <c r="G36" i="7"/>
  <c r="H36" i="7"/>
  <c r="I36" i="7"/>
  <c r="J36" i="7"/>
  <c r="C27" i="7"/>
  <c r="C28" i="7"/>
  <c r="C29" i="7"/>
  <c r="C30" i="7"/>
  <c r="C31" i="7"/>
  <c r="C32" i="7"/>
  <c r="C33" i="7"/>
  <c r="C34" i="7"/>
  <c r="C35" i="7"/>
  <c r="C26" i="7"/>
  <c r="D36" i="7"/>
  <c r="E39" i="7"/>
  <c r="E40" i="7"/>
  <c r="E41" i="7"/>
  <c r="E42" i="7"/>
  <c r="E43" i="7"/>
  <c r="E44" i="7"/>
  <c r="E45" i="7"/>
  <c r="E46" i="7"/>
  <c r="E47" i="7"/>
  <c r="E48" i="7"/>
  <c r="D40" i="7"/>
  <c r="D41" i="7"/>
  <c r="D42" i="7"/>
  <c r="D43" i="7"/>
  <c r="D44" i="7"/>
  <c r="D45" i="7"/>
  <c r="D46" i="7"/>
  <c r="D47" i="7"/>
  <c r="D48" i="7"/>
  <c r="V36" i="9"/>
  <c r="U36" i="9"/>
  <c r="T36" i="9"/>
  <c r="S36" i="9"/>
  <c r="R36" i="9"/>
  <c r="Q36" i="9"/>
  <c r="P36" i="9"/>
  <c r="O36" i="9"/>
  <c r="N36" i="9"/>
  <c r="M36" i="9"/>
  <c r="M37" i="9" s="1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N37" i="9" s="1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T37" i="9" s="1"/>
  <c r="S28" i="9"/>
  <c r="R28" i="9"/>
  <c r="Q28" i="9"/>
  <c r="Q37" i="9" s="1"/>
  <c r="P28" i="9"/>
  <c r="P37" i="9" s="1"/>
  <c r="O28" i="9"/>
  <c r="N28" i="9"/>
  <c r="M28" i="9"/>
  <c r="L28" i="9"/>
  <c r="K28" i="9"/>
  <c r="J28" i="9"/>
  <c r="I28" i="9"/>
  <c r="H28" i="9"/>
  <c r="G28" i="9"/>
  <c r="F28" i="9"/>
  <c r="E28" i="9"/>
  <c r="D28" i="9"/>
  <c r="V27" i="9"/>
  <c r="V37" i="9" s="1"/>
  <c r="U27" i="9"/>
  <c r="U37" i="9" s="1"/>
  <c r="T27" i="9"/>
  <c r="S27" i="9"/>
  <c r="S37" i="9" s="1"/>
  <c r="R27" i="9"/>
  <c r="R37" i="9" s="1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4" i="9"/>
  <c r="AB36" i="9" s="1"/>
  <c r="C23" i="9"/>
  <c r="AB35" i="9" s="1"/>
  <c r="C22" i="9"/>
  <c r="AB34" i="9" s="1"/>
  <c r="C21" i="9"/>
  <c r="C20" i="9"/>
  <c r="C19" i="9"/>
  <c r="C18" i="9"/>
  <c r="C17" i="9"/>
  <c r="C16" i="9"/>
  <c r="AB28" i="9" s="1"/>
  <c r="AC15" i="9"/>
  <c r="C15" i="9"/>
  <c r="AB27" i="9" s="1"/>
  <c r="C12" i="9"/>
  <c r="C11" i="9"/>
  <c r="C10" i="9"/>
  <c r="C9" i="9"/>
  <c r="C8" i="9"/>
  <c r="C7" i="9"/>
  <c r="C6" i="9"/>
  <c r="C5" i="9"/>
  <c r="C4" i="9"/>
  <c r="AC3" i="9"/>
  <c r="C3" i="9"/>
  <c r="C13" i="9" s="1"/>
  <c r="AC15" i="6"/>
  <c r="AC3" i="6"/>
  <c r="AC2" i="7"/>
  <c r="AC14" i="7"/>
  <c r="C24" i="6"/>
  <c r="AB36" i="6" s="1"/>
  <c r="C23" i="6"/>
  <c r="AB35" i="6" s="1"/>
  <c r="C22" i="6"/>
  <c r="AB34" i="6" s="1"/>
  <c r="C21" i="6"/>
  <c r="AB33" i="6" s="1"/>
  <c r="C20" i="6"/>
  <c r="AB32" i="6" s="1"/>
  <c r="C19" i="6"/>
  <c r="AB31" i="6" s="1"/>
  <c r="C18" i="6"/>
  <c r="AB30" i="6" s="1"/>
  <c r="C17" i="6"/>
  <c r="AB29" i="6" s="1"/>
  <c r="C16" i="6"/>
  <c r="C15" i="6"/>
  <c r="AB27" i="6" s="1"/>
  <c r="C12" i="6"/>
  <c r="C11" i="6"/>
  <c r="C10" i="6"/>
  <c r="C9" i="6"/>
  <c r="C8" i="6"/>
  <c r="C7" i="6"/>
  <c r="C6" i="6"/>
  <c r="C5" i="6"/>
  <c r="C4" i="6"/>
  <c r="C3" i="6"/>
  <c r="C13" i="6" s="1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B14" i="7" l="1"/>
  <c r="AE48" i="7"/>
  <c r="AB48" i="7"/>
  <c r="AD48" i="7" s="1"/>
  <c r="AE47" i="7"/>
  <c r="AB47" i="7"/>
  <c r="AD47" i="7" s="1"/>
  <c r="AB46" i="7"/>
  <c r="AD46" i="7" s="1"/>
  <c r="AB45" i="7"/>
  <c r="AD45" i="7" s="1"/>
  <c r="AB44" i="7"/>
  <c r="AD44" i="7" s="1"/>
  <c r="AB43" i="7"/>
  <c r="AD43" i="7" s="1"/>
  <c r="AB42" i="7"/>
  <c r="AD42" i="7" s="1"/>
  <c r="AB41" i="7"/>
  <c r="AD41" i="7" s="1"/>
  <c r="AB40" i="7"/>
  <c r="AD40" i="7" s="1"/>
  <c r="AB39" i="7"/>
  <c r="AD39" i="7" s="1"/>
  <c r="C43" i="7"/>
  <c r="C48" i="7"/>
  <c r="C47" i="7"/>
  <c r="C46" i="7"/>
  <c r="C45" i="7"/>
  <c r="C44" i="7"/>
  <c r="C42" i="7"/>
  <c r="C41" i="7"/>
  <c r="C40" i="7"/>
  <c r="C39" i="7"/>
  <c r="H49" i="7"/>
  <c r="AC49" i="7" s="1"/>
  <c r="G49" i="7"/>
  <c r="F49" i="7"/>
  <c r="AC26" i="7"/>
  <c r="AC28" i="7"/>
  <c r="AC27" i="7"/>
  <c r="E49" i="7"/>
  <c r="C36" i="7"/>
  <c r="AB23" i="7"/>
  <c r="AB22" i="7"/>
  <c r="AB21" i="7"/>
  <c r="C12" i="7"/>
  <c r="C27" i="9"/>
  <c r="H37" i="9"/>
  <c r="C24" i="7"/>
  <c r="AB29" i="9"/>
  <c r="AB30" i="9"/>
  <c r="L37" i="9"/>
  <c r="K37" i="9"/>
  <c r="J37" i="9"/>
  <c r="I37" i="9"/>
  <c r="C35" i="9"/>
  <c r="AB31" i="9"/>
  <c r="G37" i="9"/>
  <c r="C34" i="9"/>
  <c r="AB32" i="9"/>
  <c r="F37" i="9"/>
  <c r="AC27" i="9"/>
  <c r="E37" i="9"/>
  <c r="C25" i="9"/>
  <c r="C32" i="9"/>
  <c r="C31" i="9"/>
  <c r="C30" i="9"/>
  <c r="C29" i="9"/>
  <c r="D37" i="9"/>
  <c r="O37" i="9"/>
  <c r="AB33" i="9"/>
  <c r="C28" i="9"/>
  <c r="C33" i="9"/>
  <c r="C36" i="9"/>
  <c r="C27" i="6"/>
  <c r="C35" i="6"/>
  <c r="C34" i="6"/>
  <c r="C33" i="6"/>
  <c r="C32" i="6"/>
  <c r="C28" i="6"/>
  <c r="C36" i="6"/>
  <c r="C29" i="6"/>
  <c r="C31" i="6"/>
  <c r="C30" i="6"/>
  <c r="AC27" i="6"/>
  <c r="C25" i="6"/>
  <c r="AB28" i="6"/>
  <c r="AB15" i="7"/>
  <c r="AB16" i="7"/>
  <c r="AB17" i="7"/>
  <c r="AB18" i="7"/>
  <c r="AB19" i="7"/>
  <c r="AB20" i="7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AC50" i="7" l="1"/>
  <c r="C49" i="7"/>
  <c r="AE49" i="7"/>
  <c r="AE50" i="7" s="1"/>
  <c r="AB49" i="7"/>
  <c r="AD49" i="7" s="1"/>
  <c r="AD50" i="7" s="1"/>
  <c r="AB24" i="7"/>
  <c r="D49" i="7"/>
  <c r="AC29" i="7"/>
  <c r="C37" i="9"/>
  <c r="C37" i="6"/>
  <c r="AC30" i="7" l="1"/>
</calcChain>
</file>

<file path=xl/sharedStrings.xml><?xml version="1.0" encoding="utf-8"?>
<sst xmlns="http://schemas.openxmlformats.org/spreadsheetml/2006/main" count="2045" uniqueCount="1184">
  <si>
    <t>pos</t>
  </si>
  <si>
    <t>gf</t>
  </si>
  <si>
    <t>INTER</t>
  </si>
  <si>
    <t>NAPOLI</t>
  </si>
  <si>
    <t>COMO</t>
  </si>
  <si>
    <t>JUVENTUS</t>
  </si>
  <si>
    <t>ROMA</t>
  </si>
  <si>
    <t>UDINESE</t>
  </si>
  <si>
    <t>VERONA</t>
  </si>
  <si>
    <t>ATALANTA</t>
  </si>
  <si>
    <t>MILAN</t>
  </si>
  <si>
    <t>BOLOGNA</t>
  </si>
  <si>
    <t>SASSUOLO</t>
  </si>
  <si>
    <t>TORINO</t>
  </si>
  <si>
    <t>P</t>
  </si>
  <si>
    <t>D</t>
  </si>
  <si>
    <t>C</t>
  </si>
  <si>
    <t>A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</si>
  <si>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</si>
  <si>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</si>
  <si>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</si>
  <si>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</si>
  <si>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</si>
  <si>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</si>
  <si>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</si>
  <si>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</si>
  <si>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</si>
  <si>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</si>
  <si>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</si>
  <si>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</si>
  <si>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</si>
  <si>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</si>
  <si>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</si>
  <si>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</si>
  <si>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</si>
  <si>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</si>
  <si>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</si>
  <si>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</si>
  <si>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</si>
  <si>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</si>
  <si>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</si>
  <si>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</si>
  <si>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</si>
  <si>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</si>
  <si>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</si>
  <si>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</si>
  <si>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</si>
  <si>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18:22:26:393</t>
  </si>
  <si>
    <t>18:22:28:915</t>
  </si>
  <si>
    <t>18:22:31:661</t>
  </si>
  <si>
    <t>18:22:36:162</t>
  </si>
  <si>
    <t>18:22:42:664</t>
  </si>
  <si>
    <t>18:22:50:914</t>
  </si>
  <si>
    <t>18:22:59:162</t>
  </si>
  <si>
    <t>18:23:08:166</t>
  </si>
  <si>
    <t>18:23:16:915</t>
  </si>
  <si>
    <t>18:23:25:410</t>
  </si>
  <si>
    <t>18:23:33:677</t>
  </si>
  <si>
    <t>18:23:42:445</t>
  </si>
  <si>
    <t>18:23:50:724</t>
  </si>
  <si>
    <t>18:23:59:234</t>
  </si>
  <si>
    <t>18:24:08:226</t>
  </si>
  <si>
    <t>18:24:17:229</t>
  </si>
  <si>
    <t>18:24:26:481</t>
  </si>
  <si>
    <t>18:24:35:480</t>
  </si>
  <si>
    <t>18:24:44:481</t>
  </si>
  <si>
    <t>18:24:44:729</t>
  </si>
  <si>
    <t>18:39:12:868</t>
  </si>
  <si>
    <t>18:39:15:369</t>
  </si>
  <si>
    <t>18:39:18:615</t>
  </si>
  <si>
    <t>18:39:27:367</t>
  </si>
  <si>
    <t>18:39:36:388</t>
  </si>
  <si>
    <t>18:39:45:645</t>
  </si>
  <si>
    <t>18:39:55:154</t>
  </si>
  <si>
    <t>18:40:04:647</t>
  </si>
  <si>
    <t>18:40:13:898</t>
  </si>
  <si>
    <t>18:40:23:402</t>
  </si>
  <si>
    <t>18:40:32:902</t>
  </si>
  <si>
    <t>18:40:33:148</t>
  </si>
  <si>
    <t>18:40:41:905</t>
  </si>
  <si>
    <t>18:40:51:147</t>
  </si>
  <si>
    <t>18:40:59:901</t>
  </si>
  <si>
    <t>18:41:09:648</t>
  </si>
  <si>
    <t>18:41:19:402</t>
  </si>
  <si>
    <t>18:41:29:397</t>
  </si>
  <si>
    <t>18:41:38:900</t>
  </si>
  <si>
    <t>18:41:48:649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</si>
  <si>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</si>
  <si>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</si>
  <si>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</si>
  <si>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</si>
  <si>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</si>
  <si>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</si>
  <si>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</si>
  <si>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</si>
  <si>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</si>
  <si>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</si>
  <si>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</si>
  <si>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</si>
  <si>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</si>
  <si>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</si>
  <si>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</si>
  <si>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</si>
  <si>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</si>
  <si>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</si>
  <si>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</si>
  <si>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</si>
  <si>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</si>
  <si>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</si>
  <si>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</si>
  <si>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</si>
  <si>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</si>
  <si>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</si>
  <si>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</si>
  <si>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</si>
  <si>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</si>
  <si>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Etichette di riga</t>
  </si>
  <si>
    <t>Totale complessivo</t>
  </si>
  <si>
    <t>Conteggio di a12</t>
  </si>
  <si>
    <t>Etichette di colonna</t>
  </si>
  <si>
    <t>a21</t>
  </si>
  <si>
    <t>a22</t>
  </si>
  <si>
    <t>a23</t>
  </si>
  <si>
    <t>a24</t>
  </si>
  <si>
    <t>Punteggi giornata: 22</t>
  </si>
  <si>
    <t>x</t>
  </si>
  <si>
    <t>g2</t>
  </si>
  <si>
    <t>10|5|4|5|20|80|25|10</t>
  </si>
  <si>
    <t>10|5|4|5|20|80|25|15</t>
  </si>
  <si>
    <t>10|5|4|5|20|80|25|20</t>
  </si>
  <si>
    <t>10|5|4|5|20|80|25|25</t>
  </si>
  <si>
    <t>10|5|4|5|20|80|25|30</t>
  </si>
  <si>
    <t>10|5|4|5|20|90|25|10</t>
  </si>
  <si>
    <t>10|5|4|5|20|90|25|15</t>
  </si>
  <si>
    <t>10|5|4|5|20|90|25|20</t>
  </si>
  <si>
    <t>10|5|4|5|20|90|25|25</t>
  </si>
  <si>
    <t>10|5|4|5|20|90|25|30</t>
  </si>
  <si>
    <t>10|5|4|5|20|100|25|10</t>
  </si>
  <si>
    <t>10|5|4|5|20|100|25|15</t>
  </si>
  <si>
    <t>10|5|4|5|20|100|25|20</t>
  </si>
  <si>
    <t>10|5|4|5|20|100|25|25</t>
  </si>
  <si>
    <t>10|5|4|5|20|100|25|30</t>
  </si>
  <si>
    <t>10|5|4|5|20|110|25|10</t>
  </si>
  <si>
    <t>10|5|4|5|20|110|25|15</t>
  </si>
  <si>
    <t>10|5|4|5|20|110|25|20</t>
  </si>
  <si>
    <t>10|5|4|5|20|110|25|25</t>
  </si>
  <si>
    <t>10|5|4|5|20|110|25|30</t>
  </si>
  <si>
    <t>10|5|4|5|20|120|25|10</t>
  </si>
  <si>
    <t>10|5|4|5|20|120|25|15</t>
  </si>
  <si>
    <t>10|5|4|5|20|120|25|20</t>
  </si>
  <si>
    <t>10|5|4|5|20|120|25|25</t>
  </si>
  <si>
    <t>10|5|4|5|20|120|25|30</t>
  </si>
  <si>
    <t>10|5|4|5|20|80|40|15</t>
  </si>
  <si>
    <t>10|5|4|5|20|80|40|20</t>
  </si>
  <si>
    <t>10|5|4|5|20|80|40|25</t>
  </si>
  <si>
    <t>10|5|4|5|20|80|40|30</t>
  </si>
  <si>
    <t>10|5|4|5|20|90|40|10</t>
  </si>
  <si>
    <t>10|5|4|5|20|90|40|15</t>
  </si>
  <si>
    <t>10|5|4|5|20|90|40|20</t>
  </si>
  <si>
    <t>10|5|4|5|20|90|40|25</t>
  </si>
  <si>
    <t>10|5|4|5|20|90|40|30</t>
  </si>
  <si>
    <t>10|5|4|5|20|100|40|10</t>
  </si>
  <si>
    <t>10|5|4|5|20|100|40|15</t>
  </si>
  <si>
    <t>10|5|4|5|20|100|40|20</t>
  </si>
  <si>
    <t>10|5|4|5|20|100|40|25</t>
  </si>
  <si>
    <t>10|5|4|5|20|100|40|30</t>
  </si>
  <si>
    <t>10|5|4|5|20|110|40|10</t>
  </si>
  <si>
    <t>10|5|4|5|20|110|40|15</t>
  </si>
  <si>
    <t>10|5|4|5|20|110|40|20</t>
  </si>
  <si>
    <t>10|5|4|5|20|110|40|25</t>
  </si>
  <si>
    <t>10|5|4|5|20|110|40|30</t>
  </si>
  <si>
    <t>10|5|4|5|20|120|40|10</t>
  </si>
  <si>
    <t>10|5|4|5|20|120|40|15</t>
  </si>
  <si>
    <t>10|5|4|5|20|120|40|20</t>
  </si>
  <si>
    <t>10|5|4|5|20|120|40|25</t>
  </si>
  <si>
    <t>10|5|4|5|20|120|40|30</t>
  </si>
  <si>
    <t>10|5|4|5|20|110|55|15</t>
  </si>
  <si>
    <t>10|5|4|5|20|110|55|20</t>
  </si>
  <si>
    <t>10|5|4|5|20|110|55|25</t>
  </si>
  <si>
    <t>10|5|4|5|20|110|55|30</t>
  </si>
  <si>
    <t>10|5|4|5|20|120|55|10</t>
  </si>
  <si>
    <t>10|5|4|5|20|120|55|15</t>
  </si>
  <si>
    <t>10|5|4|5|20|120|55|20</t>
  </si>
  <si>
    <t>10|5|4|5|20|120|55|25</t>
  </si>
  <si>
    <t>10|5|4|5|20|120|55|30</t>
  </si>
  <si>
    <t>ga</t>
  </si>
  <si>
    <t>Punteggi giornata: 23</t>
  </si>
  <si>
    <t>20|10|7|5|30|110|55|10</t>
  </si>
  <si>
    <t>20|10|7|5|30|100|55|10</t>
  </si>
  <si>
    <t>20|10|7|5|30|90|55|10</t>
  </si>
  <si>
    <t>20|10|7|5|30|120|40|10</t>
  </si>
  <si>
    <t>20|10|7|5|30|100|40|10</t>
  </si>
  <si>
    <t>20|10|7|5|30|90|40|15</t>
  </si>
  <si>
    <t>20|10|7|5|30|120|25|15</t>
  </si>
  <si>
    <t>20|10|7|5|30|110|25|10</t>
  </si>
  <si>
    <t>20|10|7|5|30|90|25|10</t>
  </si>
  <si>
    <t>20|10|7|5|20|120|55|10</t>
  </si>
  <si>
    <t>20|10|7|5|20|110|55|10</t>
  </si>
  <si>
    <t>20|10|7|5|20|100|55|10</t>
  </si>
  <si>
    <t>20|10|7|5|20|90|55|10</t>
  </si>
  <si>
    <t>20|10|7|5|20|110|40|10</t>
  </si>
  <si>
    <t>20|10|7|5|20|90|40|10</t>
  </si>
  <si>
    <t>20|10|7|5|20|120|25|10</t>
  </si>
  <si>
    <t>20|10|7|5|20|110|25|15</t>
  </si>
  <si>
    <t>20|10|7|5|20|100|25|10</t>
  </si>
  <si>
    <t>20|10|4|5|30|120|70|10</t>
  </si>
  <si>
    <t>20|10|4|5|30|100|70|10</t>
  </si>
  <si>
    <t>20|10|4|5|30|110|55|10</t>
  </si>
  <si>
    <t>20|10|4|5|30|90|55|10</t>
  </si>
  <si>
    <t>20|10|4|5|30|80|55|10</t>
  </si>
  <si>
    <t>20|10|4|5|30|120|40|10</t>
  </si>
  <si>
    <t>20|10|4|5|30|100|40|10</t>
  </si>
  <si>
    <t>20|10|4|5|30|80|40|10</t>
  </si>
  <si>
    <t>20|10|4|5|30|120|25|25</t>
  </si>
  <si>
    <t>20|10|4|5|30|110|25|20</t>
  </si>
  <si>
    <t>20|10|4|5|30|110|25|10</t>
  </si>
  <si>
    <t>20|10|4|5|30|90|25|10</t>
  </si>
  <si>
    <t>20|10|4|5|20|110|70|10</t>
  </si>
  <si>
    <t>20|10|4|5|20|90|70|10</t>
  </si>
  <si>
    <t>20|10|4|5|20|120|55|20</t>
  </si>
  <si>
    <t>20|10|4|5|20|120|55|10</t>
  </si>
  <si>
    <t>20|10|4|5|20|110|55|10</t>
  </si>
  <si>
    <t>20|10|4|5|20|100|55|25</t>
  </si>
  <si>
    <t>20|10|4|5|20|100|55|10</t>
  </si>
  <si>
    <t>20|10|4|5|20|90|55|30</t>
  </si>
  <si>
    <t>20|10|4|5|20|90|55|10</t>
  </si>
  <si>
    <t>20|10|4|5|20|80|55|10</t>
  </si>
  <si>
    <t>20|10|4|5|20|120|40|25</t>
  </si>
  <si>
    <t>20|10|4|5|20|120|40|15</t>
  </si>
  <si>
    <t>20|10|4|5|20|110|40|25</t>
  </si>
  <si>
    <t>20|10|4|5|20|110|40|10</t>
  </si>
  <si>
    <t>20|10|4|5|20|90|40|25</t>
  </si>
  <si>
    <t>20|10|4|5|20|90|40|10</t>
  </si>
  <si>
    <t>20|10|4|5|20|120|25|10</t>
  </si>
  <si>
    <t>20|10|4|5|20|110|25|25</t>
  </si>
  <si>
    <t>20|10|4|5|20|110|25|15</t>
  </si>
  <si>
    <t>20|10|4|5|20|100|25|25</t>
  </si>
  <si>
    <t>20|10|4|5|20|100|25|10</t>
  </si>
  <si>
    <t>20|10|4|5|20|90|25|10</t>
  </si>
  <si>
    <t>20|10|4|5|20|80|25|10</t>
  </si>
  <si>
    <t>20|5|7|5|30|110|55|10</t>
  </si>
  <si>
    <t>20|5|7|5|30|90|55|10</t>
  </si>
  <si>
    <t>20|5|7|5|30|120|40|10</t>
  </si>
  <si>
    <t>20|5|7|5|30|110|40|10</t>
  </si>
  <si>
    <t>20|5|7|5|30|100|40|10</t>
  </si>
  <si>
    <t>20|5|7|5|30|110|25|10</t>
  </si>
  <si>
    <t>20|5|7|5|30|90|25|10</t>
  </si>
  <si>
    <t>20|5|7|5|20|120|55|10</t>
  </si>
  <si>
    <t>20|5|7|5|20|100|55|10</t>
  </si>
  <si>
    <t>20|5|7|5|20|110|40|10</t>
  </si>
  <si>
    <t>20|5|7|5|20|90|40|10</t>
  </si>
  <si>
    <t>20|5|7|5|20|120|25|10</t>
  </si>
  <si>
    <t>20|5|7|5|20|110|25|10</t>
  </si>
  <si>
    <t>20|5|7|5|20|100|25|10</t>
  </si>
  <si>
    <t>20|5|4|5|30|120|55|10</t>
  </si>
  <si>
    <t>20|5|4|5|30|110|55|10</t>
  </si>
  <si>
    <t>20|5|4|5|30|90|55|10</t>
  </si>
  <si>
    <t>20|5|4|5|30|120|40|10</t>
  </si>
  <si>
    <t>20|5|4|5|30|110|40|10</t>
  </si>
  <si>
    <t>20|5|4|5|30|100|40|10</t>
  </si>
  <si>
    <t>20|5|4|5|30|110|25|10</t>
  </si>
  <si>
    <t>20|5|4|5|30|90|25|10</t>
  </si>
  <si>
    <t>20|5|4|5|20|120|55|10</t>
  </si>
  <si>
    <t>20|5|4|5|20|100|55|10</t>
  </si>
  <si>
    <t>20|5|4|5|20|110|40|10</t>
  </si>
  <si>
    <t>20|5|4|5|20|100|40|10</t>
  </si>
  <si>
    <t>20|5|4|5|20|90|40|10</t>
  </si>
  <si>
    <t>20|5|4|5|20|120|25|10</t>
  </si>
  <si>
    <t>20|5|4|5|20|110|25|15</t>
  </si>
  <si>
    <t>20|5|4|5|20|100|25|10</t>
  </si>
  <si>
    <t>20|5|4|5|20|90|25|15</t>
  </si>
  <si>
    <t>10|10|7|5|30|120|70|20</t>
  </si>
  <si>
    <t>10|10|7|5|30|120|70|10</t>
  </si>
  <si>
    <t>10|10|7|5|30|100|70|10</t>
  </si>
  <si>
    <t>10|10|7|5|30|90|70|10</t>
  </si>
  <si>
    <t>10|10|7|5|30|120|55|25</t>
  </si>
  <si>
    <t>10|10|7|5|30|110|55|25</t>
  </si>
  <si>
    <t>10|10|7|5|30|110|55|10</t>
  </si>
  <si>
    <t>10|10|7|5|30|90|55|10</t>
  </si>
  <si>
    <t>10|10|7|5|30|120|40|25</t>
  </si>
  <si>
    <t>10|10|7|5|30|120|40|10</t>
  </si>
  <si>
    <t>10|10|7|5|30|110|40|20</t>
  </si>
  <si>
    <t>10|10|7|5|30|100|40|10</t>
  </si>
  <si>
    <t>10|10|7|5|30|80|40|10</t>
  </si>
  <si>
    <t>10|10|7|5|30|110|25|10</t>
  </si>
  <si>
    <t>10|10|7|5|30|100|25|10</t>
  </si>
  <si>
    <t>10|10|7|5|30|90|25|10</t>
  </si>
  <si>
    <t>10|10|7|5|20|110|70|10</t>
  </si>
  <si>
    <t>10|10|7|5|20|100|70|20</t>
  </si>
  <si>
    <t>10|10|7|5|20|90|70|10</t>
  </si>
  <si>
    <t>10|10|7|5|20|120|55|25</t>
  </si>
  <si>
    <t>10|10|7|5|20|120|55|10</t>
  </si>
  <si>
    <t>10|10|7|5|20|100|55|25</t>
  </si>
  <si>
    <t>10|10|7|5|20|100|55|10</t>
  </si>
  <si>
    <t>10|10|7|5|20|90|55|25</t>
  </si>
  <si>
    <t>10|10|7|5|20|90|55|10</t>
  </si>
  <si>
    <t>10|10|7|5|20|80|55|20</t>
  </si>
  <si>
    <t>10|10|7|5|20|80|55|10</t>
  </si>
  <si>
    <t>10|10|7|5|20|110|40|25</t>
  </si>
  <si>
    <t>10|10|7|5|20|110|40|10</t>
  </si>
  <si>
    <t>10|10|7|5|20|100|40|15</t>
  </si>
  <si>
    <t>10|10|7|5|20|90|40|25</t>
  </si>
  <si>
    <t>10|10|7|5|20|90|40|10</t>
  </si>
  <si>
    <t>10|10|7|5|20|120|25|10</t>
  </si>
  <si>
    <t>10|10|7|5|20|110|25|20</t>
  </si>
  <si>
    <t>10|10|7|5|20|100|25|10</t>
  </si>
  <si>
    <t>10|10|4|5|30|110|85|10</t>
  </si>
  <si>
    <t>10|10|4|5|30|90|85|10</t>
  </si>
  <si>
    <t>10|10|4|5|30|120|70|10</t>
  </si>
  <si>
    <t>10|10|4|5|30|100|70|10</t>
  </si>
  <si>
    <t>10|10|4|5|30|80|70|10</t>
  </si>
  <si>
    <t>10|10|4|5|30|120|55|30</t>
  </si>
  <si>
    <t>10|10|4|5|30|110|55|30</t>
  </si>
  <si>
    <t>10|10|4|5|30|110|55|10</t>
  </si>
  <si>
    <t>10|10|4|5|30|90|55|30</t>
  </si>
  <si>
    <t>10|10|4|5|30|90|55|10</t>
  </si>
  <si>
    <t>10|10|4|5|30|80|55|20</t>
  </si>
  <si>
    <t>10|10|4|5|30|120|40|10</t>
  </si>
  <si>
    <t>10|10|4|5|30|110|40|25</t>
  </si>
  <si>
    <t>10|10|4|5|30|110|40|10</t>
  </si>
  <si>
    <t>10|10|4|5|30|100|40|20</t>
  </si>
  <si>
    <t>10|10|4|5|30|100|40|10</t>
  </si>
  <si>
    <t>10|10|4|5|30|90|40|25</t>
  </si>
  <si>
    <t>10|10|4|5|30|80|40|20</t>
  </si>
  <si>
    <t>10|10|4|5|30|80|40|10</t>
  </si>
  <si>
    <t>10|10|4|5|30|110|25|25</t>
  </si>
  <si>
    <t>10|10|4|5|30|110|25|10</t>
  </si>
  <si>
    <t>10|10|4|5|20|120|85|10</t>
  </si>
  <si>
    <t>10|10|4|5|20|100|85|10</t>
  </si>
  <si>
    <t>10|10|4|5|20|120|70|20</t>
  </si>
  <si>
    <t>10|10|4|5|20|110|70|10</t>
  </si>
  <si>
    <t>10|10|4|5|20|90|70|30</t>
  </si>
  <si>
    <t>10|10|4|5|20|90|70|10</t>
  </si>
  <si>
    <t>10|10|4|5|20|120|55|10</t>
  </si>
  <si>
    <t>10|10|4|5|20|110|55|20</t>
  </si>
  <si>
    <t>10|10|4|5|20|100|55|10</t>
  </si>
  <si>
    <t>10|10|4|5|20|90|55|10</t>
  </si>
  <si>
    <t>10|10|4|5|20|80|55|20</t>
  </si>
  <si>
    <t>10|10|4|5|20|80|55|10</t>
  </si>
  <si>
    <t>10|10|4|5|20|120|40|25</t>
  </si>
  <si>
    <t>10|10|4|5|20|110|40|10</t>
  </si>
  <si>
    <t>10|10|4|5|20|90|40|10</t>
  </si>
  <si>
    <t>10|10|4|5|20|80|40|10</t>
  </si>
  <si>
    <t>10|10|4|5|20|120|25|10</t>
  </si>
  <si>
    <t>10|10|4|5|20|100|25|10</t>
  </si>
  <si>
    <t>10|5|7|5|30|120|70|10</t>
  </si>
  <si>
    <t>10|5|7|5|30|100|70|10</t>
  </si>
  <si>
    <t>10|5|7|5|30|120|55|15</t>
  </si>
  <si>
    <t>10|5|7|5|30|110|55|10</t>
  </si>
  <si>
    <t>10|5|7|5|30|100|55|15</t>
  </si>
  <si>
    <t>10|5|7|5|30|90|55|10</t>
  </si>
  <si>
    <t>10|5|7|5|30|80|55|10</t>
  </si>
  <si>
    <t>10|5|7|5|30|120|40|10</t>
  </si>
  <si>
    <t>10|5|7|5|30|100|40|10</t>
  </si>
  <si>
    <t>10|5|7|5|30|120|25|10</t>
  </si>
  <si>
    <t>10|5|7|5|30|110|25|20</t>
  </si>
  <si>
    <t>10|5|7|5|30|110|25|10</t>
  </si>
  <si>
    <t>10|5|7|5|20|110|70|10</t>
  </si>
  <si>
    <t>10|5|7|5|20|100|70|10</t>
  </si>
  <si>
    <t>10|5|7|5|20|90|70|10</t>
  </si>
  <si>
    <t>10|5|7|5|20|120|55|10</t>
  </si>
  <si>
    <t>10|5|7|5|20|100|55|10</t>
  </si>
  <si>
    <t>10|5|7|5|20|80|55|10</t>
  </si>
  <si>
    <t>10|5|7|5|20|110|40|10</t>
  </si>
  <si>
    <t>10|5|7|5|20|90|40|10</t>
  </si>
  <si>
    <t>10|5|7|5|20|120|25|20</t>
  </si>
  <si>
    <t>10|5|7|5|20|120|25|10</t>
  </si>
  <si>
    <t>10|5|7|5|20|100|25|10</t>
  </si>
  <si>
    <t>10|5|4|5|30|120|70|10</t>
  </si>
  <si>
    <t>10|5|4|5|30|110|70|10</t>
  </si>
  <si>
    <t>10|5|4|5|30|100|70|10</t>
  </si>
  <si>
    <t>10|5|4|5|30|120|55|10</t>
  </si>
  <si>
    <t>10|5|4|5|30|110|55|10</t>
  </si>
  <si>
    <t>10|5|4|5|30|100|55|10</t>
  </si>
  <si>
    <t>10|5|4|5|30|90|55|10</t>
  </si>
  <si>
    <t>10|5|4|5|30|120|40|10</t>
  </si>
  <si>
    <t>10|5|4|5|30|100|40|10</t>
  </si>
  <si>
    <t>10|5|4|5|30|80|40|10</t>
  </si>
  <si>
    <t>10|5|4|5|30|110|25|10</t>
  </si>
  <si>
    <t>10|5|4|5|20|120|70|10</t>
  </si>
  <si>
    <t>10|5|4|5|20|110|70|10</t>
  </si>
  <si>
    <t>10|5|4|5|20|100|70|15</t>
  </si>
  <si>
    <t>10|5|4|5|20|90|70|10</t>
  </si>
  <si>
    <t>10|5|4|5|20|100|55|10</t>
  </si>
  <si>
    <t>10|5|4|5|20|80|55|10</t>
  </si>
  <si>
    <t>10|5|4|5|20|80|40|10</t>
  </si>
  <si>
    <t>0|10|7|5|30|120|70|20</t>
  </si>
  <si>
    <t>0|10|7|5|30|120|70|10</t>
  </si>
  <si>
    <t>0|10|7|5|30|110|70|15</t>
  </si>
  <si>
    <t>0|10|7|5|30|100|70|10</t>
  </si>
  <si>
    <t>0|10|7|5|30|90|70|15</t>
  </si>
  <si>
    <t>0|10|7|5|30|110|55|25</t>
  </si>
  <si>
    <t>0|10|7|5|30|110|55|10</t>
  </si>
  <si>
    <t>0|10|7|5|30|100|55|30</t>
  </si>
  <si>
    <t>0|10|7|5|30|120|40|25</t>
  </si>
  <si>
    <t>0|10|7|5|30|120|40|10</t>
  </si>
  <si>
    <t>0|10|7|5|30|110|40|25</t>
  </si>
  <si>
    <t>0|10|7|5|30|110|40|20</t>
  </si>
  <si>
    <t>0|10|7|5|30|110|40|15</t>
  </si>
  <si>
    <t>0|10|7|5|20|110|70|10</t>
  </si>
  <si>
    <t>0|10|7|5|20|100|70|15</t>
  </si>
  <si>
    <t>0|10|7|5|20|90|70|10</t>
  </si>
  <si>
    <t>0|10|7|5|20|120|55|30</t>
  </si>
  <si>
    <t>0|10|7|5|20|120|55|10</t>
  </si>
  <si>
    <t>0|10|7|5|20|100|55|10</t>
  </si>
  <si>
    <t>0|10|7|5|20|120|40|25</t>
  </si>
  <si>
    <t>0|10|7|5|20|120|40|10</t>
  </si>
  <si>
    <t>0|10|7|5|20|110|40|20</t>
  </si>
  <si>
    <t>0|10|7|5|20|110|40|10</t>
  </si>
  <si>
    <t>0|10|7|5|20|120|25|25</t>
  </si>
  <si>
    <t>0|10|7|5|20|120|25|10</t>
  </si>
  <si>
    <t>0|10|4|5|30|110|85|10</t>
  </si>
  <si>
    <t>0|10|4|5|30|90|85|10</t>
  </si>
  <si>
    <t>0|10|4|5|30|120|70|10</t>
  </si>
  <si>
    <t>0|10|4|5|30|110|70|15</t>
  </si>
  <si>
    <t>0|10|4|5|30|100|70|10</t>
  </si>
  <si>
    <t>0|10|4|5|30|80|70|10</t>
  </si>
  <si>
    <t>0|10|4|5|30|110|55|10</t>
  </si>
  <si>
    <t>0|10|4|5|30|120|40|10</t>
  </si>
  <si>
    <t>0|10|4|5|20|120|85|10</t>
  </si>
  <si>
    <t>0|10|4|5|20|100|85|10</t>
  </si>
  <si>
    <t>0|10|4|5|20|120|70|25</t>
  </si>
  <si>
    <t>0|10|4|5|20|120|70|15</t>
  </si>
  <si>
    <t>0|10|4|5|20|110|70|30</t>
  </si>
  <si>
    <t>0|10|4|5|20|110|70|10</t>
  </si>
  <si>
    <t>0|10|4|5|20|100|70|30</t>
  </si>
  <si>
    <t>0|10|4|5|20|100|70|15</t>
  </si>
  <si>
    <t>0|10|4|5|20|90|70|25</t>
  </si>
  <si>
    <t>0|10|4|5|20|90|70|10</t>
  </si>
  <si>
    <t>0|10|4|5|20|120|55|10</t>
  </si>
  <si>
    <t>0|10|4|5|20|110|55|30</t>
  </si>
  <si>
    <t>0|10|4|5|20|110|55|15</t>
  </si>
  <si>
    <t>0|10|4|5|20|100|55|10</t>
  </si>
  <si>
    <t>0|10|4|5|20|110|40|10</t>
  </si>
  <si>
    <t>0|10|4|5|20|120|25|10</t>
  </si>
  <si>
    <t>0|5|7|5|30|120|70|10</t>
  </si>
  <si>
    <t>0|5|7|5|30|100|70|10</t>
  </si>
  <si>
    <t>0|5|7|5|30|90|70|10</t>
  </si>
  <si>
    <t>0|5|7|5|30|120|55|20</t>
  </si>
  <si>
    <t>0|5|7|5|30|110|55|10</t>
  </si>
  <si>
    <t>0|5|7|5|30|100|55|10</t>
  </si>
  <si>
    <t>0|5|7|5|30|120|40|10</t>
  </si>
  <si>
    <t>0|5|7|5|30|110|40|10</t>
  </si>
  <si>
    <t>0|5|7|5|20|120|70|10</t>
  </si>
  <si>
    <t>0|5|7|5|20|110|70|10</t>
  </si>
  <si>
    <t>0|5|7|5|20|100|70|10</t>
  </si>
  <si>
    <t>0|5|7|5|20|90|70|10</t>
  </si>
  <si>
    <t>0|5|7|5|20|120|55|10</t>
  </si>
  <si>
    <t>0|5|7|5|20|100|55|10</t>
  </si>
  <si>
    <t>0|5|7|5|20|110|40|10</t>
  </si>
  <si>
    <t>0|5|7|5|20|120|25|10</t>
  </si>
  <si>
    <t>0|5|4|5|30|120|70|10</t>
  </si>
  <si>
    <t>0|5|4|5|30|110|70|10</t>
  </si>
  <si>
    <t>0|5|4|5|30|100|70|10</t>
  </si>
  <si>
    <t>0|5|4|5|30|110|55|10</t>
  </si>
  <si>
    <t>0|5|4|5|30|120|40|10</t>
  </si>
  <si>
    <t>0|5|4|5|30|110|40|10</t>
  </si>
  <si>
    <t>0|5|4|5|20|120|70|10</t>
  </si>
  <si>
    <t>0|5|4|5|20|110|70|10</t>
  </si>
  <si>
    <t>0|5|4|5|20|100|70|10</t>
  </si>
  <si>
    <t>0|5|4|5|20|90|70|10</t>
  </si>
  <si>
    <t>0|5|4|5|20|120|55|10</t>
  </si>
  <si>
    <t>0|5|4|5|20|110|55|15</t>
  </si>
  <si>
    <t>0|5|4|5|20|110|55|10</t>
  </si>
  <si>
    <t>0|5|4|5|20|100|55|10</t>
  </si>
  <si>
    <t>0|5|4|5|20|120|40|10</t>
  </si>
  <si>
    <t>0|5|4|5|20|110|40|10</t>
  </si>
  <si>
    <t>0|5|4|5|20|120|25|10</t>
  </si>
  <si>
    <t>20|10|7|5|20|120|40|20</t>
  </si>
  <si>
    <t>20|10|4|5|30|120|55|25</t>
  </si>
  <si>
    <t>20|10|4|5|30|110|55|25</t>
  </si>
  <si>
    <t>20|5|4|5|20|110|55|10</t>
  </si>
  <si>
    <t>10|10|7|5|30|110|70|20</t>
  </si>
  <si>
    <t>10|10|7|5|30|90|55|15</t>
  </si>
  <si>
    <t>10|10|7|5|20|110|55|20</t>
  </si>
  <si>
    <t>10|10|7|5|20|100|55|15</t>
  </si>
  <si>
    <t>10|10|4|5|30|120|70|20</t>
  </si>
  <si>
    <t>10|10|4|5|20|80|40|15</t>
  </si>
  <si>
    <t>10|10|4|5|20|120|25|25</t>
  </si>
  <si>
    <t>10|5|7|5|20|110|55|10</t>
  </si>
  <si>
    <t>0|10|7|5|30|120|25|25</t>
  </si>
  <si>
    <t>0|10|4|5|30|100|70|20</t>
  </si>
  <si>
    <t>0|10|4|5|30|120|55|15</t>
  </si>
  <si>
    <t>0|10|4|5|30|110|40|15</t>
  </si>
  <si>
    <t>0|10|4|5|20|120|70|20</t>
  </si>
  <si>
    <t>20|10|4|5|30|110|40|15</t>
  </si>
  <si>
    <t>20|10|4|5|30|100|40|20</t>
  </si>
  <si>
    <t>20|10|4|5|30|90|40|25</t>
  </si>
  <si>
    <t>20|10|4|5|30|120|25|20</t>
  </si>
  <si>
    <t>20|10|4|5|30|90|25|25</t>
  </si>
  <si>
    <t>20|10|4|5|20|100|40|20</t>
  </si>
  <si>
    <t>20|10|4|5|20|90|25|20</t>
  </si>
  <si>
    <t>20|5|4|5|20|90|55|10</t>
  </si>
  <si>
    <t>10|10|7|5|20|120|25|30</t>
  </si>
  <si>
    <t>10|10|4|5|30|100|70|30</t>
  </si>
  <si>
    <t>10|10|4|5|30|90|70|15</t>
  </si>
  <si>
    <t>10|10|4|5|30|100|55|30</t>
  </si>
  <si>
    <t>10|10|4|5|20|120|70|25</t>
  </si>
  <si>
    <t>10|10|4|5|20|100|70|30</t>
  </si>
  <si>
    <t>10|10|4|5|20|120|55|15</t>
  </si>
  <si>
    <t>0|10|7|5|30|120|55|15</t>
  </si>
  <si>
    <t>0|10|7|5|30|100|55|15</t>
  </si>
  <si>
    <t>0|10|7|5|30|120|25|15</t>
  </si>
  <si>
    <t>0|10|7|5|20|120|70|15</t>
  </si>
  <si>
    <t>0|10|7|5|20|120|25|20</t>
  </si>
  <si>
    <t>0|10|4|5|30|100|70|15</t>
  </si>
  <si>
    <t>0|10|4|5|30|110|55|30</t>
  </si>
  <si>
    <t>0|5|7|5|20|100|55|15</t>
  </si>
  <si>
    <t>20|10|7|5|30|120|40|20</t>
  </si>
  <si>
    <t>20|10|4|5|30|100|55|10</t>
  </si>
  <si>
    <t>20|5|4|5|30|110|55|15</t>
  </si>
  <si>
    <t>20|5|4|5|30|110|40|15</t>
  </si>
  <si>
    <t>10|10|7|5|30|100|70|15</t>
  </si>
  <si>
    <t>10|10|7|5|30|100|25|25</t>
  </si>
  <si>
    <t>10|10|7|5|20|110|25|25</t>
  </si>
  <si>
    <t>10|10|7|5|20|100|25|25</t>
  </si>
  <si>
    <t>0|10|7|5|30|100|55|25</t>
  </si>
  <si>
    <t>0|10|7|5|30|120|40|20</t>
  </si>
  <si>
    <t>0|10|7|5|20|100|70|20</t>
  </si>
  <si>
    <t>0|10|7|5|20|100|70|10</t>
  </si>
  <si>
    <t>0|10|7|5|20|90|70|20</t>
  </si>
  <si>
    <t>0|10|4|5|30|120|85|10</t>
  </si>
  <si>
    <t>0|10|4|5|30|120|70|30</t>
  </si>
  <si>
    <t>0|10|4|5|30|120|70|25</t>
  </si>
  <si>
    <t>0|10|4|5|30|120|70|15</t>
  </si>
  <si>
    <t>0|10|4|5|30|120|40|30</t>
  </si>
  <si>
    <t>0|10|4|5|20|120|55|20</t>
  </si>
  <si>
    <t>20|10|7|5|20|120|40|10</t>
  </si>
  <si>
    <t>20|10|7|5|20|110|25|20</t>
  </si>
  <si>
    <t>20|10|4|5|30|100|25|25</t>
  </si>
  <si>
    <t>20|10|4|5|30|90|25|15</t>
  </si>
  <si>
    <t>20|10|4|5|20|100|40|10</t>
  </si>
  <si>
    <t>20|10|4|5|20|90|40|15</t>
  </si>
  <si>
    <t>20|10|4|5|20|120|25|15</t>
  </si>
  <si>
    <t>10|10|7|5|30|120|70|15</t>
  </si>
  <si>
    <t>10|10|7|5|30|110|40|15</t>
  </si>
  <si>
    <t>10|10|7|5|20|120|70|10</t>
  </si>
  <si>
    <t>10|10|7|5|20|110|70|15</t>
  </si>
  <si>
    <t>10|10|7|5|20|120|25|20</t>
  </si>
  <si>
    <t>10|10|7|5|20|100|25|30</t>
  </si>
  <si>
    <t>10|10|7|5|20|100|25|20</t>
  </si>
  <si>
    <t>10|10|4|5|30|120|70|25</t>
  </si>
  <si>
    <t>10|10|4|5|30|90|55|20</t>
  </si>
  <si>
    <t>10|10|4|5|30|120|40|30</t>
  </si>
  <si>
    <t>10|10|4|5|30|120|40|15</t>
  </si>
  <si>
    <t>10|10|4|5|30|110|40|20</t>
  </si>
  <si>
    <t>10|10|4|5|30|120|25|20</t>
  </si>
  <si>
    <t>10|10|4|5|20|120|55|25</t>
  </si>
  <si>
    <t>10|10|4|5|20|110|55|10</t>
  </si>
  <si>
    <t>10|10|4|5|20|120|40|15</t>
  </si>
  <si>
    <t>10|10|4|5|20|110|40|25</t>
  </si>
  <si>
    <t>10|10|4|5|20|90|40|20</t>
  </si>
  <si>
    <t>10|10|4|5|20|110|25|20</t>
  </si>
  <si>
    <t>0|10|7|5|30|110|70|10</t>
  </si>
  <si>
    <t>0|10|7|5|30|90|70|10</t>
  </si>
  <si>
    <t>0|10|7|5|20|100|55|25</t>
  </si>
  <si>
    <t>0|10|7|5|20|120|40|30</t>
  </si>
  <si>
    <t>0|10|7|5|20|120|40|15</t>
  </si>
  <si>
    <t>0|5|4|5|20|120|40|15</t>
  </si>
  <si>
    <t>20|10|4|5|30|100|40|25</t>
  </si>
  <si>
    <t>20|10|4|5|30|80|25|10</t>
  </si>
  <si>
    <t>20|10|4|5|20|100|40|25</t>
  </si>
  <si>
    <t>20|5|7|5|30|100|25|10</t>
  </si>
  <si>
    <t>20|5|4|5|20|120|40|15</t>
  </si>
  <si>
    <t>10|10|7|5|20|120|70|15</t>
  </si>
  <si>
    <t>10|10|7|5|20|110|70|20</t>
  </si>
  <si>
    <t>10|10|7|5|20|110|55|10</t>
  </si>
  <si>
    <t>10|10|4|5|20|120|40|20</t>
  </si>
  <si>
    <t>10|10|4|5|20|120|40|10</t>
  </si>
  <si>
    <t>10|5|7|5|30|90|70|10</t>
  </si>
  <si>
    <t>10|5|7|5|20|120|55|15</t>
  </si>
  <si>
    <t>10|5|7|5|20|120|40|10</t>
  </si>
  <si>
    <t>0|10|7|5|30|100|70|20</t>
  </si>
  <si>
    <t>0|10|7|5|30|120|55|30</t>
  </si>
  <si>
    <t>0|10|7|5|30|110|55|30</t>
  </si>
  <si>
    <t>0|10|7|5|30|120|40|30</t>
  </si>
  <si>
    <t>0|10|7|5|30|120|40|15</t>
  </si>
  <si>
    <t>0|10|7|5|20|120|55|25</t>
  </si>
  <si>
    <t>0|10|7|5|20|100|55|15</t>
  </si>
  <si>
    <t>0|10|4|5|30|120|55|10</t>
  </si>
  <si>
    <t>0|10|4|5|20|120|40|30</t>
  </si>
  <si>
    <t>0|10|4|5|20|120|25|20</t>
  </si>
  <si>
    <t>0|5|7|5|20|110|55|10</t>
  </si>
  <si>
    <t>20|10|7|5|30|100|25|15</t>
  </si>
  <si>
    <t>20|10|7|5|20|90|55|20</t>
  </si>
  <si>
    <t>20|10|7|5|20|120|25|20</t>
  </si>
  <si>
    <t>20|10|7|5|20|120|25|15</t>
  </si>
  <si>
    <t>20|10|4|5|30|90|55|15</t>
  </si>
  <si>
    <t>20|10|4|5|30|120|40|20</t>
  </si>
  <si>
    <t>20|5|7|5|30|90|40|10</t>
  </si>
  <si>
    <t>20|5|4|5|30|100|40|15</t>
  </si>
  <si>
    <t>20|5|4|5|30|90|40|15</t>
  </si>
  <si>
    <t>20|5|4|5|20|90|55|15</t>
  </si>
  <si>
    <t>20|5|4|5|20|120|40|10</t>
  </si>
  <si>
    <t>10|10|7|5|30|100|55|30</t>
  </si>
  <si>
    <t>10|10|7|5|30|100|55|15</t>
  </si>
  <si>
    <t>10|10|7|5|30|90|55|30</t>
  </si>
  <si>
    <t>10|10|7|5|30|90|55|25</t>
  </si>
  <si>
    <t>10|10|4|5|30|120|55|20</t>
  </si>
  <si>
    <t>10|10|4|5|30|110|55|20</t>
  </si>
  <si>
    <t>10|10|4|5|30|100|55|20</t>
  </si>
  <si>
    <t>10|10|4|5|30|80|55|25</t>
  </si>
  <si>
    <t>10|10|4|5|30|120|40|20</t>
  </si>
  <si>
    <t>10|10|4|5|30|110|25|20</t>
  </si>
  <si>
    <t>10|5|7|5|30|110|40|10</t>
  </si>
  <si>
    <t>10|5|7|5|30|100|40|20</t>
  </si>
  <si>
    <t>0|10|7|5|30|120|25|10</t>
  </si>
  <si>
    <t>0|10|4|5|20|110|55|20</t>
  </si>
  <si>
    <t>0|10|4|5|20|110|55|10</t>
  </si>
  <si>
    <t>0|10|4|5|20|100|55|20</t>
  </si>
  <si>
    <t>0|10|4|5|20|120|40|20</t>
  </si>
  <si>
    <t>0|5|4|5|30|120|70|15</t>
  </si>
  <si>
    <t>0|5|4|5|30|110|70|15</t>
  </si>
  <si>
    <t>0|5|4|5|30|120|55|10</t>
  </si>
  <si>
    <t>0|5|4|5|30|120|40|15</t>
  </si>
  <si>
    <t>20|10|7|5|30|110|40|10</t>
  </si>
  <si>
    <t>20|10|7|5|30|90|25|15</t>
  </si>
  <si>
    <t>20|5|4|5|30|100|25|10</t>
  </si>
  <si>
    <t>10|10|7|5|30|80|55|15</t>
  </si>
  <si>
    <t>10|10|7|5|30|100|25|20</t>
  </si>
  <si>
    <t>10|10|4|5|30|120|85|10</t>
  </si>
  <si>
    <t>10|10|4|5|30|120|70|15</t>
  </si>
  <si>
    <t>10|10|4|5|30|110|70|20</t>
  </si>
  <si>
    <t>10|10|4|5|30|100|70|25</t>
  </si>
  <si>
    <t>10|10|4|5|30|120|25|30</t>
  </si>
  <si>
    <t>10|10|4|5|30|110|25|15</t>
  </si>
  <si>
    <t>10|10|4|5|20|120|40|30</t>
  </si>
  <si>
    <t>10|10|4|5|20|110|40|30</t>
  </si>
  <si>
    <t>10|10|4|5|20|110|40|15</t>
  </si>
  <si>
    <t>10|5|7|5|30|90|40|15</t>
  </si>
  <si>
    <t>10|5|7|5|30|120|25|15</t>
  </si>
  <si>
    <t>10|5|7|5|30|110|25|15</t>
  </si>
  <si>
    <t>0|10|7|5|20|100|55|30</t>
  </si>
  <si>
    <t>0|5|7|5|30|120|55|15</t>
  </si>
  <si>
    <t>0|5|7|5|30|110|55|15</t>
  </si>
  <si>
    <t>0|5|4|5|20|100|70|15</t>
  </si>
  <si>
    <t>0|5|4|5|20|90|70|15</t>
  </si>
  <si>
    <t>20|10|7|5|30|120|25|20</t>
  </si>
  <si>
    <t>20|10|7|5|30|110|25|15</t>
  </si>
  <si>
    <t>20|10|7|5|30|100|25|10</t>
  </si>
  <si>
    <t>20|10|7|5|20|110|55|15</t>
  </si>
  <si>
    <t>20|10|7|5|20|100|55|20</t>
  </si>
  <si>
    <t>20|10|4|5|30|90|55|20</t>
  </si>
  <si>
    <t>20|10|4|5|30|120|25|30</t>
  </si>
  <si>
    <t>20|10|4|5|20|110|55|15</t>
  </si>
  <si>
    <t>20|10|4|5|20|100|55|30</t>
  </si>
  <si>
    <t>20|10|4|5|20|100|55|20</t>
  </si>
  <si>
    <t>20|10|4|5|20|90|55|25</t>
  </si>
  <si>
    <t>20|10|4|5|20|120|40|30</t>
  </si>
  <si>
    <t>20|10|4|5|20|80|40|10</t>
  </si>
  <si>
    <t>20|10|4|5|20|120|25|20</t>
  </si>
  <si>
    <t>20|5|7|5|30|100|55|10</t>
  </si>
  <si>
    <t>20|5|4|5|20|110|25|10</t>
  </si>
  <si>
    <t>10|10|7|5|30|100|25|30</t>
  </si>
  <si>
    <t>10|10|7|5|20|110|55|25</t>
  </si>
  <si>
    <t>10|10|7|5|20|90|55|30</t>
  </si>
  <si>
    <t>10|10|7|5|20|90|55|15</t>
  </si>
  <si>
    <t>10|10|4|5|30|100|25|25</t>
  </si>
  <si>
    <t>10|10|4|5|30|100|25|10</t>
  </si>
  <si>
    <t>10|10|4|5|20|110|85|10</t>
  </si>
  <si>
    <t>10|10|4|5|20|110|55|25</t>
  </si>
  <si>
    <t>10|10|4|5|20|100|55|15</t>
  </si>
  <si>
    <t>10|10|4|5|20|100|40|30</t>
  </si>
  <si>
    <t>10|5|7|5|30|120|55|10</t>
  </si>
  <si>
    <t>10|5|7|5|20|100|40|10</t>
  </si>
  <si>
    <t>10|5|4|5|30|100|55|15</t>
  </si>
  <si>
    <t>10|5|4|5|30|90|55|15</t>
  </si>
  <si>
    <t>10|5|4|5|20|110|70|15</t>
  </si>
  <si>
    <t>10|5|4|5|20|90|55|10</t>
  </si>
  <si>
    <t>0|10|7|5|30|100|55|20</t>
  </si>
  <si>
    <t>0|10|7|5|20|120|55|15</t>
  </si>
  <si>
    <t>0|5|4|5|30|120|55|15</t>
  </si>
  <si>
    <t>20|10|7|5|30|110|25|20</t>
  </si>
  <si>
    <t>20|10|4|5|30|100|55|15</t>
  </si>
  <si>
    <t>20|10|4|5|20|110|25|10</t>
  </si>
  <si>
    <t>20|5|7|5|30|120|25|10</t>
  </si>
  <si>
    <t>20|5|7|5|20|100|40|10</t>
  </si>
  <si>
    <t>10|10|7|5|30|120|55|20</t>
  </si>
  <si>
    <t>10|10|7|5|30|110|40|30</t>
  </si>
  <si>
    <t>10|10|7|5|30|100|40|20</t>
  </si>
  <si>
    <t>10|10|7|5|30|120|25|30</t>
  </si>
  <si>
    <t>10|10|4|5|30|90|70|25</t>
  </si>
  <si>
    <t>10|10|4|5|20|120|70|30</t>
  </si>
  <si>
    <t>10|5|7|5|30|90|40|10</t>
  </si>
  <si>
    <t>10|5|7|5|30|120|25|20</t>
  </si>
  <si>
    <t>10|5|4|5|30|120|25|15</t>
  </si>
  <si>
    <t>0|10|4|5|30|120|55|30</t>
  </si>
  <si>
    <t>20|10|4|5|30|90|70|10</t>
  </si>
  <si>
    <t>20|10|4|5|30|90|40|30</t>
  </si>
  <si>
    <t>20|10|4|5|20|100|55|15</t>
  </si>
  <si>
    <t>20|10|4|5|20|120|40|20</t>
  </si>
  <si>
    <t>20|10|4|5|20|120|40|10</t>
  </si>
  <si>
    <t>20|10|4|5|20|110|40|20</t>
  </si>
  <si>
    <t>20|10|4|5|20|90|25|15</t>
  </si>
  <si>
    <t>10|10|7|5|20|120|55|20</t>
  </si>
  <si>
    <t>10|10|7|5|20|110|25|15</t>
  </si>
  <si>
    <t>10|10|4|5|30|100|55|25</t>
  </si>
  <si>
    <t>10|10|4|5|30|90|40|10</t>
  </si>
  <si>
    <t>10|10|4|5|20|100|70|20</t>
  </si>
  <si>
    <t>10|10|4|5|20|90|70|15</t>
  </si>
  <si>
    <t>10|10|4|5|20|110|25|25</t>
  </si>
  <si>
    <t>10|10|4|5|20|100|25|15</t>
  </si>
  <si>
    <t>10|5|7|5|30|110|40|15</t>
  </si>
  <si>
    <t>10|5|7|5|30|100|40|15</t>
  </si>
  <si>
    <t>10|5|7|5|20|90|55|20</t>
  </si>
  <si>
    <t>0|10|7|5|20|110|70|20</t>
  </si>
  <si>
    <t>0|10|7|5|20|110|55|15</t>
  </si>
  <si>
    <t>0|10|4|5|30|110|70|30</t>
  </si>
  <si>
    <t>0|10|4|5|30|90|70|10</t>
  </si>
  <si>
    <t>0|10|4|5|20|110|85|10</t>
  </si>
  <si>
    <t>0|10|4|5|20|120|70|10</t>
  </si>
  <si>
    <t>0|10|4|5|20|110|70|25</t>
  </si>
  <si>
    <t>0|10|4|5|20|110|70|15</t>
  </si>
  <si>
    <t>0|10|4|5|20|80|70|10</t>
  </si>
  <si>
    <t>0|5|7|5|20|110|55|15</t>
  </si>
  <si>
    <t>20|10|7|5|30|90|40|10</t>
  </si>
  <si>
    <t>20|10|4|5|30|120|40|25</t>
  </si>
  <si>
    <t>20|10|4|5|30|90|40|20</t>
  </si>
  <si>
    <t>20|10|4|5|20|120|70|10</t>
  </si>
  <si>
    <t>20|10|4|5|20|110|55|25</t>
  </si>
  <si>
    <t>20|10|4|5|20|90|55|15</t>
  </si>
  <si>
    <t>20|5|4|5|30|90|40|10</t>
  </si>
  <si>
    <t>20|5|4|5|20|120|25|15</t>
  </si>
  <si>
    <t>10|10|7|5|30|100|70|20</t>
  </si>
  <si>
    <t>10|5|7|5|20|100|55|20</t>
  </si>
  <si>
    <t>10|5|7|5|20|100|55|15</t>
  </si>
  <si>
    <t>0|10|4|5|30|120|25|20</t>
  </si>
  <si>
    <t>20|10|7|5|30|100|40|15</t>
  </si>
  <si>
    <t>20|10|7|5|20|110|55|20</t>
  </si>
  <si>
    <t>20|10|7|5|20|100|55|15</t>
  </si>
  <si>
    <t>20|10|4|5|20|100|40|15</t>
  </si>
  <si>
    <t>20|10|4|5|20|90|40|20</t>
  </si>
  <si>
    <t>20|10|4|5|20|110|25|30</t>
  </si>
  <si>
    <t>20|10|4|5|20|110|25|20</t>
  </si>
  <si>
    <t>20|10|4|5|20|100|25|30</t>
  </si>
  <si>
    <t>20|10|4|5|20|100|25|20</t>
  </si>
  <si>
    <t>20|10|4|5|20|90|25|30</t>
  </si>
  <si>
    <t>20|5|7|5|20|90|55|10</t>
  </si>
  <si>
    <t>10|10|7|5|30|120|55|15</t>
  </si>
  <si>
    <t>10|10|7|5|30|100|40|25</t>
  </si>
  <si>
    <t>10|10|7|5|30|100|25|15</t>
  </si>
  <si>
    <t>10|10|4|5|20|90|85|10</t>
  </si>
  <si>
    <t>10|10|4|5|20|120|25|30</t>
  </si>
  <si>
    <t>10|10|4|5|20|120|25|15</t>
  </si>
  <si>
    <t>10|5|7|5|30|120|40|15</t>
  </si>
  <si>
    <t>10|5|7|5|20|120|70|10</t>
  </si>
  <si>
    <t>10|5|7|5|20|120|40|15</t>
  </si>
  <si>
    <t>10|5|7|5|20|100|40|20</t>
  </si>
  <si>
    <t>0|10|7|5|20|90|70|15</t>
  </si>
  <si>
    <t>0|10|4|5|30|100|70|30</t>
  </si>
  <si>
    <t>0|10|4|5|30|90|70|15</t>
  </si>
  <si>
    <t>0|5|7|5|30|110|70|10</t>
  </si>
  <si>
    <t>20|10|7|5|20|120|55|15</t>
  </si>
  <si>
    <t>20|10|7|5|20|110|25|10</t>
  </si>
  <si>
    <t>10|10|7|5|30|110|70|15</t>
  </si>
  <si>
    <t>10|10|7|5|30|110|25|20</t>
  </si>
  <si>
    <t>10|10|7|5|20|120|70|20</t>
  </si>
  <si>
    <t>10|10|7|5|20|100|70|15</t>
  </si>
  <si>
    <t>10|10|7|5|20|90|70|20</t>
  </si>
  <si>
    <t>10|10|7|5|20|120|55|30</t>
  </si>
  <si>
    <t>10|10|7|5|20|120|55|15</t>
  </si>
  <si>
    <t>10|10|7|5|20|120|40|25</t>
  </si>
  <si>
    <t>10|10|7|5|20|120|40|10</t>
  </si>
  <si>
    <t>10|10|7|5|20|110|40|15</t>
  </si>
  <si>
    <t>10|10|7|5|20|110|25|30</t>
  </si>
  <si>
    <t>10|10|7|5|20|90|25|10</t>
  </si>
  <si>
    <t>10|10|4|5|30|90|70|30</t>
  </si>
  <si>
    <t>10|10|4|5|30|80|40|15</t>
  </si>
  <si>
    <t>10|10|4|5|20|100|70|15</t>
  </si>
  <si>
    <t>10|5|7|5|30|90|55|20</t>
  </si>
  <si>
    <t>10|5|7|5|30|120|40|20</t>
  </si>
  <si>
    <t>10|5|7|5|30|110|40|20</t>
  </si>
  <si>
    <t>10|5|7|5|30|100|25|15</t>
  </si>
  <si>
    <t>10|5|4|5|30|120|40|15</t>
  </si>
  <si>
    <t>10|5|4|5|30|100|40|15</t>
  </si>
  <si>
    <t>10|5|4|5|20|90|55|15</t>
  </si>
  <si>
    <t>0|10|7|5|30|100|55|10</t>
  </si>
  <si>
    <t>0|10|4|5|30|90|70|20</t>
  </si>
  <si>
    <t>0|10|4|5|20|100|70|20</t>
  </si>
  <si>
    <t>0|10|4|5|20|90|70|20</t>
  </si>
  <si>
    <t>0|10|4|5|20|90|70|15</t>
  </si>
  <si>
    <t>0|5|7|5|30|120|40|15</t>
  </si>
  <si>
    <t>0|5|4|5|30|100|55|10</t>
  </si>
  <si>
    <t>20|10|7|5|30|120|25|10</t>
  </si>
  <si>
    <t>20|5|4|5|30|120|25|15</t>
  </si>
  <si>
    <t>10|10|7|5|30|120|40|20</t>
  </si>
  <si>
    <t>10|10|7|5|30|120|40|15</t>
  </si>
  <si>
    <t>10|10|7|5|30|90|40|25</t>
  </si>
  <si>
    <t>10|10|7|5|20|110|55|15</t>
  </si>
  <si>
    <t>10|10|4|5|20|100|70|10</t>
  </si>
  <si>
    <t>10|10|4|5|20|80|70|10</t>
  </si>
  <si>
    <t>10|10|4|5|20|110|55|30</t>
  </si>
  <si>
    <t>10|10|4|5|20|90|55|20</t>
  </si>
  <si>
    <t>10|10|4|5|20|80|55|30</t>
  </si>
  <si>
    <t>10|10|4|5|20|100|40|25</t>
  </si>
  <si>
    <t>0|10|7|5|30|90|70|20</t>
  </si>
  <si>
    <t>0|10|4|5|30|100|85|10</t>
  </si>
  <si>
    <t>0|10|4|5|20|90|85|10</t>
  </si>
  <si>
    <t>0|5|4|5|30|90|70|15</t>
  </si>
  <si>
    <t>20|10|7|5|30|90|55|15</t>
  </si>
  <si>
    <t>20|10|7|5|30|110|40|15</t>
  </si>
  <si>
    <t>20|5|7|5|30|120|55|10</t>
  </si>
  <si>
    <t>20|5|7|5|20|90|25|10</t>
  </si>
  <si>
    <t>10|10|7|5|30|120|40|30</t>
  </si>
  <si>
    <t>10|10|7|5|30|120|25|25</t>
  </si>
  <si>
    <t>10|10|7|5|20|100|55|20</t>
  </si>
  <si>
    <t>10|10|4|5|30|100|85|10</t>
  </si>
  <si>
    <t>10|10|4|5|30|120|70|30</t>
  </si>
  <si>
    <t>10|10|4|5|20|90|70|20</t>
  </si>
  <si>
    <t>10|10|4|5|20|110|25|10</t>
  </si>
  <si>
    <t>10|5|7|5|30|120|55|20</t>
  </si>
  <si>
    <t>10|5|7|5|30|110|55|20</t>
  </si>
  <si>
    <t>10|5|7|5|30|110|55|15</t>
  </si>
  <si>
    <t>10|5|7|5|30|100|55|10</t>
  </si>
  <si>
    <t>0|10|4|5|30|100|55|10</t>
  </si>
  <si>
    <t>0|5|7|5|20|120|40|15</t>
  </si>
  <si>
    <t>0|5|4|5|30|100|70|15</t>
  </si>
  <si>
    <t>20|10|7|5|30|100|25|20</t>
  </si>
  <si>
    <t>20|10|7|5|20|120|40|15</t>
  </si>
  <si>
    <t>20|10|7|5|20|110|40|20</t>
  </si>
  <si>
    <t>20|5|4|5|30|120|40|15</t>
  </si>
  <si>
    <t>10|10|7|5|30|110|25|25</t>
  </si>
  <si>
    <t>10|10|4|5|20|110|55|15</t>
  </si>
  <si>
    <t>10|5|7|5|20|120|55|20</t>
  </si>
  <si>
    <t>10|5|7|5|20|110|55|15</t>
  </si>
  <si>
    <t>0|10|7|5|20|120|55|20</t>
  </si>
  <si>
    <t>0|10|4|5|30|110|70|25</t>
  </si>
  <si>
    <t>0|10|4|5|30|100|55|15</t>
  </si>
  <si>
    <t>0|10|4|5|30|110|40|20</t>
  </si>
  <si>
    <t>0|10|4|5|30|120|25|15</t>
  </si>
  <si>
    <t>0|10|4|5|20|110|70|20</t>
  </si>
  <si>
    <t>0|10|4|5|20|120|55|25</t>
  </si>
  <si>
    <t>0|10|4|5|20|120|55|15</t>
  </si>
  <si>
    <t>0|10|4|5|20|120|40|10</t>
  </si>
  <si>
    <t>0|5|4|5|20|120|55|15</t>
  </si>
  <si>
    <t>20|10|7|5|30|110|55|15</t>
  </si>
  <si>
    <t>20|10|7|5|20|100|40|10</t>
  </si>
  <si>
    <t>20|10|4|5|30|120|25|10</t>
  </si>
  <si>
    <t>20|10|4|5|30|110|25|30</t>
  </si>
  <si>
    <t>20|10|4|5|30|110|25|25</t>
  </si>
  <si>
    <t>20|10|4|5|30|110|25|15</t>
  </si>
  <si>
    <t>20|10|4|5|20|120|55|30</t>
  </si>
  <si>
    <t>20|10|4|5|20|90|55|20</t>
  </si>
  <si>
    <t>10|10|7|5|30|90|70|20</t>
  </si>
  <si>
    <t>10|10|7|5|30|100|55|25</t>
  </si>
  <si>
    <t>10|10|7|5|20|120|25|15</t>
  </si>
  <si>
    <t>10|10|4|5|30|110|70|25</t>
  </si>
  <si>
    <t>10|10|4|5|30|110|70|10</t>
  </si>
  <si>
    <t>10|10|4|5|30|100|70|15</t>
  </si>
  <si>
    <t>10|10|4|5|30|90|55|25</t>
  </si>
  <si>
    <t>10|10|4|5|30|100|25|15</t>
  </si>
  <si>
    <t>10|10|4|5|20|110|70|20</t>
  </si>
  <si>
    <t>10|10|4|5|20|90|70|25</t>
  </si>
  <si>
    <t>10|10|4|5|20|120|55|30</t>
  </si>
  <si>
    <t>10|10|4|5|20|100|40|10</t>
  </si>
  <si>
    <t>10|5|7|5|20|110|25|10</t>
  </si>
  <si>
    <t>0|10|7|5|20|110|55|20</t>
  </si>
  <si>
    <t>0|10|4|5|30|110|70|10</t>
  </si>
  <si>
    <t>0|10|4|5|30|90|70|30</t>
  </si>
  <si>
    <t>0|5|7|5|20|120|55|15</t>
  </si>
  <si>
    <t>20|10|7|5|30|120|40|15</t>
  </si>
  <si>
    <t>20|10|4|5|30|120|55|10</t>
  </si>
  <si>
    <t>10|10|7|5|30|90|40|20</t>
  </si>
  <si>
    <t>10|10|7|5|30|120|25|20</t>
  </si>
  <si>
    <t>10|10|7|5|20|100|55|30</t>
  </si>
  <si>
    <t>10|10|7|5|20|120|40|15</t>
  </si>
  <si>
    <t>10|10|7|5|20|110|40|20</t>
  </si>
  <si>
    <t>10|10|4|5|30|110|40|30</t>
  </si>
  <si>
    <t>10|10|4|5|30|100|40|25</t>
  </si>
  <si>
    <t>10|5|7|5|20|90|55|15</t>
  </si>
  <si>
    <t>0|10|4|5|20|120|40|25</t>
  </si>
  <si>
    <t>20|10|4|5|30|110|70|10</t>
  </si>
  <si>
    <t>20|10|4|5|30|100|25|20</t>
  </si>
  <si>
    <t>20|10|4|5|20|100|40|30</t>
  </si>
  <si>
    <t>20|5|7|5|20|110|55|10</t>
  </si>
  <si>
    <t>20|5|4|5|30|120|55|15</t>
  </si>
  <si>
    <t>20|5|4|5|20|100|55|15</t>
  </si>
  <si>
    <t>10|10|7|5|30|110|25|30</t>
  </si>
  <si>
    <t>10|5|7|5|30|110|70|10</t>
  </si>
  <si>
    <t>10|5|4|5|30|110|40|15</t>
  </si>
  <si>
    <t>10|5|4|5|30|110|40|10</t>
  </si>
  <si>
    <t>10|5|4|5|20|110|55|10</t>
  </si>
  <si>
    <t>0|10|4|5|30|90|70|25</t>
  </si>
  <si>
    <t>0|10|4|5|30|120|55|25</t>
  </si>
  <si>
    <t>0|5|4|5|30|90|70|10</t>
  </si>
  <si>
    <t>0|5|4|5|20|120|70|15</t>
  </si>
  <si>
    <t>0|5|4|5|20|110|70|15</t>
  </si>
  <si>
    <t>20|10|4|5|30|110|40|25</t>
  </si>
  <si>
    <t>20|10|4|5|30|110|40|10</t>
  </si>
  <si>
    <t>20|10|4|5|30|90|40|10</t>
  </si>
  <si>
    <t>20|5|7|5|20|120|40|10</t>
  </si>
  <si>
    <t>20|5|4|5|20|100|40|15</t>
  </si>
  <si>
    <t>20|5|4|5|20|90|40|15</t>
  </si>
  <si>
    <t>10|10|7|5|30|90|40|30</t>
  </si>
  <si>
    <t>10|10|7|5|30|120|25|15</t>
  </si>
  <si>
    <t>10|10|4|5|30|110|70|30</t>
  </si>
  <si>
    <t>10|10|4|5|30|110|70|15</t>
  </si>
  <si>
    <t>10|10|4|5|30|100|70|20</t>
  </si>
  <si>
    <t>10|10|4|5|20|110|25|30</t>
  </si>
  <si>
    <t>10|10|4|5|20|100|25|25</t>
  </si>
  <si>
    <t>10|5|7|5|20|100|40|15</t>
  </si>
  <si>
    <t>10|5|4|5|30|90|70|15</t>
  </si>
  <si>
    <t>10|5|4|5|20|90|70|15</t>
  </si>
  <si>
    <t>10|5|4|5|20|80|55|15</t>
  </si>
  <si>
    <t>0|10|7|5|30|120|55|25</t>
  </si>
  <si>
    <t>0|10|7|5|30|120|25|20</t>
  </si>
  <si>
    <t>0|10|7|5|20|110|55|10</t>
  </si>
  <si>
    <t>0|10|4|5|30|120|40|20</t>
  </si>
  <si>
    <t>0|10|4|5|30|110|40|10</t>
  </si>
  <si>
    <t>0|10|4|5|20|110|40|20</t>
  </si>
  <si>
    <t>0|5|7|5|30|120|55|10</t>
  </si>
  <si>
    <t>0|5|7|5|30|110|55|20</t>
  </si>
  <si>
    <t>20|10|7|5|20|120|55|20</t>
  </si>
  <si>
    <t>20|10|7|5|20|100|25|15</t>
  </si>
  <si>
    <t>20|10|4|5|30|110|40|30</t>
  </si>
  <si>
    <t>20|10|4|5|30|110|40|20</t>
  </si>
  <si>
    <t>20|10|4|5|30|100|40|30</t>
  </si>
  <si>
    <t>20|10|4|5|30|90|40|15</t>
  </si>
  <si>
    <t>10|10|7|5|30|100|40|30</t>
  </si>
  <si>
    <t>10|10|4|5|30|90|70|20</t>
  </si>
  <si>
    <t>10|10|4|5|30|100|55|10</t>
  </si>
  <si>
    <t>10|10|4|5|30|90|55|15</t>
  </si>
  <si>
    <t>10|10|4|5|30|90|40|15</t>
  </si>
  <si>
    <t>10|10|4|5|30|120|25|15</t>
  </si>
  <si>
    <t>10|10|4|5|20|100|40|20</t>
  </si>
  <si>
    <t>10|10|4|5|20|80|40|20</t>
  </si>
  <si>
    <t>10|10|4|5|20|120|25|20</t>
  </si>
  <si>
    <t>10|5|7|5|30|100|25|10</t>
  </si>
  <si>
    <t>0|10|4|5|20|120|55|30</t>
  </si>
  <si>
    <t>0|10|4|5|20|100|55|15</t>
  </si>
  <si>
    <t>0|5|7|5|30|100|55|15</t>
  </si>
  <si>
    <t>0|5|7|5|20|110|55|20</t>
  </si>
  <si>
    <t>20|10|7|5|30|100|55|20</t>
  </si>
  <si>
    <t>20|10|4|5|20|120|55|25</t>
  </si>
  <si>
    <t>20|10|4|5|20|120|55|15</t>
  </si>
  <si>
    <t>20|10|4|5|20|90|40|30</t>
  </si>
  <si>
    <t>20|5|4|5|20|120|55|15</t>
  </si>
  <si>
    <t>10|10|7|5|30|80|55|10</t>
  </si>
  <si>
    <t>10|10|4|5|20|120|55|20</t>
  </si>
  <si>
    <t>10|10|4|5|20|100|55|30</t>
  </si>
  <si>
    <t>10|10|4|5|20|90|40|15</t>
  </si>
  <si>
    <t>10|10|4|5|20|100|25|20</t>
  </si>
  <si>
    <t>10|5|7|5|20|110|40|15</t>
  </si>
  <si>
    <t>10|5|4|5|30|80|55|15</t>
  </si>
  <si>
    <t>0|10|7|5|30|100|70|15</t>
  </si>
  <si>
    <t>0|10|7|5|30|120|55|10</t>
  </si>
  <si>
    <t>0|10|7|5|30|110|55|15</t>
  </si>
  <si>
    <t>0|10|7|5|20|120|70|10</t>
  </si>
  <si>
    <t>0|10|7|5|20|100|55|20</t>
  </si>
  <si>
    <t>0|10|4|5|30|120|55|20</t>
  </si>
  <si>
    <t>0|5|7|5|20|120|55|20</t>
  </si>
  <si>
    <t>20|10|7|5|30|120|55|20</t>
  </si>
  <si>
    <t>20|10|7|5|30|100|40|20</t>
  </si>
  <si>
    <t>20|10|7|5|20|90|55|15</t>
  </si>
  <si>
    <t>20|10|7|5|20|100|40|15</t>
  </si>
  <si>
    <t>20|10|4|5|30|90|55|25</t>
  </si>
  <si>
    <t>20|5|4|5|30|100|55|15</t>
  </si>
  <si>
    <t>20|5|4|5|20|110|40|15</t>
  </si>
  <si>
    <t>10|10|7|5|30|120|55|30</t>
  </si>
  <si>
    <t>10|10|7|5|30|120|55|10</t>
  </si>
  <si>
    <t>10|10|7|5|30|110|55|20</t>
  </si>
  <si>
    <t>10|10|4|5|30|120|55|25</t>
  </si>
  <si>
    <t>10|10|4|5|30|110|55|25</t>
  </si>
  <si>
    <t>10|10|4|5|30|120|25|10</t>
  </si>
  <si>
    <t>10|10|4|5|30|100|25|20</t>
  </si>
  <si>
    <t>10|10|4|5|20|100|70|25</t>
  </si>
  <si>
    <t>10|10|4|5|20|100|55|20</t>
  </si>
  <si>
    <t>10|10|4|5|20|110|40|20</t>
  </si>
  <si>
    <t>10|5|4|5|30|120|55|15</t>
  </si>
  <si>
    <t>10|5|4|5|30|110|55|15</t>
  </si>
  <si>
    <t>10|5|4|5|20|100|55|15</t>
  </si>
  <si>
    <t>0|10|4|5|30|120|70|20</t>
  </si>
  <si>
    <t>0|10|4|5|30|100|70|25</t>
  </si>
  <si>
    <t>0|10|4|5|30|100|55|20</t>
  </si>
  <si>
    <t>0|10|4|5|30|120|40|25</t>
  </si>
  <si>
    <t>0|10|4|5|20|120|70|30</t>
  </si>
  <si>
    <t>0|5|4|5|30|120|25|10</t>
  </si>
  <si>
    <t>20|10|7|5|20|100|40|20</t>
  </si>
  <si>
    <t>20|10|7|5|20|90|40|20</t>
  </si>
  <si>
    <t>20|10|7|5|20|90|40|15</t>
  </si>
  <si>
    <t>20|10|4|5|30|100|25|15</t>
  </si>
  <si>
    <t>20|10|4|5|20|100|70|10</t>
  </si>
  <si>
    <t>20|10|4|5|20|110|40|30</t>
  </si>
  <si>
    <t>20|10|4|5|20|110|40|15</t>
  </si>
  <si>
    <t>20|5|4|5|20|100|25|15</t>
  </si>
  <si>
    <t>10|10|7|5|30|90|40|15</t>
  </si>
  <si>
    <t>10|10|4|5|20|120|70|15</t>
  </si>
  <si>
    <t>10|5|7|5|20|120|40|20</t>
  </si>
  <si>
    <t>10|5|4|5|30|110|70|15</t>
  </si>
  <si>
    <t>10|5|4|5|30|100|70|15</t>
  </si>
  <si>
    <t>0|10|7|5|20|110|55|25</t>
  </si>
  <si>
    <t>0|10|4|5|30|110|70|20</t>
  </si>
  <si>
    <t>0|10|4|5|30|110|55|20</t>
  </si>
  <si>
    <t>0|10|4|5|20|100|70|25</t>
  </si>
  <si>
    <t>0|10|4|5|20|90|70|30</t>
  </si>
  <si>
    <t>0|10|4|5|20|120|40|15</t>
  </si>
  <si>
    <t>0|10|4|5|20|120|25|15</t>
  </si>
  <si>
    <t>0|5|7|5|30|120|25|10</t>
  </si>
  <si>
    <t>20|10|7|5|30|110|40|20</t>
  </si>
  <si>
    <t>20|10|7|5|30|90|40|20</t>
  </si>
  <si>
    <t>20|10|4|5|30|120|55|30</t>
  </si>
  <si>
    <t>20|10|4|5|30|110|55|20</t>
  </si>
  <si>
    <t>20|10|4|5|30|100|55|30</t>
  </si>
  <si>
    <t>20|10|4|5|30|100|25|10</t>
  </si>
  <si>
    <t>20|10|4|5|20|110|55|20</t>
  </si>
  <si>
    <t>20|10|4|5|20|90|25|25</t>
  </si>
  <si>
    <t>20|5|4|5|30|100|55|10</t>
  </si>
  <si>
    <t>20|5|4|5|30|90|55|15</t>
  </si>
  <si>
    <t>10|10|7|5|30|110|70|10</t>
  </si>
  <si>
    <t>10|10|7|5|20|120|40|20</t>
  </si>
  <si>
    <t>10|10|7|5|20|110|40|30</t>
  </si>
  <si>
    <t>10|10|7|5|20|100|40|20</t>
  </si>
  <si>
    <t>10|10|7|5|20|90|40|30</t>
  </si>
  <si>
    <t>10|10|7|5|20|90|40|15</t>
  </si>
  <si>
    <t>10|10|7|5|20|80|40|10</t>
  </si>
  <si>
    <t>10|10|4|5|30|110|40|15</t>
  </si>
  <si>
    <t>10|10|4|5|30|100|40|30</t>
  </si>
  <si>
    <t>10|10|4|5|30|100|40|15</t>
  </si>
  <si>
    <t>10|10|4|5|30|120|25|25</t>
  </si>
  <si>
    <t>10|10|4|5|20|110|70|15</t>
  </si>
  <si>
    <t>10|10|4|5|20|90|55|15</t>
  </si>
  <si>
    <t>10|10|4|5|20|80|55|25</t>
  </si>
  <si>
    <t>10|10|4|5|20|80|55|15</t>
  </si>
  <si>
    <t>10|5|7|5|20|110|55|20</t>
  </si>
  <si>
    <t>10|5|7|5|20|90|40|15</t>
  </si>
  <si>
    <t>0|10|7|5|30|110|70|20</t>
  </si>
  <si>
    <t>0|10|7|5|30|120|55|20</t>
  </si>
  <si>
    <t>0|10|7|5|30|110|55|20</t>
  </si>
  <si>
    <t>0|10|7|5|30|110|40|10</t>
  </si>
  <si>
    <t>0|10|7|5|20|110|70|15</t>
  </si>
  <si>
    <t>0|10|4|5|30|110|55|15</t>
  </si>
  <si>
    <t>20|10|4|5|30|120|55|15</t>
  </si>
  <si>
    <t>20|10|4|5|20|120|25|25</t>
  </si>
  <si>
    <t>20|5|4|5|30|120|25|10</t>
  </si>
  <si>
    <t>20|5|4|5|30|110|25|15</t>
  </si>
  <si>
    <t>20|5|4|5|30|90|25|15</t>
  </si>
  <si>
    <t>20|5|4|5|20|110|55|15</t>
  </si>
  <si>
    <t>10|10|7|5|30|80|55|20</t>
  </si>
  <si>
    <t>10|10|7|5|20|90|70|15</t>
  </si>
  <si>
    <t>10|10|7|5|20|110|55|30</t>
  </si>
  <si>
    <t>10|10|4|5|30|90|70|10</t>
  </si>
  <si>
    <t>10|10|4|5|30|120|55|15</t>
  </si>
  <si>
    <t>10|10|4|5|30|110|55|15</t>
  </si>
  <si>
    <t>10|10|4|5|20|100|40|15</t>
  </si>
  <si>
    <t>10|5|7|5|20|120|25|15</t>
  </si>
  <si>
    <t>10|5|7|5|20|110|25|15</t>
  </si>
  <si>
    <t>10|5|4|5|20|120|70|15</t>
  </si>
  <si>
    <t>0|10|4|5|30|120|25|10</t>
  </si>
  <si>
    <t>0|10|4|5|20|100|70|10</t>
  </si>
  <si>
    <t>0|10|4|5|20|110|55|25</t>
  </si>
  <si>
    <t>0|5|4|5|30|110|55|15</t>
  </si>
  <si>
    <t>20|10|7|5|30|90|55|20</t>
  </si>
  <si>
    <t>20|10|7|5|20|90|25|15</t>
  </si>
  <si>
    <t>20|10|4|5|30|100|55|20</t>
  </si>
  <si>
    <t>20|10|4|5|30|120|40|15</t>
  </si>
  <si>
    <t>10|10|7|5|30|90|70|15</t>
  </si>
  <si>
    <t>10|10|7|5|30|100|55|20</t>
  </si>
  <si>
    <t>10|10|7|5|30|100|55|10</t>
  </si>
  <si>
    <t>10|10|7|5|30|90|55|20</t>
  </si>
  <si>
    <t>10|10|7|5|30|110|40|25</t>
  </si>
  <si>
    <t>10|10|7|5|30|100|40|15</t>
  </si>
  <si>
    <t>10|10|7|5|20|120|40|30</t>
  </si>
  <si>
    <t>10|10|7|5|20|100|40|30</t>
  </si>
  <si>
    <t>10|10|4|5|30|80|55|30</t>
  </si>
  <si>
    <t>10|10|4|5|30|80|55|15</t>
  </si>
  <si>
    <t>10|10|4|5|30|80|55|10</t>
  </si>
  <si>
    <t>10|10|4|5|30|120|40|25</t>
  </si>
  <si>
    <t>10|10|4|5|30|90|40|20</t>
  </si>
  <si>
    <t>10|10|4|5|20|110|70|25</t>
  </si>
  <si>
    <t>10|10|4|5|20|100|55|25</t>
  </si>
  <si>
    <t>10|10|4|5|20|90|55|30</t>
  </si>
  <si>
    <t>10|10|4|5|20|90|40|25</t>
  </si>
  <si>
    <t>10|5|7|5|20|110|40|20</t>
  </si>
  <si>
    <t>10|5|4|5|30|120|25|10</t>
  </si>
  <si>
    <t>0|10|4|5|30|120|40|15</t>
  </si>
  <si>
    <t>20|10|7|5|30|120|55|15</t>
  </si>
  <si>
    <t>20|10|7|5|30|90|25|20</t>
  </si>
  <si>
    <t>20|10|7|5|20|90|25|20</t>
  </si>
  <si>
    <t>20|10|4|5|30|100|40|15</t>
  </si>
  <si>
    <t>10|10|7|5|30|110|55|30</t>
  </si>
  <si>
    <t>10|10|7|5|30|110|55|15</t>
  </si>
  <si>
    <t>10|10|7|5|30|110|25|15</t>
  </si>
  <si>
    <t>10|10|7|5|20|100|70|10</t>
  </si>
  <si>
    <t>10|10|7|5|20|90|55|20</t>
  </si>
  <si>
    <t>10|10|7|5|20|80|55|15</t>
  </si>
  <si>
    <t>10|10|7|5|20|100|40|25</t>
  </si>
  <si>
    <t>10|10|7|5|20|100|40|10</t>
  </si>
  <si>
    <t>10|10|7|5|20|90|40|20</t>
  </si>
  <si>
    <t>10|10|7|5|20|120|25|25</t>
  </si>
  <si>
    <t>10|10|7|5|20|110|25|10</t>
  </si>
  <si>
    <t>10|10|4|5|30|110|25|30</t>
  </si>
  <si>
    <t>10|10|4|5|20|110|70|30</t>
  </si>
  <si>
    <t>10|10|4|5|20|90|55|25</t>
  </si>
  <si>
    <t>10|10|4|5|20|110|25|15</t>
  </si>
  <si>
    <t>10|5|7|5|20|90|55|10</t>
  </si>
  <si>
    <t>10|5|7|5|20|110|25|20</t>
  </si>
  <si>
    <t>0|10|7|5|20|110|55|30</t>
  </si>
  <si>
    <t>0|10|7|5|20|110|40|25</t>
  </si>
  <si>
    <t>0|10|7|5|20|110|40|15</t>
  </si>
  <si>
    <t>0|10|4|5|30|110|55|25</t>
  </si>
  <si>
    <t>0|5|7|5|20|120|40|10</t>
  </si>
  <si>
    <t>20|10|7|5|30|120|55|10</t>
  </si>
  <si>
    <t>20|10|7|5|30|110|55|20</t>
  </si>
  <si>
    <t>20|5|4|5|20|90|25|10</t>
  </si>
  <si>
    <t>10|10|7|5|30|110|40|10</t>
  </si>
  <si>
    <t>10|10|7|5|30|90|40|10</t>
  </si>
  <si>
    <t>10|10|7|5|30|120|25|10</t>
  </si>
  <si>
    <t>10|10|4|5|30|120|55|10</t>
  </si>
  <si>
    <t>10|10|4|5|30|100|55|15</t>
  </si>
  <si>
    <t>10|10|4|5|20|120|70|10</t>
  </si>
  <si>
    <t>10|5|7|5|30|100|55|20</t>
  </si>
  <si>
    <t>10|5|7|5|30|90|55|15</t>
  </si>
  <si>
    <t>10|5|4|5|30|120|70|15</t>
  </si>
  <si>
    <t>10|5|4|5|30|90|70|10</t>
  </si>
  <si>
    <t>10|5|4|5|30|80|55|10</t>
  </si>
  <si>
    <t>10|5|4|5|30|110|25|15</t>
  </si>
  <si>
    <t>10|5|4|5|20|100|70|10</t>
  </si>
  <si>
    <t>0|10|7|5|30|120|70|15</t>
  </si>
  <si>
    <t>0|10|7|5|20|120|70|20</t>
  </si>
  <si>
    <t>20|10|7|5|20|100|25|20</t>
  </si>
  <si>
    <t>20|10|7|5|20|90|25|10</t>
  </si>
  <si>
    <t>20|10|4|5|30|110|55|30</t>
  </si>
  <si>
    <t>20|10|4|5|30|100|55|25</t>
  </si>
  <si>
    <t>20|10|4|5|30|120|40|30</t>
  </si>
  <si>
    <t>20|10|4|5|30|120|25|15</t>
  </si>
  <si>
    <t>20|10|4|5|30|100|25|30</t>
  </si>
  <si>
    <t>20|10|4|5|30|90|25|20</t>
  </si>
  <si>
    <t>20|10|4|5|20|100|25|15</t>
  </si>
  <si>
    <t>20|5|4|5|30|100|25|15</t>
  </si>
  <si>
    <t>10|10|7|5|20|100|25|15</t>
  </si>
  <si>
    <t>10|5|7|5|20|100|25|15</t>
  </si>
  <si>
    <t>10|5|4|5|30|90|40|10</t>
  </si>
  <si>
    <t>10|5|4|5|30|100|25|10</t>
  </si>
  <si>
    <t>0|10|7|5|20|120|40|20</t>
  </si>
  <si>
    <t>0|10|7|5|20|120|25|15</t>
  </si>
  <si>
    <t>0|10|4|5|20|110|40|15</t>
  </si>
  <si>
    <t>20|10|7|5|30|100|55|15</t>
  </si>
  <si>
    <t>20|10|7|5|20|110|40|15</t>
  </si>
  <si>
    <t>20|10|4|5|30|120|55|20</t>
  </si>
  <si>
    <t>20|10|4|5|30|110|55|15</t>
  </si>
  <si>
    <t>20|10|4|5|30|90|55|30</t>
  </si>
  <si>
    <t>20|10|4|5|30|90|25|30</t>
  </si>
  <si>
    <t>20|10|4|5|20|110|55|30</t>
  </si>
  <si>
    <t>20|10|4|5|20|120|25|30</t>
  </si>
  <si>
    <t>685|10|5|7|5|30|80|85|30</t>
  </si>
  <si>
    <t>685|10|5|7|5|20|80|85|25</t>
  </si>
  <si>
    <t>685|10|5|4|5|30|80|85|30</t>
  </si>
  <si>
    <t>685|10|5|7|5|30|80|85|25</t>
  </si>
  <si>
    <t>685|10|5|4|5|20|80|70|30</t>
  </si>
  <si>
    <t>685|10|5|7|5|30|80|70|30</t>
  </si>
  <si>
    <t>685|10|5|7|5|20|80|70|30</t>
  </si>
  <si>
    <t>685|10|5|7|5|20|80|85|30</t>
  </si>
  <si>
    <t>685|10|5|4|5|30|80|70|30</t>
  </si>
  <si>
    <t>685|10|5|4|5|30|90|85|30</t>
  </si>
  <si>
    <t>685|10|5|4|5|20|90|85|30</t>
  </si>
  <si>
    <t>685|10|5|4|5|20|80|85|30</t>
  </si>
  <si>
    <t>**** Rating giornata: 23 team:2</t>
  </si>
  <si>
    <t>YILDIZ</t>
  </si>
  <si>
    <t>DIMARCO</t>
  </si>
  <si>
    <t>DAVIS K.</t>
  </si>
  <si>
    <t>LOCATELLI</t>
  </si>
  <si>
    <t>BUTEZ</t>
  </si>
  <si>
    <t>PERRONE</t>
  </si>
  <si>
    <t>LEAO</t>
  </si>
  <si>
    <t>GIOVANE</t>
  </si>
  <si>
    <t>BREMER</t>
  </si>
  <si>
    <t>CRISTANTE</t>
  </si>
  <si>
    <t>NGONGE</t>
  </si>
  <si>
    <t>MAIGNAN</t>
  </si>
  <si>
    <t>SUCIC P.</t>
  </si>
  <si>
    <t>KARLSTROM</t>
  </si>
  <si>
    <t>JASHARI</t>
  </si>
  <si>
    <t>KONE’ I.</t>
  </si>
  <si>
    <t>GABBIA</t>
  </si>
  <si>
    <t>DJIMSITI</t>
  </si>
  <si>
    <t>BASIC</t>
  </si>
  <si>
    <t>LAZIO</t>
  </si>
  <si>
    <t>KRISTENSEN T.</t>
  </si>
  <si>
    <t>MIRANDA J.</t>
  </si>
  <si>
    <t>MOSQUERA</t>
  </si>
  <si>
    <t>KOSSOUNOU</t>
  </si>
  <si>
    <t>TERRACCIANO</t>
  </si>
  <si>
    <t>LUCUMI</t>
  </si>
  <si>
    <t>**** Formazione giornata: 23 team:2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</si>
</sst>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</font>
    <font>
      <sz val="11"/>
      <color theme="1"/>
      <name val="Aptos Display"/>
      <scheme val="major"/>
    </font>
    <font>
      <sz val="11"/>
      <color indexed="8"/>
      <name val="Aptos Display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</cellStyleXfs>
  <cellXfs count="27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3" xfId="0" applyBorder="1"/>
    <xf numFmtId="0" fontId="2" fillId="0" borderId="3" xfId="0" applyFont="1" applyBorder="1"/>
    <xf numFmtId="9" fontId="0" fillId="0" borderId="0" xfId="1" applyFont="1"/>
    <xf numFmtId="0" fontId="7" fillId="0" borderId="3" xfId="0" applyFont="1" applyBorder="1"/>
    <xf numFmtId="0" fontId="7" fillId="0" borderId="0" xfId="0" applyFont="1"/>
    <xf numFmtId="0" fontId="0" fillId="0" borderId="0" xfId="0" applyFont="1"/>
    <xf numFmtId="0" fontId="9" fillId="0" borderId="0" xfId="0" applyFont="1"/>
    <xf numFmtId="0" fontId="10" fillId="2" borderId="1" xfId="3" applyFont="1" applyFill="1" applyBorder="1" applyAlignment="1">
      <alignment horizontal="center"/>
    </xf>
    <xf numFmtId="0" fontId="10" fillId="0" borderId="2" xfId="3" applyFont="1" applyBorder="1" applyAlignment="1">
      <alignment wrapText="1"/>
    </xf>
    <xf numFmtId="0" fontId="10" fillId="0" borderId="2" xfId="3" applyFont="1" applyBorder="1" applyAlignment="1">
      <alignment horizontal="right" wrapText="1"/>
    </xf>
    <xf numFmtId="9" fontId="0" fillId="3" borderId="0" xfId="0" applyNumberFormat="1" applyFill="1"/>
    <xf numFmtId="0" fontId="5" fillId="0" borderId="2" xfId="4" applyFont="1" applyFill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4" applyFont="1" applyFill="1" applyBorder="1" applyAlignment="1">
      <alignment horizontal="right" wrapText="1"/>
    </xf>
    <xf numFmtId="0" fontId="0" fillId="0" borderId="3" xfId="0" applyNumberFormat="1" applyBorder="1"/>
    <xf numFmtId="2" fontId="0" fillId="0" borderId="0" xfId="0" applyNumberFormat="1"/>
    <xf numFmtId="165" fontId="2" fillId="0" borderId="3" xfId="0" applyNumberFormat="1" applyFont="1" applyBorder="1"/>
    <xf numFmtId="0" fontId="0" fillId="0" borderId="2" xfId="0" applyBorder="1"/>
    <xf numFmtId="0" fontId="9" fillId="0" borderId="2" xfId="0" applyFont="1" applyBorder="1"/>
    <xf numFmtId="0" fontId="10" fillId="0" borderId="0" xfId="3" applyFont="1" applyBorder="1" applyAlignment="1">
      <alignment horizontal="right" wrapText="1"/>
    </xf>
    <xf numFmtId="0" fontId="0" fillId="0" borderId="0" xfId="0" applyBorder="1"/>
    <xf numFmtId="0" fontId="9" fillId="0" borderId="0" xfId="0" applyFont="1" applyBorder="1"/>
  </cellXfs>
  <cellStyles count="5">
    <cellStyle name="Normal_Sheet1" xfId="2" xr:uid="{6E106110-6E26-423B-8AF4-B5CF38696010}"/>
    <cellStyle name="Normal_Sheet2" xfId="3" xr:uid="{0B09AB02-F2DB-4048-8983-23AB7ADA937E}"/>
    <cellStyle name="Normale" xfId="0" builtinId="0"/>
    <cellStyle name="Normale_Sheet2" xfId="4" xr:uid="{FF912601-1026-4DBF-BDAC-40F273E1BAED}"/>
    <cellStyle name="Percentuale" xfId="1" builtinId="5"/>
  </cellStyles>
  <dxfs count="10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190500</xdr:colOff>
          <xdr:row>3</xdr:row>
          <xdr:rowOff>123825</xdr:rowOff>
        </xdr:from>
        <xdr:to>
          <xdr:col>30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043.817261342592" createdVersion="6" refreshedVersion="6" minRefreshableVersion="3" recordCount="210" xr:uid="{95DC9462-7AED-497A-8A8B-A82761E4065E}">
  <cacheSource type="worksheet">
    <worksheetSource ref="G2:AA212" sheet="Sheet2"/>
  </cacheSource>
  <cacheFields count="21">
    <cacheField name="a1" numFmtId="0">
      <sharedItems containsSemiMixedTypes="0" containsString="0" containsNumber="1" containsInteger="1" minValue="1" maxValue="21"/>
    </cacheField>
    <cacheField name="a2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a3" numFmtId="0">
      <sharedItems containsSemiMixedTypes="0" containsString="0" containsNumber="1" minValue="59" maxValue="89.5"/>
    </cacheField>
    <cacheField name="a4" numFmtId="0">
      <sharedItems containsSemiMixedTypes="0" containsString="0" containsNumber="1" containsInteger="1" minValue="10" maxValue="11"/>
    </cacheField>
    <cacheField name="a5" numFmtId="0">
      <sharedItems containsSemiMixedTypes="0" containsString="0" containsNumber="1" containsInteger="1" minValue="6" maxValue="6"/>
    </cacheField>
    <cacheField name="a6" numFmtId="0">
      <sharedItems containsSemiMixedTypes="0" containsString="0" containsNumber="1" containsInteger="1" minValue="80" maxValue="120"/>
    </cacheField>
    <cacheField name="a7" numFmtId="0">
      <sharedItems containsSemiMixedTypes="0" containsString="0" containsNumber="1" containsInteger="1" minValue="35" maxValue="95"/>
    </cacheField>
    <cacheField name="a8" numFmtId="0">
      <sharedItems containsSemiMixedTypes="0" containsString="0" containsNumber="1" containsInteger="1" minValue="10" maxValue="30"/>
    </cacheField>
    <cacheField name="a9" numFmtId="0">
      <sharedItems containsNonDate="0" containsString="0" containsBlank="1"/>
    </cacheField>
    <cacheField name="a10" numFmtId="0">
      <sharedItems containsSemiMixedTypes="0" containsString="0" containsNumber="1" containsInteger="1" minValue="2" maxValue="22"/>
    </cacheField>
    <cacheField name="a11" numFmtId="0">
      <sharedItems containsSemiMixedTypes="0" containsString="0" containsNumber="1" minValue="0" maxValue="89.5"/>
    </cacheField>
    <cacheField name="a12" numFmtId="0">
      <sharedItems containsSemiMixedTypes="0" containsString="0" containsNumber="1" containsInteger="1" minValue="6" maxValue="6"/>
    </cacheField>
    <cacheField name="a13" numFmtId="0">
      <sharedItems containsSemiMixedTypes="0" containsString="0" containsNumber="1" containsInteger="1" minValue="80" maxValue="120" count="5">
        <n v="80"/>
        <n v="100"/>
        <n v="90"/>
        <n v="110"/>
        <n v="120"/>
      </sharedItems>
    </cacheField>
    <cacheField name="a14" numFmtId="0">
      <sharedItems containsSemiMixedTypes="0" containsString="0" containsNumber="1" containsInteger="1" minValue="35" maxValue="95"/>
    </cacheField>
    <cacheField name="a15" numFmtId="0">
      <sharedItems containsSemiMixedTypes="0" containsString="0" containsNumber="1" containsInteger="1" minValue="10" maxValue="30"/>
    </cacheField>
    <cacheField name="a16" numFmtId="0">
      <sharedItems containsSemiMixedTypes="0" containsString="0" containsNumber="1" minValue="-22" maxValue="76.5"/>
    </cacheField>
    <cacheField name="a17" numFmtId="0">
      <sharedItems containsSemiMixedTypes="0" containsString="0" containsNumber="1" containsInteger="1" minValue="1" maxValue="20"/>
    </cacheField>
    <cacheField name="a18" numFmtId="0">
      <sharedItems containsSemiMixedTypes="0" containsString="0" containsNumber="1" containsInteger="1" minValue="0" maxValue="9"/>
    </cacheField>
    <cacheField name="a19" numFmtId="0">
      <sharedItems containsSemiMixedTypes="0" containsString="0" containsNumber="1" containsInteger="1" minValue="0" maxValue="20"/>
    </cacheField>
    <cacheField name="a20" numFmtId="0">
      <sharedItems containsSemiMixedTypes="0" containsString="0" containsNumber="1" containsInteger="1" minValue="0" maxValue="80" count="5">
        <n v="60"/>
        <n v="70"/>
        <n v="80"/>
        <n v="50"/>
        <n v="0"/>
      </sharedItems>
    </cacheField>
    <cacheField name="a21" numFmtId="0">
      <sharedItems containsSemiMixedTypes="0" containsString="0" containsNumber="1" containsInteger="1" minValue="-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n v="1"/>
    <x v="0"/>
    <n v="69.5"/>
    <n v="11"/>
    <n v="6"/>
    <n v="80"/>
    <n v="70"/>
    <n v="30"/>
    <m/>
    <n v="2"/>
    <n v="68.5"/>
    <n v="6"/>
    <x v="0"/>
    <n v="95"/>
    <n v="10"/>
    <n v="1"/>
    <n v="1"/>
    <n v="0"/>
    <n v="0"/>
    <x v="0"/>
    <n v="0"/>
  </r>
  <r>
    <n v="1"/>
    <x v="1"/>
    <n v="67"/>
    <n v="11"/>
    <n v="6"/>
    <n v="80"/>
    <n v="70"/>
    <n v="30"/>
    <m/>
    <n v="2"/>
    <n v="70.5"/>
    <n v="6"/>
    <x v="1"/>
    <n v="65"/>
    <n v="20"/>
    <n v="-3.5"/>
    <n v="1"/>
    <n v="1"/>
    <n v="0"/>
    <x v="1"/>
    <n v="20"/>
  </r>
  <r>
    <n v="1"/>
    <x v="2"/>
    <n v="71"/>
    <n v="11"/>
    <n v="6"/>
    <n v="80"/>
    <n v="70"/>
    <n v="30"/>
    <m/>
    <n v="2"/>
    <n v="63.5"/>
    <n v="6"/>
    <x v="2"/>
    <n v="80"/>
    <n v="15"/>
    <n v="7.5"/>
    <n v="1"/>
    <n v="2"/>
    <n v="0"/>
    <x v="0"/>
    <n v="10"/>
  </r>
  <r>
    <n v="1"/>
    <x v="3"/>
    <n v="70"/>
    <n v="11"/>
    <n v="6"/>
    <n v="80"/>
    <n v="70"/>
    <n v="30"/>
    <m/>
    <n v="2"/>
    <n v="63.5"/>
    <n v="6"/>
    <x v="1"/>
    <n v="65"/>
    <n v="20"/>
    <n v="6.5"/>
    <n v="1"/>
    <n v="3"/>
    <n v="0"/>
    <x v="0"/>
    <n v="20"/>
  </r>
  <r>
    <n v="1"/>
    <x v="4"/>
    <n v="70"/>
    <n v="11"/>
    <n v="6"/>
    <n v="80"/>
    <n v="70"/>
    <n v="30"/>
    <m/>
    <n v="2"/>
    <n v="79.5"/>
    <n v="6"/>
    <x v="0"/>
    <n v="95"/>
    <n v="10"/>
    <n v="-9.5"/>
    <n v="1"/>
    <n v="4"/>
    <n v="0"/>
    <x v="1"/>
    <n v="0"/>
  </r>
  <r>
    <n v="1"/>
    <x v="5"/>
    <n v="60.5"/>
    <n v="11"/>
    <n v="6"/>
    <n v="80"/>
    <n v="70"/>
    <n v="30"/>
    <m/>
    <n v="2"/>
    <n v="77.5"/>
    <n v="6"/>
    <x v="1"/>
    <n v="65"/>
    <n v="20"/>
    <n v="-17"/>
    <n v="1"/>
    <n v="5"/>
    <n v="0"/>
    <x v="1"/>
    <n v="20"/>
  </r>
  <r>
    <n v="1"/>
    <x v="6"/>
    <n v="73"/>
    <n v="11"/>
    <n v="6"/>
    <n v="80"/>
    <n v="70"/>
    <n v="30"/>
    <m/>
    <n v="2"/>
    <n v="69"/>
    <n v="6"/>
    <x v="1"/>
    <n v="65"/>
    <n v="20"/>
    <n v="4"/>
    <n v="1"/>
    <n v="6"/>
    <n v="0"/>
    <x v="0"/>
    <n v="20"/>
  </r>
  <r>
    <n v="1"/>
    <x v="7"/>
    <n v="68"/>
    <n v="11"/>
    <n v="6"/>
    <n v="80"/>
    <n v="70"/>
    <n v="30"/>
    <m/>
    <n v="2"/>
    <n v="68"/>
    <n v="6"/>
    <x v="3"/>
    <n v="50"/>
    <n v="25"/>
    <n v="0"/>
    <n v="1"/>
    <n v="7"/>
    <n v="0"/>
    <x v="0"/>
    <n v="30"/>
  </r>
  <r>
    <n v="1"/>
    <x v="8"/>
    <n v="74"/>
    <n v="11"/>
    <n v="6"/>
    <n v="80"/>
    <n v="70"/>
    <n v="30"/>
    <m/>
    <n v="2"/>
    <n v="71.5"/>
    <n v="6"/>
    <x v="4"/>
    <n v="35"/>
    <n v="30"/>
    <n v="2.5"/>
    <n v="1"/>
    <n v="8"/>
    <n v="0"/>
    <x v="1"/>
    <n v="40"/>
  </r>
  <r>
    <n v="1"/>
    <x v="9"/>
    <n v="65"/>
    <n v="11"/>
    <n v="6"/>
    <n v="80"/>
    <n v="70"/>
    <n v="30"/>
    <m/>
    <n v="2"/>
    <n v="69.5"/>
    <n v="6"/>
    <x v="0"/>
    <n v="95"/>
    <n v="10"/>
    <n v="-4.5"/>
    <n v="1"/>
    <n v="9"/>
    <n v="0"/>
    <x v="0"/>
    <n v="0"/>
  </r>
  <r>
    <n v="2"/>
    <x v="0"/>
    <n v="68.5"/>
    <n v="11"/>
    <n v="6"/>
    <n v="80"/>
    <n v="95"/>
    <n v="10"/>
    <m/>
    <n v="3"/>
    <n v="61.5"/>
    <n v="6"/>
    <x v="2"/>
    <n v="80"/>
    <n v="15"/>
    <n v="7"/>
    <n v="2"/>
    <n v="0"/>
    <n v="0"/>
    <x v="0"/>
    <n v="10"/>
  </r>
  <r>
    <n v="2"/>
    <x v="1"/>
    <n v="70.5"/>
    <n v="11"/>
    <n v="6"/>
    <n v="100"/>
    <n v="65"/>
    <n v="20"/>
    <m/>
    <n v="3"/>
    <n v="69"/>
    <n v="6"/>
    <x v="1"/>
    <n v="65"/>
    <n v="20"/>
    <n v="1.5"/>
    <n v="2"/>
    <n v="1"/>
    <n v="0"/>
    <x v="0"/>
    <n v="0"/>
  </r>
  <r>
    <n v="2"/>
    <x v="2"/>
    <n v="63.5"/>
    <n v="11"/>
    <n v="6"/>
    <n v="90"/>
    <n v="80"/>
    <n v="15"/>
    <m/>
    <n v="3"/>
    <n v="80"/>
    <n v="6"/>
    <x v="0"/>
    <n v="95"/>
    <n v="10"/>
    <n v="-16.5"/>
    <n v="2"/>
    <n v="2"/>
    <n v="0"/>
    <x v="2"/>
    <n v="-10"/>
  </r>
  <r>
    <n v="2"/>
    <x v="3"/>
    <n v="63.5"/>
    <n v="11"/>
    <n v="6"/>
    <n v="100"/>
    <n v="65"/>
    <n v="20"/>
    <m/>
    <n v="3"/>
    <n v="64.5"/>
    <n v="6"/>
    <x v="0"/>
    <n v="95"/>
    <n v="10"/>
    <n v="-1"/>
    <n v="2"/>
    <n v="3"/>
    <n v="0"/>
    <x v="0"/>
    <n v="-20"/>
  </r>
  <r>
    <n v="2"/>
    <x v="4"/>
    <n v="79.5"/>
    <n v="11"/>
    <n v="6"/>
    <n v="80"/>
    <n v="95"/>
    <n v="10"/>
    <m/>
    <n v="3"/>
    <n v="73.5"/>
    <n v="6"/>
    <x v="3"/>
    <n v="50"/>
    <n v="25"/>
    <n v="6"/>
    <n v="2"/>
    <n v="4"/>
    <n v="0"/>
    <x v="1"/>
    <n v="30"/>
  </r>
  <r>
    <n v="2"/>
    <x v="5"/>
    <n v="77.5"/>
    <n v="11"/>
    <n v="6"/>
    <n v="100"/>
    <n v="65"/>
    <n v="20"/>
    <m/>
    <n v="3"/>
    <n v="72.5"/>
    <n v="6"/>
    <x v="1"/>
    <n v="65"/>
    <n v="20"/>
    <n v="5"/>
    <n v="2"/>
    <n v="5"/>
    <n v="0"/>
    <x v="1"/>
    <n v="0"/>
  </r>
  <r>
    <n v="2"/>
    <x v="6"/>
    <n v="69"/>
    <n v="11"/>
    <n v="6"/>
    <n v="100"/>
    <n v="65"/>
    <n v="20"/>
    <m/>
    <n v="3"/>
    <n v="66.5"/>
    <n v="6"/>
    <x v="3"/>
    <n v="50"/>
    <n v="25"/>
    <n v="2.5"/>
    <n v="2"/>
    <n v="6"/>
    <n v="0"/>
    <x v="0"/>
    <n v="10"/>
  </r>
  <r>
    <n v="2"/>
    <x v="7"/>
    <n v="68"/>
    <n v="11"/>
    <n v="6"/>
    <n v="110"/>
    <n v="50"/>
    <n v="25"/>
    <m/>
    <n v="3"/>
    <n v="59"/>
    <n v="6"/>
    <x v="1"/>
    <n v="65"/>
    <n v="20"/>
    <n v="9"/>
    <n v="2"/>
    <n v="7"/>
    <n v="0"/>
    <x v="3"/>
    <n v="-10"/>
  </r>
  <r>
    <n v="2"/>
    <x v="8"/>
    <n v="71.5"/>
    <n v="11"/>
    <n v="6"/>
    <n v="120"/>
    <n v="35"/>
    <n v="30"/>
    <m/>
    <n v="3"/>
    <n v="66.5"/>
    <n v="6"/>
    <x v="1"/>
    <n v="65"/>
    <n v="20"/>
    <n v="5"/>
    <n v="2"/>
    <n v="8"/>
    <n v="0"/>
    <x v="0"/>
    <n v="-20"/>
  </r>
  <r>
    <n v="2"/>
    <x v="9"/>
    <n v="69.5"/>
    <n v="11"/>
    <n v="6"/>
    <n v="80"/>
    <n v="95"/>
    <n v="10"/>
    <m/>
    <n v="3"/>
    <n v="79.5"/>
    <n v="6"/>
    <x v="1"/>
    <n v="65"/>
    <n v="20"/>
    <n v="-10"/>
    <n v="2"/>
    <n v="9"/>
    <n v="0"/>
    <x v="1"/>
    <n v="20"/>
  </r>
  <r>
    <n v="3"/>
    <x v="0"/>
    <n v="61.5"/>
    <n v="11"/>
    <n v="6"/>
    <n v="90"/>
    <n v="80"/>
    <n v="15"/>
    <m/>
    <n v="4"/>
    <n v="65"/>
    <n v="6"/>
    <x v="0"/>
    <n v="95"/>
    <n v="10"/>
    <n v="-3.5"/>
    <n v="3"/>
    <n v="0"/>
    <n v="0"/>
    <x v="0"/>
    <n v="-10"/>
  </r>
  <r>
    <n v="3"/>
    <x v="1"/>
    <n v="69"/>
    <n v="11"/>
    <n v="6"/>
    <n v="100"/>
    <n v="65"/>
    <n v="20"/>
    <m/>
    <n v="4"/>
    <n v="72.5"/>
    <n v="6"/>
    <x v="3"/>
    <n v="50"/>
    <n v="25"/>
    <n v="-3.5"/>
    <n v="3"/>
    <n v="1"/>
    <n v="0"/>
    <x v="1"/>
    <n v="10"/>
  </r>
  <r>
    <n v="3"/>
    <x v="2"/>
    <n v="80"/>
    <n v="11"/>
    <n v="6"/>
    <n v="80"/>
    <n v="95"/>
    <n v="10"/>
    <m/>
    <n v="4"/>
    <n v="68.5"/>
    <n v="6"/>
    <x v="0"/>
    <n v="95"/>
    <n v="10"/>
    <n v="11.5"/>
    <n v="3"/>
    <n v="2"/>
    <n v="0"/>
    <x v="0"/>
    <n v="0"/>
  </r>
  <r>
    <n v="3"/>
    <x v="3"/>
    <n v="64.5"/>
    <n v="11"/>
    <n v="6"/>
    <n v="80"/>
    <n v="95"/>
    <n v="10"/>
    <m/>
    <n v="4"/>
    <n v="64"/>
    <n v="6"/>
    <x v="2"/>
    <n v="80"/>
    <n v="15"/>
    <n v="0.5"/>
    <n v="3"/>
    <n v="3"/>
    <n v="0"/>
    <x v="0"/>
    <n v="10"/>
  </r>
  <r>
    <n v="3"/>
    <x v="4"/>
    <n v="73.5"/>
    <n v="11"/>
    <n v="6"/>
    <n v="110"/>
    <n v="50"/>
    <n v="25"/>
    <m/>
    <n v="4"/>
    <n v="64"/>
    <n v="6"/>
    <x v="2"/>
    <n v="80"/>
    <n v="15"/>
    <n v="9.5"/>
    <n v="3"/>
    <n v="4"/>
    <n v="0"/>
    <x v="0"/>
    <n v="-20"/>
  </r>
  <r>
    <n v="3"/>
    <x v="5"/>
    <n v="71.5"/>
    <n v="11"/>
    <n v="6"/>
    <n v="100"/>
    <n v="65"/>
    <n v="20"/>
    <m/>
    <n v="4"/>
    <n v="74"/>
    <n v="6"/>
    <x v="4"/>
    <n v="35"/>
    <n v="30"/>
    <n v="-2.5"/>
    <n v="3"/>
    <n v="5"/>
    <n v="0"/>
    <x v="1"/>
    <n v="20"/>
  </r>
  <r>
    <n v="3"/>
    <x v="6"/>
    <n v="66.5"/>
    <n v="11"/>
    <n v="6"/>
    <n v="110"/>
    <n v="50"/>
    <n v="25"/>
    <m/>
    <n v="4"/>
    <n v="71"/>
    <n v="6"/>
    <x v="1"/>
    <n v="65"/>
    <n v="20"/>
    <n v="-4.5"/>
    <n v="3"/>
    <n v="6"/>
    <n v="0"/>
    <x v="1"/>
    <n v="-10"/>
  </r>
  <r>
    <n v="3"/>
    <x v="7"/>
    <n v="59"/>
    <n v="11"/>
    <n v="6"/>
    <n v="100"/>
    <n v="65"/>
    <n v="20"/>
    <m/>
    <n v="4"/>
    <n v="78.5"/>
    <n v="6"/>
    <x v="3"/>
    <n v="50"/>
    <n v="25"/>
    <n v="-19.5"/>
    <n v="3"/>
    <n v="7"/>
    <n v="0"/>
    <x v="1"/>
    <n v="10"/>
  </r>
  <r>
    <n v="3"/>
    <x v="8"/>
    <n v="66.5"/>
    <n v="11"/>
    <n v="6"/>
    <n v="100"/>
    <n v="65"/>
    <n v="20"/>
    <m/>
    <n v="4"/>
    <n v="69.5"/>
    <n v="6"/>
    <x v="3"/>
    <n v="50"/>
    <n v="25"/>
    <n v="-3"/>
    <n v="3"/>
    <n v="8"/>
    <n v="0"/>
    <x v="0"/>
    <n v="10"/>
  </r>
  <r>
    <n v="3"/>
    <x v="9"/>
    <n v="79.5"/>
    <n v="11"/>
    <n v="6"/>
    <n v="100"/>
    <n v="65"/>
    <n v="20"/>
    <m/>
    <n v="4"/>
    <n v="67"/>
    <n v="6"/>
    <x v="0"/>
    <n v="95"/>
    <n v="10"/>
    <n v="12.5"/>
    <n v="3"/>
    <n v="9"/>
    <n v="0"/>
    <x v="0"/>
    <n v="-20"/>
  </r>
  <r>
    <n v="4"/>
    <x v="0"/>
    <n v="65"/>
    <n v="11"/>
    <n v="6"/>
    <n v="80"/>
    <n v="95"/>
    <n v="10"/>
    <m/>
    <n v="5"/>
    <n v="81.5"/>
    <n v="6"/>
    <x v="0"/>
    <n v="95"/>
    <n v="10"/>
    <n v="-16.5"/>
    <n v="4"/>
    <n v="0"/>
    <n v="0"/>
    <x v="2"/>
    <n v="0"/>
  </r>
  <r>
    <n v="4"/>
    <x v="1"/>
    <n v="72.5"/>
    <n v="11"/>
    <n v="6"/>
    <n v="110"/>
    <n v="50"/>
    <n v="25"/>
    <m/>
    <n v="5"/>
    <n v="79"/>
    <n v="6"/>
    <x v="4"/>
    <n v="35"/>
    <n v="30"/>
    <n v="-6.5"/>
    <n v="4"/>
    <n v="1"/>
    <n v="0"/>
    <x v="1"/>
    <n v="10"/>
  </r>
  <r>
    <n v="4"/>
    <x v="2"/>
    <n v="68.5"/>
    <n v="11"/>
    <n v="6"/>
    <n v="80"/>
    <n v="95"/>
    <n v="10"/>
    <m/>
    <n v="5"/>
    <n v="79.5"/>
    <n v="6"/>
    <x v="2"/>
    <n v="80"/>
    <n v="15"/>
    <n v="-11"/>
    <n v="4"/>
    <n v="2"/>
    <n v="0"/>
    <x v="1"/>
    <n v="10"/>
  </r>
  <r>
    <n v="4"/>
    <x v="3"/>
    <n v="64"/>
    <n v="11"/>
    <n v="6"/>
    <n v="90"/>
    <n v="80"/>
    <n v="15"/>
    <m/>
    <n v="5"/>
    <n v="66.5"/>
    <n v="6"/>
    <x v="1"/>
    <n v="65"/>
    <n v="20"/>
    <n v="-2.5"/>
    <n v="4"/>
    <n v="3"/>
    <n v="0"/>
    <x v="0"/>
    <n v="10"/>
  </r>
  <r>
    <n v="4"/>
    <x v="4"/>
    <n v="64"/>
    <n v="11"/>
    <n v="6"/>
    <n v="90"/>
    <n v="80"/>
    <n v="15"/>
    <m/>
    <n v="5"/>
    <n v="68.5"/>
    <n v="6"/>
    <x v="2"/>
    <n v="80"/>
    <n v="15"/>
    <n v="-4.5"/>
    <n v="4"/>
    <n v="4"/>
    <n v="0"/>
    <x v="0"/>
    <n v="0"/>
  </r>
  <r>
    <n v="4"/>
    <x v="5"/>
    <n v="74"/>
    <n v="11"/>
    <n v="6"/>
    <n v="120"/>
    <n v="35"/>
    <n v="30"/>
    <m/>
    <n v="5"/>
    <n v="75.5"/>
    <n v="6"/>
    <x v="3"/>
    <n v="50"/>
    <n v="25"/>
    <n v="-1.5"/>
    <n v="4"/>
    <n v="5"/>
    <n v="0"/>
    <x v="1"/>
    <n v="-10"/>
  </r>
  <r>
    <n v="4"/>
    <x v="6"/>
    <n v="71"/>
    <n v="11"/>
    <n v="6"/>
    <n v="100"/>
    <n v="65"/>
    <n v="20"/>
    <m/>
    <n v="5"/>
    <n v="81.5"/>
    <n v="6"/>
    <x v="1"/>
    <n v="65"/>
    <n v="20"/>
    <n v="-10.5"/>
    <n v="4"/>
    <n v="6"/>
    <n v="0"/>
    <x v="2"/>
    <n v="0"/>
  </r>
  <r>
    <n v="4"/>
    <x v="7"/>
    <n v="78.5"/>
    <n v="11"/>
    <n v="6"/>
    <n v="110"/>
    <n v="50"/>
    <n v="25"/>
    <m/>
    <n v="5"/>
    <n v="70.5"/>
    <n v="6"/>
    <x v="4"/>
    <n v="35"/>
    <n v="30"/>
    <n v="8"/>
    <n v="4"/>
    <n v="7"/>
    <n v="0"/>
    <x v="1"/>
    <n v="10"/>
  </r>
  <r>
    <n v="4"/>
    <x v="8"/>
    <n v="69.5"/>
    <n v="11"/>
    <n v="6"/>
    <n v="110"/>
    <n v="50"/>
    <n v="25"/>
    <m/>
    <n v="5"/>
    <n v="65.5"/>
    <n v="6"/>
    <x v="0"/>
    <n v="95"/>
    <n v="10"/>
    <n v="4"/>
    <n v="4"/>
    <n v="8"/>
    <n v="0"/>
    <x v="0"/>
    <n v="-30"/>
  </r>
  <r>
    <n v="4"/>
    <x v="9"/>
    <n v="67"/>
    <n v="11"/>
    <n v="6"/>
    <n v="80"/>
    <n v="95"/>
    <n v="10"/>
    <m/>
    <n v="5"/>
    <n v="66"/>
    <n v="6"/>
    <x v="1"/>
    <n v="65"/>
    <n v="20"/>
    <n v="1"/>
    <n v="4"/>
    <n v="9"/>
    <n v="0"/>
    <x v="0"/>
    <n v="20"/>
  </r>
  <r>
    <n v="5"/>
    <x v="0"/>
    <n v="81.5"/>
    <n v="11"/>
    <n v="6"/>
    <n v="80"/>
    <n v="95"/>
    <n v="10"/>
    <m/>
    <n v="6"/>
    <n v="74.5"/>
    <n v="6"/>
    <x v="2"/>
    <n v="80"/>
    <n v="15"/>
    <n v="7"/>
    <n v="5"/>
    <n v="0"/>
    <n v="12"/>
    <x v="1"/>
    <n v="10"/>
  </r>
  <r>
    <n v="5"/>
    <x v="1"/>
    <n v="79"/>
    <n v="11"/>
    <n v="6"/>
    <n v="120"/>
    <n v="35"/>
    <n v="30"/>
    <m/>
    <n v="6"/>
    <n v="63"/>
    <n v="6"/>
    <x v="1"/>
    <n v="65"/>
    <n v="20"/>
    <n v="16"/>
    <n v="5"/>
    <n v="1"/>
    <n v="13"/>
    <x v="0"/>
    <n v="-20"/>
  </r>
  <r>
    <n v="5"/>
    <x v="2"/>
    <n v="79.5"/>
    <n v="11"/>
    <n v="6"/>
    <n v="90"/>
    <n v="80"/>
    <n v="15"/>
    <m/>
    <n v="6"/>
    <n v="75"/>
    <n v="6"/>
    <x v="1"/>
    <n v="65"/>
    <n v="20"/>
    <n v="4.5"/>
    <n v="5"/>
    <n v="2"/>
    <n v="11"/>
    <x v="1"/>
    <n v="10"/>
  </r>
  <r>
    <n v="5"/>
    <x v="3"/>
    <n v="66.5"/>
    <n v="11"/>
    <n v="6"/>
    <n v="100"/>
    <n v="65"/>
    <n v="20"/>
    <m/>
    <n v="6"/>
    <n v="65.5"/>
    <n v="6"/>
    <x v="1"/>
    <n v="65"/>
    <n v="20"/>
    <n v="1"/>
    <n v="5"/>
    <n v="3"/>
    <n v="19"/>
    <x v="0"/>
    <n v="0"/>
  </r>
  <r>
    <n v="5"/>
    <x v="4"/>
    <n v="68.5"/>
    <n v="11"/>
    <n v="6"/>
    <n v="90"/>
    <n v="80"/>
    <n v="15"/>
    <m/>
    <n v="6"/>
    <n v="66"/>
    <n v="6"/>
    <x v="0"/>
    <n v="95"/>
    <n v="10"/>
    <n v="2.5"/>
    <n v="5"/>
    <n v="4"/>
    <n v="5"/>
    <x v="0"/>
    <n v="-10"/>
  </r>
  <r>
    <n v="5"/>
    <x v="5"/>
    <n v="75.5"/>
    <n v="11"/>
    <n v="6"/>
    <n v="110"/>
    <n v="50"/>
    <n v="25"/>
    <m/>
    <n v="6"/>
    <n v="67.5"/>
    <n v="6"/>
    <x v="0"/>
    <n v="95"/>
    <n v="10"/>
    <n v="8"/>
    <n v="5"/>
    <n v="5"/>
    <n v="14"/>
    <x v="0"/>
    <n v="-30"/>
  </r>
  <r>
    <n v="5"/>
    <x v="6"/>
    <n v="81.5"/>
    <n v="11"/>
    <n v="6"/>
    <n v="100"/>
    <n v="65"/>
    <n v="20"/>
    <m/>
    <n v="6"/>
    <n v="70.5"/>
    <n v="6"/>
    <x v="1"/>
    <n v="65"/>
    <n v="20"/>
    <n v="11"/>
    <n v="5"/>
    <n v="6"/>
    <n v="10"/>
    <x v="1"/>
    <n v="0"/>
  </r>
  <r>
    <n v="5"/>
    <x v="7"/>
    <n v="70.5"/>
    <n v="11"/>
    <n v="6"/>
    <n v="120"/>
    <n v="35"/>
    <n v="30"/>
    <m/>
    <n v="6"/>
    <n v="69.5"/>
    <n v="6"/>
    <x v="1"/>
    <n v="65"/>
    <n v="20"/>
    <n v="1"/>
    <n v="5"/>
    <n v="7"/>
    <n v="5"/>
    <x v="0"/>
    <n v="-20"/>
  </r>
  <r>
    <n v="5"/>
    <x v="8"/>
    <n v="65.5"/>
    <n v="11"/>
    <n v="6"/>
    <n v="80"/>
    <n v="95"/>
    <n v="10"/>
    <m/>
    <n v="6"/>
    <n v="68.5"/>
    <n v="6"/>
    <x v="0"/>
    <n v="95"/>
    <n v="10"/>
    <n v="-3"/>
    <n v="5"/>
    <n v="8"/>
    <n v="11"/>
    <x v="0"/>
    <n v="0"/>
  </r>
  <r>
    <n v="5"/>
    <x v="9"/>
    <n v="66"/>
    <n v="11"/>
    <n v="6"/>
    <n v="100"/>
    <n v="65"/>
    <n v="20"/>
    <m/>
    <n v="6"/>
    <n v="87.5"/>
    <n v="6"/>
    <x v="3"/>
    <n v="50"/>
    <n v="25"/>
    <n v="-21.5"/>
    <n v="5"/>
    <n v="9"/>
    <n v="7"/>
    <x v="2"/>
    <n v="10"/>
  </r>
  <r>
    <n v="6"/>
    <x v="0"/>
    <n v="74.5"/>
    <n v="11"/>
    <n v="6"/>
    <n v="90"/>
    <n v="80"/>
    <n v="15"/>
    <m/>
    <n v="7"/>
    <n v="71.5"/>
    <n v="6"/>
    <x v="4"/>
    <n v="35"/>
    <n v="30"/>
    <n v="3"/>
    <n v="6"/>
    <n v="0"/>
    <n v="15"/>
    <x v="1"/>
    <n v="30"/>
  </r>
  <r>
    <n v="6"/>
    <x v="1"/>
    <n v="63"/>
    <n v="11"/>
    <n v="6"/>
    <n v="100"/>
    <n v="65"/>
    <n v="20"/>
    <m/>
    <n v="7"/>
    <n v="64"/>
    <n v="6"/>
    <x v="1"/>
    <n v="65"/>
    <n v="20"/>
    <n v="-1"/>
    <n v="6"/>
    <n v="1"/>
    <n v="7"/>
    <x v="0"/>
    <n v="0"/>
  </r>
  <r>
    <n v="6"/>
    <x v="2"/>
    <n v="75"/>
    <n v="11"/>
    <n v="6"/>
    <n v="100"/>
    <n v="65"/>
    <n v="20"/>
    <m/>
    <n v="7"/>
    <n v="63.5"/>
    <n v="6"/>
    <x v="1"/>
    <n v="65"/>
    <n v="20"/>
    <n v="11.5"/>
    <n v="6"/>
    <n v="2"/>
    <n v="15"/>
    <x v="0"/>
    <n v="0"/>
  </r>
  <r>
    <n v="6"/>
    <x v="3"/>
    <n v="65.5"/>
    <n v="11"/>
    <n v="6"/>
    <n v="100"/>
    <n v="65"/>
    <n v="20"/>
    <m/>
    <n v="7"/>
    <n v="70"/>
    <n v="6"/>
    <x v="2"/>
    <n v="80"/>
    <n v="15"/>
    <n v="-4.5"/>
    <n v="6"/>
    <n v="3"/>
    <n v="10"/>
    <x v="1"/>
    <n v="-10"/>
  </r>
  <r>
    <n v="6"/>
    <x v="4"/>
    <n v="66"/>
    <n v="11"/>
    <n v="6"/>
    <n v="80"/>
    <n v="95"/>
    <n v="10"/>
    <m/>
    <n v="7"/>
    <n v="62.5"/>
    <n v="6"/>
    <x v="3"/>
    <n v="50"/>
    <n v="25"/>
    <n v="3.5"/>
    <n v="6"/>
    <n v="4"/>
    <n v="20"/>
    <x v="0"/>
    <n v="30"/>
  </r>
  <r>
    <n v="6"/>
    <x v="5"/>
    <n v="67.5"/>
    <n v="11"/>
    <n v="6"/>
    <n v="80"/>
    <n v="95"/>
    <n v="10"/>
    <m/>
    <n v="7"/>
    <n v="62"/>
    <n v="6"/>
    <x v="1"/>
    <n v="65"/>
    <n v="20"/>
    <n v="5.5"/>
    <n v="6"/>
    <n v="5"/>
    <n v="12"/>
    <x v="0"/>
    <n v="20"/>
  </r>
  <r>
    <n v="6"/>
    <x v="6"/>
    <n v="70.5"/>
    <n v="11"/>
    <n v="6"/>
    <n v="100"/>
    <n v="65"/>
    <n v="20"/>
    <m/>
    <n v="7"/>
    <n v="73.5"/>
    <n v="6"/>
    <x v="3"/>
    <n v="50"/>
    <n v="25"/>
    <n v="-3"/>
    <n v="6"/>
    <n v="6"/>
    <n v="13"/>
    <x v="1"/>
    <n v="10"/>
  </r>
  <r>
    <n v="6"/>
    <x v="7"/>
    <n v="69.5"/>
    <n v="11"/>
    <n v="6"/>
    <n v="100"/>
    <n v="65"/>
    <n v="20"/>
    <m/>
    <n v="7"/>
    <n v="69.5"/>
    <n v="6"/>
    <x v="0"/>
    <n v="95"/>
    <n v="10"/>
    <n v="0"/>
    <n v="6"/>
    <n v="7"/>
    <n v="20"/>
    <x v="0"/>
    <n v="-20"/>
  </r>
  <r>
    <n v="6"/>
    <x v="8"/>
    <n v="68.5"/>
    <n v="11"/>
    <n v="6"/>
    <n v="80"/>
    <n v="95"/>
    <n v="10"/>
    <m/>
    <n v="7"/>
    <n v="68.5"/>
    <n v="6"/>
    <x v="1"/>
    <n v="65"/>
    <n v="20"/>
    <n v="0"/>
    <n v="6"/>
    <n v="8"/>
    <n v="12"/>
    <x v="0"/>
    <n v="20"/>
  </r>
  <r>
    <n v="6"/>
    <x v="9"/>
    <n v="87.5"/>
    <n v="11"/>
    <n v="6"/>
    <n v="110"/>
    <n v="50"/>
    <n v="25"/>
    <m/>
    <n v="7"/>
    <n v="67.5"/>
    <n v="6"/>
    <x v="1"/>
    <n v="65"/>
    <n v="20"/>
    <n v="20"/>
    <n v="6"/>
    <n v="9"/>
    <n v="16"/>
    <x v="0"/>
    <n v="-10"/>
  </r>
  <r>
    <n v="7"/>
    <x v="0"/>
    <n v="71.5"/>
    <n v="11"/>
    <n v="6"/>
    <n v="120"/>
    <n v="35"/>
    <n v="30"/>
    <m/>
    <n v="8"/>
    <n v="69.5"/>
    <n v="6"/>
    <x v="3"/>
    <n v="50"/>
    <n v="25"/>
    <n v="2"/>
    <n v="7"/>
    <n v="0"/>
    <n v="12"/>
    <x v="0"/>
    <n v="-10"/>
  </r>
  <r>
    <n v="7"/>
    <x v="1"/>
    <n v="64"/>
    <n v="11"/>
    <n v="6"/>
    <n v="100"/>
    <n v="65"/>
    <n v="20"/>
    <m/>
    <n v="8"/>
    <n v="67.5"/>
    <n v="6"/>
    <x v="1"/>
    <n v="65"/>
    <n v="20"/>
    <n v="-3.5"/>
    <n v="7"/>
    <n v="1"/>
    <n v="19"/>
    <x v="0"/>
    <n v="0"/>
  </r>
  <r>
    <n v="7"/>
    <x v="2"/>
    <n v="63.5"/>
    <n v="11"/>
    <n v="6"/>
    <n v="100"/>
    <n v="65"/>
    <n v="20"/>
    <m/>
    <n v="8"/>
    <n v="75"/>
    <n v="6"/>
    <x v="3"/>
    <n v="50"/>
    <n v="25"/>
    <n v="-11.5"/>
    <n v="7"/>
    <n v="2"/>
    <n v="12"/>
    <x v="1"/>
    <n v="10"/>
  </r>
  <r>
    <n v="7"/>
    <x v="3"/>
    <n v="70"/>
    <n v="11"/>
    <n v="6"/>
    <n v="90"/>
    <n v="80"/>
    <n v="15"/>
    <m/>
    <n v="8"/>
    <n v="65.5"/>
    <n v="6"/>
    <x v="1"/>
    <n v="65"/>
    <n v="20"/>
    <n v="4.5"/>
    <n v="7"/>
    <n v="3"/>
    <n v="13"/>
    <x v="0"/>
    <n v="10"/>
  </r>
  <r>
    <n v="7"/>
    <x v="4"/>
    <n v="62.5"/>
    <n v="11"/>
    <n v="6"/>
    <n v="110"/>
    <n v="50"/>
    <n v="25"/>
    <m/>
    <n v="8"/>
    <n v="61"/>
    <n v="6"/>
    <x v="1"/>
    <n v="65"/>
    <n v="20"/>
    <n v="1.5"/>
    <n v="7"/>
    <n v="4"/>
    <n v="7"/>
    <x v="0"/>
    <n v="-10"/>
  </r>
  <r>
    <n v="7"/>
    <x v="5"/>
    <n v="62"/>
    <n v="11"/>
    <n v="6"/>
    <n v="100"/>
    <n v="65"/>
    <n v="20"/>
    <m/>
    <n v="8"/>
    <n v="63.5"/>
    <n v="6"/>
    <x v="1"/>
    <n v="65"/>
    <n v="20"/>
    <n v="-1.5"/>
    <n v="7"/>
    <n v="5"/>
    <n v="11"/>
    <x v="0"/>
    <n v="0"/>
  </r>
  <r>
    <n v="7"/>
    <x v="6"/>
    <n v="73.5"/>
    <n v="11"/>
    <n v="6"/>
    <n v="110"/>
    <n v="50"/>
    <n v="25"/>
    <m/>
    <n v="8"/>
    <n v="70.5"/>
    <n v="6"/>
    <x v="1"/>
    <n v="65"/>
    <n v="20"/>
    <n v="3"/>
    <n v="7"/>
    <n v="6"/>
    <n v="14"/>
    <x v="1"/>
    <n v="-10"/>
  </r>
  <r>
    <n v="7"/>
    <x v="7"/>
    <n v="69.5"/>
    <n v="11"/>
    <n v="6"/>
    <n v="80"/>
    <n v="95"/>
    <n v="10"/>
    <m/>
    <n v="8"/>
    <n v="65.5"/>
    <n v="6"/>
    <x v="1"/>
    <n v="65"/>
    <n v="20"/>
    <n v="4"/>
    <n v="7"/>
    <n v="7"/>
    <n v="6"/>
    <x v="0"/>
    <n v="20"/>
  </r>
  <r>
    <n v="7"/>
    <x v="8"/>
    <n v="68.5"/>
    <n v="11"/>
    <n v="6"/>
    <n v="100"/>
    <n v="65"/>
    <n v="20"/>
    <m/>
    <n v="8"/>
    <n v="66"/>
    <n v="6"/>
    <x v="1"/>
    <n v="65"/>
    <n v="20"/>
    <n v="2.5"/>
    <n v="7"/>
    <n v="8"/>
    <n v="12"/>
    <x v="0"/>
    <n v="0"/>
  </r>
  <r>
    <n v="7"/>
    <x v="9"/>
    <n v="67.5"/>
    <n v="11"/>
    <n v="6"/>
    <n v="100"/>
    <n v="65"/>
    <n v="20"/>
    <m/>
    <n v="8"/>
    <n v="89.5"/>
    <n v="6"/>
    <x v="1"/>
    <n v="65"/>
    <n v="20"/>
    <n v="-22"/>
    <n v="7"/>
    <n v="9"/>
    <n v="12"/>
    <x v="2"/>
    <n v="0"/>
  </r>
  <r>
    <n v="8"/>
    <x v="0"/>
    <n v="69.5"/>
    <n v="11"/>
    <n v="6"/>
    <n v="110"/>
    <n v="50"/>
    <n v="25"/>
    <m/>
    <n v="9"/>
    <n v="70.5"/>
    <n v="6"/>
    <x v="2"/>
    <n v="80"/>
    <n v="15"/>
    <n v="-1"/>
    <n v="8"/>
    <n v="0"/>
    <n v="12"/>
    <x v="1"/>
    <n v="-20"/>
  </r>
  <r>
    <n v="8"/>
    <x v="1"/>
    <n v="67.5"/>
    <n v="11"/>
    <n v="6"/>
    <n v="100"/>
    <n v="65"/>
    <n v="20"/>
    <m/>
    <n v="9"/>
    <n v="67.5"/>
    <n v="6"/>
    <x v="1"/>
    <n v="65"/>
    <n v="20"/>
    <n v="0"/>
    <n v="8"/>
    <n v="1"/>
    <n v="11"/>
    <x v="0"/>
    <n v="0"/>
  </r>
  <r>
    <n v="8"/>
    <x v="2"/>
    <n v="75"/>
    <n v="11"/>
    <n v="6"/>
    <n v="110"/>
    <n v="50"/>
    <n v="25"/>
    <m/>
    <n v="9"/>
    <n v="73"/>
    <n v="6"/>
    <x v="2"/>
    <n v="80"/>
    <n v="15"/>
    <n v="2"/>
    <n v="8"/>
    <n v="2"/>
    <n v="12"/>
    <x v="1"/>
    <n v="-20"/>
  </r>
  <r>
    <n v="8"/>
    <x v="3"/>
    <n v="65.5"/>
    <n v="11"/>
    <n v="6"/>
    <n v="100"/>
    <n v="65"/>
    <n v="20"/>
    <m/>
    <n v="9"/>
    <n v="70"/>
    <n v="6"/>
    <x v="1"/>
    <n v="65"/>
    <n v="20"/>
    <n v="-4.5"/>
    <n v="8"/>
    <n v="3"/>
    <n v="10"/>
    <x v="1"/>
    <n v="0"/>
  </r>
  <r>
    <n v="8"/>
    <x v="4"/>
    <n v="60.5"/>
    <n v="11"/>
    <n v="6"/>
    <n v="100"/>
    <n v="65"/>
    <n v="20"/>
    <m/>
    <n v="9"/>
    <n v="66"/>
    <n v="6"/>
    <x v="3"/>
    <n v="50"/>
    <n v="25"/>
    <n v="-5.5"/>
    <n v="8"/>
    <n v="4"/>
    <n v="11"/>
    <x v="0"/>
    <n v="10"/>
  </r>
  <r>
    <n v="8"/>
    <x v="5"/>
    <n v="63.5"/>
    <n v="11"/>
    <n v="6"/>
    <n v="100"/>
    <n v="65"/>
    <n v="20"/>
    <m/>
    <n v="9"/>
    <n v="66.5"/>
    <n v="6"/>
    <x v="2"/>
    <n v="80"/>
    <n v="15"/>
    <n v="-3"/>
    <n v="8"/>
    <n v="5"/>
    <n v="16"/>
    <x v="0"/>
    <n v="-10"/>
  </r>
  <r>
    <n v="8"/>
    <x v="6"/>
    <n v="70.5"/>
    <n v="11"/>
    <n v="6"/>
    <n v="100"/>
    <n v="65"/>
    <n v="20"/>
    <m/>
    <n v="9"/>
    <n v="72"/>
    <n v="6"/>
    <x v="0"/>
    <n v="95"/>
    <n v="10"/>
    <n v="-1.5"/>
    <n v="8"/>
    <n v="6"/>
    <n v="13"/>
    <x v="1"/>
    <n v="-20"/>
  </r>
  <r>
    <n v="8"/>
    <x v="7"/>
    <n v="65.5"/>
    <n v="11"/>
    <n v="6"/>
    <n v="100"/>
    <n v="65"/>
    <n v="20"/>
    <m/>
    <n v="9"/>
    <n v="64"/>
    <n v="6"/>
    <x v="1"/>
    <n v="65"/>
    <n v="20"/>
    <n v="1.5"/>
    <n v="8"/>
    <n v="7"/>
    <n v="7"/>
    <x v="0"/>
    <n v="0"/>
  </r>
  <r>
    <n v="8"/>
    <x v="8"/>
    <n v="66"/>
    <n v="11"/>
    <n v="6"/>
    <n v="100"/>
    <n v="65"/>
    <n v="20"/>
    <m/>
    <n v="9"/>
    <n v="76"/>
    <n v="6"/>
    <x v="1"/>
    <n v="65"/>
    <n v="20"/>
    <n v="-10"/>
    <n v="8"/>
    <n v="8"/>
    <n v="13"/>
    <x v="1"/>
    <n v="0"/>
  </r>
  <r>
    <n v="8"/>
    <x v="9"/>
    <n v="89.5"/>
    <n v="11"/>
    <n v="6"/>
    <n v="100"/>
    <n v="65"/>
    <n v="20"/>
    <m/>
    <n v="9"/>
    <n v="84.5"/>
    <n v="6"/>
    <x v="2"/>
    <n v="80"/>
    <n v="15"/>
    <n v="5"/>
    <n v="8"/>
    <n v="9"/>
    <n v="9"/>
    <x v="2"/>
    <n v="-10"/>
  </r>
  <r>
    <n v="9"/>
    <x v="0"/>
    <n v="70.5"/>
    <n v="11"/>
    <n v="6"/>
    <n v="90"/>
    <n v="80"/>
    <n v="15"/>
    <m/>
    <n v="10"/>
    <n v="62.5"/>
    <n v="6"/>
    <x v="0"/>
    <n v="95"/>
    <n v="10"/>
    <n v="8"/>
    <n v="9"/>
    <n v="0"/>
    <n v="13"/>
    <x v="0"/>
    <n v="-10"/>
  </r>
  <r>
    <n v="9"/>
    <x v="1"/>
    <n v="67.5"/>
    <n v="11"/>
    <n v="6"/>
    <n v="100"/>
    <n v="65"/>
    <n v="20"/>
    <m/>
    <n v="10"/>
    <n v="75.5"/>
    <n v="6"/>
    <x v="1"/>
    <n v="65"/>
    <n v="20"/>
    <n v="-8"/>
    <n v="9"/>
    <n v="1"/>
    <n v="14"/>
    <x v="1"/>
    <n v="0"/>
  </r>
  <r>
    <n v="9"/>
    <x v="2"/>
    <n v="73"/>
    <n v="11"/>
    <n v="6"/>
    <n v="90"/>
    <n v="80"/>
    <n v="15"/>
    <m/>
    <n v="10"/>
    <n v="74"/>
    <n v="6"/>
    <x v="1"/>
    <n v="65"/>
    <n v="20"/>
    <n v="-1"/>
    <n v="9"/>
    <n v="2"/>
    <n v="13"/>
    <x v="1"/>
    <n v="10"/>
  </r>
  <r>
    <n v="9"/>
    <x v="3"/>
    <n v="70"/>
    <n v="11"/>
    <n v="6"/>
    <n v="100"/>
    <n v="65"/>
    <n v="20"/>
    <m/>
    <n v="10"/>
    <n v="62"/>
    <n v="6"/>
    <x v="0"/>
    <n v="95"/>
    <n v="10"/>
    <n v="8"/>
    <n v="9"/>
    <n v="3"/>
    <n v="15"/>
    <x v="0"/>
    <n v="-20"/>
  </r>
  <r>
    <n v="9"/>
    <x v="4"/>
    <n v="66"/>
    <n v="11"/>
    <n v="6"/>
    <n v="110"/>
    <n v="50"/>
    <n v="25"/>
    <m/>
    <n v="10"/>
    <n v="61"/>
    <n v="6"/>
    <x v="3"/>
    <n v="50"/>
    <n v="25"/>
    <n v="5"/>
    <n v="9"/>
    <n v="4"/>
    <n v="14"/>
    <x v="0"/>
    <n v="0"/>
  </r>
  <r>
    <n v="9"/>
    <x v="5"/>
    <n v="66.5"/>
    <n v="11"/>
    <n v="6"/>
    <n v="90"/>
    <n v="80"/>
    <n v="15"/>
    <m/>
    <n v="10"/>
    <n v="73"/>
    <n v="6"/>
    <x v="1"/>
    <n v="65"/>
    <n v="20"/>
    <n v="-6.5"/>
    <n v="9"/>
    <n v="5"/>
    <n v="9"/>
    <x v="1"/>
    <n v="10"/>
  </r>
  <r>
    <n v="9"/>
    <x v="6"/>
    <n v="72"/>
    <n v="11"/>
    <n v="6"/>
    <n v="80"/>
    <n v="95"/>
    <n v="10"/>
    <m/>
    <n v="10"/>
    <n v="70.5"/>
    <n v="6"/>
    <x v="4"/>
    <n v="35"/>
    <n v="30"/>
    <n v="1.5"/>
    <n v="9"/>
    <n v="6"/>
    <n v="12"/>
    <x v="1"/>
    <n v="40"/>
  </r>
  <r>
    <n v="9"/>
    <x v="7"/>
    <n v="64"/>
    <n v="11"/>
    <n v="6"/>
    <n v="100"/>
    <n v="65"/>
    <n v="20"/>
    <m/>
    <n v="10"/>
    <n v="69.5"/>
    <n v="6"/>
    <x v="4"/>
    <n v="35"/>
    <n v="30"/>
    <n v="-5.5"/>
    <n v="9"/>
    <n v="7"/>
    <n v="18"/>
    <x v="0"/>
    <n v="20"/>
  </r>
  <r>
    <n v="9"/>
    <x v="8"/>
    <n v="76"/>
    <n v="11"/>
    <n v="6"/>
    <n v="100"/>
    <n v="65"/>
    <n v="20"/>
    <m/>
    <n v="10"/>
    <n v="60.5"/>
    <n v="6"/>
    <x v="1"/>
    <n v="65"/>
    <n v="20"/>
    <n v="15.5"/>
    <n v="9"/>
    <n v="8"/>
    <n v="12"/>
    <x v="0"/>
    <n v="0"/>
  </r>
  <r>
    <n v="9"/>
    <x v="9"/>
    <n v="84.5"/>
    <n v="11"/>
    <n v="6"/>
    <n v="90"/>
    <n v="80"/>
    <n v="15"/>
    <m/>
    <n v="10"/>
    <n v="65"/>
    <n v="6"/>
    <x v="0"/>
    <n v="95"/>
    <n v="10"/>
    <n v="19.5"/>
    <n v="9"/>
    <n v="9"/>
    <n v="16"/>
    <x v="0"/>
    <n v="-10"/>
  </r>
  <r>
    <n v="10"/>
    <x v="0"/>
    <n v="62.5"/>
    <n v="11"/>
    <n v="6"/>
    <n v="80"/>
    <n v="95"/>
    <n v="10"/>
    <m/>
    <n v="11"/>
    <n v="66.5"/>
    <n v="6"/>
    <x v="2"/>
    <n v="80"/>
    <n v="15"/>
    <n v="-4"/>
    <n v="10"/>
    <n v="0"/>
    <n v="12"/>
    <x v="0"/>
    <n v="10"/>
  </r>
  <r>
    <n v="10"/>
    <x v="1"/>
    <n v="75.5"/>
    <n v="11"/>
    <n v="6"/>
    <n v="100"/>
    <n v="65"/>
    <n v="20"/>
    <m/>
    <n v="11"/>
    <n v="61.5"/>
    <n v="6"/>
    <x v="1"/>
    <n v="65"/>
    <n v="20"/>
    <n v="14"/>
    <n v="10"/>
    <n v="1"/>
    <n v="11"/>
    <x v="0"/>
    <n v="0"/>
  </r>
  <r>
    <n v="10"/>
    <x v="2"/>
    <n v="74"/>
    <n v="11"/>
    <n v="6"/>
    <n v="100"/>
    <n v="65"/>
    <n v="20"/>
    <m/>
    <n v="11"/>
    <n v="76.5"/>
    <n v="6"/>
    <x v="2"/>
    <n v="80"/>
    <n v="15"/>
    <n v="-2.5"/>
    <n v="10"/>
    <n v="2"/>
    <n v="12"/>
    <x v="1"/>
    <n v="-10"/>
  </r>
  <r>
    <n v="10"/>
    <x v="3"/>
    <n v="62"/>
    <n v="11"/>
    <n v="6"/>
    <n v="80"/>
    <n v="95"/>
    <n v="10"/>
    <m/>
    <n v="11"/>
    <n v="68.5"/>
    <n v="6"/>
    <x v="2"/>
    <n v="80"/>
    <n v="15"/>
    <n v="-6.5"/>
    <n v="10"/>
    <n v="3"/>
    <n v="10"/>
    <x v="0"/>
    <n v="10"/>
  </r>
  <r>
    <n v="10"/>
    <x v="4"/>
    <n v="61"/>
    <n v="11"/>
    <n v="6"/>
    <n v="110"/>
    <n v="50"/>
    <n v="25"/>
    <m/>
    <n v="11"/>
    <n v="65"/>
    <n v="6"/>
    <x v="1"/>
    <n v="65"/>
    <n v="20"/>
    <n v="-4"/>
    <n v="10"/>
    <n v="4"/>
    <n v="11"/>
    <x v="0"/>
    <n v="-10"/>
  </r>
  <r>
    <n v="10"/>
    <x v="5"/>
    <n v="73"/>
    <n v="11"/>
    <n v="6"/>
    <n v="100"/>
    <n v="65"/>
    <n v="20"/>
    <m/>
    <n v="11"/>
    <n v="84.5"/>
    <n v="6"/>
    <x v="3"/>
    <n v="50"/>
    <n v="25"/>
    <n v="-11.5"/>
    <n v="10"/>
    <n v="5"/>
    <n v="16"/>
    <x v="2"/>
    <n v="10"/>
  </r>
  <r>
    <n v="10"/>
    <x v="6"/>
    <n v="70.5"/>
    <n v="11"/>
    <n v="6"/>
    <n v="120"/>
    <n v="35"/>
    <n v="30"/>
    <m/>
    <n v="11"/>
    <n v="73.5"/>
    <n v="6"/>
    <x v="3"/>
    <n v="50"/>
    <n v="25"/>
    <n v="-3"/>
    <n v="10"/>
    <n v="6"/>
    <n v="13"/>
    <x v="1"/>
    <n v="-10"/>
  </r>
  <r>
    <n v="10"/>
    <x v="7"/>
    <n v="69.5"/>
    <n v="11"/>
    <n v="6"/>
    <n v="120"/>
    <n v="35"/>
    <n v="30"/>
    <m/>
    <n v="11"/>
    <n v="71.5"/>
    <n v="6"/>
    <x v="1"/>
    <n v="65"/>
    <n v="20"/>
    <n v="-2"/>
    <n v="10"/>
    <n v="7"/>
    <n v="7"/>
    <x v="1"/>
    <n v="-20"/>
  </r>
  <r>
    <n v="10"/>
    <x v="8"/>
    <n v="60.5"/>
    <n v="11"/>
    <n v="6"/>
    <n v="100"/>
    <n v="65"/>
    <n v="20"/>
    <m/>
    <n v="11"/>
    <n v="70.5"/>
    <n v="6"/>
    <x v="1"/>
    <n v="65"/>
    <n v="20"/>
    <n v="-10"/>
    <n v="10"/>
    <n v="8"/>
    <n v="13"/>
    <x v="1"/>
    <n v="0"/>
  </r>
  <r>
    <n v="10"/>
    <x v="9"/>
    <n v="65"/>
    <n v="11"/>
    <n v="6"/>
    <n v="80"/>
    <n v="95"/>
    <n v="10"/>
    <m/>
    <n v="11"/>
    <n v="65"/>
    <n v="6"/>
    <x v="3"/>
    <n v="50"/>
    <n v="25"/>
    <n v="0"/>
    <n v="10"/>
    <n v="9"/>
    <n v="9"/>
    <x v="0"/>
    <n v="30"/>
  </r>
  <r>
    <n v="11"/>
    <x v="0"/>
    <n v="66.5"/>
    <n v="11"/>
    <n v="6"/>
    <n v="90"/>
    <n v="80"/>
    <n v="15"/>
    <m/>
    <n v="12"/>
    <n v="76.5"/>
    <n v="6"/>
    <x v="0"/>
    <n v="95"/>
    <n v="10"/>
    <n v="-10"/>
    <n v="11"/>
    <n v="0"/>
    <n v="15"/>
    <x v="1"/>
    <n v="-10"/>
  </r>
  <r>
    <n v="11"/>
    <x v="1"/>
    <n v="61.5"/>
    <n v="11"/>
    <n v="6"/>
    <n v="100"/>
    <n v="65"/>
    <n v="20"/>
    <m/>
    <n v="12"/>
    <n v="72.5"/>
    <n v="6"/>
    <x v="2"/>
    <n v="80"/>
    <n v="15"/>
    <n v="-11"/>
    <n v="11"/>
    <n v="1"/>
    <n v="14"/>
    <x v="1"/>
    <n v="-10"/>
  </r>
  <r>
    <n v="11"/>
    <x v="2"/>
    <n v="76.5"/>
    <n v="11"/>
    <n v="6"/>
    <n v="90"/>
    <n v="80"/>
    <n v="15"/>
    <m/>
    <n v="12"/>
    <n v="77"/>
    <n v="6"/>
    <x v="1"/>
    <n v="65"/>
    <n v="20"/>
    <n v="-0.5"/>
    <n v="11"/>
    <n v="2"/>
    <n v="12"/>
    <x v="1"/>
    <n v="10"/>
  </r>
  <r>
    <n v="11"/>
    <x v="3"/>
    <n v="68.5"/>
    <n v="11"/>
    <n v="6"/>
    <n v="90"/>
    <n v="80"/>
    <n v="15"/>
    <m/>
    <n v="12"/>
    <n v="82"/>
    <n v="6"/>
    <x v="1"/>
    <n v="65"/>
    <n v="20"/>
    <n v="-13.5"/>
    <n v="11"/>
    <n v="3"/>
    <n v="15"/>
    <x v="2"/>
    <n v="10"/>
  </r>
  <r>
    <n v="11"/>
    <x v="4"/>
    <n v="65"/>
    <n v="11"/>
    <n v="6"/>
    <n v="100"/>
    <n v="65"/>
    <n v="20"/>
    <m/>
    <n v="12"/>
    <n v="65.5"/>
    <n v="6"/>
    <x v="3"/>
    <n v="50"/>
    <n v="25"/>
    <n v="-0.5"/>
    <n v="11"/>
    <n v="4"/>
    <n v="15"/>
    <x v="0"/>
    <n v="10"/>
  </r>
  <r>
    <n v="11"/>
    <x v="5"/>
    <n v="84.5"/>
    <n v="11"/>
    <n v="6"/>
    <n v="110"/>
    <n v="50"/>
    <n v="25"/>
    <m/>
    <n v="12"/>
    <n v="71.5"/>
    <n v="6"/>
    <x v="4"/>
    <n v="35"/>
    <n v="30"/>
    <n v="13"/>
    <n v="11"/>
    <n v="5"/>
    <n v="10"/>
    <x v="1"/>
    <n v="10"/>
  </r>
  <r>
    <n v="11"/>
    <x v="6"/>
    <n v="73.5"/>
    <n v="11"/>
    <n v="6"/>
    <n v="110"/>
    <n v="50"/>
    <n v="25"/>
    <m/>
    <n v="12"/>
    <n v="74"/>
    <n v="6"/>
    <x v="0"/>
    <n v="95"/>
    <n v="10"/>
    <n v="-0.5"/>
    <n v="11"/>
    <n v="6"/>
    <n v="11"/>
    <x v="1"/>
    <n v="-30"/>
  </r>
  <r>
    <n v="11"/>
    <x v="7"/>
    <n v="71.5"/>
    <n v="11"/>
    <n v="6"/>
    <n v="100"/>
    <n v="65"/>
    <n v="20"/>
    <m/>
    <n v="12"/>
    <n v="80.5"/>
    <n v="6"/>
    <x v="4"/>
    <n v="35"/>
    <n v="30"/>
    <n v="-9"/>
    <n v="11"/>
    <n v="7"/>
    <n v="17"/>
    <x v="2"/>
    <n v="20"/>
  </r>
  <r>
    <n v="11"/>
    <x v="8"/>
    <n v="70.5"/>
    <n v="11"/>
    <n v="6"/>
    <n v="100"/>
    <n v="65"/>
    <n v="20"/>
    <m/>
    <n v="12"/>
    <n v="69"/>
    <n v="6"/>
    <x v="0"/>
    <n v="95"/>
    <n v="10"/>
    <n v="1.5"/>
    <n v="11"/>
    <n v="8"/>
    <n v="10"/>
    <x v="0"/>
    <n v="-20"/>
  </r>
  <r>
    <n v="11"/>
    <x v="9"/>
    <n v="65"/>
    <n v="11"/>
    <n v="6"/>
    <n v="110"/>
    <n v="50"/>
    <n v="25"/>
    <m/>
    <n v="12"/>
    <n v="62.5"/>
    <n v="6"/>
    <x v="1"/>
    <n v="65"/>
    <n v="20"/>
    <n v="2.5"/>
    <n v="11"/>
    <n v="9"/>
    <n v="15"/>
    <x v="0"/>
    <n v="-10"/>
  </r>
  <r>
    <n v="12"/>
    <x v="0"/>
    <n v="76.5"/>
    <n v="11"/>
    <n v="6"/>
    <n v="80"/>
    <n v="95"/>
    <n v="10"/>
    <m/>
    <n v="13"/>
    <n v="69"/>
    <n v="6"/>
    <x v="1"/>
    <n v="65"/>
    <n v="20"/>
    <n v="7.5"/>
    <n v="12"/>
    <n v="0"/>
    <n v="10"/>
    <x v="0"/>
    <n v="20"/>
  </r>
  <r>
    <n v="12"/>
    <x v="1"/>
    <n v="72.5"/>
    <n v="11"/>
    <n v="6"/>
    <n v="90"/>
    <n v="80"/>
    <n v="15"/>
    <m/>
    <n v="13"/>
    <n v="71"/>
    <n v="6"/>
    <x v="1"/>
    <n v="65"/>
    <n v="20"/>
    <n v="1.5"/>
    <n v="12"/>
    <n v="1"/>
    <n v="8"/>
    <x v="1"/>
    <n v="10"/>
  </r>
  <r>
    <n v="12"/>
    <x v="2"/>
    <n v="77"/>
    <n v="11"/>
    <n v="6"/>
    <n v="100"/>
    <n v="65"/>
    <n v="20"/>
    <m/>
    <n v="13"/>
    <n v="73.5"/>
    <n v="6"/>
    <x v="2"/>
    <n v="80"/>
    <n v="15"/>
    <n v="3.5"/>
    <n v="12"/>
    <n v="2"/>
    <n v="10"/>
    <x v="1"/>
    <n v="-10"/>
  </r>
  <r>
    <n v="12"/>
    <x v="3"/>
    <n v="82"/>
    <n v="11"/>
    <n v="6"/>
    <n v="100"/>
    <n v="65"/>
    <n v="20"/>
    <m/>
    <n v="13"/>
    <n v="66"/>
    <n v="6"/>
    <x v="0"/>
    <n v="95"/>
    <n v="10"/>
    <n v="16"/>
    <n v="12"/>
    <n v="3"/>
    <n v="8"/>
    <x v="0"/>
    <n v="-20"/>
  </r>
  <r>
    <n v="12"/>
    <x v="4"/>
    <n v="65.5"/>
    <n v="11"/>
    <n v="6"/>
    <n v="110"/>
    <n v="50"/>
    <n v="25"/>
    <m/>
    <n v="13"/>
    <n v="70.5"/>
    <n v="6"/>
    <x v="4"/>
    <n v="35"/>
    <n v="30"/>
    <n v="-5"/>
    <n v="12"/>
    <n v="4"/>
    <n v="15"/>
    <x v="1"/>
    <n v="10"/>
  </r>
  <r>
    <n v="12"/>
    <x v="5"/>
    <n v="71.5"/>
    <n v="11"/>
    <n v="6"/>
    <n v="120"/>
    <n v="35"/>
    <n v="30"/>
    <m/>
    <n v="13"/>
    <n v="66"/>
    <n v="6"/>
    <x v="0"/>
    <n v="95"/>
    <n v="10"/>
    <n v="5.5"/>
    <n v="12"/>
    <n v="5"/>
    <n v="14"/>
    <x v="0"/>
    <n v="-40"/>
  </r>
  <r>
    <n v="12"/>
    <x v="6"/>
    <n v="74"/>
    <n v="11"/>
    <n v="6"/>
    <n v="80"/>
    <n v="95"/>
    <n v="10"/>
    <m/>
    <n v="13"/>
    <n v="69.5"/>
    <n v="6"/>
    <x v="3"/>
    <n v="50"/>
    <n v="25"/>
    <n v="4.5"/>
    <n v="12"/>
    <n v="6"/>
    <n v="13"/>
    <x v="0"/>
    <n v="30"/>
  </r>
  <r>
    <n v="12"/>
    <x v="7"/>
    <n v="80.5"/>
    <n v="11"/>
    <n v="6"/>
    <n v="120"/>
    <n v="35"/>
    <n v="30"/>
    <m/>
    <n v="13"/>
    <n v="74.5"/>
    <n v="6"/>
    <x v="4"/>
    <n v="35"/>
    <n v="30"/>
    <n v="6"/>
    <n v="12"/>
    <n v="7"/>
    <n v="10"/>
    <x v="1"/>
    <n v="0"/>
  </r>
  <r>
    <n v="12"/>
    <x v="8"/>
    <n v="69"/>
    <n v="11"/>
    <n v="6"/>
    <n v="80"/>
    <n v="95"/>
    <n v="10"/>
    <m/>
    <n v="13"/>
    <n v="68.5"/>
    <n v="6"/>
    <x v="3"/>
    <n v="50"/>
    <n v="25"/>
    <n v="0.5"/>
    <n v="12"/>
    <n v="8"/>
    <n v="17"/>
    <x v="0"/>
    <n v="30"/>
  </r>
  <r>
    <n v="12"/>
    <x v="9"/>
    <n v="62.5"/>
    <n v="11"/>
    <n v="6"/>
    <n v="100"/>
    <n v="65"/>
    <n v="20"/>
    <m/>
    <n v="13"/>
    <n v="69"/>
    <n v="6"/>
    <x v="1"/>
    <n v="65"/>
    <n v="20"/>
    <n v="-6.5"/>
    <n v="12"/>
    <n v="9"/>
    <n v="14"/>
    <x v="0"/>
    <n v="0"/>
  </r>
  <r>
    <n v="13"/>
    <x v="0"/>
    <n v="69"/>
    <n v="11"/>
    <n v="6"/>
    <n v="100"/>
    <n v="65"/>
    <n v="20"/>
    <m/>
    <n v="14"/>
    <n v="72"/>
    <n v="6"/>
    <x v="0"/>
    <n v="95"/>
    <n v="10"/>
    <n v="-3"/>
    <n v="13"/>
    <n v="0"/>
    <n v="15"/>
    <x v="1"/>
    <n v="-20"/>
  </r>
  <r>
    <n v="13"/>
    <x v="1"/>
    <n v="71"/>
    <n v="11"/>
    <n v="6"/>
    <n v="100"/>
    <n v="65"/>
    <n v="20"/>
    <m/>
    <n v="14"/>
    <n v="69"/>
    <n v="6"/>
    <x v="1"/>
    <n v="65"/>
    <n v="20"/>
    <n v="2"/>
    <n v="13"/>
    <n v="1"/>
    <n v="17"/>
    <x v="0"/>
    <n v="0"/>
  </r>
  <r>
    <n v="13"/>
    <x v="2"/>
    <n v="73.5"/>
    <n v="11"/>
    <n v="6"/>
    <n v="90"/>
    <n v="80"/>
    <n v="15"/>
    <m/>
    <n v="14"/>
    <n v="71"/>
    <n v="6"/>
    <x v="4"/>
    <n v="35"/>
    <n v="30"/>
    <n v="2.5"/>
    <n v="13"/>
    <n v="2"/>
    <n v="15"/>
    <x v="1"/>
    <n v="30"/>
  </r>
  <r>
    <n v="13"/>
    <x v="3"/>
    <n v="66"/>
    <n v="11"/>
    <n v="6"/>
    <n v="80"/>
    <n v="95"/>
    <n v="10"/>
    <m/>
    <n v="14"/>
    <n v="74.5"/>
    <n v="6"/>
    <x v="1"/>
    <n v="65"/>
    <n v="20"/>
    <n v="-8.5"/>
    <n v="13"/>
    <n v="3"/>
    <n v="17"/>
    <x v="1"/>
    <n v="20"/>
  </r>
  <r>
    <n v="13"/>
    <x v="4"/>
    <n v="70.5"/>
    <n v="11"/>
    <n v="6"/>
    <n v="120"/>
    <n v="35"/>
    <n v="30"/>
    <m/>
    <n v="14"/>
    <n v="74"/>
    <n v="6"/>
    <x v="0"/>
    <n v="95"/>
    <n v="10"/>
    <n v="-3.5"/>
    <n v="13"/>
    <n v="4"/>
    <n v="10"/>
    <x v="1"/>
    <n v="-40"/>
  </r>
  <r>
    <n v="13"/>
    <x v="5"/>
    <n v="66"/>
    <n v="11"/>
    <n v="6"/>
    <n v="80"/>
    <n v="95"/>
    <n v="10"/>
    <m/>
    <n v="14"/>
    <n v="73"/>
    <n v="6"/>
    <x v="0"/>
    <n v="95"/>
    <n v="10"/>
    <n v="-7"/>
    <n v="13"/>
    <n v="5"/>
    <n v="11"/>
    <x v="1"/>
    <n v="0"/>
  </r>
  <r>
    <n v="13"/>
    <x v="6"/>
    <n v="69.5"/>
    <n v="11"/>
    <n v="6"/>
    <n v="110"/>
    <n v="50"/>
    <n v="25"/>
    <m/>
    <n v="14"/>
    <n v="69"/>
    <n v="6"/>
    <x v="1"/>
    <n v="65"/>
    <n v="20"/>
    <n v="0.5"/>
    <n v="13"/>
    <n v="6"/>
    <n v="12"/>
    <x v="0"/>
    <n v="-10"/>
  </r>
  <r>
    <n v="13"/>
    <x v="7"/>
    <n v="74.5"/>
    <n v="11"/>
    <n v="6"/>
    <n v="120"/>
    <n v="35"/>
    <n v="30"/>
    <m/>
    <n v="14"/>
    <n v="72.5"/>
    <n v="6"/>
    <x v="0"/>
    <n v="95"/>
    <n v="10"/>
    <n v="2"/>
    <n v="13"/>
    <n v="7"/>
    <n v="15"/>
    <x v="1"/>
    <n v="-40"/>
  </r>
  <r>
    <n v="13"/>
    <x v="8"/>
    <n v="68.5"/>
    <n v="11"/>
    <n v="6"/>
    <n v="110"/>
    <n v="50"/>
    <n v="25"/>
    <m/>
    <n v="14"/>
    <n v="80"/>
    <n v="6"/>
    <x v="3"/>
    <n v="50"/>
    <n v="25"/>
    <n v="-11.5"/>
    <n v="13"/>
    <n v="8"/>
    <n v="8"/>
    <x v="2"/>
    <n v="0"/>
  </r>
  <r>
    <n v="13"/>
    <x v="9"/>
    <n v="69"/>
    <n v="11"/>
    <n v="6"/>
    <n v="100"/>
    <n v="65"/>
    <n v="20"/>
    <m/>
    <n v="14"/>
    <n v="65.5"/>
    <n v="6"/>
    <x v="2"/>
    <n v="80"/>
    <n v="15"/>
    <n v="3.5"/>
    <n v="13"/>
    <n v="9"/>
    <n v="11"/>
    <x v="0"/>
    <n v="-10"/>
  </r>
  <r>
    <n v="14"/>
    <x v="0"/>
    <n v="72"/>
    <n v="11"/>
    <n v="6"/>
    <n v="80"/>
    <n v="95"/>
    <n v="10"/>
    <m/>
    <n v="15"/>
    <n v="72.5"/>
    <n v="6"/>
    <x v="0"/>
    <n v="95"/>
    <n v="10"/>
    <n v="-0.5"/>
    <n v="14"/>
    <n v="0"/>
    <n v="11"/>
    <x v="1"/>
    <n v="0"/>
  </r>
  <r>
    <n v="14"/>
    <x v="1"/>
    <n v="69"/>
    <n v="11"/>
    <n v="6"/>
    <n v="100"/>
    <n v="65"/>
    <n v="20"/>
    <m/>
    <n v="15"/>
    <n v="68"/>
    <n v="6"/>
    <x v="0"/>
    <n v="95"/>
    <n v="10"/>
    <n v="1"/>
    <n v="14"/>
    <n v="1"/>
    <n v="8"/>
    <x v="0"/>
    <n v="-20"/>
  </r>
  <r>
    <n v="14"/>
    <x v="2"/>
    <n v="71"/>
    <n v="11"/>
    <n v="6"/>
    <n v="120"/>
    <n v="35"/>
    <n v="30"/>
    <m/>
    <n v="15"/>
    <n v="64.5"/>
    <n v="6"/>
    <x v="0"/>
    <n v="95"/>
    <n v="10"/>
    <n v="6.5"/>
    <n v="14"/>
    <n v="2"/>
    <n v="10"/>
    <x v="0"/>
    <n v="-40"/>
  </r>
  <r>
    <n v="14"/>
    <x v="3"/>
    <n v="74.5"/>
    <n v="11"/>
    <n v="6"/>
    <n v="100"/>
    <n v="65"/>
    <n v="20"/>
    <m/>
    <n v="15"/>
    <n v="76"/>
    <n v="6"/>
    <x v="3"/>
    <n v="50"/>
    <n v="25"/>
    <n v="-1.5"/>
    <n v="14"/>
    <n v="3"/>
    <n v="10"/>
    <x v="1"/>
    <n v="10"/>
  </r>
  <r>
    <n v="14"/>
    <x v="4"/>
    <n v="74"/>
    <n v="11"/>
    <n v="6"/>
    <n v="80"/>
    <n v="95"/>
    <n v="10"/>
    <m/>
    <n v="15"/>
    <n v="73.5"/>
    <n v="6"/>
    <x v="4"/>
    <n v="35"/>
    <n v="30"/>
    <n v="0.5"/>
    <n v="14"/>
    <n v="4"/>
    <n v="13"/>
    <x v="1"/>
    <n v="40"/>
  </r>
  <r>
    <n v="14"/>
    <x v="5"/>
    <n v="73"/>
    <n v="11"/>
    <n v="6"/>
    <n v="80"/>
    <n v="95"/>
    <n v="10"/>
    <m/>
    <n v="15"/>
    <n v="67"/>
    <n v="6"/>
    <x v="2"/>
    <n v="80"/>
    <n v="15"/>
    <n v="6"/>
    <n v="14"/>
    <n v="5"/>
    <n v="12"/>
    <x v="0"/>
    <n v="10"/>
  </r>
  <r>
    <n v="14"/>
    <x v="6"/>
    <n v="69"/>
    <n v="11"/>
    <n v="6"/>
    <n v="100"/>
    <n v="65"/>
    <n v="20"/>
    <m/>
    <n v="15"/>
    <n v="62"/>
    <n v="6"/>
    <x v="1"/>
    <n v="65"/>
    <n v="20"/>
    <n v="7"/>
    <n v="14"/>
    <n v="6"/>
    <n v="12"/>
    <x v="0"/>
    <n v="0"/>
  </r>
  <r>
    <n v="14"/>
    <x v="7"/>
    <n v="72.5"/>
    <n v="11"/>
    <n v="6"/>
    <n v="80"/>
    <n v="95"/>
    <n v="10"/>
    <m/>
    <n v="15"/>
    <n v="64.5"/>
    <n v="6"/>
    <x v="4"/>
    <n v="35"/>
    <n v="30"/>
    <n v="8"/>
    <n v="14"/>
    <n v="7"/>
    <n v="7"/>
    <x v="0"/>
    <n v="40"/>
  </r>
  <r>
    <n v="14"/>
    <x v="8"/>
    <n v="80"/>
    <n v="11"/>
    <n v="6"/>
    <n v="110"/>
    <n v="50"/>
    <n v="25"/>
    <m/>
    <n v="15"/>
    <n v="64.5"/>
    <n v="6"/>
    <x v="4"/>
    <n v="35"/>
    <n v="30"/>
    <n v="15.5"/>
    <n v="14"/>
    <n v="8"/>
    <n v="17"/>
    <x v="0"/>
    <n v="10"/>
  </r>
  <r>
    <n v="14"/>
    <x v="9"/>
    <n v="65.5"/>
    <n v="11"/>
    <n v="6"/>
    <n v="90"/>
    <n v="80"/>
    <n v="15"/>
    <m/>
    <n v="15"/>
    <n v="69"/>
    <n v="6"/>
    <x v="1"/>
    <n v="65"/>
    <n v="20"/>
    <n v="-3.5"/>
    <n v="14"/>
    <n v="9"/>
    <n v="12"/>
    <x v="0"/>
    <n v="10"/>
  </r>
  <r>
    <n v="15"/>
    <x v="0"/>
    <n v="72.5"/>
    <n v="11"/>
    <n v="6"/>
    <n v="80"/>
    <n v="95"/>
    <n v="10"/>
    <m/>
    <n v="16"/>
    <n v="72.5"/>
    <n v="6"/>
    <x v="3"/>
    <n v="50"/>
    <n v="25"/>
    <n v="0"/>
    <n v="15"/>
    <n v="0"/>
    <n v="13"/>
    <x v="1"/>
    <n v="30"/>
  </r>
  <r>
    <n v="15"/>
    <x v="1"/>
    <n v="68"/>
    <n v="11"/>
    <n v="6"/>
    <n v="80"/>
    <n v="95"/>
    <n v="10"/>
    <m/>
    <n v="16"/>
    <n v="64.5"/>
    <n v="6"/>
    <x v="1"/>
    <n v="65"/>
    <n v="20"/>
    <n v="3.5"/>
    <n v="15"/>
    <n v="1"/>
    <n v="15"/>
    <x v="0"/>
    <n v="20"/>
  </r>
  <r>
    <n v="15"/>
    <x v="2"/>
    <n v="64.5"/>
    <n v="11"/>
    <n v="6"/>
    <n v="80"/>
    <n v="95"/>
    <n v="10"/>
    <m/>
    <n v="16"/>
    <n v="67.5"/>
    <n v="6"/>
    <x v="3"/>
    <n v="50"/>
    <n v="25"/>
    <n v="-3"/>
    <n v="15"/>
    <n v="2"/>
    <n v="14"/>
    <x v="0"/>
    <n v="30"/>
  </r>
  <r>
    <n v="15"/>
    <x v="3"/>
    <n v="76"/>
    <n v="11"/>
    <n v="6"/>
    <n v="110"/>
    <n v="50"/>
    <n v="25"/>
    <m/>
    <n v="16"/>
    <n v="62.5"/>
    <n v="6"/>
    <x v="1"/>
    <n v="65"/>
    <n v="20"/>
    <n v="13.5"/>
    <n v="15"/>
    <n v="3"/>
    <n v="10"/>
    <x v="0"/>
    <n v="-10"/>
  </r>
  <r>
    <n v="15"/>
    <x v="4"/>
    <n v="73.5"/>
    <n v="11"/>
    <n v="6"/>
    <n v="120"/>
    <n v="35"/>
    <n v="30"/>
    <m/>
    <n v="16"/>
    <n v="69.5"/>
    <n v="6"/>
    <x v="2"/>
    <n v="80"/>
    <n v="15"/>
    <n v="4"/>
    <n v="15"/>
    <n v="4"/>
    <n v="10"/>
    <x v="0"/>
    <n v="-30"/>
  </r>
  <r>
    <n v="15"/>
    <x v="5"/>
    <n v="67"/>
    <n v="11"/>
    <n v="6"/>
    <n v="90"/>
    <n v="80"/>
    <n v="15"/>
    <m/>
    <n v="16"/>
    <n v="71"/>
    <n v="6"/>
    <x v="0"/>
    <n v="95"/>
    <n v="10"/>
    <n v="-4"/>
    <n v="15"/>
    <n v="5"/>
    <n v="15"/>
    <x v="1"/>
    <n v="-10"/>
  </r>
  <r>
    <n v="15"/>
    <x v="6"/>
    <n v="62"/>
    <n v="11"/>
    <n v="6"/>
    <n v="100"/>
    <n v="65"/>
    <n v="20"/>
    <m/>
    <n v="16"/>
    <n v="66.5"/>
    <n v="6"/>
    <x v="1"/>
    <n v="65"/>
    <n v="20"/>
    <n v="-4.5"/>
    <n v="15"/>
    <n v="6"/>
    <n v="10"/>
    <x v="0"/>
    <n v="0"/>
  </r>
  <r>
    <n v="15"/>
    <x v="7"/>
    <n v="64.5"/>
    <n v="11"/>
    <n v="6"/>
    <n v="120"/>
    <n v="35"/>
    <n v="30"/>
    <m/>
    <n v="16"/>
    <n v="63.5"/>
    <n v="6"/>
    <x v="2"/>
    <n v="80"/>
    <n v="15"/>
    <n v="1"/>
    <n v="15"/>
    <n v="7"/>
    <n v="18"/>
    <x v="0"/>
    <n v="-30"/>
  </r>
  <r>
    <n v="15"/>
    <x v="8"/>
    <n v="64.5"/>
    <n v="11"/>
    <n v="6"/>
    <n v="120"/>
    <n v="35"/>
    <n v="30"/>
    <m/>
    <n v="16"/>
    <n v="64.5"/>
    <n v="6"/>
    <x v="1"/>
    <n v="65"/>
    <n v="20"/>
    <n v="0"/>
    <n v="15"/>
    <n v="8"/>
    <n v="8"/>
    <x v="0"/>
    <n v="-20"/>
  </r>
  <r>
    <n v="15"/>
    <x v="9"/>
    <n v="69"/>
    <n v="11"/>
    <n v="6"/>
    <n v="100"/>
    <n v="65"/>
    <n v="20"/>
    <m/>
    <n v="16"/>
    <n v="67.5"/>
    <n v="6"/>
    <x v="2"/>
    <n v="80"/>
    <n v="15"/>
    <n v="1.5"/>
    <n v="15"/>
    <n v="9"/>
    <n v="13"/>
    <x v="0"/>
    <n v="-10"/>
  </r>
  <r>
    <n v="16"/>
    <x v="0"/>
    <n v="72.5"/>
    <n v="11"/>
    <n v="6"/>
    <n v="110"/>
    <n v="50"/>
    <n v="25"/>
    <m/>
    <n v="17"/>
    <n v="81.5"/>
    <n v="6"/>
    <x v="1"/>
    <n v="65"/>
    <n v="20"/>
    <n v="-9"/>
    <n v="16"/>
    <n v="0"/>
    <n v="12"/>
    <x v="2"/>
    <n v="-10"/>
  </r>
  <r>
    <n v="16"/>
    <x v="1"/>
    <n v="64.5"/>
    <n v="11"/>
    <n v="6"/>
    <n v="100"/>
    <n v="65"/>
    <n v="20"/>
    <m/>
    <n v="17"/>
    <n v="69.5"/>
    <n v="6"/>
    <x v="3"/>
    <n v="50"/>
    <n v="25"/>
    <n v="-5"/>
    <n v="16"/>
    <n v="1"/>
    <n v="12"/>
    <x v="0"/>
    <n v="10"/>
  </r>
  <r>
    <n v="16"/>
    <x v="2"/>
    <n v="67.5"/>
    <n v="11"/>
    <n v="6"/>
    <n v="110"/>
    <n v="50"/>
    <n v="25"/>
    <m/>
    <n v="17"/>
    <n v="72"/>
    <n v="6"/>
    <x v="0"/>
    <n v="95"/>
    <n v="10"/>
    <n v="-4.5"/>
    <n v="16"/>
    <n v="2"/>
    <n v="11"/>
    <x v="1"/>
    <n v="-30"/>
  </r>
  <r>
    <n v="16"/>
    <x v="3"/>
    <n v="62.5"/>
    <n v="11"/>
    <n v="6"/>
    <n v="100"/>
    <n v="65"/>
    <n v="20"/>
    <m/>
    <n v="17"/>
    <n v="84.5"/>
    <n v="6"/>
    <x v="0"/>
    <n v="95"/>
    <n v="10"/>
    <n v="-22"/>
    <n v="16"/>
    <n v="3"/>
    <n v="14"/>
    <x v="2"/>
    <n v="-20"/>
  </r>
  <r>
    <n v="16"/>
    <x v="4"/>
    <n v="69.5"/>
    <n v="11"/>
    <n v="6"/>
    <n v="90"/>
    <n v="80"/>
    <n v="15"/>
    <m/>
    <n v="17"/>
    <n v="66.5"/>
    <n v="6"/>
    <x v="1"/>
    <n v="65"/>
    <n v="20"/>
    <n v="3"/>
    <n v="16"/>
    <n v="4"/>
    <n v="16"/>
    <x v="0"/>
    <n v="10"/>
  </r>
  <r>
    <n v="16"/>
    <x v="5"/>
    <n v="71"/>
    <n v="11"/>
    <n v="6"/>
    <n v="80"/>
    <n v="95"/>
    <n v="10"/>
    <m/>
    <n v="17"/>
    <n v="71.5"/>
    <n v="6"/>
    <x v="1"/>
    <n v="65"/>
    <n v="20"/>
    <n v="-0.5"/>
    <n v="16"/>
    <n v="5"/>
    <n v="11"/>
    <x v="1"/>
    <n v="20"/>
  </r>
  <r>
    <n v="16"/>
    <x v="6"/>
    <n v="65.5"/>
    <n v="11"/>
    <n v="6"/>
    <n v="100"/>
    <n v="65"/>
    <n v="20"/>
    <m/>
    <n v="17"/>
    <n v="66"/>
    <n v="6"/>
    <x v="1"/>
    <n v="65"/>
    <n v="20"/>
    <n v="-0.5"/>
    <n v="16"/>
    <n v="6"/>
    <n v="18"/>
    <x v="0"/>
    <n v="0"/>
  </r>
  <r>
    <n v="16"/>
    <x v="7"/>
    <n v="63.5"/>
    <n v="11"/>
    <n v="6"/>
    <n v="90"/>
    <n v="80"/>
    <n v="15"/>
    <m/>
    <n v="17"/>
    <n v="64"/>
    <n v="6"/>
    <x v="2"/>
    <n v="80"/>
    <n v="15"/>
    <n v="-0.5"/>
    <n v="16"/>
    <n v="7"/>
    <n v="10"/>
    <x v="0"/>
    <n v="0"/>
  </r>
  <r>
    <n v="16"/>
    <x v="8"/>
    <n v="64.5"/>
    <n v="11"/>
    <n v="6"/>
    <n v="100"/>
    <n v="65"/>
    <n v="20"/>
    <m/>
    <n v="17"/>
    <n v="74.5"/>
    <n v="6"/>
    <x v="2"/>
    <n v="80"/>
    <n v="15"/>
    <n v="-10"/>
    <n v="16"/>
    <n v="8"/>
    <n v="16"/>
    <x v="1"/>
    <n v="-10"/>
  </r>
  <r>
    <n v="16"/>
    <x v="9"/>
    <n v="67.5"/>
    <n v="11"/>
    <n v="6"/>
    <n v="90"/>
    <n v="80"/>
    <n v="15"/>
    <m/>
    <n v="17"/>
    <n v="65"/>
    <n v="6"/>
    <x v="0"/>
    <n v="95"/>
    <n v="10"/>
    <n v="2.5"/>
    <n v="16"/>
    <n v="9"/>
    <n v="15"/>
    <x v="0"/>
    <n v="-10"/>
  </r>
  <r>
    <n v="17"/>
    <x v="0"/>
    <n v="81.5"/>
    <n v="11"/>
    <n v="6"/>
    <n v="100"/>
    <n v="65"/>
    <n v="20"/>
    <m/>
    <n v="18"/>
    <n v="69.5"/>
    <n v="6"/>
    <x v="2"/>
    <n v="80"/>
    <n v="15"/>
    <n v="12"/>
    <n v="17"/>
    <n v="0"/>
    <n v="13"/>
    <x v="0"/>
    <n v="-10"/>
  </r>
  <r>
    <n v="17"/>
    <x v="1"/>
    <n v="69.5"/>
    <n v="11"/>
    <n v="6"/>
    <n v="110"/>
    <n v="50"/>
    <n v="25"/>
    <m/>
    <n v="18"/>
    <n v="65"/>
    <n v="6"/>
    <x v="3"/>
    <n v="50"/>
    <n v="25"/>
    <n v="4.5"/>
    <n v="17"/>
    <n v="1"/>
    <n v="13"/>
    <x v="0"/>
    <n v="0"/>
  </r>
  <r>
    <n v="17"/>
    <x v="2"/>
    <n v="72"/>
    <n v="11"/>
    <n v="6"/>
    <n v="80"/>
    <n v="95"/>
    <n v="10"/>
    <m/>
    <n v="18"/>
    <n v="73.5"/>
    <n v="6"/>
    <x v="0"/>
    <n v="95"/>
    <n v="10"/>
    <n v="-1.5"/>
    <n v="17"/>
    <n v="2"/>
    <n v="14"/>
    <x v="1"/>
    <n v="0"/>
  </r>
  <r>
    <n v="17"/>
    <x v="3"/>
    <n v="84.5"/>
    <n v="11"/>
    <n v="6"/>
    <n v="80"/>
    <n v="95"/>
    <n v="10"/>
    <m/>
    <n v="18"/>
    <n v="66"/>
    <n v="6"/>
    <x v="4"/>
    <n v="35"/>
    <n v="30"/>
    <n v="18.5"/>
    <n v="17"/>
    <n v="3"/>
    <n v="11"/>
    <x v="0"/>
    <n v="40"/>
  </r>
  <r>
    <n v="17"/>
    <x v="4"/>
    <n v="66.5"/>
    <n v="11"/>
    <n v="6"/>
    <n v="100"/>
    <n v="65"/>
    <n v="20"/>
    <m/>
    <n v="18"/>
    <n v="71.5"/>
    <n v="6"/>
    <x v="1"/>
    <n v="65"/>
    <n v="20"/>
    <n v="-5"/>
    <n v="17"/>
    <n v="4"/>
    <n v="9"/>
    <x v="1"/>
    <n v="0"/>
  </r>
  <r>
    <n v="17"/>
    <x v="5"/>
    <n v="71.5"/>
    <n v="11"/>
    <n v="6"/>
    <n v="100"/>
    <n v="65"/>
    <n v="20"/>
    <m/>
    <n v="18"/>
    <n v="68.5"/>
    <n v="6"/>
    <x v="1"/>
    <n v="65"/>
    <n v="20"/>
    <n v="3"/>
    <n v="17"/>
    <n v="5"/>
    <n v="14"/>
    <x v="0"/>
    <n v="0"/>
  </r>
  <r>
    <n v="17"/>
    <x v="6"/>
    <n v="66"/>
    <n v="11"/>
    <n v="6"/>
    <n v="100"/>
    <n v="65"/>
    <n v="20"/>
    <m/>
    <n v="18"/>
    <n v="72"/>
    <n v="6"/>
    <x v="2"/>
    <n v="80"/>
    <n v="15"/>
    <n v="-6"/>
    <n v="17"/>
    <n v="6"/>
    <n v="7"/>
    <x v="1"/>
    <n v="-10"/>
  </r>
  <r>
    <n v="17"/>
    <x v="7"/>
    <n v="64"/>
    <n v="11"/>
    <n v="6"/>
    <n v="90"/>
    <n v="80"/>
    <n v="15"/>
    <m/>
    <n v="18"/>
    <n v="72"/>
    <n v="6"/>
    <x v="3"/>
    <n v="50"/>
    <n v="25"/>
    <n v="-8"/>
    <n v="17"/>
    <n v="7"/>
    <n v="15"/>
    <x v="1"/>
    <n v="20"/>
  </r>
  <r>
    <n v="17"/>
    <x v="8"/>
    <n v="74.5"/>
    <n v="11"/>
    <n v="6"/>
    <n v="90"/>
    <n v="80"/>
    <n v="15"/>
    <m/>
    <n v="18"/>
    <n v="69.5"/>
    <n v="6"/>
    <x v="1"/>
    <n v="65"/>
    <n v="20"/>
    <n v="5"/>
    <n v="17"/>
    <n v="8"/>
    <n v="9"/>
    <x v="0"/>
    <n v="10"/>
  </r>
  <r>
    <n v="17"/>
    <x v="9"/>
    <n v="65"/>
    <n v="11"/>
    <n v="6"/>
    <n v="80"/>
    <n v="95"/>
    <n v="10"/>
    <m/>
    <n v="18"/>
    <n v="76.5"/>
    <n v="6"/>
    <x v="4"/>
    <n v="35"/>
    <n v="30"/>
    <n v="-11.5"/>
    <n v="17"/>
    <n v="9"/>
    <n v="10"/>
    <x v="1"/>
    <n v="40"/>
  </r>
  <r>
    <n v="18"/>
    <x v="0"/>
    <n v="69.5"/>
    <n v="11"/>
    <n v="6"/>
    <n v="90"/>
    <n v="80"/>
    <n v="15"/>
    <m/>
    <n v="19"/>
    <n v="77"/>
    <n v="6"/>
    <x v="1"/>
    <n v="65"/>
    <n v="20"/>
    <n v="-7.5"/>
    <n v="18"/>
    <n v="0"/>
    <n v="11"/>
    <x v="1"/>
    <n v="10"/>
  </r>
  <r>
    <n v="18"/>
    <x v="1"/>
    <n v="65"/>
    <n v="11"/>
    <n v="6"/>
    <n v="110"/>
    <n v="50"/>
    <n v="25"/>
    <m/>
    <n v="19"/>
    <n v="68"/>
    <n v="6"/>
    <x v="1"/>
    <n v="65"/>
    <n v="20"/>
    <n v="-3"/>
    <n v="18"/>
    <n v="1"/>
    <n v="12"/>
    <x v="0"/>
    <n v="-10"/>
  </r>
  <r>
    <n v="18"/>
    <x v="2"/>
    <n v="73.5"/>
    <n v="11"/>
    <n v="6"/>
    <n v="80"/>
    <n v="95"/>
    <n v="10"/>
    <m/>
    <n v="19"/>
    <n v="78"/>
    <n v="6"/>
    <x v="4"/>
    <n v="35"/>
    <n v="30"/>
    <n v="-4.5"/>
    <n v="18"/>
    <n v="2"/>
    <n v="13"/>
    <x v="1"/>
    <n v="40"/>
  </r>
  <r>
    <n v="18"/>
    <x v="3"/>
    <n v="66"/>
    <n v="11"/>
    <n v="6"/>
    <n v="120"/>
    <n v="35"/>
    <n v="30"/>
    <m/>
    <n v="19"/>
    <n v="67.5"/>
    <n v="6"/>
    <x v="3"/>
    <n v="50"/>
    <n v="25"/>
    <n v="-1.5"/>
    <n v="18"/>
    <n v="3"/>
    <n v="12"/>
    <x v="0"/>
    <n v="-10"/>
  </r>
  <r>
    <n v="18"/>
    <x v="4"/>
    <n v="71.5"/>
    <n v="11"/>
    <n v="6"/>
    <n v="100"/>
    <n v="65"/>
    <n v="20"/>
    <m/>
    <n v="19"/>
    <n v="61.5"/>
    <n v="6"/>
    <x v="1"/>
    <n v="65"/>
    <n v="20"/>
    <n v="10"/>
    <n v="18"/>
    <n v="4"/>
    <n v="19"/>
    <x v="0"/>
    <n v="0"/>
  </r>
  <r>
    <n v="18"/>
    <x v="5"/>
    <n v="68.5"/>
    <n v="11"/>
    <n v="6"/>
    <n v="100"/>
    <n v="65"/>
    <n v="20"/>
    <m/>
    <n v="19"/>
    <n v="71.5"/>
    <n v="6"/>
    <x v="1"/>
    <n v="65"/>
    <n v="20"/>
    <n v="-3"/>
    <n v="18"/>
    <n v="5"/>
    <n v="13"/>
    <x v="1"/>
    <n v="0"/>
  </r>
  <r>
    <n v="18"/>
    <x v="6"/>
    <n v="72"/>
    <n v="11"/>
    <n v="6"/>
    <n v="90"/>
    <n v="80"/>
    <n v="15"/>
    <m/>
    <n v="19"/>
    <n v="69"/>
    <n v="6"/>
    <x v="3"/>
    <n v="50"/>
    <n v="25"/>
    <n v="3"/>
    <n v="18"/>
    <n v="6"/>
    <n v="12"/>
    <x v="0"/>
    <n v="20"/>
  </r>
  <r>
    <n v="18"/>
    <x v="7"/>
    <n v="72"/>
    <n v="11"/>
    <n v="6"/>
    <n v="110"/>
    <n v="50"/>
    <n v="25"/>
    <m/>
    <n v="19"/>
    <n v="66"/>
    <n v="6"/>
    <x v="1"/>
    <n v="65"/>
    <n v="20"/>
    <n v="6"/>
    <n v="18"/>
    <n v="7"/>
    <n v="11"/>
    <x v="0"/>
    <n v="-10"/>
  </r>
  <r>
    <n v="18"/>
    <x v="8"/>
    <n v="69.5"/>
    <n v="11"/>
    <n v="6"/>
    <n v="100"/>
    <n v="65"/>
    <n v="20"/>
    <m/>
    <n v="19"/>
    <n v="68"/>
    <n v="6"/>
    <x v="0"/>
    <n v="95"/>
    <n v="10"/>
    <n v="1.5"/>
    <n v="18"/>
    <n v="8"/>
    <n v="13"/>
    <x v="0"/>
    <n v="-20"/>
  </r>
  <r>
    <n v="18"/>
    <x v="9"/>
    <n v="76.5"/>
    <n v="11"/>
    <n v="6"/>
    <n v="120"/>
    <n v="35"/>
    <n v="30"/>
    <m/>
    <n v="19"/>
    <n v="69.5"/>
    <n v="6"/>
    <x v="2"/>
    <n v="80"/>
    <n v="15"/>
    <n v="7"/>
    <n v="18"/>
    <n v="9"/>
    <n v="19"/>
    <x v="0"/>
    <n v="-30"/>
  </r>
  <r>
    <n v="19"/>
    <x v="0"/>
    <n v="77"/>
    <n v="11"/>
    <n v="6"/>
    <n v="100"/>
    <n v="65"/>
    <n v="20"/>
    <m/>
    <n v="20"/>
    <n v="72.5"/>
    <n v="6"/>
    <x v="0"/>
    <n v="95"/>
    <n v="10"/>
    <n v="4.5"/>
    <n v="19"/>
    <n v="0"/>
    <n v="12"/>
    <x v="1"/>
    <n v="-20"/>
  </r>
  <r>
    <n v="19"/>
    <x v="1"/>
    <n v="68"/>
    <n v="11"/>
    <n v="6"/>
    <n v="100"/>
    <n v="65"/>
    <n v="20"/>
    <m/>
    <n v="20"/>
    <n v="63.5"/>
    <n v="6"/>
    <x v="1"/>
    <n v="65"/>
    <n v="20"/>
    <n v="4.5"/>
    <n v="19"/>
    <n v="1"/>
    <n v="11"/>
    <x v="0"/>
    <n v="0"/>
  </r>
  <r>
    <n v="19"/>
    <x v="2"/>
    <n v="78"/>
    <n v="11"/>
    <n v="6"/>
    <n v="120"/>
    <n v="35"/>
    <n v="30"/>
    <m/>
    <n v="20"/>
    <n v="78"/>
    <n v="6"/>
    <x v="3"/>
    <n v="50"/>
    <n v="25"/>
    <n v="0"/>
    <n v="19"/>
    <n v="2"/>
    <n v="10"/>
    <x v="1"/>
    <n v="-10"/>
  </r>
  <r>
    <n v="19"/>
    <x v="3"/>
    <n v="67.5"/>
    <n v="11"/>
    <n v="6"/>
    <n v="110"/>
    <n v="50"/>
    <n v="25"/>
    <m/>
    <n v="20"/>
    <n v="74.5"/>
    <n v="6"/>
    <x v="4"/>
    <n v="35"/>
    <n v="30"/>
    <n v="-7"/>
    <n v="19"/>
    <n v="3"/>
    <n v="11"/>
    <x v="1"/>
    <n v="10"/>
  </r>
  <r>
    <n v="19"/>
    <x v="4"/>
    <n v="61.5"/>
    <n v="10"/>
    <n v="6"/>
    <n v="100"/>
    <n v="65"/>
    <n v="20"/>
    <m/>
    <n v="20"/>
    <n v="71.5"/>
    <n v="6"/>
    <x v="2"/>
    <n v="80"/>
    <n v="15"/>
    <n v="-10"/>
    <n v="19"/>
    <n v="4"/>
    <n v="7"/>
    <x v="1"/>
    <n v="-10"/>
  </r>
  <r>
    <n v="19"/>
    <x v="5"/>
    <n v="71.5"/>
    <n v="11"/>
    <n v="6"/>
    <n v="100"/>
    <n v="65"/>
    <n v="20"/>
    <m/>
    <n v="20"/>
    <n v="74.5"/>
    <n v="6"/>
    <x v="1"/>
    <n v="65"/>
    <n v="20"/>
    <n v="-3"/>
    <n v="19"/>
    <n v="5"/>
    <n v="13"/>
    <x v="1"/>
    <n v="0"/>
  </r>
  <r>
    <n v="19"/>
    <x v="6"/>
    <n v="69"/>
    <n v="11"/>
    <n v="6"/>
    <n v="110"/>
    <n v="50"/>
    <n v="25"/>
    <m/>
    <n v="20"/>
    <n v="71"/>
    <n v="6"/>
    <x v="1"/>
    <n v="65"/>
    <n v="20"/>
    <n v="-2"/>
    <n v="19"/>
    <n v="6"/>
    <n v="14"/>
    <x v="1"/>
    <n v="-10"/>
  </r>
  <r>
    <n v="19"/>
    <x v="7"/>
    <n v="66"/>
    <n v="11"/>
    <n v="6"/>
    <n v="100"/>
    <n v="65"/>
    <n v="20"/>
    <m/>
    <n v="20"/>
    <n v="68.5"/>
    <n v="6"/>
    <x v="0"/>
    <n v="95"/>
    <n v="10"/>
    <n v="-2.5"/>
    <n v="19"/>
    <n v="7"/>
    <n v="15"/>
    <x v="0"/>
    <n v="-20"/>
  </r>
  <r>
    <n v="19"/>
    <x v="8"/>
    <n v="68"/>
    <n v="11"/>
    <n v="6"/>
    <n v="80"/>
    <n v="95"/>
    <n v="10"/>
    <m/>
    <n v="20"/>
    <n v="68.5"/>
    <n v="6"/>
    <x v="1"/>
    <n v="65"/>
    <n v="20"/>
    <n v="-0.5"/>
    <n v="19"/>
    <n v="8"/>
    <n v="15"/>
    <x v="0"/>
    <n v="20"/>
  </r>
  <r>
    <n v="19"/>
    <x v="9"/>
    <n v="69.5"/>
    <n v="11"/>
    <n v="6"/>
    <n v="90"/>
    <n v="80"/>
    <n v="15"/>
    <m/>
    <n v="20"/>
    <n v="74"/>
    <n v="6"/>
    <x v="3"/>
    <n v="50"/>
    <n v="25"/>
    <n v="-4.5"/>
    <n v="19"/>
    <n v="9"/>
    <n v="7"/>
    <x v="1"/>
    <n v="20"/>
  </r>
  <r>
    <n v="20"/>
    <x v="0"/>
    <n v="72.5"/>
    <n v="11"/>
    <n v="6"/>
    <n v="80"/>
    <n v="95"/>
    <n v="10"/>
    <m/>
    <n v="21"/>
    <n v="66.5"/>
    <n v="6"/>
    <x v="3"/>
    <n v="50"/>
    <n v="25"/>
    <n v="6"/>
    <n v="20"/>
    <n v="0"/>
    <n v="13"/>
    <x v="0"/>
    <n v="30"/>
  </r>
  <r>
    <n v="20"/>
    <x v="1"/>
    <n v="63.5"/>
    <n v="10"/>
    <n v="6"/>
    <n v="100"/>
    <n v="65"/>
    <n v="20"/>
    <m/>
    <n v="21"/>
    <n v="69.5"/>
    <n v="6"/>
    <x v="1"/>
    <n v="65"/>
    <n v="20"/>
    <n v="-6"/>
    <n v="20"/>
    <n v="1"/>
    <n v="12"/>
    <x v="0"/>
    <n v="0"/>
  </r>
  <r>
    <n v="20"/>
    <x v="2"/>
    <n v="78"/>
    <n v="11"/>
    <n v="6"/>
    <n v="110"/>
    <n v="50"/>
    <n v="25"/>
    <m/>
    <n v="21"/>
    <n v="66.5"/>
    <n v="6"/>
    <x v="2"/>
    <n v="80"/>
    <n v="15"/>
    <n v="11.5"/>
    <n v="20"/>
    <n v="2"/>
    <n v="15"/>
    <x v="0"/>
    <n v="-20"/>
  </r>
  <r>
    <n v="20"/>
    <x v="3"/>
    <n v="74.5"/>
    <n v="11"/>
    <n v="6"/>
    <n v="120"/>
    <n v="35"/>
    <n v="30"/>
    <m/>
    <n v="21"/>
    <n v="60.5"/>
    <n v="6"/>
    <x v="3"/>
    <n v="50"/>
    <n v="25"/>
    <n v="14"/>
    <n v="20"/>
    <n v="3"/>
    <n v="14"/>
    <x v="0"/>
    <n v="-10"/>
  </r>
  <r>
    <n v="20"/>
    <x v="4"/>
    <n v="71.5"/>
    <n v="11"/>
    <n v="6"/>
    <n v="90"/>
    <n v="80"/>
    <n v="15"/>
    <m/>
    <n v="21"/>
    <n v="67"/>
    <n v="6"/>
    <x v="0"/>
    <n v="95"/>
    <n v="10"/>
    <n v="4.5"/>
    <n v="20"/>
    <n v="4"/>
    <n v="18"/>
    <x v="0"/>
    <n v="-10"/>
  </r>
  <r>
    <n v="20"/>
    <x v="5"/>
    <n v="74.5"/>
    <n v="11"/>
    <n v="6"/>
    <n v="100"/>
    <n v="65"/>
    <n v="20"/>
    <m/>
    <n v="21"/>
    <n v="69"/>
    <n v="6"/>
    <x v="4"/>
    <n v="35"/>
    <n v="30"/>
    <n v="5.5"/>
    <n v="20"/>
    <n v="5"/>
    <n v="11"/>
    <x v="0"/>
    <n v="20"/>
  </r>
  <r>
    <n v="20"/>
    <x v="6"/>
    <n v="71"/>
    <n v="11"/>
    <n v="6"/>
    <n v="100"/>
    <n v="65"/>
    <n v="20"/>
    <m/>
    <n v="21"/>
    <n v="76.5"/>
    <n v="6"/>
    <x v="0"/>
    <n v="95"/>
    <n v="10"/>
    <n v="-5.5"/>
    <n v="20"/>
    <n v="6"/>
    <n v="11"/>
    <x v="1"/>
    <n v="-20"/>
  </r>
  <r>
    <n v="20"/>
    <x v="7"/>
    <n v="68.5"/>
    <n v="11"/>
    <n v="6"/>
    <n v="80"/>
    <n v="95"/>
    <n v="10"/>
    <m/>
    <n v="21"/>
    <n v="67"/>
    <n v="6"/>
    <x v="3"/>
    <n v="50"/>
    <n v="25"/>
    <n v="1.5"/>
    <n v="20"/>
    <n v="7"/>
    <n v="10"/>
    <x v="0"/>
    <n v="30"/>
  </r>
  <r>
    <n v="20"/>
    <x v="8"/>
    <n v="68.5"/>
    <n v="11"/>
    <n v="6"/>
    <n v="100"/>
    <n v="65"/>
    <n v="20"/>
    <m/>
    <n v="21"/>
    <n v="70.5"/>
    <n v="6"/>
    <x v="3"/>
    <n v="50"/>
    <n v="25"/>
    <n v="-2"/>
    <n v="20"/>
    <n v="8"/>
    <n v="8"/>
    <x v="1"/>
    <n v="10"/>
  </r>
  <r>
    <n v="20"/>
    <x v="9"/>
    <n v="74"/>
    <n v="11"/>
    <n v="6"/>
    <n v="110"/>
    <n v="50"/>
    <n v="25"/>
    <m/>
    <n v="21"/>
    <n v="70"/>
    <n v="6"/>
    <x v="4"/>
    <n v="35"/>
    <n v="30"/>
    <n v="4"/>
    <n v="20"/>
    <n v="9"/>
    <n v="18"/>
    <x v="1"/>
    <n v="10"/>
  </r>
  <r>
    <n v="21"/>
    <x v="0"/>
    <n v="66.5"/>
    <n v="11"/>
    <n v="6"/>
    <n v="110"/>
    <n v="50"/>
    <n v="25"/>
    <m/>
    <n v="22"/>
    <n v="0"/>
    <n v="6"/>
    <x v="1"/>
    <n v="65"/>
    <n v="20"/>
    <n v="66.5"/>
    <n v="20"/>
    <n v="9"/>
    <n v="18"/>
    <x v="4"/>
    <n v="-10"/>
  </r>
  <r>
    <n v="21"/>
    <x v="1"/>
    <n v="69.5"/>
    <n v="11"/>
    <n v="6"/>
    <n v="100"/>
    <n v="65"/>
    <n v="20"/>
    <m/>
    <n v="22"/>
    <n v="0"/>
    <n v="6"/>
    <x v="1"/>
    <n v="65"/>
    <n v="20"/>
    <n v="69.5"/>
    <n v="20"/>
    <n v="9"/>
    <n v="18"/>
    <x v="4"/>
    <n v="0"/>
  </r>
  <r>
    <n v="21"/>
    <x v="2"/>
    <n v="66.5"/>
    <n v="11"/>
    <n v="6"/>
    <n v="90"/>
    <n v="80"/>
    <n v="15"/>
    <m/>
    <n v="22"/>
    <n v="0"/>
    <n v="6"/>
    <x v="1"/>
    <n v="65"/>
    <n v="20"/>
    <n v="66.5"/>
    <n v="20"/>
    <n v="9"/>
    <n v="18"/>
    <x v="4"/>
    <n v="10"/>
  </r>
  <r>
    <n v="21"/>
    <x v="3"/>
    <n v="60.5"/>
    <n v="10"/>
    <n v="6"/>
    <n v="110"/>
    <n v="50"/>
    <n v="25"/>
    <m/>
    <n v="22"/>
    <n v="0"/>
    <n v="6"/>
    <x v="1"/>
    <n v="65"/>
    <n v="20"/>
    <n v="60.5"/>
    <n v="20"/>
    <n v="9"/>
    <n v="18"/>
    <x v="4"/>
    <n v="-10"/>
  </r>
  <r>
    <n v="21"/>
    <x v="4"/>
    <n v="67"/>
    <n v="11"/>
    <n v="6"/>
    <n v="80"/>
    <n v="95"/>
    <n v="10"/>
    <m/>
    <n v="22"/>
    <n v="0"/>
    <n v="6"/>
    <x v="1"/>
    <n v="65"/>
    <n v="20"/>
    <n v="67"/>
    <n v="20"/>
    <n v="9"/>
    <n v="18"/>
    <x v="4"/>
    <n v="20"/>
  </r>
  <r>
    <n v="21"/>
    <x v="5"/>
    <n v="69"/>
    <n v="11"/>
    <n v="6"/>
    <n v="120"/>
    <n v="35"/>
    <n v="30"/>
    <m/>
    <n v="22"/>
    <n v="0"/>
    <n v="6"/>
    <x v="1"/>
    <n v="65"/>
    <n v="20"/>
    <n v="69"/>
    <n v="20"/>
    <n v="9"/>
    <n v="18"/>
    <x v="4"/>
    <n v="-20"/>
  </r>
  <r>
    <n v="21"/>
    <x v="6"/>
    <n v="76.5"/>
    <n v="11"/>
    <n v="6"/>
    <n v="80"/>
    <n v="95"/>
    <n v="10"/>
    <m/>
    <n v="22"/>
    <n v="0"/>
    <n v="6"/>
    <x v="1"/>
    <n v="65"/>
    <n v="20"/>
    <n v="76.5"/>
    <n v="20"/>
    <n v="9"/>
    <n v="18"/>
    <x v="4"/>
    <n v="20"/>
  </r>
  <r>
    <n v="21"/>
    <x v="7"/>
    <n v="67"/>
    <n v="11"/>
    <n v="6"/>
    <n v="110"/>
    <n v="50"/>
    <n v="25"/>
    <m/>
    <n v="22"/>
    <n v="0"/>
    <n v="6"/>
    <x v="1"/>
    <n v="65"/>
    <n v="20"/>
    <n v="67"/>
    <n v="20"/>
    <n v="9"/>
    <n v="18"/>
    <x v="4"/>
    <n v="-10"/>
  </r>
  <r>
    <n v="21"/>
    <x v="8"/>
    <n v="70.5"/>
    <n v="11"/>
    <n v="6"/>
    <n v="110"/>
    <n v="50"/>
    <n v="25"/>
    <m/>
    <n v="22"/>
    <n v="0"/>
    <n v="6"/>
    <x v="1"/>
    <n v="65"/>
    <n v="20"/>
    <n v="70.5"/>
    <n v="20"/>
    <n v="9"/>
    <n v="18"/>
    <x v="4"/>
    <n v="-10"/>
  </r>
  <r>
    <n v="21"/>
    <x v="9"/>
    <n v="70"/>
    <n v="11"/>
    <n v="6"/>
    <n v="120"/>
    <n v="35"/>
    <n v="30"/>
    <m/>
    <n v="22"/>
    <n v="0"/>
    <n v="6"/>
    <x v="1"/>
    <n v="65"/>
    <n v="20"/>
    <n v="70"/>
    <n v="20"/>
    <n v="9"/>
    <n v="18"/>
    <x v="4"/>
    <n v="-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4ACC7-92B3-4860-BA23-D2802F9B70EA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D2:AJ14" firstHeaderRow="1" firstDataRow="2" firstDataCol="1"/>
  <pivotFields count="21"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4"/>
        <item x="3"/>
        <item x="0"/>
        <item x="1"/>
        <item x="2"/>
        <item t="default"/>
      </items>
    </pivotField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eggio di a1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9EFB-FE0C-45E5-BC94-F13B1D52580C}">
  <sheetPr codeName="Sheet4"/>
  <dimension ref="A2:AG211"/>
  <sheetViews>
    <sheetView workbookViewId="0">
      <selection activeCell="P4" sqref="P4"/>
    </sheetView>
  </sheetViews>
  <sheetFormatPr defaultRowHeight="14.25"/>
  <cols>
    <col min="2" max="2" width="10.625" bestFit="1" customWidth="1"/>
    <col min="4" max="27" width="5.375" customWidth="1"/>
  </cols>
  <sheetData>
    <row r="2" spans="1:33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>
      <c r="A3">
        <v>0</v>
      </c>
      <c r="B3" s="3" t="s">
        <v>18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47</v>
      </c>
      <c r="AF3" t="s">
        <v>29</v>
      </c>
    </row>
    <row r="4" spans="1:33">
      <c r="A4">
        <v>1</v>
      </c>
      <c r="B4" s="3" t="s">
        <v>19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47</v>
      </c>
      <c r="AF4">
        <v>75.5</v>
      </c>
      <c r="AG4">
        <v>67</v>
      </c>
    </row>
    <row r="5" spans="1:33">
      <c r="A5">
        <v>2</v>
      </c>
      <c r="B5" s="3" t="s">
        <v>20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47</v>
      </c>
      <c r="AF5">
        <v>73.5</v>
      </c>
      <c r="AG5">
        <v>67.5</v>
      </c>
    </row>
    <row r="6" spans="1:33">
      <c r="A6">
        <v>3</v>
      </c>
      <c r="B6" s="3" t="s">
        <v>21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47</v>
      </c>
      <c r="AF6">
        <v>79</v>
      </c>
      <c r="AG6">
        <v>72.5</v>
      </c>
    </row>
    <row r="7" spans="1:33">
      <c r="A7">
        <v>4</v>
      </c>
      <c r="B7" s="3" t="s">
        <v>23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47</v>
      </c>
      <c r="AF7">
        <v>75</v>
      </c>
      <c r="AG7">
        <v>70</v>
      </c>
    </row>
    <row r="8" spans="1:33">
      <c r="A8">
        <v>5</v>
      </c>
      <c r="B8" s="3" t="s">
        <v>22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47</v>
      </c>
      <c r="AF8">
        <v>77</v>
      </c>
      <c r="AG8">
        <v>72</v>
      </c>
    </row>
    <row r="9" spans="1:33">
      <c r="A9">
        <v>6</v>
      </c>
      <c r="B9" s="3" t="s">
        <v>24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47</v>
      </c>
      <c r="AF9">
        <v>70.5</v>
      </c>
      <c r="AG9">
        <v>61.5</v>
      </c>
    </row>
    <row r="10" spans="1:33">
      <c r="A10">
        <v>7</v>
      </c>
      <c r="B10" s="3" t="s">
        <v>27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47</v>
      </c>
      <c r="AF10">
        <v>75.5</v>
      </c>
      <c r="AG10">
        <v>67.5</v>
      </c>
    </row>
    <row r="11" spans="1:33">
      <c r="A11">
        <v>8</v>
      </c>
      <c r="B11" s="3" t="s">
        <v>25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47</v>
      </c>
      <c r="AF11">
        <v>77.5</v>
      </c>
      <c r="AG11">
        <v>76</v>
      </c>
    </row>
    <row r="12" spans="1:33">
      <c r="A12">
        <v>9</v>
      </c>
      <c r="B12" s="3" t="s">
        <v>26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47</v>
      </c>
      <c r="AF12">
        <v>81.5</v>
      </c>
      <c r="AG12">
        <v>73</v>
      </c>
    </row>
    <row r="13" spans="1:33">
      <c r="C13" s="3">
        <f>SUM(C3:C12)</f>
        <v>13222</v>
      </c>
      <c r="AE13" t="s">
        <v>47</v>
      </c>
      <c r="AF13">
        <v>76</v>
      </c>
      <c r="AG13">
        <v>74</v>
      </c>
    </row>
    <row r="14" spans="1:33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48</v>
      </c>
      <c r="AF14" t="s">
        <v>30</v>
      </c>
    </row>
    <row r="15" spans="1:33">
      <c r="A15">
        <v>0</v>
      </c>
      <c r="B15" s="3" t="s">
        <v>18</v>
      </c>
      <c r="C15" s="3">
        <f>SUM(D15:AA15)</f>
        <v>1372.5</v>
      </c>
      <c r="D15" s="3">
        <v>75.5</v>
      </c>
      <c r="E15" s="3">
        <v>72.5</v>
      </c>
      <c r="F15" s="3">
        <v>59</v>
      </c>
      <c r="G15" s="3">
        <v>71.5</v>
      </c>
      <c r="H15" s="3">
        <v>77.5</v>
      </c>
      <c r="I15" s="3">
        <v>73</v>
      </c>
      <c r="J15" s="3">
        <v>72</v>
      </c>
      <c r="K15" s="3">
        <v>68</v>
      </c>
      <c r="L15" s="3">
        <v>70.5</v>
      </c>
      <c r="M15" s="3">
        <v>67</v>
      </c>
      <c r="N15" s="3">
        <v>67</v>
      </c>
      <c r="O15" s="3">
        <v>87.5</v>
      </c>
      <c r="P15" s="3">
        <v>68.5</v>
      </c>
      <c r="Q15" s="3">
        <v>69</v>
      </c>
      <c r="R15" s="3">
        <v>74</v>
      </c>
      <c r="S15" s="3">
        <v>72.5</v>
      </c>
      <c r="T15" s="3">
        <v>83</v>
      </c>
      <c r="U15" s="3">
        <v>68.5</v>
      </c>
      <c r="V15" s="3">
        <v>76</v>
      </c>
      <c r="W15" s="3"/>
      <c r="X15" s="3"/>
      <c r="Y15" s="3"/>
      <c r="Z15" s="3"/>
      <c r="AA15" s="3"/>
      <c r="AC15">
        <f>COUNTIF(D15:AA24,"&gt;70")</f>
        <v>95</v>
      </c>
      <c r="AE15" t="s">
        <v>48</v>
      </c>
      <c r="AF15">
        <v>72.5</v>
      </c>
      <c r="AG15">
        <v>72.5</v>
      </c>
    </row>
    <row r="16" spans="1:33">
      <c r="A16">
        <v>1</v>
      </c>
      <c r="B16" s="3" t="s">
        <v>19</v>
      </c>
      <c r="C16" s="3">
        <f t="shared" ref="C16:C24" si="1">SUM(D16:AA16)</f>
        <v>1307.5</v>
      </c>
      <c r="D16" s="3">
        <v>73.5</v>
      </c>
      <c r="E16" s="3">
        <v>71.5</v>
      </c>
      <c r="F16" s="3">
        <v>69</v>
      </c>
      <c r="G16" s="3">
        <v>73.5</v>
      </c>
      <c r="H16" s="3">
        <v>80.5</v>
      </c>
      <c r="I16" s="3">
        <v>62</v>
      </c>
      <c r="J16" s="3">
        <v>65.5</v>
      </c>
      <c r="K16" s="3">
        <v>68.5</v>
      </c>
      <c r="L16" s="3">
        <v>73</v>
      </c>
      <c r="M16" s="3">
        <v>80.5</v>
      </c>
      <c r="N16" s="3">
        <v>62.5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48</v>
      </c>
      <c r="AF16">
        <v>71.5</v>
      </c>
      <c r="AG16">
        <v>72</v>
      </c>
    </row>
    <row r="17" spans="1:33">
      <c r="A17">
        <v>2</v>
      </c>
      <c r="B17" s="3" t="s">
        <v>20</v>
      </c>
      <c r="C17" s="3">
        <f t="shared" si="1"/>
        <v>1437.5</v>
      </c>
      <c r="D17" s="3">
        <v>79</v>
      </c>
      <c r="E17" s="3">
        <v>68</v>
      </c>
      <c r="F17" s="3">
        <v>85</v>
      </c>
      <c r="G17" s="3">
        <v>68.5</v>
      </c>
      <c r="H17" s="3">
        <v>78</v>
      </c>
      <c r="I17" s="3">
        <v>80</v>
      </c>
      <c r="J17" s="3">
        <v>76</v>
      </c>
      <c r="K17" s="3">
        <v>82</v>
      </c>
      <c r="L17" s="3">
        <v>67.5</v>
      </c>
      <c r="M17" s="3">
        <v>85</v>
      </c>
      <c r="N17" s="3">
        <v>78</v>
      </c>
      <c r="O17" s="3">
        <v>72</v>
      </c>
      <c r="P17" s="3">
        <v>82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48</v>
      </c>
      <c r="AF17">
        <v>68</v>
      </c>
      <c r="AG17">
        <v>69</v>
      </c>
    </row>
    <row r="18" spans="1:33">
      <c r="A18">
        <v>3</v>
      </c>
      <c r="B18" s="3" t="s">
        <v>21</v>
      </c>
      <c r="C18" s="3">
        <f t="shared" si="1"/>
        <v>1326</v>
      </c>
      <c r="D18" s="3">
        <v>75</v>
      </c>
      <c r="E18" s="3">
        <v>69</v>
      </c>
      <c r="F18" s="3">
        <v>67</v>
      </c>
      <c r="G18" s="3">
        <v>68.5</v>
      </c>
      <c r="H18" s="3">
        <v>66.5</v>
      </c>
      <c r="I18" s="3">
        <v>70</v>
      </c>
      <c r="J18" s="3">
        <v>65</v>
      </c>
      <c r="K18" s="3">
        <v>68.5</v>
      </c>
      <c r="L18" s="3">
        <v>68.5</v>
      </c>
      <c r="M18" s="3">
        <v>61</v>
      </c>
      <c r="N18" s="3">
        <v>72</v>
      </c>
      <c r="O18" s="3">
        <v>77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66</v>
      </c>
      <c r="V18" s="3">
        <v>70</v>
      </c>
      <c r="W18" s="3"/>
      <c r="X18" s="3"/>
      <c r="Y18" s="3"/>
      <c r="Z18" s="3"/>
      <c r="AA18" s="3"/>
      <c r="AE18" t="s">
        <v>48</v>
      </c>
      <c r="AF18">
        <v>69</v>
      </c>
      <c r="AG18">
        <v>65</v>
      </c>
    </row>
    <row r="19" spans="1:33">
      <c r="A19">
        <v>4</v>
      </c>
      <c r="B19" s="3" t="s">
        <v>23</v>
      </c>
      <c r="C19" s="3">
        <f t="shared" si="1"/>
        <v>1291.5</v>
      </c>
      <c r="D19" s="3">
        <v>77</v>
      </c>
      <c r="E19" s="3">
        <v>81.5</v>
      </c>
      <c r="F19" s="3">
        <v>75</v>
      </c>
      <c r="G19" s="3">
        <v>62.5</v>
      </c>
      <c r="H19" s="3">
        <v>60</v>
      </c>
      <c r="I19" s="3">
        <v>65</v>
      </c>
      <c r="J19" s="3">
        <v>63</v>
      </c>
      <c r="K19" s="3">
        <v>61</v>
      </c>
      <c r="L19" s="3">
        <v>60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71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48</v>
      </c>
      <c r="AF19">
        <v>81.5</v>
      </c>
      <c r="AG19">
        <v>75</v>
      </c>
    </row>
    <row r="20" spans="1:33">
      <c r="A20">
        <v>5</v>
      </c>
      <c r="B20" s="3" t="s">
        <v>22</v>
      </c>
      <c r="C20" s="3">
        <f t="shared" si="1"/>
        <v>1379</v>
      </c>
      <c r="D20" s="3">
        <v>70.5</v>
      </c>
      <c r="E20" s="3">
        <v>84.5</v>
      </c>
      <c r="F20" s="3">
        <v>71.5</v>
      </c>
      <c r="G20" s="3">
        <v>80.5</v>
      </c>
      <c r="H20" s="3">
        <v>75</v>
      </c>
      <c r="I20" s="3">
        <v>68</v>
      </c>
      <c r="J20" s="3">
        <v>64</v>
      </c>
      <c r="K20" s="3">
        <v>61</v>
      </c>
      <c r="L20" s="3">
        <v>72</v>
      </c>
      <c r="M20" s="3">
        <v>70</v>
      </c>
      <c r="N20" s="3">
        <v>85</v>
      </c>
      <c r="O20" s="3">
        <v>70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79</v>
      </c>
      <c r="V20" s="3">
        <v>79.5</v>
      </c>
      <c r="W20" s="3"/>
      <c r="X20" s="3"/>
      <c r="Y20" s="3"/>
      <c r="Z20" s="3"/>
      <c r="AA20" s="3"/>
      <c r="AE20" t="s">
        <v>48</v>
      </c>
      <c r="AF20">
        <v>84.5</v>
      </c>
      <c r="AG20">
        <v>85.5</v>
      </c>
    </row>
    <row r="21" spans="1:33">
      <c r="A21">
        <v>6</v>
      </c>
      <c r="B21" s="3" t="s">
        <v>24</v>
      </c>
      <c r="C21" s="3">
        <f t="shared" si="1"/>
        <v>1330</v>
      </c>
      <c r="D21" s="3">
        <v>75.5</v>
      </c>
      <c r="E21" s="3">
        <v>72</v>
      </c>
      <c r="F21" s="3">
        <v>78.5</v>
      </c>
      <c r="G21" s="3">
        <v>72</v>
      </c>
      <c r="H21" s="3">
        <v>82</v>
      </c>
      <c r="I21" s="3">
        <v>74.5</v>
      </c>
      <c r="J21" s="3">
        <v>74.5</v>
      </c>
      <c r="K21" s="3">
        <v>62</v>
      </c>
      <c r="L21" s="3">
        <v>69</v>
      </c>
      <c r="M21" s="3">
        <v>72.5</v>
      </c>
      <c r="N21" s="3">
        <v>61.5</v>
      </c>
      <c r="O21" s="3">
        <v>69.5</v>
      </c>
      <c r="P21" s="3">
        <v>70.5</v>
      </c>
      <c r="Q21" s="3">
        <v>63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48</v>
      </c>
      <c r="AF21">
        <v>72</v>
      </c>
      <c r="AG21">
        <v>72.5</v>
      </c>
    </row>
    <row r="22" spans="1:33">
      <c r="A22">
        <v>7</v>
      </c>
      <c r="B22" s="3" t="s">
        <v>27</v>
      </c>
      <c r="C22" s="3">
        <f t="shared" si="1"/>
        <v>1382</v>
      </c>
      <c r="D22" s="3">
        <v>77.5</v>
      </c>
      <c r="E22" s="3">
        <v>76.5</v>
      </c>
      <c r="F22" s="3">
        <v>61.5</v>
      </c>
      <c r="G22" s="3">
        <v>79.5</v>
      </c>
      <c r="H22" s="3">
        <v>72</v>
      </c>
      <c r="I22" s="3">
        <v>69.5</v>
      </c>
      <c r="J22" s="3">
        <v>68</v>
      </c>
      <c r="K22" s="3">
        <v>67.5</v>
      </c>
      <c r="L22" s="3">
        <v>69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72</v>
      </c>
      <c r="U22" s="3">
        <v>76</v>
      </c>
      <c r="V22" s="3">
        <v>69.5</v>
      </c>
      <c r="W22" s="3"/>
      <c r="X22" s="3"/>
      <c r="Y22" s="3"/>
      <c r="Z22" s="3"/>
      <c r="AA22" s="3"/>
      <c r="AE22" t="s">
        <v>48</v>
      </c>
      <c r="AF22">
        <v>76.5</v>
      </c>
      <c r="AG22">
        <v>70</v>
      </c>
    </row>
    <row r="23" spans="1:33">
      <c r="A23">
        <v>8</v>
      </c>
      <c r="B23" s="3" t="s">
        <v>25</v>
      </c>
      <c r="C23" s="3">
        <f t="shared" si="1"/>
        <v>1346.5</v>
      </c>
      <c r="D23" s="3">
        <v>81.5</v>
      </c>
      <c r="E23" s="3">
        <v>69</v>
      </c>
      <c r="F23" s="3">
        <v>75.5</v>
      </c>
      <c r="G23" s="3">
        <v>70.5</v>
      </c>
      <c r="H23" s="3">
        <v>67</v>
      </c>
      <c r="I23" s="3">
        <v>67</v>
      </c>
      <c r="J23" s="3">
        <v>72.5</v>
      </c>
      <c r="K23" s="3">
        <v>61</v>
      </c>
      <c r="L23" s="3">
        <v>79.5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48</v>
      </c>
      <c r="AF23">
        <v>69</v>
      </c>
      <c r="AG23">
        <v>71.5</v>
      </c>
    </row>
    <row r="24" spans="1:33">
      <c r="A24">
        <v>9</v>
      </c>
      <c r="B24" s="3" t="s">
        <v>26</v>
      </c>
      <c r="C24" s="3">
        <f t="shared" si="1"/>
        <v>1389.5</v>
      </c>
      <c r="D24" s="3">
        <v>76</v>
      </c>
      <c r="E24" s="3">
        <v>71.5</v>
      </c>
      <c r="F24" s="3">
        <v>87.5</v>
      </c>
      <c r="G24" s="3">
        <v>61.5</v>
      </c>
      <c r="H24" s="3">
        <v>66</v>
      </c>
      <c r="I24" s="3">
        <v>84.5</v>
      </c>
      <c r="J24" s="3">
        <v>68.5</v>
      </c>
      <c r="K24" s="3">
        <v>89.5</v>
      </c>
      <c r="L24" s="3">
        <v>86.5</v>
      </c>
      <c r="M24" s="3">
        <v>65</v>
      </c>
      <c r="N24" s="3">
        <v>67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75.5</v>
      </c>
      <c r="V24" s="3">
        <v>74</v>
      </c>
      <c r="W24" s="3"/>
      <c r="X24" s="3"/>
      <c r="Y24" s="3"/>
      <c r="Z24" s="3"/>
      <c r="AA24" s="3"/>
      <c r="AE24" t="s">
        <v>48</v>
      </c>
      <c r="AF24">
        <v>71.5</v>
      </c>
      <c r="AG24">
        <v>69</v>
      </c>
    </row>
    <row r="25" spans="1:33">
      <c r="C25" s="3">
        <f>SUM(C15:C24)</f>
        <v>13562</v>
      </c>
      <c r="AE25" t="s">
        <v>49</v>
      </c>
      <c r="AF25" t="s">
        <v>31</v>
      </c>
    </row>
    <row r="26" spans="1:33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49</v>
      </c>
      <c r="AF26">
        <v>59</v>
      </c>
      <c r="AG26">
        <v>58</v>
      </c>
    </row>
    <row r="27" spans="1:33">
      <c r="A27">
        <v>0</v>
      </c>
      <c r="B27" s="3" t="s">
        <v>18</v>
      </c>
      <c r="C27" s="3">
        <f t="shared" ref="C27:C36" si="2">SUM(D27:AA27)</f>
        <v>37</v>
      </c>
      <c r="D27" s="3">
        <f t="shared" ref="D27:V36" si="3">D15-D3</f>
        <v>8.5</v>
      </c>
      <c r="E27" s="3">
        <f t="shared" si="3"/>
        <v>0</v>
      </c>
      <c r="F27" s="3">
        <f t="shared" si="3"/>
        <v>1</v>
      </c>
      <c r="G27" s="3">
        <f t="shared" si="3"/>
        <v>2.5</v>
      </c>
      <c r="H27" s="3">
        <f t="shared" si="3"/>
        <v>0</v>
      </c>
      <c r="I27" s="3">
        <f t="shared" si="3"/>
        <v>-0.5</v>
      </c>
      <c r="J27" s="3">
        <f t="shared" si="3"/>
        <v>-1</v>
      </c>
      <c r="K27" s="3">
        <f t="shared" si="3"/>
        <v>5</v>
      </c>
      <c r="L27" s="3">
        <f t="shared" si="3"/>
        <v>3.5</v>
      </c>
      <c r="M27" s="3">
        <f t="shared" si="3"/>
        <v>0.5</v>
      </c>
      <c r="N27" s="3">
        <f t="shared" si="3"/>
        <v>8</v>
      </c>
      <c r="O27" s="3">
        <f t="shared" si="3"/>
        <v>0</v>
      </c>
      <c r="P27" s="3">
        <f t="shared" si="3"/>
        <v>2</v>
      </c>
      <c r="Q27" s="3">
        <f t="shared" si="3"/>
        <v>-2.5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2.5</v>
      </c>
      <c r="V27" s="3">
        <f t="shared" si="3"/>
        <v>1</v>
      </c>
      <c r="W27" s="3"/>
      <c r="X27" s="3"/>
      <c r="Y27" s="3"/>
      <c r="Z27" s="3"/>
      <c r="AA27" s="3"/>
      <c r="AB27" s="2">
        <f>(C15-C3)/C15</f>
        <v>2.6958105646630239E-2</v>
      </c>
      <c r="AC27">
        <f>COUNTIF(D27:AA36,"&gt;0")</f>
        <v>121</v>
      </c>
      <c r="AE27" t="s">
        <v>49</v>
      </c>
      <c r="AF27">
        <v>69</v>
      </c>
      <c r="AG27">
        <v>69.5</v>
      </c>
    </row>
    <row r="28" spans="1:33">
      <c r="A28">
        <v>1</v>
      </c>
      <c r="B28" s="3" t="s">
        <v>19</v>
      </c>
      <c r="C28" s="3">
        <f t="shared" si="2"/>
        <v>7</v>
      </c>
      <c r="D28" s="3">
        <f t="shared" si="3"/>
        <v>6</v>
      </c>
      <c r="E28" s="3">
        <f t="shared" si="3"/>
        <v>-0.5</v>
      </c>
      <c r="F28" s="3">
        <f t="shared" si="3"/>
        <v>-0.5</v>
      </c>
      <c r="G28" s="3">
        <f t="shared" si="3"/>
        <v>1</v>
      </c>
      <c r="H28" s="3">
        <f t="shared" si="3"/>
        <v>-1.5</v>
      </c>
      <c r="I28" s="3">
        <f t="shared" si="3"/>
        <v>-2</v>
      </c>
      <c r="J28" s="3">
        <f t="shared" si="3"/>
        <v>0</v>
      </c>
      <c r="K28" s="3">
        <f t="shared" si="3"/>
        <v>3</v>
      </c>
      <c r="L28" s="3">
        <f t="shared" si="3"/>
        <v>3</v>
      </c>
      <c r="M28" s="3">
        <f t="shared" si="3"/>
        <v>3</v>
      </c>
      <c r="N28" s="3">
        <f t="shared" si="3"/>
        <v>1.5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5.3537284894837472E-3</v>
      </c>
      <c r="AE28" t="s">
        <v>49</v>
      </c>
      <c r="AF28">
        <v>85</v>
      </c>
      <c r="AG28">
        <v>82</v>
      </c>
    </row>
    <row r="29" spans="1:33">
      <c r="A29">
        <v>2</v>
      </c>
      <c r="B29" s="3" t="s">
        <v>20</v>
      </c>
      <c r="C29" s="3">
        <f t="shared" si="2"/>
        <v>62.5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0.5</v>
      </c>
      <c r="H29" s="3">
        <f t="shared" si="3"/>
        <v>3.5</v>
      </c>
      <c r="I29" s="3">
        <f t="shared" si="3"/>
        <v>6</v>
      </c>
      <c r="J29" s="3">
        <f t="shared" si="3"/>
        <v>3.5</v>
      </c>
      <c r="K29" s="3">
        <f t="shared" si="3"/>
        <v>4.5</v>
      </c>
      <c r="L29" s="3">
        <f t="shared" si="3"/>
        <v>-4.5</v>
      </c>
      <c r="M29" s="3">
        <f t="shared" si="3"/>
        <v>7</v>
      </c>
      <c r="N29" s="3">
        <f t="shared" si="3"/>
        <v>11</v>
      </c>
      <c r="O29" s="3">
        <f t="shared" si="3"/>
        <v>7</v>
      </c>
      <c r="P29" s="3">
        <f t="shared" si="3"/>
        <v>-3.5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4.3478260869565216E-2</v>
      </c>
      <c r="AE29" t="s">
        <v>49</v>
      </c>
      <c r="AF29">
        <v>67</v>
      </c>
      <c r="AG29">
        <v>63</v>
      </c>
    </row>
    <row r="30" spans="1:33">
      <c r="A30">
        <v>3</v>
      </c>
      <c r="B30" s="3" t="s">
        <v>21</v>
      </c>
      <c r="C30" s="3">
        <f t="shared" si="2"/>
        <v>28</v>
      </c>
      <c r="D30" s="3">
        <f t="shared" si="3"/>
        <v>5</v>
      </c>
      <c r="E30" s="3">
        <f t="shared" si="3"/>
        <v>4</v>
      </c>
      <c r="F30" s="3">
        <f t="shared" si="3"/>
        <v>4</v>
      </c>
      <c r="G30" s="3">
        <f t="shared" si="3"/>
        <v>5</v>
      </c>
      <c r="H30" s="3">
        <f t="shared" si="3"/>
        <v>4</v>
      </c>
      <c r="I30" s="3">
        <f t="shared" si="3"/>
        <v>6</v>
      </c>
      <c r="J30" s="3">
        <f t="shared" si="3"/>
        <v>-1.5</v>
      </c>
      <c r="K30" s="3">
        <f t="shared" si="3"/>
        <v>4.5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-5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4.5</v>
      </c>
      <c r="V30" s="3">
        <f t="shared" si="3"/>
        <v>-2</v>
      </c>
      <c r="W30" s="3"/>
      <c r="X30" s="3"/>
      <c r="Y30" s="3"/>
      <c r="Z30" s="3"/>
      <c r="AA30" s="3"/>
      <c r="AB30" s="2">
        <f t="shared" si="4"/>
        <v>2.1116138763197588E-2</v>
      </c>
      <c r="AE30" t="s">
        <v>49</v>
      </c>
      <c r="AF30">
        <v>75</v>
      </c>
      <c r="AG30">
        <v>71</v>
      </c>
    </row>
    <row r="31" spans="1:33">
      <c r="A31">
        <v>4</v>
      </c>
      <c r="B31" s="3" t="s">
        <v>23</v>
      </c>
      <c r="C31" s="3">
        <f t="shared" si="2"/>
        <v>0</v>
      </c>
      <c r="D31" s="3">
        <f t="shared" si="3"/>
        <v>5</v>
      </c>
      <c r="E31" s="3">
        <f t="shared" si="3"/>
        <v>6.5</v>
      </c>
      <c r="F31" s="3">
        <f t="shared" si="3"/>
        <v>4</v>
      </c>
      <c r="G31" s="3">
        <f t="shared" si="3"/>
        <v>0</v>
      </c>
      <c r="H31" s="3">
        <f t="shared" si="3"/>
        <v>-7.5</v>
      </c>
      <c r="I31" s="3">
        <f t="shared" si="3"/>
        <v>-1.5</v>
      </c>
      <c r="J31" s="3">
        <f t="shared" si="3"/>
        <v>1</v>
      </c>
      <c r="K31" s="3">
        <f t="shared" si="3"/>
        <v>2.5</v>
      </c>
      <c r="L31" s="3">
        <f t="shared" si="3"/>
        <v>-8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1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0</v>
      </c>
      <c r="AE31" t="s">
        <v>49</v>
      </c>
      <c r="AF31">
        <v>71.5</v>
      </c>
      <c r="AG31">
        <v>74</v>
      </c>
    </row>
    <row r="32" spans="1:33">
      <c r="A32">
        <v>5</v>
      </c>
      <c r="B32" s="3" t="s">
        <v>22</v>
      </c>
      <c r="C32" s="3">
        <f t="shared" si="2"/>
        <v>57</v>
      </c>
      <c r="D32" s="3">
        <f t="shared" si="3"/>
        <v>9</v>
      </c>
      <c r="E32" s="3">
        <f t="shared" si="3"/>
        <v>-1</v>
      </c>
      <c r="F32" s="3">
        <f t="shared" si="3"/>
        <v>-2.5</v>
      </c>
      <c r="G32" s="3">
        <f t="shared" si="3"/>
        <v>6.5</v>
      </c>
      <c r="H32" s="3">
        <f t="shared" si="3"/>
        <v>1</v>
      </c>
      <c r="I32" s="3">
        <f t="shared" si="3"/>
        <v>1.5</v>
      </c>
      <c r="J32" s="3">
        <f t="shared" si="3"/>
        <v>3</v>
      </c>
      <c r="K32" s="3">
        <f t="shared" si="3"/>
        <v>-4.5</v>
      </c>
      <c r="L32" s="3">
        <f t="shared" si="3"/>
        <v>6</v>
      </c>
      <c r="M32" s="3">
        <f t="shared" si="3"/>
        <v>4</v>
      </c>
      <c r="N32" s="3">
        <f t="shared" si="3"/>
        <v>6</v>
      </c>
      <c r="O32" s="3">
        <f t="shared" si="3"/>
        <v>1.5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13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4.1334300217548949E-2</v>
      </c>
      <c r="AE32" t="s">
        <v>49</v>
      </c>
      <c r="AF32">
        <v>78.5</v>
      </c>
      <c r="AG32">
        <v>66.5</v>
      </c>
    </row>
    <row r="33" spans="1:33">
      <c r="A33">
        <v>6</v>
      </c>
      <c r="B33" s="3" t="s">
        <v>24</v>
      </c>
      <c r="C33" s="3">
        <f t="shared" si="2"/>
        <v>9</v>
      </c>
      <c r="D33" s="3">
        <f t="shared" si="3"/>
        <v>8</v>
      </c>
      <c r="E33" s="3">
        <f t="shared" si="3"/>
        <v>-0.5</v>
      </c>
      <c r="F33" s="3">
        <f t="shared" si="3"/>
        <v>12</v>
      </c>
      <c r="G33" s="3">
        <f t="shared" si="3"/>
        <v>1</v>
      </c>
      <c r="H33" s="3">
        <f t="shared" si="3"/>
        <v>5</v>
      </c>
      <c r="I33" s="3">
        <f t="shared" si="3"/>
        <v>13.5</v>
      </c>
      <c r="J33" s="3">
        <f t="shared" si="3"/>
        <v>6</v>
      </c>
      <c r="K33" s="3">
        <f t="shared" si="3"/>
        <v>-10</v>
      </c>
      <c r="L33" s="3">
        <f t="shared" si="3"/>
        <v>-0.5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-8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6.7669172932330827E-3</v>
      </c>
      <c r="AE33" t="s">
        <v>49</v>
      </c>
      <c r="AF33">
        <v>61.5</v>
      </c>
      <c r="AG33">
        <v>61.5</v>
      </c>
    </row>
    <row r="34" spans="1:33">
      <c r="A34">
        <v>7</v>
      </c>
      <c r="B34" s="3" t="s">
        <v>27</v>
      </c>
      <c r="C34" s="3">
        <f t="shared" si="2"/>
        <v>51.5</v>
      </c>
      <c r="D34" s="3">
        <f t="shared" si="3"/>
        <v>1.5</v>
      </c>
      <c r="E34" s="3">
        <f t="shared" si="3"/>
        <v>6.5</v>
      </c>
      <c r="F34" s="3">
        <f t="shared" si="3"/>
        <v>0</v>
      </c>
      <c r="G34" s="3">
        <f t="shared" si="3"/>
        <v>-0.5</v>
      </c>
      <c r="H34" s="3">
        <f t="shared" si="3"/>
        <v>1.5</v>
      </c>
      <c r="I34" s="3">
        <f t="shared" si="3"/>
        <v>0</v>
      </c>
      <c r="J34" s="3">
        <f t="shared" si="3"/>
        <v>1.5</v>
      </c>
      <c r="K34" s="3">
        <f t="shared" si="3"/>
        <v>1.5</v>
      </c>
      <c r="L34" s="3">
        <f t="shared" si="3"/>
        <v>4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6.5</v>
      </c>
      <c r="U34" s="3">
        <f t="shared" si="3"/>
        <v>7</v>
      </c>
      <c r="V34" s="3">
        <f t="shared" si="3"/>
        <v>2</v>
      </c>
      <c r="W34" s="3"/>
      <c r="X34" s="3"/>
      <c r="Y34" s="3"/>
      <c r="Z34" s="3"/>
      <c r="AA34" s="3"/>
      <c r="AB34" s="2">
        <f t="shared" si="4"/>
        <v>3.7264833574529664E-2</v>
      </c>
      <c r="AE34" t="s">
        <v>49</v>
      </c>
      <c r="AF34">
        <v>75.5</v>
      </c>
      <c r="AG34">
        <v>65.5</v>
      </c>
    </row>
    <row r="35" spans="1:33">
      <c r="A35">
        <v>8</v>
      </c>
      <c r="B35" s="3" t="s">
        <v>25</v>
      </c>
      <c r="C35" s="3">
        <f t="shared" si="2"/>
        <v>51.5</v>
      </c>
      <c r="D35" s="3">
        <f t="shared" si="3"/>
        <v>8.5</v>
      </c>
      <c r="E35" s="3">
        <f t="shared" si="3"/>
        <v>-2.5</v>
      </c>
      <c r="F35" s="3">
        <f t="shared" si="3"/>
        <v>10</v>
      </c>
      <c r="G35" s="3">
        <f t="shared" si="3"/>
        <v>2</v>
      </c>
      <c r="H35" s="3">
        <f t="shared" si="3"/>
        <v>-1.5</v>
      </c>
      <c r="I35" s="3">
        <f t="shared" si="3"/>
        <v>0.5</v>
      </c>
      <c r="J35" s="3">
        <f t="shared" si="3"/>
        <v>4.5</v>
      </c>
      <c r="K35" s="3">
        <f t="shared" si="3"/>
        <v>-5</v>
      </c>
      <c r="L35" s="3">
        <f t="shared" si="3"/>
        <v>1.5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3.8247307835128107E-2</v>
      </c>
      <c r="AE35" t="s">
        <v>49</v>
      </c>
      <c r="AF35">
        <v>87.5</v>
      </c>
      <c r="AG35">
        <v>82</v>
      </c>
    </row>
    <row r="36" spans="1:33">
      <c r="A36">
        <v>9</v>
      </c>
      <c r="B36" s="3" t="s">
        <v>26</v>
      </c>
      <c r="C36" s="3">
        <f t="shared" si="2"/>
        <v>36.5</v>
      </c>
      <c r="D36" s="3">
        <f t="shared" si="3"/>
        <v>2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0</v>
      </c>
      <c r="I36" s="3">
        <f t="shared" si="3"/>
        <v>-2</v>
      </c>
      <c r="J36" s="3">
        <f t="shared" si="3"/>
        <v>1</v>
      </c>
      <c r="K36" s="3">
        <f t="shared" si="3"/>
        <v>10.5</v>
      </c>
      <c r="L36" s="3">
        <f t="shared" si="3"/>
        <v>1</v>
      </c>
      <c r="M36" s="3">
        <f t="shared" si="3"/>
        <v>7.5</v>
      </c>
      <c r="N36" s="3">
        <f t="shared" si="3"/>
        <v>1.5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-0.5</v>
      </c>
      <c r="V36" s="3">
        <f t="shared" si="3"/>
        <v>-1</v>
      </c>
      <c r="W36" s="3"/>
      <c r="X36" s="3"/>
      <c r="Y36" s="3"/>
      <c r="Z36" s="3"/>
      <c r="AA36" s="3"/>
      <c r="AB36" s="2">
        <f t="shared" si="4"/>
        <v>2.626844188557035E-2</v>
      </c>
      <c r="AE36" t="s">
        <v>50</v>
      </c>
      <c r="AF36" t="s">
        <v>32</v>
      </c>
    </row>
    <row r="37" spans="1:33" ht="15">
      <c r="C37" s="4">
        <f>SUM(C27:C36)</f>
        <v>340</v>
      </c>
      <c r="D37" s="4">
        <f t="shared" ref="D37:V37" si="5">SUM(D27:D36)</f>
        <v>60</v>
      </c>
      <c r="E37" s="4">
        <f t="shared" si="5"/>
        <v>14</v>
      </c>
      <c r="F37" s="4">
        <f t="shared" si="5"/>
        <v>36.5</v>
      </c>
      <c r="G37" s="4">
        <f t="shared" si="5"/>
        <v>12.5</v>
      </c>
      <c r="H37" s="4">
        <f t="shared" si="5"/>
        <v>4.5</v>
      </c>
      <c r="I37" s="4">
        <f t="shared" si="5"/>
        <v>21.5</v>
      </c>
      <c r="J37" s="4">
        <f t="shared" si="5"/>
        <v>18</v>
      </c>
      <c r="K37" s="4">
        <f t="shared" si="5"/>
        <v>12</v>
      </c>
      <c r="L37" s="4">
        <f t="shared" si="5"/>
        <v>4.5</v>
      </c>
      <c r="M37" s="4">
        <f t="shared" si="5"/>
        <v>30.5</v>
      </c>
      <c r="N37" s="4">
        <f t="shared" si="5"/>
        <v>26</v>
      </c>
      <c r="O37" s="4">
        <f t="shared" si="5"/>
        <v>8.5</v>
      </c>
      <c r="P37" s="4">
        <f t="shared" si="5"/>
        <v>0.5</v>
      </c>
      <c r="Q37" s="4">
        <f t="shared" si="5"/>
        <v>29</v>
      </c>
      <c r="R37" s="4">
        <f t="shared" si="5"/>
        <v>23</v>
      </c>
      <c r="S37" s="4">
        <f t="shared" si="5"/>
        <v>-5</v>
      </c>
      <c r="T37" s="4">
        <f t="shared" si="5"/>
        <v>9</v>
      </c>
      <c r="U37" s="4">
        <f t="shared" si="5"/>
        <v>12</v>
      </c>
      <c r="V37" s="4">
        <f t="shared" si="5"/>
        <v>23</v>
      </c>
      <c r="W37" s="4"/>
      <c r="X37" s="4"/>
      <c r="Y37" s="4"/>
      <c r="Z37" s="4"/>
      <c r="AA37" s="4"/>
      <c r="AE37" t="s">
        <v>50</v>
      </c>
      <c r="AF37">
        <v>71.5</v>
      </c>
      <c r="AG37">
        <v>69</v>
      </c>
    </row>
    <row r="38" spans="1:33">
      <c r="AE38" t="s">
        <v>50</v>
      </c>
      <c r="AF38">
        <v>73.5</v>
      </c>
      <c r="AG38">
        <v>72.5</v>
      </c>
    </row>
    <row r="39" spans="1:33">
      <c r="AE39" t="s">
        <v>50</v>
      </c>
      <c r="AF39">
        <v>68.5</v>
      </c>
      <c r="AG39">
        <v>68</v>
      </c>
    </row>
    <row r="40" spans="1:33">
      <c r="AE40" t="s">
        <v>50</v>
      </c>
      <c r="AF40">
        <v>68.5</v>
      </c>
      <c r="AG40">
        <v>63.5</v>
      </c>
    </row>
    <row r="41" spans="1:33">
      <c r="AE41" t="s">
        <v>50</v>
      </c>
      <c r="AF41">
        <v>62.5</v>
      </c>
      <c r="AG41">
        <v>62.5</v>
      </c>
    </row>
    <row r="42" spans="1:33">
      <c r="AE42" t="s">
        <v>50</v>
      </c>
      <c r="AF42">
        <v>80.5</v>
      </c>
      <c r="AG42">
        <v>74</v>
      </c>
    </row>
    <row r="43" spans="1:33">
      <c r="AE43" t="s">
        <v>50</v>
      </c>
      <c r="AF43">
        <v>72</v>
      </c>
      <c r="AG43">
        <v>71</v>
      </c>
    </row>
    <row r="44" spans="1:33">
      <c r="AE44" t="s">
        <v>50</v>
      </c>
      <c r="AF44">
        <v>79.5</v>
      </c>
      <c r="AG44">
        <v>80</v>
      </c>
    </row>
    <row r="45" spans="1:33">
      <c r="AE45" t="s">
        <v>50</v>
      </c>
      <c r="AF45">
        <v>70.5</v>
      </c>
      <c r="AG45">
        <v>68.5</v>
      </c>
    </row>
    <row r="46" spans="1:33">
      <c r="AE46" t="s">
        <v>50</v>
      </c>
      <c r="AF46">
        <v>61.5</v>
      </c>
      <c r="AG46">
        <v>67</v>
      </c>
    </row>
    <row r="47" spans="1:33">
      <c r="AE47" t="s">
        <v>51</v>
      </c>
      <c r="AF47" t="s">
        <v>33</v>
      </c>
    </row>
    <row r="48" spans="1:33">
      <c r="AE48" t="s">
        <v>51</v>
      </c>
      <c r="AF48">
        <v>77.5</v>
      </c>
      <c r="AG48">
        <v>77.5</v>
      </c>
    </row>
    <row r="49" spans="31:33">
      <c r="AE49" t="s">
        <v>51</v>
      </c>
      <c r="AF49">
        <v>80.5</v>
      </c>
      <c r="AG49">
        <v>82</v>
      </c>
    </row>
    <row r="50" spans="31:33">
      <c r="AE50" t="s">
        <v>51</v>
      </c>
      <c r="AF50">
        <v>78</v>
      </c>
      <c r="AG50">
        <v>74.5</v>
      </c>
    </row>
    <row r="51" spans="31:33">
      <c r="AE51" t="s">
        <v>51</v>
      </c>
      <c r="AF51">
        <v>66.5</v>
      </c>
      <c r="AG51">
        <v>62.5</v>
      </c>
    </row>
    <row r="52" spans="31:33">
      <c r="AE52" t="s">
        <v>51</v>
      </c>
      <c r="AF52">
        <v>60</v>
      </c>
      <c r="AG52">
        <v>67.5</v>
      </c>
    </row>
    <row r="53" spans="31:33">
      <c r="AE53" t="s">
        <v>51</v>
      </c>
      <c r="AF53">
        <v>75</v>
      </c>
      <c r="AG53">
        <v>74</v>
      </c>
    </row>
    <row r="54" spans="31:33">
      <c r="AE54" t="s">
        <v>51</v>
      </c>
      <c r="AF54">
        <v>82</v>
      </c>
      <c r="AG54">
        <v>77</v>
      </c>
    </row>
    <row r="55" spans="31:33">
      <c r="AE55" t="s">
        <v>51</v>
      </c>
      <c r="AF55">
        <v>72</v>
      </c>
      <c r="AG55">
        <v>70.5</v>
      </c>
    </row>
    <row r="56" spans="31:33">
      <c r="AE56" t="s">
        <v>51</v>
      </c>
      <c r="AF56">
        <v>67</v>
      </c>
      <c r="AG56">
        <v>68.5</v>
      </c>
    </row>
    <row r="57" spans="31:33">
      <c r="AE57" t="s">
        <v>51</v>
      </c>
      <c r="AF57">
        <v>66</v>
      </c>
      <c r="AG57">
        <v>66</v>
      </c>
    </row>
    <row r="58" spans="31:33">
      <c r="AE58" t="s">
        <v>52</v>
      </c>
      <c r="AF58" t="s">
        <v>28</v>
      </c>
    </row>
    <row r="59" spans="31:33">
      <c r="AE59" t="s">
        <v>52</v>
      </c>
      <c r="AF59">
        <v>73</v>
      </c>
      <c r="AG59">
        <v>73.5</v>
      </c>
    </row>
    <row r="60" spans="31:33">
      <c r="AE60" t="s">
        <v>52</v>
      </c>
      <c r="AF60">
        <v>62</v>
      </c>
      <c r="AG60">
        <v>64</v>
      </c>
    </row>
    <row r="61" spans="31:33">
      <c r="AE61" t="s">
        <v>52</v>
      </c>
      <c r="AF61">
        <v>80</v>
      </c>
      <c r="AG61">
        <v>74</v>
      </c>
    </row>
    <row r="62" spans="31:33">
      <c r="AE62" t="s">
        <v>52</v>
      </c>
      <c r="AF62">
        <v>70</v>
      </c>
      <c r="AG62">
        <v>64</v>
      </c>
    </row>
    <row r="63" spans="31:33">
      <c r="AE63" t="s">
        <v>52</v>
      </c>
      <c r="AF63">
        <v>65</v>
      </c>
      <c r="AG63">
        <v>66.5</v>
      </c>
    </row>
    <row r="64" spans="31:33">
      <c r="AE64" t="s">
        <v>52</v>
      </c>
      <c r="AF64">
        <v>68</v>
      </c>
      <c r="AG64">
        <v>66.5</v>
      </c>
    </row>
    <row r="65" spans="31:33">
      <c r="AE65" t="s">
        <v>52</v>
      </c>
      <c r="AF65">
        <v>74.5</v>
      </c>
      <c r="AG65">
        <v>61</v>
      </c>
    </row>
    <row r="66" spans="31:33">
      <c r="AE66" t="s">
        <v>52</v>
      </c>
      <c r="AF66">
        <v>69.5</v>
      </c>
      <c r="AG66">
        <v>69.5</v>
      </c>
    </row>
    <row r="67" spans="31:33">
      <c r="AE67" t="s">
        <v>52</v>
      </c>
      <c r="AF67">
        <v>67</v>
      </c>
      <c r="AG67">
        <v>66.5</v>
      </c>
    </row>
    <row r="68" spans="31:33">
      <c r="AE68" t="s">
        <v>52</v>
      </c>
      <c r="AF68">
        <v>84.5</v>
      </c>
      <c r="AG68">
        <v>86.5</v>
      </c>
    </row>
    <row r="69" spans="31:33">
      <c r="AE69" t="s">
        <v>53</v>
      </c>
      <c r="AF69" t="s">
        <v>34</v>
      </c>
    </row>
    <row r="70" spans="31:33">
      <c r="AE70" t="s">
        <v>53</v>
      </c>
      <c r="AF70">
        <v>72</v>
      </c>
      <c r="AG70">
        <v>73</v>
      </c>
    </row>
    <row r="71" spans="31:33">
      <c r="AE71" t="s">
        <v>53</v>
      </c>
      <c r="AF71">
        <v>65.5</v>
      </c>
      <c r="AG71">
        <v>65.5</v>
      </c>
    </row>
    <row r="72" spans="31:33">
      <c r="AE72" t="s">
        <v>53</v>
      </c>
      <c r="AF72">
        <v>76</v>
      </c>
      <c r="AG72">
        <v>72.5</v>
      </c>
    </row>
    <row r="73" spans="31:33">
      <c r="AE73" t="s">
        <v>53</v>
      </c>
      <c r="AF73">
        <v>65</v>
      </c>
      <c r="AG73">
        <v>66.5</v>
      </c>
    </row>
    <row r="74" spans="31:33">
      <c r="AE74" t="s">
        <v>53</v>
      </c>
      <c r="AF74">
        <v>63</v>
      </c>
      <c r="AG74">
        <v>62</v>
      </c>
    </row>
    <row r="75" spans="31:33">
      <c r="AE75" t="s">
        <v>53</v>
      </c>
      <c r="AF75">
        <v>64</v>
      </c>
      <c r="AG75">
        <v>61</v>
      </c>
    </row>
    <row r="76" spans="31:33">
      <c r="AE76" t="s">
        <v>53</v>
      </c>
      <c r="AF76">
        <v>74.5</v>
      </c>
      <c r="AG76">
        <v>68.5</v>
      </c>
    </row>
    <row r="77" spans="31:33">
      <c r="AE77" t="s">
        <v>53</v>
      </c>
      <c r="AF77">
        <v>68</v>
      </c>
      <c r="AG77">
        <v>66.5</v>
      </c>
    </row>
    <row r="78" spans="31:33">
      <c r="AE78" t="s">
        <v>53</v>
      </c>
      <c r="AF78">
        <v>72.5</v>
      </c>
      <c r="AG78">
        <v>68</v>
      </c>
    </row>
    <row r="79" spans="31:33">
      <c r="AE79" t="s">
        <v>53</v>
      </c>
      <c r="AF79">
        <v>68.5</v>
      </c>
      <c r="AG79">
        <v>67.5</v>
      </c>
    </row>
    <row r="80" spans="31:33">
      <c r="AE80" t="s">
        <v>54</v>
      </c>
      <c r="AF80" t="s">
        <v>35</v>
      </c>
    </row>
    <row r="81" spans="31:33">
      <c r="AE81" t="s">
        <v>54</v>
      </c>
      <c r="AF81">
        <v>68</v>
      </c>
      <c r="AG81">
        <v>63</v>
      </c>
    </row>
    <row r="82" spans="31:33">
      <c r="AE82" t="s">
        <v>54</v>
      </c>
      <c r="AF82">
        <v>68.5</v>
      </c>
      <c r="AG82">
        <v>65.5</v>
      </c>
    </row>
    <row r="83" spans="31:33">
      <c r="AE83" t="s">
        <v>54</v>
      </c>
      <c r="AF83">
        <v>82</v>
      </c>
      <c r="AG83">
        <v>77.5</v>
      </c>
    </row>
    <row r="84" spans="31:33">
      <c r="AE84" t="s">
        <v>54</v>
      </c>
      <c r="AF84">
        <v>68.5</v>
      </c>
      <c r="AG84">
        <v>64</v>
      </c>
    </row>
    <row r="85" spans="31:33">
      <c r="AE85" t="s">
        <v>54</v>
      </c>
      <c r="AF85">
        <v>61</v>
      </c>
      <c r="AG85">
        <v>58.5</v>
      </c>
    </row>
    <row r="86" spans="31:33">
      <c r="AE86" t="s">
        <v>54</v>
      </c>
      <c r="AF86">
        <v>61</v>
      </c>
      <c r="AG86">
        <v>65.5</v>
      </c>
    </row>
    <row r="87" spans="31:33">
      <c r="AE87" t="s">
        <v>54</v>
      </c>
      <c r="AF87">
        <v>62</v>
      </c>
      <c r="AG87">
        <v>72</v>
      </c>
    </row>
    <row r="88" spans="31:33">
      <c r="AE88" t="s">
        <v>54</v>
      </c>
      <c r="AF88">
        <v>67.5</v>
      </c>
      <c r="AG88">
        <v>66</v>
      </c>
    </row>
    <row r="89" spans="31:33">
      <c r="AE89" t="s">
        <v>54</v>
      </c>
      <c r="AF89">
        <v>61</v>
      </c>
      <c r="AG89">
        <v>66</v>
      </c>
    </row>
    <row r="90" spans="31:33">
      <c r="AE90" t="s">
        <v>54</v>
      </c>
      <c r="AF90">
        <v>89.5</v>
      </c>
      <c r="AG90">
        <v>79</v>
      </c>
    </row>
    <row r="91" spans="31:33">
      <c r="AE91" t="s">
        <v>55</v>
      </c>
      <c r="AF91" t="s">
        <v>36</v>
      </c>
    </row>
    <row r="92" spans="31:33">
      <c r="AE92" t="s">
        <v>55</v>
      </c>
      <c r="AF92">
        <v>70.5</v>
      </c>
      <c r="AG92">
        <v>67</v>
      </c>
    </row>
    <row r="93" spans="31:33">
      <c r="AE93" t="s">
        <v>55</v>
      </c>
      <c r="AF93">
        <v>73</v>
      </c>
      <c r="AG93">
        <v>70</v>
      </c>
    </row>
    <row r="94" spans="31:33">
      <c r="AE94" t="s">
        <v>55</v>
      </c>
      <c r="AF94">
        <v>67.5</v>
      </c>
      <c r="AG94">
        <v>72</v>
      </c>
    </row>
    <row r="95" spans="31:33">
      <c r="AE95" t="s">
        <v>55</v>
      </c>
      <c r="AF95">
        <v>68.5</v>
      </c>
      <c r="AG95">
        <v>70</v>
      </c>
    </row>
    <row r="96" spans="31:33">
      <c r="AE96" t="s">
        <v>55</v>
      </c>
      <c r="AF96">
        <v>60</v>
      </c>
      <c r="AG96">
        <v>68</v>
      </c>
    </row>
    <row r="97" spans="31:33">
      <c r="AE97" t="s">
        <v>55</v>
      </c>
      <c r="AF97">
        <v>72</v>
      </c>
      <c r="AG97">
        <v>66</v>
      </c>
    </row>
    <row r="98" spans="31:33">
      <c r="AE98" t="s">
        <v>55</v>
      </c>
      <c r="AF98">
        <v>69</v>
      </c>
      <c r="AG98">
        <v>69.5</v>
      </c>
    </row>
    <row r="99" spans="31:33">
      <c r="AE99" t="s">
        <v>55</v>
      </c>
      <c r="AF99">
        <v>69</v>
      </c>
      <c r="AG99">
        <v>65</v>
      </c>
    </row>
    <row r="100" spans="31:33">
      <c r="AE100" t="s">
        <v>55</v>
      </c>
      <c r="AF100">
        <v>79.5</v>
      </c>
      <c r="AG100">
        <v>78</v>
      </c>
    </row>
    <row r="101" spans="31:33">
      <c r="AE101" t="s">
        <v>55</v>
      </c>
      <c r="AF101">
        <v>86.5</v>
      </c>
      <c r="AG101">
        <v>85.5</v>
      </c>
    </row>
    <row r="102" spans="31:33">
      <c r="AE102" t="s">
        <v>56</v>
      </c>
      <c r="AF102" t="s">
        <v>37</v>
      </c>
    </row>
    <row r="103" spans="31:33">
      <c r="AE103" t="s">
        <v>56</v>
      </c>
      <c r="AF103">
        <v>67</v>
      </c>
      <c r="AG103">
        <v>66.5</v>
      </c>
    </row>
    <row r="104" spans="31:33">
      <c r="AE104" t="s">
        <v>56</v>
      </c>
      <c r="AF104">
        <v>80.5</v>
      </c>
      <c r="AG104">
        <v>77.5</v>
      </c>
    </row>
    <row r="105" spans="31:33">
      <c r="AE105" t="s">
        <v>56</v>
      </c>
      <c r="AF105">
        <v>85</v>
      </c>
      <c r="AG105">
        <v>78</v>
      </c>
    </row>
    <row r="106" spans="31:33">
      <c r="AE106" t="s">
        <v>56</v>
      </c>
      <c r="AF106">
        <v>61</v>
      </c>
      <c r="AG106">
        <v>63.5</v>
      </c>
    </row>
    <row r="107" spans="31:33">
      <c r="AE107" t="s">
        <v>56</v>
      </c>
      <c r="AF107">
        <v>61</v>
      </c>
      <c r="AG107">
        <v>60.5</v>
      </c>
    </row>
    <row r="108" spans="31:33">
      <c r="AE108" t="s">
        <v>56</v>
      </c>
      <c r="AF108">
        <v>70</v>
      </c>
      <c r="AG108">
        <v>66</v>
      </c>
    </row>
    <row r="109" spans="31:33">
      <c r="AE109" t="s">
        <v>56</v>
      </c>
      <c r="AF109">
        <v>72.5</v>
      </c>
      <c r="AG109">
        <v>71</v>
      </c>
    </row>
    <row r="110" spans="31:33">
      <c r="AE110" t="s">
        <v>56</v>
      </c>
      <c r="AF110">
        <v>72</v>
      </c>
      <c r="AG110">
        <v>68</v>
      </c>
    </row>
    <row r="111" spans="31:33">
      <c r="AE111" t="s">
        <v>56</v>
      </c>
      <c r="AF111">
        <v>65</v>
      </c>
      <c r="AG111">
        <v>60</v>
      </c>
    </row>
    <row r="112" spans="31:33">
      <c r="AE112" t="s">
        <v>56</v>
      </c>
      <c r="AF112">
        <v>65</v>
      </c>
      <c r="AG112">
        <v>57.5</v>
      </c>
    </row>
    <row r="113" spans="31:33">
      <c r="AE113" t="s">
        <v>57</v>
      </c>
      <c r="AF113" t="s">
        <v>38</v>
      </c>
    </row>
    <row r="114" spans="31:33">
      <c r="AE114" t="s">
        <v>57</v>
      </c>
      <c r="AF114">
        <v>67</v>
      </c>
      <c r="AG114">
        <v>59</v>
      </c>
    </row>
    <row r="115" spans="31:33">
      <c r="AE115" t="s">
        <v>57</v>
      </c>
      <c r="AF115">
        <v>62.5</v>
      </c>
      <c r="AG115">
        <v>61</v>
      </c>
    </row>
    <row r="116" spans="31:33">
      <c r="AE116" t="s">
        <v>57</v>
      </c>
      <c r="AF116">
        <v>78</v>
      </c>
      <c r="AG116">
        <v>67</v>
      </c>
    </row>
    <row r="117" spans="31:33">
      <c r="AE117" t="s">
        <v>57</v>
      </c>
      <c r="AF117">
        <v>72</v>
      </c>
      <c r="AG117">
        <v>66</v>
      </c>
    </row>
    <row r="118" spans="31:33">
      <c r="AE118" t="s">
        <v>57</v>
      </c>
      <c r="AF118">
        <v>63</v>
      </c>
      <c r="AG118">
        <v>63</v>
      </c>
    </row>
    <row r="119" spans="31:33">
      <c r="AE119" t="s">
        <v>57</v>
      </c>
      <c r="AF119">
        <v>85</v>
      </c>
      <c r="AG119">
        <v>79</v>
      </c>
    </row>
    <row r="120" spans="31:33">
      <c r="AE120" t="s">
        <v>57</v>
      </c>
      <c r="AF120">
        <v>61.5</v>
      </c>
      <c r="AG120">
        <v>72</v>
      </c>
    </row>
    <row r="121" spans="31:33">
      <c r="AE121" t="s">
        <v>57</v>
      </c>
      <c r="AF121">
        <v>70</v>
      </c>
      <c r="AG121">
        <v>69</v>
      </c>
    </row>
    <row r="122" spans="31:33">
      <c r="AE122" t="s">
        <v>57</v>
      </c>
      <c r="AF122">
        <v>70</v>
      </c>
      <c r="AG122">
        <v>68.5</v>
      </c>
    </row>
    <row r="123" spans="31:33">
      <c r="AE123" t="s">
        <v>57</v>
      </c>
      <c r="AF123">
        <v>67</v>
      </c>
      <c r="AG123">
        <v>65.5</v>
      </c>
    </row>
    <row r="124" spans="31:33">
      <c r="AE124" t="s">
        <v>58</v>
      </c>
      <c r="AF124" t="s">
        <v>39</v>
      </c>
    </row>
    <row r="125" spans="31:33">
      <c r="AE125" t="s">
        <v>58</v>
      </c>
      <c r="AF125">
        <v>87.5</v>
      </c>
      <c r="AG125">
        <v>87.5</v>
      </c>
    </row>
    <row r="126" spans="31:33">
      <c r="AE126" t="s">
        <v>58</v>
      </c>
      <c r="AF126">
        <v>72</v>
      </c>
      <c r="AG126">
        <v>70.5</v>
      </c>
    </row>
    <row r="127" spans="31:33">
      <c r="AE127" t="s">
        <v>58</v>
      </c>
      <c r="AF127">
        <v>72</v>
      </c>
      <c r="AG127">
        <v>65</v>
      </c>
    </row>
    <row r="128" spans="31:33">
      <c r="AE128" t="s">
        <v>58</v>
      </c>
      <c r="AF128">
        <v>77</v>
      </c>
      <c r="AG128">
        <v>82</v>
      </c>
    </row>
    <row r="129" spans="31:33">
      <c r="AE129" t="s">
        <v>58</v>
      </c>
      <c r="AF129">
        <v>65</v>
      </c>
      <c r="AG129">
        <v>66.5</v>
      </c>
    </row>
    <row r="130" spans="31:33">
      <c r="AE130" t="s">
        <v>58</v>
      </c>
      <c r="AF130">
        <v>70</v>
      </c>
      <c r="AG130">
        <v>68.5</v>
      </c>
    </row>
    <row r="131" spans="31:33">
      <c r="AE131" t="s">
        <v>58</v>
      </c>
      <c r="AF131">
        <v>69.5</v>
      </c>
      <c r="AG131">
        <v>73</v>
      </c>
    </row>
    <row r="132" spans="31:33">
      <c r="AE132" t="s">
        <v>58</v>
      </c>
      <c r="AF132">
        <v>89.5</v>
      </c>
      <c r="AG132">
        <v>86</v>
      </c>
    </row>
    <row r="133" spans="31:33">
      <c r="AE133" t="s">
        <v>58</v>
      </c>
      <c r="AF133">
        <v>67.5</v>
      </c>
      <c r="AG133">
        <v>64</v>
      </c>
    </row>
    <row r="134" spans="31:33">
      <c r="AE134" t="s">
        <v>58</v>
      </c>
      <c r="AF134">
        <v>61</v>
      </c>
      <c r="AG134">
        <v>59.5</v>
      </c>
    </row>
    <row r="135" spans="31:33">
      <c r="AE135" t="s">
        <v>59</v>
      </c>
      <c r="AF135" t="s">
        <v>40</v>
      </c>
    </row>
    <row r="136" spans="31:33">
      <c r="AE136" t="s">
        <v>59</v>
      </c>
      <c r="AF136">
        <v>68.5</v>
      </c>
      <c r="AG136">
        <v>66.5</v>
      </c>
    </row>
    <row r="137" spans="31:33">
      <c r="AE137" t="s">
        <v>59</v>
      </c>
      <c r="AF137">
        <v>65.5</v>
      </c>
      <c r="AG137">
        <v>71</v>
      </c>
    </row>
    <row r="138" spans="31:33">
      <c r="AE138" t="s">
        <v>59</v>
      </c>
      <c r="AF138">
        <v>82</v>
      </c>
      <c r="AG138">
        <v>85.5</v>
      </c>
    </row>
    <row r="139" spans="31:33">
      <c r="AE139" t="s">
        <v>59</v>
      </c>
      <c r="AF139">
        <v>68</v>
      </c>
      <c r="AG139">
        <v>68.5</v>
      </c>
    </row>
    <row r="140" spans="31:33">
      <c r="AE140" t="s">
        <v>59</v>
      </c>
      <c r="AF140">
        <v>73</v>
      </c>
      <c r="AG140">
        <v>75.5</v>
      </c>
    </row>
    <row r="141" spans="31:33">
      <c r="AE141" t="s">
        <v>59</v>
      </c>
      <c r="AF141">
        <v>68</v>
      </c>
      <c r="AG141">
        <v>62.5</v>
      </c>
    </row>
    <row r="142" spans="31:33">
      <c r="AE142" t="s">
        <v>59</v>
      </c>
      <c r="AF142">
        <v>70.5</v>
      </c>
      <c r="AG142">
        <v>68</v>
      </c>
    </row>
    <row r="143" spans="31:33">
      <c r="AE143" t="s">
        <v>59</v>
      </c>
      <c r="AF143">
        <v>77.5</v>
      </c>
      <c r="AG143">
        <v>73.5</v>
      </c>
    </row>
    <row r="144" spans="31:33">
      <c r="AE144" t="s">
        <v>59</v>
      </c>
      <c r="AF144">
        <v>67</v>
      </c>
      <c r="AG144">
        <v>69</v>
      </c>
    </row>
    <row r="145" spans="31:33">
      <c r="AE145" t="s">
        <v>59</v>
      </c>
      <c r="AF145">
        <v>70.5</v>
      </c>
      <c r="AG145">
        <v>70</v>
      </c>
    </row>
    <row r="146" spans="31:33">
      <c r="AE146" t="s">
        <v>60</v>
      </c>
      <c r="AF146" t="s">
        <v>41</v>
      </c>
    </row>
    <row r="147" spans="31:33">
      <c r="AE147" t="s">
        <v>60</v>
      </c>
      <c r="AF147">
        <v>69</v>
      </c>
      <c r="AG147">
        <v>71.5</v>
      </c>
    </row>
    <row r="148" spans="31:33">
      <c r="AE148" t="s">
        <v>60</v>
      </c>
      <c r="AF148">
        <v>69.5</v>
      </c>
      <c r="AG148">
        <v>67</v>
      </c>
    </row>
    <row r="149" spans="31:33">
      <c r="AE149" t="s">
        <v>60</v>
      </c>
      <c r="AF149">
        <v>69.5</v>
      </c>
      <c r="AG149">
        <v>63.5</v>
      </c>
    </row>
    <row r="150" spans="31:33">
      <c r="AE150" t="s">
        <v>60</v>
      </c>
      <c r="AF150">
        <v>75</v>
      </c>
      <c r="AG150">
        <v>69.5</v>
      </c>
    </row>
    <row r="151" spans="31:33">
      <c r="AE151" t="s">
        <v>60</v>
      </c>
      <c r="AF151">
        <v>72.5</v>
      </c>
      <c r="AG151">
        <v>70</v>
      </c>
    </row>
    <row r="152" spans="31:33">
      <c r="AE152" t="s">
        <v>60</v>
      </c>
      <c r="AF152">
        <v>72.5</v>
      </c>
      <c r="AG152">
        <v>70.5</v>
      </c>
    </row>
    <row r="153" spans="31:33">
      <c r="AE153" t="s">
        <v>60</v>
      </c>
      <c r="AF153">
        <v>63</v>
      </c>
      <c r="AG153">
        <v>71</v>
      </c>
    </row>
    <row r="154" spans="31:33">
      <c r="AE154" t="s">
        <v>60</v>
      </c>
      <c r="AF154">
        <v>71.5</v>
      </c>
      <c r="AG154">
        <v>68</v>
      </c>
    </row>
    <row r="155" spans="31:33">
      <c r="AE155" t="s">
        <v>60</v>
      </c>
      <c r="AF155">
        <v>87.5</v>
      </c>
      <c r="AG155">
        <v>71</v>
      </c>
    </row>
    <row r="156" spans="31:33">
      <c r="AE156" t="s">
        <v>60</v>
      </c>
      <c r="AF156">
        <v>69</v>
      </c>
      <c r="AG156">
        <v>68</v>
      </c>
    </row>
    <row r="157" spans="31:33">
      <c r="AE157" t="s">
        <v>61</v>
      </c>
      <c r="AF157" t="s">
        <v>42</v>
      </c>
    </row>
    <row r="158" spans="31:33">
      <c r="AE158" t="s">
        <v>61</v>
      </c>
      <c r="AF158">
        <v>74</v>
      </c>
      <c r="AG158">
        <v>69</v>
      </c>
    </row>
    <row r="159" spans="31:33">
      <c r="AE159" t="s">
        <v>61</v>
      </c>
      <c r="AF159">
        <v>67</v>
      </c>
      <c r="AG159">
        <v>66.5</v>
      </c>
    </row>
    <row r="160" spans="31:33">
      <c r="AE160" t="s">
        <v>61</v>
      </c>
      <c r="AF160">
        <v>71.5</v>
      </c>
      <c r="AG160">
        <v>65</v>
      </c>
    </row>
    <row r="161" spans="31:33">
      <c r="AE161" t="s">
        <v>61</v>
      </c>
      <c r="AF161">
        <v>71.5</v>
      </c>
      <c r="AG161">
        <v>75</v>
      </c>
    </row>
    <row r="162" spans="31:33">
      <c r="AE162" t="s">
        <v>61</v>
      </c>
      <c r="AF162">
        <v>76</v>
      </c>
      <c r="AG162">
        <v>78</v>
      </c>
    </row>
    <row r="163" spans="31:33">
      <c r="AE163" t="s">
        <v>61</v>
      </c>
      <c r="AF163">
        <v>65.5</v>
      </c>
      <c r="AG163">
        <v>65.5</v>
      </c>
    </row>
    <row r="164" spans="31:33">
      <c r="AE164" t="s">
        <v>61</v>
      </c>
      <c r="AF164">
        <v>61.5</v>
      </c>
      <c r="AG164">
        <v>61.5</v>
      </c>
    </row>
    <row r="165" spans="31:33">
      <c r="AE165" t="s">
        <v>61</v>
      </c>
      <c r="AF165">
        <v>73.5</v>
      </c>
      <c r="AG165">
        <v>72</v>
      </c>
    </row>
    <row r="166" spans="31:33">
      <c r="AE166" t="s">
        <v>61</v>
      </c>
      <c r="AF166">
        <v>67</v>
      </c>
      <c r="AG166">
        <v>63</v>
      </c>
    </row>
    <row r="167" spans="31:33">
      <c r="AE167" t="s">
        <v>61</v>
      </c>
      <c r="AF167">
        <v>76</v>
      </c>
      <c r="AG167">
        <v>65</v>
      </c>
    </row>
    <row r="168" spans="31:33">
      <c r="AE168" t="s">
        <v>62</v>
      </c>
      <c r="AF168" t="s">
        <v>43</v>
      </c>
    </row>
    <row r="169" spans="31:33">
      <c r="AE169" t="s">
        <v>62</v>
      </c>
      <c r="AF169">
        <v>72.5</v>
      </c>
      <c r="AG169">
        <v>71.5</v>
      </c>
    </row>
    <row r="170" spans="31:33">
      <c r="AE170" t="s">
        <v>62</v>
      </c>
      <c r="AF170">
        <v>65</v>
      </c>
      <c r="AG170">
        <v>63.5</v>
      </c>
    </row>
    <row r="171" spans="31:33">
      <c r="AE171" t="s">
        <v>62</v>
      </c>
      <c r="AF171">
        <v>66.5</v>
      </c>
      <c r="AG171">
        <v>66.5</v>
      </c>
    </row>
    <row r="172" spans="31:33">
      <c r="AE172" t="s">
        <v>62</v>
      </c>
      <c r="AF172">
        <v>62.5</v>
      </c>
      <c r="AG172">
        <v>66</v>
      </c>
    </row>
    <row r="173" spans="31:33">
      <c r="AE173" t="s">
        <v>62</v>
      </c>
      <c r="AF173">
        <v>71</v>
      </c>
      <c r="AG173">
        <v>71</v>
      </c>
    </row>
    <row r="174" spans="31:33">
      <c r="AE174" t="s">
        <v>62</v>
      </c>
      <c r="AF174">
        <v>70</v>
      </c>
      <c r="AG174">
        <v>76</v>
      </c>
    </row>
    <row r="175" spans="31:33">
      <c r="AE175" t="s">
        <v>62</v>
      </c>
      <c r="AF175">
        <v>70</v>
      </c>
      <c r="AG175">
        <v>70.5</v>
      </c>
    </row>
    <row r="176" spans="31:33">
      <c r="AE176" t="s">
        <v>62</v>
      </c>
      <c r="AF176">
        <v>69.5</v>
      </c>
      <c r="AG176">
        <v>67</v>
      </c>
    </row>
    <row r="177" spans="31:33">
      <c r="AE177" t="s">
        <v>62</v>
      </c>
      <c r="AF177">
        <v>68</v>
      </c>
      <c r="AG177">
        <v>68</v>
      </c>
    </row>
    <row r="178" spans="31:33">
      <c r="AE178" t="s">
        <v>62</v>
      </c>
      <c r="AF178">
        <v>74.5</v>
      </c>
      <c r="AG178">
        <v>74.5</v>
      </c>
    </row>
    <row r="179" spans="31:33">
      <c r="AE179" t="s">
        <v>63</v>
      </c>
      <c r="AF179" t="s">
        <v>44</v>
      </c>
    </row>
    <row r="180" spans="31:33">
      <c r="AE180" t="s">
        <v>63</v>
      </c>
      <c r="AF180">
        <v>83</v>
      </c>
      <c r="AG180">
        <v>82.5</v>
      </c>
    </row>
    <row r="181" spans="31:33">
      <c r="AE181" t="s">
        <v>63</v>
      </c>
      <c r="AF181">
        <v>64.5</v>
      </c>
      <c r="AG181">
        <v>62.5</v>
      </c>
    </row>
    <row r="182" spans="31:33">
      <c r="AE182" t="s">
        <v>63</v>
      </c>
      <c r="AF182">
        <v>73.5</v>
      </c>
      <c r="AG182">
        <v>75</v>
      </c>
    </row>
    <row r="183" spans="31:33">
      <c r="AE183" t="s">
        <v>63</v>
      </c>
      <c r="AF183">
        <v>85</v>
      </c>
      <c r="AG183">
        <v>85.5</v>
      </c>
    </row>
    <row r="184" spans="31:33">
      <c r="AE184" t="s">
        <v>63</v>
      </c>
      <c r="AF184">
        <v>71</v>
      </c>
      <c r="AG184">
        <v>70</v>
      </c>
    </row>
    <row r="185" spans="31:33">
      <c r="AE185" t="s">
        <v>63</v>
      </c>
      <c r="AF185">
        <v>72.5</v>
      </c>
      <c r="AG185">
        <v>71</v>
      </c>
    </row>
    <row r="186" spans="31:33">
      <c r="AE186" t="s">
        <v>63</v>
      </c>
      <c r="AF186">
        <v>66</v>
      </c>
      <c r="AG186">
        <v>69</v>
      </c>
    </row>
    <row r="187" spans="31:33">
      <c r="AE187" t="s">
        <v>63</v>
      </c>
      <c r="AF187">
        <v>72</v>
      </c>
      <c r="AG187">
        <v>65.5</v>
      </c>
    </row>
    <row r="188" spans="31:33">
      <c r="AE188" t="s">
        <v>63</v>
      </c>
      <c r="AF188">
        <v>77.5</v>
      </c>
      <c r="AG188">
        <v>75</v>
      </c>
    </row>
    <row r="189" spans="31:33">
      <c r="AE189" t="s">
        <v>63</v>
      </c>
      <c r="AF189">
        <v>65.5</v>
      </c>
      <c r="AG189">
        <v>65.5</v>
      </c>
    </row>
    <row r="190" spans="31:33">
      <c r="AE190" t="s">
        <v>64</v>
      </c>
      <c r="AF190" t="s">
        <v>45</v>
      </c>
    </row>
    <row r="191" spans="31:33">
      <c r="AE191" t="s">
        <v>64</v>
      </c>
      <c r="AF191">
        <v>68.5</v>
      </c>
      <c r="AG191">
        <v>66</v>
      </c>
    </row>
    <row r="192" spans="31:33">
      <c r="AE192" t="s">
        <v>64</v>
      </c>
      <c r="AF192">
        <v>59.5</v>
      </c>
      <c r="AG192">
        <v>65</v>
      </c>
    </row>
    <row r="193" spans="31:33">
      <c r="AE193" t="s">
        <v>64</v>
      </c>
      <c r="AF193">
        <v>70</v>
      </c>
      <c r="AG193">
        <v>70</v>
      </c>
    </row>
    <row r="194" spans="31:33">
      <c r="AE194" t="s">
        <v>64</v>
      </c>
      <c r="AF194">
        <v>66</v>
      </c>
      <c r="AG194">
        <v>61.5</v>
      </c>
    </row>
    <row r="195" spans="31:33">
      <c r="AE195" t="s">
        <v>64</v>
      </c>
      <c r="AF195">
        <v>69</v>
      </c>
      <c r="AG195">
        <v>73</v>
      </c>
    </row>
    <row r="196" spans="31:33">
      <c r="AE196" t="s">
        <v>64</v>
      </c>
      <c r="AF196">
        <v>79</v>
      </c>
      <c r="AG196">
        <v>66</v>
      </c>
    </row>
    <row r="197" spans="31:33">
      <c r="AE197" t="s">
        <v>64</v>
      </c>
      <c r="AF197">
        <v>65.5</v>
      </c>
      <c r="AG197">
        <v>72.5</v>
      </c>
    </row>
    <row r="198" spans="31:33">
      <c r="AE198" t="s">
        <v>64</v>
      </c>
      <c r="AF198">
        <v>76</v>
      </c>
      <c r="AG198">
        <v>69</v>
      </c>
    </row>
    <row r="199" spans="31:33">
      <c r="AE199" t="s">
        <v>64</v>
      </c>
      <c r="AF199">
        <v>68.5</v>
      </c>
      <c r="AG199">
        <v>66.5</v>
      </c>
    </row>
    <row r="200" spans="31:33">
      <c r="AE200" t="s">
        <v>64</v>
      </c>
      <c r="AF200">
        <v>75.5</v>
      </c>
      <c r="AG200">
        <v>76</v>
      </c>
    </row>
    <row r="201" spans="31:33">
      <c r="AE201" t="s">
        <v>65</v>
      </c>
      <c r="AF201" t="s">
        <v>46</v>
      </c>
    </row>
    <row r="202" spans="31:33">
      <c r="AE202" t="s">
        <v>65</v>
      </c>
      <c r="AF202">
        <v>76</v>
      </c>
      <c r="AG202">
        <v>75</v>
      </c>
    </row>
    <row r="203" spans="31:33">
      <c r="AE203" t="s">
        <v>65</v>
      </c>
      <c r="AF203">
        <v>64.5</v>
      </c>
      <c r="AG203">
        <v>67.5</v>
      </c>
    </row>
    <row r="204" spans="31:33">
      <c r="AE204" t="s">
        <v>65</v>
      </c>
      <c r="AF204">
        <v>85.5</v>
      </c>
      <c r="AG204">
        <v>77.5</v>
      </c>
    </row>
    <row r="205" spans="31:33">
      <c r="AE205" t="s">
        <v>65</v>
      </c>
      <c r="AF205">
        <v>70</v>
      </c>
      <c r="AG205">
        <v>72</v>
      </c>
    </row>
    <row r="206" spans="31:33">
      <c r="AE206" t="s">
        <v>65</v>
      </c>
      <c r="AF206">
        <v>65</v>
      </c>
      <c r="AG206">
        <v>61</v>
      </c>
    </row>
    <row r="207" spans="31:33">
      <c r="AE207" t="s">
        <v>65</v>
      </c>
      <c r="AF207">
        <v>79.5</v>
      </c>
      <c r="AG207">
        <v>69</v>
      </c>
    </row>
    <row r="208" spans="31:33">
      <c r="AE208" t="s">
        <v>65</v>
      </c>
      <c r="AF208">
        <v>70</v>
      </c>
      <c r="AG208">
        <v>67</v>
      </c>
    </row>
    <row r="209" spans="31:33">
      <c r="AE209" t="s">
        <v>65</v>
      </c>
      <c r="AF209">
        <v>69.5</v>
      </c>
      <c r="AG209">
        <v>67.5</v>
      </c>
    </row>
    <row r="210" spans="31:33">
      <c r="AE210" t="s">
        <v>66</v>
      </c>
      <c r="AF210">
        <v>65</v>
      </c>
      <c r="AG210">
        <v>64.5</v>
      </c>
    </row>
    <row r="211" spans="31:33">
      <c r="AE211" t="s">
        <v>66</v>
      </c>
      <c r="AF211">
        <v>74</v>
      </c>
      <c r="AG211">
        <v>75</v>
      </c>
    </row>
  </sheetData>
  <conditionalFormatting sqref="D27:AA37">
    <cfRule type="cellIs" dxfId="9" priority="2" operator="lessThan">
      <formula>0</formula>
    </cfRule>
  </conditionalFormatting>
  <conditionalFormatting sqref="C27:C37">
    <cfRule type="cellIs" dxfId="8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B518-E64A-4658-99E9-F4CB5C308463}">
  <sheetPr codeName="Sheet9"/>
  <dimension ref="A2:AG244"/>
  <sheetViews>
    <sheetView workbookViewId="0">
      <selection activeCell="AE3" sqref="AE3"/>
    </sheetView>
  </sheetViews>
  <sheetFormatPr defaultRowHeight="14.25"/>
  <cols>
    <col min="2" max="2" width="10.625" bestFit="1" customWidth="1"/>
    <col min="4" max="27" width="5.375" customWidth="1"/>
  </cols>
  <sheetData>
    <row r="2" spans="1:33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>
      <c r="A3">
        <v>0</v>
      </c>
      <c r="B3" s="3" t="s">
        <v>18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67</v>
      </c>
      <c r="AF3" t="s">
        <v>29</v>
      </c>
    </row>
    <row r="4" spans="1:33">
      <c r="A4">
        <v>1</v>
      </c>
      <c r="B4" s="3" t="s">
        <v>19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67</v>
      </c>
      <c r="AF4">
        <v>80</v>
      </c>
      <c r="AG4">
        <v>67</v>
      </c>
    </row>
    <row r="5" spans="1:33">
      <c r="A5">
        <v>2</v>
      </c>
      <c r="B5" s="3" t="s">
        <v>20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67</v>
      </c>
      <c r="AF5">
        <v>74</v>
      </c>
      <c r="AG5">
        <v>67.5</v>
      </c>
    </row>
    <row r="6" spans="1:33">
      <c r="A6">
        <v>3</v>
      </c>
      <c r="B6" s="3" t="s">
        <v>21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67</v>
      </c>
      <c r="AF6">
        <v>79</v>
      </c>
      <c r="AG6">
        <v>72.5</v>
      </c>
    </row>
    <row r="7" spans="1:33">
      <c r="A7">
        <v>4</v>
      </c>
      <c r="B7" s="3" t="s">
        <v>23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67</v>
      </c>
      <c r="AF7">
        <v>76.5</v>
      </c>
      <c r="AG7">
        <v>70</v>
      </c>
    </row>
    <row r="8" spans="1:33">
      <c r="A8">
        <v>5</v>
      </c>
      <c r="B8" s="3" t="s">
        <v>22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67</v>
      </c>
      <c r="AF8">
        <v>77</v>
      </c>
      <c r="AG8">
        <v>72</v>
      </c>
    </row>
    <row r="9" spans="1:33">
      <c r="A9">
        <v>6</v>
      </c>
      <c r="B9" s="3" t="s">
        <v>24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67</v>
      </c>
      <c r="AF9">
        <v>68.5</v>
      </c>
      <c r="AG9">
        <v>61.5</v>
      </c>
    </row>
    <row r="10" spans="1:33">
      <c r="A10">
        <v>7</v>
      </c>
      <c r="B10" s="3" t="s">
        <v>27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67</v>
      </c>
      <c r="AF10">
        <v>75.5</v>
      </c>
      <c r="AG10">
        <v>67.5</v>
      </c>
    </row>
    <row r="11" spans="1:33">
      <c r="A11">
        <v>8</v>
      </c>
      <c r="B11" s="3" t="s">
        <v>25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67</v>
      </c>
      <c r="AF11">
        <v>80</v>
      </c>
      <c r="AG11">
        <v>76</v>
      </c>
    </row>
    <row r="12" spans="1:33">
      <c r="A12">
        <v>9</v>
      </c>
      <c r="B12" s="3" t="s">
        <v>26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67</v>
      </c>
      <c r="AF12">
        <v>83</v>
      </c>
      <c r="AG12">
        <v>73</v>
      </c>
    </row>
    <row r="13" spans="1:33">
      <c r="C13" s="3">
        <f>SUM(C3:C12)</f>
        <v>13222</v>
      </c>
      <c r="AE13" t="s">
        <v>67</v>
      </c>
      <c r="AF13">
        <v>75.5</v>
      </c>
      <c r="AG13">
        <v>74</v>
      </c>
    </row>
    <row r="14" spans="1:33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68</v>
      </c>
      <c r="AF14" t="s">
        <v>30</v>
      </c>
    </row>
    <row r="15" spans="1:33">
      <c r="A15">
        <v>0</v>
      </c>
      <c r="B15" s="3" t="s">
        <v>18</v>
      </c>
      <c r="C15" s="3">
        <f>SUM(D15:AA15)</f>
        <v>1389</v>
      </c>
      <c r="D15" s="3">
        <v>80</v>
      </c>
      <c r="E15" s="3">
        <v>73.5</v>
      </c>
      <c r="F15" s="3">
        <v>62.5</v>
      </c>
      <c r="G15" s="3">
        <v>72.5</v>
      </c>
      <c r="H15" s="3">
        <v>78.5</v>
      </c>
      <c r="I15" s="3">
        <v>74</v>
      </c>
      <c r="J15" s="3">
        <v>72.5</v>
      </c>
      <c r="K15" s="3">
        <v>70.5</v>
      </c>
      <c r="L15" s="3">
        <v>71</v>
      </c>
      <c r="M15" s="3">
        <v>67</v>
      </c>
      <c r="N15" s="3">
        <v>66.5</v>
      </c>
      <c r="O15" s="3">
        <v>87.5</v>
      </c>
      <c r="P15" s="3">
        <v>68.5</v>
      </c>
      <c r="Q15" s="3">
        <v>68</v>
      </c>
      <c r="R15" s="3">
        <v>74</v>
      </c>
      <c r="S15" s="3">
        <v>72.5</v>
      </c>
      <c r="T15" s="3">
        <v>83</v>
      </c>
      <c r="U15" s="3">
        <v>71.5</v>
      </c>
      <c r="V15" s="3">
        <v>75.5</v>
      </c>
      <c r="W15" s="3"/>
      <c r="X15" s="3"/>
      <c r="Y15" s="3"/>
      <c r="Z15" s="3"/>
      <c r="AA15" s="3"/>
      <c r="AC15">
        <f>COUNTIF(D15:AA24,"&gt;70")</f>
        <v>105</v>
      </c>
      <c r="AE15" t="s">
        <v>68</v>
      </c>
      <c r="AF15">
        <v>73.5</v>
      </c>
      <c r="AG15">
        <v>72.5</v>
      </c>
    </row>
    <row r="16" spans="1:33">
      <c r="A16">
        <v>1</v>
      </c>
      <c r="B16" s="3" t="s">
        <v>19</v>
      </c>
      <c r="C16" s="3">
        <f t="shared" ref="C16:C24" si="1">SUM(D16:AA16)</f>
        <v>1309.5</v>
      </c>
      <c r="D16" s="3">
        <v>74</v>
      </c>
      <c r="E16" s="3">
        <v>75.5</v>
      </c>
      <c r="F16" s="3">
        <v>69</v>
      </c>
      <c r="G16" s="3">
        <v>73.5</v>
      </c>
      <c r="H16" s="3">
        <v>77</v>
      </c>
      <c r="I16" s="3">
        <v>63.5</v>
      </c>
      <c r="J16" s="3">
        <v>66</v>
      </c>
      <c r="K16" s="3">
        <v>68</v>
      </c>
      <c r="L16" s="3">
        <v>74.5</v>
      </c>
      <c r="M16" s="3">
        <v>79.5</v>
      </c>
      <c r="N16" s="3">
        <v>61.5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68</v>
      </c>
      <c r="AF16">
        <v>75.5</v>
      </c>
      <c r="AG16">
        <v>72</v>
      </c>
    </row>
    <row r="17" spans="1:33">
      <c r="A17">
        <v>2</v>
      </c>
      <c r="B17" s="3" t="s">
        <v>20</v>
      </c>
      <c r="C17" s="3">
        <f t="shared" si="1"/>
        <v>1427.5</v>
      </c>
      <c r="D17" s="3">
        <v>79</v>
      </c>
      <c r="E17" s="3">
        <v>68</v>
      </c>
      <c r="F17" s="3">
        <v>85</v>
      </c>
      <c r="G17" s="3">
        <v>72</v>
      </c>
      <c r="H17" s="3">
        <v>70.5</v>
      </c>
      <c r="I17" s="3">
        <v>79.5</v>
      </c>
      <c r="J17" s="3">
        <v>76</v>
      </c>
      <c r="K17" s="3">
        <v>82</v>
      </c>
      <c r="L17" s="3">
        <v>69</v>
      </c>
      <c r="M17" s="3">
        <v>80</v>
      </c>
      <c r="N17" s="3">
        <v>78</v>
      </c>
      <c r="O17" s="3">
        <v>75.5</v>
      </c>
      <c r="P17" s="3">
        <v>76.5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68</v>
      </c>
      <c r="AF17">
        <v>68</v>
      </c>
      <c r="AG17">
        <v>69</v>
      </c>
    </row>
    <row r="18" spans="1:33">
      <c r="A18">
        <v>3</v>
      </c>
      <c r="B18" s="3" t="s">
        <v>21</v>
      </c>
      <c r="C18" s="3">
        <f t="shared" si="1"/>
        <v>1340.5</v>
      </c>
      <c r="D18" s="3">
        <v>76.5</v>
      </c>
      <c r="E18" s="3">
        <v>74</v>
      </c>
      <c r="F18" s="3">
        <v>71</v>
      </c>
      <c r="G18" s="3">
        <v>71</v>
      </c>
      <c r="H18" s="3">
        <v>62</v>
      </c>
      <c r="I18" s="3">
        <v>67.5</v>
      </c>
      <c r="J18" s="3">
        <v>75.5</v>
      </c>
      <c r="K18" s="3">
        <v>68</v>
      </c>
      <c r="L18" s="3">
        <v>68.5</v>
      </c>
      <c r="M18" s="3">
        <v>61</v>
      </c>
      <c r="N18" s="3">
        <v>72</v>
      </c>
      <c r="O18" s="3">
        <v>78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65.5</v>
      </c>
      <c r="V18" s="3">
        <v>68</v>
      </c>
      <c r="W18" s="3"/>
      <c r="X18" s="3"/>
      <c r="Y18" s="3"/>
      <c r="Z18" s="3"/>
      <c r="AA18" s="3"/>
      <c r="AE18" t="s">
        <v>68</v>
      </c>
      <c r="AF18">
        <v>74</v>
      </c>
      <c r="AG18">
        <v>65</v>
      </c>
    </row>
    <row r="19" spans="1:33">
      <c r="A19">
        <v>4</v>
      </c>
      <c r="B19" s="3" t="s">
        <v>23</v>
      </c>
      <c r="C19" s="3">
        <f t="shared" si="1"/>
        <v>1305</v>
      </c>
      <c r="D19" s="3">
        <v>77</v>
      </c>
      <c r="E19" s="3">
        <v>82.5</v>
      </c>
      <c r="F19" s="3">
        <v>75.5</v>
      </c>
      <c r="G19" s="3">
        <v>63</v>
      </c>
      <c r="H19" s="3">
        <v>65.5</v>
      </c>
      <c r="I19" s="3">
        <v>66</v>
      </c>
      <c r="J19" s="3">
        <v>64</v>
      </c>
      <c r="K19" s="3">
        <v>61</v>
      </c>
      <c r="L19" s="3">
        <v>62.5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72.5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68</v>
      </c>
      <c r="AF19">
        <v>82.5</v>
      </c>
      <c r="AG19">
        <v>75</v>
      </c>
    </row>
    <row r="20" spans="1:33">
      <c r="A20">
        <v>5</v>
      </c>
      <c r="B20" s="3" t="s">
        <v>22</v>
      </c>
      <c r="C20" s="3">
        <f t="shared" si="1"/>
        <v>1388</v>
      </c>
      <c r="D20" s="3">
        <v>68.5</v>
      </c>
      <c r="E20" s="3">
        <v>88</v>
      </c>
      <c r="F20" s="3">
        <v>71.5</v>
      </c>
      <c r="G20" s="3">
        <v>81</v>
      </c>
      <c r="H20" s="3">
        <v>76</v>
      </c>
      <c r="I20" s="3">
        <v>72</v>
      </c>
      <c r="J20" s="3">
        <v>63.5</v>
      </c>
      <c r="K20" s="3">
        <v>61</v>
      </c>
      <c r="L20" s="3">
        <v>71.5</v>
      </c>
      <c r="M20" s="3">
        <v>73.5</v>
      </c>
      <c r="N20" s="3">
        <v>87</v>
      </c>
      <c r="O20" s="3">
        <v>68.5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78</v>
      </c>
      <c r="V20" s="3">
        <v>79.5</v>
      </c>
      <c r="W20" s="3"/>
      <c r="X20" s="3"/>
      <c r="Y20" s="3"/>
      <c r="Z20" s="3"/>
      <c r="AA20" s="3"/>
      <c r="AE20" t="s">
        <v>68</v>
      </c>
      <c r="AF20">
        <v>88</v>
      </c>
      <c r="AG20">
        <v>85.5</v>
      </c>
    </row>
    <row r="21" spans="1:33">
      <c r="A21">
        <v>6</v>
      </c>
      <c r="B21" s="3" t="s">
        <v>24</v>
      </c>
      <c r="C21" s="3">
        <f t="shared" si="1"/>
        <v>1346</v>
      </c>
      <c r="D21" s="3">
        <v>75.5</v>
      </c>
      <c r="E21" s="3">
        <v>72</v>
      </c>
      <c r="F21" s="3">
        <v>80</v>
      </c>
      <c r="G21" s="3">
        <v>79.5</v>
      </c>
      <c r="H21" s="3">
        <v>83</v>
      </c>
      <c r="I21" s="3">
        <v>75.5</v>
      </c>
      <c r="J21" s="3">
        <v>74.5</v>
      </c>
      <c r="K21" s="3">
        <v>62</v>
      </c>
      <c r="L21" s="3">
        <v>70.5</v>
      </c>
      <c r="M21" s="3">
        <v>72.5</v>
      </c>
      <c r="N21" s="3">
        <v>61.5</v>
      </c>
      <c r="O21" s="3">
        <v>69.5</v>
      </c>
      <c r="P21" s="3">
        <v>70.5</v>
      </c>
      <c r="Q21" s="3">
        <v>66.5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68</v>
      </c>
      <c r="AF21">
        <v>72</v>
      </c>
      <c r="AG21">
        <v>72.5</v>
      </c>
    </row>
    <row r="22" spans="1:33">
      <c r="A22">
        <v>7</v>
      </c>
      <c r="B22" s="3" t="s">
        <v>27</v>
      </c>
      <c r="C22" s="3">
        <f t="shared" si="1"/>
        <v>1379.5</v>
      </c>
      <c r="D22" s="3">
        <v>80</v>
      </c>
      <c r="E22" s="3">
        <v>74.5</v>
      </c>
      <c r="F22" s="3">
        <v>64.5</v>
      </c>
      <c r="G22" s="3">
        <v>79.5</v>
      </c>
      <c r="H22" s="3">
        <v>72</v>
      </c>
      <c r="I22" s="3">
        <v>71</v>
      </c>
      <c r="J22" s="3">
        <v>68.5</v>
      </c>
      <c r="K22" s="3">
        <v>67.5</v>
      </c>
      <c r="L22" s="3">
        <v>66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70</v>
      </c>
      <c r="U22" s="3">
        <v>72</v>
      </c>
      <c r="V22" s="3">
        <v>70.5</v>
      </c>
      <c r="W22" s="3"/>
      <c r="X22" s="3"/>
      <c r="Y22" s="3"/>
      <c r="Z22" s="3"/>
      <c r="AA22" s="3"/>
      <c r="AE22" t="s">
        <v>68</v>
      </c>
      <c r="AF22">
        <v>74.5</v>
      </c>
      <c r="AG22">
        <v>70</v>
      </c>
    </row>
    <row r="23" spans="1:33">
      <c r="A23">
        <v>8</v>
      </c>
      <c r="B23" s="3" t="s">
        <v>25</v>
      </c>
      <c r="C23" s="3">
        <f t="shared" si="1"/>
        <v>1337</v>
      </c>
      <c r="D23" s="3">
        <v>83</v>
      </c>
      <c r="E23" s="3">
        <v>71.5</v>
      </c>
      <c r="F23" s="3">
        <v>76.5</v>
      </c>
      <c r="G23" s="3">
        <v>71.5</v>
      </c>
      <c r="H23" s="3">
        <v>67</v>
      </c>
      <c r="I23" s="3">
        <v>67.5</v>
      </c>
      <c r="J23" s="3">
        <v>64</v>
      </c>
      <c r="K23" s="3">
        <v>55</v>
      </c>
      <c r="L23" s="3">
        <v>78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68</v>
      </c>
      <c r="AF23">
        <v>71.5</v>
      </c>
      <c r="AG23">
        <v>71.5</v>
      </c>
    </row>
    <row r="24" spans="1:33">
      <c r="A24">
        <v>9</v>
      </c>
      <c r="B24" s="3" t="s">
        <v>26</v>
      </c>
      <c r="C24" s="3">
        <f t="shared" si="1"/>
        <v>1386</v>
      </c>
      <c r="D24" s="3">
        <v>75.5</v>
      </c>
      <c r="E24" s="3">
        <v>71.5</v>
      </c>
      <c r="F24" s="3">
        <v>87.5</v>
      </c>
      <c r="G24" s="3">
        <v>61.5</v>
      </c>
      <c r="H24" s="3">
        <v>67</v>
      </c>
      <c r="I24" s="3">
        <v>85</v>
      </c>
      <c r="J24" s="3">
        <v>68.5</v>
      </c>
      <c r="K24" s="3">
        <v>89</v>
      </c>
      <c r="L24" s="3">
        <v>86.5</v>
      </c>
      <c r="M24" s="3">
        <v>65</v>
      </c>
      <c r="N24" s="3">
        <v>69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72.5</v>
      </c>
      <c r="V24" s="3">
        <v>71</v>
      </c>
      <c r="W24" s="3"/>
      <c r="X24" s="3"/>
      <c r="Y24" s="3"/>
      <c r="Z24" s="3"/>
      <c r="AA24" s="3"/>
      <c r="AE24" t="s">
        <v>68</v>
      </c>
      <c r="AF24">
        <v>71.5</v>
      </c>
      <c r="AG24">
        <v>69</v>
      </c>
    </row>
    <row r="25" spans="1:33">
      <c r="C25" s="3">
        <f>SUM(C15:C24)</f>
        <v>13608</v>
      </c>
      <c r="AE25" t="s">
        <v>69</v>
      </c>
      <c r="AF25" t="s">
        <v>31</v>
      </c>
    </row>
    <row r="26" spans="1:33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69</v>
      </c>
      <c r="AF26">
        <v>62.5</v>
      </c>
      <c r="AG26">
        <v>58</v>
      </c>
    </row>
    <row r="27" spans="1:33">
      <c r="A27">
        <v>0</v>
      </c>
      <c r="B27" s="3" t="s">
        <v>18</v>
      </c>
      <c r="C27" s="3">
        <f t="shared" ref="C27:C36" si="2">SUM(D27:AA27)</f>
        <v>53.5</v>
      </c>
      <c r="D27" s="3">
        <f t="shared" ref="D27:V36" si="3">D15-D3</f>
        <v>13</v>
      </c>
      <c r="E27" s="3">
        <f t="shared" si="3"/>
        <v>1</v>
      </c>
      <c r="F27" s="3">
        <f t="shared" si="3"/>
        <v>4.5</v>
      </c>
      <c r="G27" s="3">
        <f t="shared" si="3"/>
        <v>3.5</v>
      </c>
      <c r="H27" s="3">
        <f t="shared" si="3"/>
        <v>1</v>
      </c>
      <c r="I27" s="3">
        <f t="shared" si="3"/>
        <v>0.5</v>
      </c>
      <c r="J27" s="3">
        <f t="shared" si="3"/>
        <v>-0.5</v>
      </c>
      <c r="K27" s="3">
        <f t="shared" si="3"/>
        <v>7.5</v>
      </c>
      <c r="L27" s="3">
        <f t="shared" si="3"/>
        <v>4</v>
      </c>
      <c r="M27" s="3">
        <f t="shared" si="3"/>
        <v>0.5</v>
      </c>
      <c r="N27" s="3">
        <f t="shared" si="3"/>
        <v>7.5</v>
      </c>
      <c r="O27" s="3">
        <f t="shared" si="3"/>
        <v>0</v>
      </c>
      <c r="P27" s="3">
        <f t="shared" si="3"/>
        <v>2</v>
      </c>
      <c r="Q27" s="3">
        <f t="shared" si="3"/>
        <v>-3.5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5.5</v>
      </c>
      <c r="V27" s="3">
        <f t="shared" si="3"/>
        <v>0.5</v>
      </c>
      <c r="W27" s="3"/>
      <c r="X27" s="3"/>
      <c r="Y27" s="3"/>
      <c r="Z27" s="3"/>
      <c r="AA27" s="3"/>
      <c r="AB27" s="2">
        <f>(C15-C3)/C15</f>
        <v>3.8516918646508282E-2</v>
      </c>
      <c r="AC27">
        <f>COUNTIF(D27:AA36,"&gt;0")</f>
        <v>128</v>
      </c>
      <c r="AE27" t="s">
        <v>69</v>
      </c>
      <c r="AF27">
        <v>69</v>
      </c>
      <c r="AG27">
        <v>69.5</v>
      </c>
    </row>
    <row r="28" spans="1:33">
      <c r="A28">
        <v>1</v>
      </c>
      <c r="B28" s="3" t="s">
        <v>19</v>
      </c>
      <c r="C28" s="3">
        <f t="shared" si="2"/>
        <v>9</v>
      </c>
      <c r="D28" s="3">
        <f t="shared" si="3"/>
        <v>6.5</v>
      </c>
      <c r="E28" s="3">
        <f t="shared" si="3"/>
        <v>3.5</v>
      </c>
      <c r="F28" s="3">
        <f t="shared" si="3"/>
        <v>-0.5</v>
      </c>
      <c r="G28" s="3">
        <f t="shared" si="3"/>
        <v>1</v>
      </c>
      <c r="H28" s="3">
        <f t="shared" si="3"/>
        <v>-5</v>
      </c>
      <c r="I28" s="3">
        <f t="shared" si="3"/>
        <v>-0.5</v>
      </c>
      <c r="J28" s="3">
        <f t="shared" si="3"/>
        <v>0.5</v>
      </c>
      <c r="K28" s="3">
        <f t="shared" si="3"/>
        <v>2.5</v>
      </c>
      <c r="L28" s="3">
        <f t="shared" si="3"/>
        <v>4.5</v>
      </c>
      <c r="M28" s="3">
        <f t="shared" si="3"/>
        <v>2</v>
      </c>
      <c r="N28" s="3">
        <f t="shared" si="3"/>
        <v>0.5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6.8728522336769758E-3</v>
      </c>
      <c r="AE28" t="s">
        <v>69</v>
      </c>
      <c r="AF28">
        <v>85</v>
      </c>
      <c r="AG28">
        <v>82</v>
      </c>
    </row>
    <row r="29" spans="1:33">
      <c r="A29">
        <v>2</v>
      </c>
      <c r="B29" s="3" t="s">
        <v>20</v>
      </c>
      <c r="C29" s="3">
        <f t="shared" si="2"/>
        <v>52.5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4</v>
      </c>
      <c r="H29" s="3">
        <f t="shared" si="3"/>
        <v>-4</v>
      </c>
      <c r="I29" s="3">
        <f t="shared" si="3"/>
        <v>5.5</v>
      </c>
      <c r="J29" s="3">
        <f t="shared" si="3"/>
        <v>3.5</v>
      </c>
      <c r="K29" s="3">
        <f t="shared" si="3"/>
        <v>4.5</v>
      </c>
      <c r="L29" s="3">
        <f t="shared" si="3"/>
        <v>-3</v>
      </c>
      <c r="M29" s="3">
        <f t="shared" si="3"/>
        <v>2</v>
      </c>
      <c r="N29" s="3">
        <f t="shared" si="3"/>
        <v>11</v>
      </c>
      <c r="O29" s="3">
        <f t="shared" si="3"/>
        <v>10.5</v>
      </c>
      <c r="P29" s="3">
        <f t="shared" si="3"/>
        <v>-9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3.6777583187390543E-2</v>
      </c>
      <c r="AE29" t="s">
        <v>69</v>
      </c>
      <c r="AF29">
        <v>71</v>
      </c>
      <c r="AG29">
        <v>63</v>
      </c>
    </row>
    <row r="30" spans="1:33">
      <c r="A30">
        <v>3</v>
      </c>
      <c r="B30" s="3" t="s">
        <v>21</v>
      </c>
      <c r="C30" s="3">
        <f t="shared" si="2"/>
        <v>42.5</v>
      </c>
      <c r="D30" s="3">
        <f t="shared" si="3"/>
        <v>6.5</v>
      </c>
      <c r="E30" s="3">
        <f t="shared" si="3"/>
        <v>9</v>
      </c>
      <c r="F30" s="3">
        <f t="shared" si="3"/>
        <v>8</v>
      </c>
      <c r="G30" s="3">
        <f t="shared" si="3"/>
        <v>7.5</v>
      </c>
      <c r="H30" s="3">
        <f t="shared" si="3"/>
        <v>-0.5</v>
      </c>
      <c r="I30" s="3">
        <f t="shared" si="3"/>
        <v>3.5</v>
      </c>
      <c r="J30" s="3">
        <f t="shared" si="3"/>
        <v>9</v>
      </c>
      <c r="K30" s="3">
        <f t="shared" si="3"/>
        <v>4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-4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</v>
      </c>
      <c r="V30" s="3">
        <f t="shared" si="3"/>
        <v>-4</v>
      </c>
      <c r="W30" s="3"/>
      <c r="X30" s="3"/>
      <c r="Y30" s="3"/>
      <c r="Z30" s="3"/>
      <c r="AA30" s="3"/>
      <c r="AB30" s="2">
        <f t="shared" si="4"/>
        <v>3.1704587840358074E-2</v>
      </c>
      <c r="AE30" t="s">
        <v>69</v>
      </c>
      <c r="AF30">
        <v>75.5</v>
      </c>
      <c r="AG30">
        <v>71</v>
      </c>
    </row>
    <row r="31" spans="1:33">
      <c r="A31">
        <v>4</v>
      </c>
      <c r="B31" s="3" t="s">
        <v>23</v>
      </c>
      <c r="C31" s="3">
        <f t="shared" si="2"/>
        <v>13.5</v>
      </c>
      <c r="D31" s="3">
        <f t="shared" si="3"/>
        <v>5</v>
      </c>
      <c r="E31" s="3">
        <f t="shared" si="3"/>
        <v>7.5</v>
      </c>
      <c r="F31" s="3">
        <f t="shared" si="3"/>
        <v>4.5</v>
      </c>
      <c r="G31" s="3">
        <f t="shared" si="3"/>
        <v>0.5</v>
      </c>
      <c r="H31" s="3">
        <f t="shared" si="3"/>
        <v>-2</v>
      </c>
      <c r="I31" s="3">
        <f t="shared" si="3"/>
        <v>-0.5</v>
      </c>
      <c r="J31" s="3">
        <f t="shared" si="3"/>
        <v>2</v>
      </c>
      <c r="K31" s="3">
        <f t="shared" si="3"/>
        <v>2.5</v>
      </c>
      <c r="L31" s="3">
        <f t="shared" si="3"/>
        <v>-5.5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2.5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1.0344827586206896E-2</v>
      </c>
      <c r="AE31" t="s">
        <v>69</v>
      </c>
      <c r="AF31">
        <v>71.5</v>
      </c>
      <c r="AG31">
        <v>74</v>
      </c>
    </row>
    <row r="32" spans="1:33">
      <c r="A32">
        <v>5</v>
      </c>
      <c r="B32" s="3" t="s">
        <v>22</v>
      </c>
      <c r="C32" s="3">
        <f t="shared" si="2"/>
        <v>66</v>
      </c>
      <c r="D32" s="3">
        <f t="shared" si="3"/>
        <v>7</v>
      </c>
      <c r="E32" s="3">
        <f t="shared" si="3"/>
        <v>2.5</v>
      </c>
      <c r="F32" s="3">
        <f t="shared" si="3"/>
        <v>-2.5</v>
      </c>
      <c r="G32" s="3">
        <f t="shared" si="3"/>
        <v>7</v>
      </c>
      <c r="H32" s="3">
        <f t="shared" si="3"/>
        <v>2</v>
      </c>
      <c r="I32" s="3">
        <f t="shared" si="3"/>
        <v>5.5</v>
      </c>
      <c r="J32" s="3">
        <f t="shared" si="3"/>
        <v>2.5</v>
      </c>
      <c r="K32" s="3">
        <f t="shared" si="3"/>
        <v>-4.5</v>
      </c>
      <c r="L32" s="3">
        <f t="shared" si="3"/>
        <v>5.5</v>
      </c>
      <c r="M32" s="3">
        <f t="shared" si="3"/>
        <v>7.5</v>
      </c>
      <c r="N32" s="3">
        <f t="shared" si="3"/>
        <v>8</v>
      </c>
      <c r="O32" s="3">
        <f t="shared" si="3"/>
        <v>0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12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4.7550432276657062E-2</v>
      </c>
      <c r="AE32" t="s">
        <v>69</v>
      </c>
      <c r="AF32">
        <v>80</v>
      </c>
      <c r="AG32">
        <v>66.5</v>
      </c>
    </row>
    <row r="33" spans="1:33">
      <c r="A33">
        <v>6</v>
      </c>
      <c r="B33" s="3" t="s">
        <v>24</v>
      </c>
      <c r="C33" s="3">
        <f t="shared" si="2"/>
        <v>25</v>
      </c>
      <c r="D33" s="3">
        <f t="shared" si="3"/>
        <v>8</v>
      </c>
      <c r="E33" s="3">
        <f t="shared" si="3"/>
        <v>-0.5</v>
      </c>
      <c r="F33" s="3">
        <f t="shared" si="3"/>
        <v>13.5</v>
      </c>
      <c r="G33" s="3">
        <f t="shared" si="3"/>
        <v>8.5</v>
      </c>
      <c r="H33" s="3">
        <f t="shared" si="3"/>
        <v>6</v>
      </c>
      <c r="I33" s="3">
        <f t="shared" si="3"/>
        <v>14.5</v>
      </c>
      <c r="J33" s="3">
        <f t="shared" si="3"/>
        <v>6</v>
      </c>
      <c r="K33" s="3">
        <f t="shared" si="3"/>
        <v>-10</v>
      </c>
      <c r="L33" s="3">
        <f t="shared" si="3"/>
        <v>1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-4.5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1.8573551263001486E-2</v>
      </c>
      <c r="AE33" t="s">
        <v>69</v>
      </c>
      <c r="AF33">
        <v>64.5</v>
      </c>
      <c r="AG33">
        <v>61.5</v>
      </c>
    </row>
    <row r="34" spans="1:33">
      <c r="A34">
        <v>7</v>
      </c>
      <c r="B34" s="3" t="s">
        <v>27</v>
      </c>
      <c r="C34" s="3">
        <f t="shared" si="2"/>
        <v>49</v>
      </c>
      <c r="D34" s="3">
        <f t="shared" si="3"/>
        <v>4</v>
      </c>
      <c r="E34" s="3">
        <f t="shared" si="3"/>
        <v>4.5</v>
      </c>
      <c r="F34" s="3">
        <f t="shared" si="3"/>
        <v>3</v>
      </c>
      <c r="G34" s="3">
        <f t="shared" si="3"/>
        <v>-0.5</v>
      </c>
      <c r="H34" s="3">
        <f t="shared" si="3"/>
        <v>1.5</v>
      </c>
      <c r="I34" s="3">
        <f t="shared" si="3"/>
        <v>1.5</v>
      </c>
      <c r="J34" s="3">
        <f t="shared" si="3"/>
        <v>2</v>
      </c>
      <c r="K34" s="3">
        <f t="shared" si="3"/>
        <v>1.5</v>
      </c>
      <c r="L34" s="3">
        <f t="shared" si="3"/>
        <v>1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4.5</v>
      </c>
      <c r="U34" s="3">
        <f t="shared" si="3"/>
        <v>3</v>
      </c>
      <c r="V34" s="3">
        <f t="shared" si="3"/>
        <v>3</v>
      </c>
      <c r="W34" s="3"/>
      <c r="X34" s="3"/>
      <c r="Y34" s="3"/>
      <c r="Z34" s="3"/>
      <c r="AA34" s="3"/>
      <c r="AB34" s="2">
        <f t="shared" si="4"/>
        <v>3.5520115984052192E-2</v>
      </c>
      <c r="AE34" t="s">
        <v>69</v>
      </c>
      <c r="AF34">
        <v>76.5</v>
      </c>
      <c r="AG34">
        <v>65.5</v>
      </c>
    </row>
    <row r="35" spans="1:33">
      <c r="A35">
        <v>8</v>
      </c>
      <c r="B35" s="3" t="s">
        <v>25</v>
      </c>
      <c r="C35" s="3">
        <f t="shared" si="2"/>
        <v>42</v>
      </c>
      <c r="D35" s="3">
        <f t="shared" si="3"/>
        <v>10</v>
      </c>
      <c r="E35" s="3">
        <f t="shared" si="3"/>
        <v>0</v>
      </c>
      <c r="F35" s="3">
        <f t="shared" si="3"/>
        <v>11</v>
      </c>
      <c r="G35" s="3">
        <f t="shared" si="3"/>
        <v>3</v>
      </c>
      <c r="H35" s="3">
        <f t="shared" si="3"/>
        <v>-1.5</v>
      </c>
      <c r="I35" s="3">
        <f t="shared" si="3"/>
        <v>1</v>
      </c>
      <c r="J35" s="3">
        <f t="shared" si="3"/>
        <v>-4</v>
      </c>
      <c r="K35" s="3">
        <f t="shared" si="3"/>
        <v>-11</v>
      </c>
      <c r="L35" s="3">
        <f t="shared" si="3"/>
        <v>0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3.1413612565445025E-2</v>
      </c>
      <c r="AE35" t="s">
        <v>69</v>
      </c>
      <c r="AF35">
        <v>87.5</v>
      </c>
      <c r="AG35">
        <v>82</v>
      </c>
    </row>
    <row r="36" spans="1:33">
      <c r="A36">
        <v>9</v>
      </c>
      <c r="B36" s="3" t="s">
        <v>26</v>
      </c>
      <c r="C36" s="3">
        <f t="shared" si="2"/>
        <v>33</v>
      </c>
      <c r="D36" s="3">
        <f t="shared" si="3"/>
        <v>1.5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1</v>
      </c>
      <c r="I36" s="3">
        <f t="shared" si="3"/>
        <v>-1.5</v>
      </c>
      <c r="J36" s="3">
        <f t="shared" si="3"/>
        <v>1</v>
      </c>
      <c r="K36" s="3">
        <f t="shared" si="3"/>
        <v>10</v>
      </c>
      <c r="L36" s="3">
        <f t="shared" si="3"/>
        <v>1</v>
      </c>
      <c r="M36" s="3">
        <f t="shared" si="3"/>
        <v>7.5</v>
      </c>
      <c r="N36" s="3">
        <f t="shared" si="3"/>
        <v>3.5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-3.5</v>
      </c>
      <c r="V36" s="3">
        <f t="shared" si="3"/>
        <v>-4</v>
      </c>
      <c r="W36" s="3"/>
      <c r="X36" s="3"/>
      <c r="Y36" s="3"/>
      <c r="Z36" s="3"/>
      <c r="AA36" s="3"/>
      <c r="AB36" s="2">
        <f t="shared" si="4"/>
        <v>2.3809523809523808E-2</v>
      </c>
      <c r="AE36" t="s">
        <v>70</v>
      </c>
      <c r="AF36" t="s">
        <v>32</v>
      </c>
    </row>
    <row r="37" spans="1:33" ht="15">
      <c r="C37" s="4">
        <f>SUM(C27:C36)</f>
        <v>386</v>
      </c>
      <c r="D37" s="4">
        <f t="shared" ref="D37:V37" si="5">SUM(D27:D36)</f>
        <v>68</v>
      </c>
      <c r="E37" s="4">
        <f t="shared" si="5"/>
        <v>29</v>
      </c>
      <c r="F37" s="4">
        <f t="shared" si="5"/>
        <v>50</v>
      </c>
      <c r="G37" s="4">
        <f t="shared" si="5"/>
        <v>29</v>
      </c>
      <c r="H37" s="4">
        <f t="shared" si="5"/>
        <v>-1.5</v>
      </c>
      <c r="I37" s="4">
        <f t="shared" si="5"/>
        <v>29.5</v>
      </c>
      <c r="J37" s="4">
        <f t="shared" si="5"/>
        <v>22</v>
      </c>
      <c r="K37" s="4">
        <f t="shared" si="5"/>
        <v>7</v>
      </c>
      <c r="L37" s="4">
        <f t="shared" si="5"/>
        <v>7</v>
      </c>
      <c r="M37" s="4">
        <f t="shared" si="5"/>
        <v>28</v>
      </c>
      <c r="N37" s="4">
        <f t="shared" si="5"/>
        <v>28.5</v>
      </c>
      <c r="O37" s="4">
        <f t="shared" si="5"/>
        <v>11.5</v>
      </c>
      <c r="P37" s="4">
        <f t="shared" si="5"/>
        <v>-5</v>
      </c>
      <c r="Q37" s="4">
        <f t="shared" si="5"/>
        <v>31.5</v>
      </c>
      <c r="R37" s="4">
        <f t="shared" si="5"/>
        <v>23</v>
      </c>
      <c r="S37" s="4">
        <f t="shared" si="5"/>
        <v>-5</v>
      </c>
      <c r="T37" s="4">
        <f t="shared" si="5"/>
        <v>8.5</v>
      </c>
      <c r="U37" s="4">
        <f t="shared" si="5"/>
        <v>6.5</v>
      </c>
      <c r="V37" s="4">
        <f t="shared" si="5"/>
        <v>18.5</v>
      </c>
      <c r="W37" s="4"/>
      <c r="X37" s="4"/>
      <c r="Y37" s="4"/>
      <c r="Z37" s="4"/>
      <c r="AA37" s="4"/>
      <c r="AE37" t="s">
        <v>70</v>
      </c>
      <c r="AF37">
        <v>72.5</v>
      </c>
      <c r="AG37">
        <v>69</v>
      </c>
    </row>
    <row r="38" spans="1:33">
      <c r="AE38" t="s">
        <v>70</v>
      </c>
      <c r="AF38">
        <v>73.5</v>
      </c>
      <c r="AG38">
        <v>72.5</v>
      </c>
    </row>
    <row r="39" spans="1:33">
      <c r="AE39" t="s">
        <v>70</v>
      </c>
      <c r="AF39">
        <v>72</v>
      </c>
      <c r="AG39">
        <v>68</v>
      </c>
    </row>
    <row r="40" spans="1:33">
      <c r="AE40" t="s">
        <v>70</v>
      </c>
      <c r="AF40">
        <v>71</v>
      </c>
      <c r="AG40">
        <v>63.5</v>
      </c>
    </row>
    <row r="41" spans="1:33">
      <c r="AE41" t="s">
        <v>70</v>
      </c>
      <c r="AF41">
        <v>63</v>
      </c>
      <c r="AG41">
        <v>62.5</v>
      </c>
    </row>
    <row r="42" spans="1:33">
      <c r="AE42" t="s">
        <v>70</v>
      </c>
      <c r="AF42">
        <v>81</v>
      </c>
      <c r="AG42">
        <v>74</v>
      </c>
    </row>
    <row r="43" spans="1:33">
      <c r="AE43" t="s">
        <v>70</v>
      </c>
      <c r="AF43">
        <v>79.5</v>
      </c>
      <c r="AG43">
        <v>71</v>
      </c>
    </row>
    <row r="44" spans="1:33">
      <c r="AE44" t="s">
        <v>70</v>
      </c>
      <c r="AF44">
        <v>79.5</v>
      </c>
      <c r="AG44">
        <v>80</v>
      </c>
    </row>
    <row r="45" spans="1:33">
      <c r="AE45" t="s">
        <v>70</v>
      </c>
      <c r="AF45">
        <v>71.5</v>
      </c>
      <c r="AG45">
        <v>68.5</v>
      </c>
    </row>
    <row r="46" spans="1:33">
      <c r="AE46" t="s">
        <v>70</v>
      </c>
      <c r="AF46">
        <v>61.5</v>
      </c>
      <c r="AG46">
        <v>67</v>
      </c>
    </row>
    <row r="47" spans="1:33">
      <c r="AE47" t="s">
        <v>71</v>
      </c>
      <c r="AF47" t="s">
        <v>33</v>
      </c>
    </row>
    <row r="48" spans="1:33">
      <c r="AE48" t="s">
        <v>71</v>
      </c>
      <c r="AF48">
        <v>78.5</v>
      </c>
      <c r="AG48">
        <v>77.5</v>
      </c>
    </row>
    <row r="49" spans="31:33">
      <c r="AE49" t="s">
        <v>71</v>
      </c>
      <c r="AF49">
        <v>77</v>
      </c>
      <c r="AG49">
        <v>82</v>
      </c>
    </row>
    <row r="50" spans="31:33">
      <c r="AE50" t="s">
        <v>71</v>
      </c>
      <c r="AF50">
        <v>70.5</v>
      </c>
      <c r="AG50">
        <v>74.5</v>
      </c>
    </row>
    <row r="51" spans="31:33">
      <c r="AE51" t="s">
        <v>71</v>
      </c>
      <c r="AF51">
        <v>62</v>
      </c>
      <c r="AG51">
        <v>62.5</v>
      </c>
    </row>
    <row r="52" spans="31:33">
      <c r="AE52" t="s">
        <v>71</v>
      </c>
      <c r="AF52">
        <v>65.5</v>
      </c>
      <c r="AG52">
        <v>67.5</v>
      </c>
    </row>
    <row r="53" spans="31:33">
      <c r="AE53" t="s">
        <v>71</v>
      </c>
      <c r="AF53">
        <v>76</v>
      </c>
      <c r="AG53">
        <v>74</v>
      </c>
    </row>
    <row r="54" spans="31:33">
      <c r="AE54" t="s">
        <v>71</v>
      </c>
      <c r="AF54">
        <v>83</v>
      </c>
      <c r="AG54">
        <v>77</v>
      </c>
    </row>
    <row r="55" spans="31:33">
      <c r="AE55" t="s">
        <v>71</v>
      </c>
      <c r="AF55">
        <v>72</v>
      </c>
      <c r="AG55">
        <v>70.5</v>
      </c>
    </row>
    <row r="56" spans="31:33">
      <c r="AE56" t="s">
        <v>71</v>
      </c>
      <c r="AF56">
        <v>67</v>
      </c>
      <c r="AG56">
        <v>68.5</v>
      </c>
    </row>
    <row r="57" spans="31:33">
      <c r="AE57" t="s">
        <v>71</v>
      </c>
      <c r="AF57">
        <v>67</v>
      </c>
      <c r="AG57">
        <v>66</v>
      </c>
    </row>
    <row r="58" spans="31:33">
      <c r="AE58" t="s">
        <v>72</v>
      </c>
      <c r="AF58" t="s">
        <v>28</v>
      </c>
    </row>
    <row r="59" spans="31:33">
      <c r="AE59" t="s">
        <v>72</v>
      </c>
      <c r="AF59">
        <v>74</v>
      </c>
      <c r="AG59">
        <v>73.5</v>
      </c>
    </row>
    <row r="60" spans="31:33">
      <c r="AE60" t="s">
        <v>72</v>
      </c>
      <c r="AF60">
        <v>63.5</v>
      </c>
      <c r="AG60">
        <v>64</v>
      </c>
    </row>
    <row r="61" spans="31:33">
      <c r="AE61" t="s">
        <v>72</v>
      </c>
      <c r="AF61">
        <v>79.5</v>
      </c>
      <c r="AG61">
        <v>74</v>
      </c>
    </row>
    <row r="62" spans="31:33">
      <c r="AE62" t="s">
        <v>72</v>
      </c>
      <c r="AF62">
        <v>67.5</v>
      </c>
      <c r="AG62">
        <v>64</v>
      </c>
    </row>
    <row r="63" spans="31:33">
      <c r="AE63" t="s">
        <v>72</v>
      </c>
      <c r="AF63">
        <v>66</v>
      </c>
      <c r="AG63">
        <v>66.5</v>
      </c>
    </row>
    <row r="64" spans="31:33">
      <c r="AE64" t="s">
        <v>72</v>
      </c>
      <c r="AF64">
        <v>72</v>
      </c>
      <c r="AG64">
        <v>66.5</v>
      </c>
    </row>
    <row r="65" spans="31:33">
      <c r="AE65" t="s">
        <v>72</v>
      </c>
      <c r="AF65">
        <v>75.5</v>
      </c>
      <c r="AG65">
        <v>61</v>
      </c>
    </row>
    <row r="66" spans="31:33">
      <c r="AE66" t="s">
        <v>72</v>
      </c>
      <c r="AF66">
        <v>71</v>
      </c>
      <c r="AG66">
        <v>69.5</v>
      </c>
    </row>
    <row r="67" spans="31:33">
      <c r="AE67" t="s">
        <v>72</v>
      </c>
      <c r="AF67">
        <v>67.5</v>
      </c>
      <c r="AG67">
        <v>66.5</v>
      </c>
    </row>
    <row r="68" spans="31:33">
      <c r="AE68" t="s">
        <v>72</v>
      </c>
      <c r="AF68">
        <v>85</v>
      </c>
      <c r="AG68">
        <v>86.5</v>
      </c>
    </row>
    <row r="69" spans="31:33">
      <c r="AE69" t="s">
        <v>73</v>
      </c>
      <c r="AF69" t="s">
        <v>34</v>
      </c>
    </row>
    <row r="70" spans="31:33">
      <c r="AE70" t="s">
        <v>73</v>
      </c>
      <c r="AF70">
        <v>72.5</v>
      </c>
      <c r="AG70">
        <v>73</v>
      </c>
    </row>
    <row r="71" spans="31:33">
      <c r="AE71" t="s">
        <v>73</v>
      </c>
      <c r="AF71">
        <v>66</v>
      </c>
      <c r="AG71">
        <v>65.5</v>
      </c>
    </row>
    <row r="72" spans="31:33">
      <c r="AE72" t="s">
        <v>73</v>
      </c>
      <c r="AF72">
        <v>76</v>
      </c>
      <c r="AG72">
        <v>72.5</v>
      </c>
    </row>
    <row r="73" spans="31:33">
      <c r="AE73" t="s">
        <v>73</v>
      </c>
      <c r="AF73">
        <v>75.5</v>
      </c>
      <c r="AG73">
        <v>66.5</v>
      </c>
    </row>
    <row r="74" spans="31:33">
      <c r="AE74" t="s">
        <v>73</v>
      </c>
      <c r="AF74">
        <v>64</v>
      </c>
      <c r="AG74">
        <v>62</v>
      </c>
    </row>
    <row r="75" spans="31:33">
      <c r="AE75" t="s">
        <v>73</v>
      </c>
      <c r="AF75">
        <v>63.5</v>
      </c>
      <c r="AG75">
        <v>61</v>
      </c>
    </row>
    <row r="76" spans="31:33">
      <c r="AE76" t="s">
        <v>73</v>
      </c>
      <c r="AF76">
        <v>74.5</v>
      </c>
      <c r="AG76">
        <v>68.5</v>
      </c>
    </row>
    <row r="77" spans="31:33">
      <c r="AE77" t="s">
        <v>73</v>
      </c>
      <c r="AF77">
        <v>68.5</v>
      </c>
      <c r="AG77">
        <v>66.5</v>
      </c>
    </row>
    <row r="78" spans="31:33">
      <c r="AE78" t="s">
        <v>73</v>
      </c>
      <c r="AF78">
        <v>64</v>
      </c>
      <c r="AG78">
        <v>68</v>
      </c>
    </row>
    <row r="79" spans="31:33">
      <c r="AE79" t="s">
        <v>73</v>
      </c>
      <c r="AF79">
        <v>68.5</v>
      </c>
      <c r="AG79">
        <v>67.5</v>
      </c>
    </row>
    <row r="80" spans="31:33">
      <c r="AE80" t="s">
        <v>74</v>
      </c>
      <c r="AF80" t="s">
        <v>35</v>
      </c>
    </row>
    <row r="81" spans="31:33">
      <c r="AE81" t="s">
        <v>74</v>
      </c>
      <c r="AF81">
        <v>70.5</v>
      </c>
      <c r="AG81">
        <v>63</v>
      </c>
    </row>
    <row r="82" spans="31:33">
      <c r="AE82" t="s">
        <v>74</v>
      </c>
      <c r="AF82">
        <v>68</v>
      </c>
      <c r="AG82">
        <v>65.5</v>
      </c>
    </row>
    <row r="83" spans="31:33">
      <c r="AE83" t="s">
        <v>74</v>
      </c>
      <c r="AF83">
        <v>82</v>
      </c>
      <c r="AG83">
        <v>77.5</v>
      </c>
    </row>
    <row r="84" spans="31:33">
      <c r="AE84" t="s">
        <v>74</v>
      </c>
      <c r="AF84">
        <v>68</v>
      </c>
      <c r="AG84">
        <v>64</v>
      </c>
    </row>
    <row r="85" spans="31:33">
      <c r="AE85" t="s">
        <v>74</v>
      </c>
      <c r="AF85">
        <v>61</v>
      </c>
      <c r="AG85">
        <v>58.5</v>
      </c>
    </row>
    <row r="86" spans="31:33">
      <c r="AE86" t="s">
        <v>74</v>
      </c>
      <c r="AF86">
        <v>61</v>
      </c>
      <c r="AG86">
        <v>65.5</v>
      </c>
    </row>
    <row r="87" spans="31:33">
      <c r="AE87" t="s">
        <v>74</v>
      </c>
      <c r="AF87">
        <v>62</v>
      </c>
      <c r="AG87">
        <v>72</v>
      </c>
    </row>
    <row r="88" spans="31:33">
      <c r="AE88" t="s">
        <v>74</v>
      </c>
      <c r="AF88">
        <v>67.5</v>
      </c>
      <c r="AG88">
        <v>66</v>
      </c>
    </row>
    <row r="89" spans="31:33">
      <c r="AE89" t="s">
        <v>74</v>
      </c>
      <c r="AF89">
        <v>55</v>
      </c>
      <c r="AG89">
        <v>66</v>
      </c>
    </row>
    <row r="90" spans="31:33">
      <c r="AE90" t="s">
        <v>74</v>
      </c>
      <c r="AF90">
        <v>89</v>
      </c>
      <c r="AG90">
        <v>79</v>
      </c>
    </row>
    <row r="91" spans="31:33">
      <c r="AE91" t="s">
        <v>75</v>
      </c>
      <c r="AF91" t="s">
        <v>36</v>
      </c>
    </row>
    <row r="92" spans="31:33">
      <c r="AE92" t="s">
        <v>75</v>
      </c>
      <c r="AF92">
        <v>71</v>
      </c>
      <c r="AG92">
        <v>67</v>
      </c>
    </row>
    <row r="93" spans="31:33">
      <c r="AE93" t="s">
        <v>75</v>
      </c>
      <c r="AF93">
        <v>74.5</v>
      </c>
      <c r="AG93">
        <v>70</v>
      </c>
    </row>
    <row r="94" spans="31:33">
      <c r="AE94" t="s">
        <v>75</v>
      </c>
      <c r="AF94">
        <v>69</v>
      </c>
      <c r="AG94">
        <v>72</v>
      </c>
    </row>
    <row r="95" spans="31:33">
      <c r="AE95" t="s">
        <v>75</v>
      </c>
      <c r="AF95">
        <v>68.5</v>
      </c>
      <c r="AG95">
        <v>70</v>
      </c>
    </row>
    <row r="96" spans="31:33">
      <c r="AE96" t="s">
        <v>75</v>
      </c>
      <c r="AF96">
        <v>62.5</v>
      </c>
      <c r="AG96">
        <v>68</v>
      </c>
    </row>
    <row r="97" spans="31:33">
      <c r="AE97" t="s">
        <v>75</v>
      </c>
      <c r="AF97">
        <v>71.5</v>
      </c>
      <c r="AG97">
        <v>66</v>
      </c>
    </row>
    <row r="98" spans="31:33">
      <c r="AE98" t="s">
        <v>75</v>
      </c>
      <c r="AF98">
        <v>70.5</v>
      </c>
      <c r="AG98">
        <v>69.5</v>
      </c>
    </row>
    <row r="99" spans="31:33">
      <c r="AE99" t="s">
        <v>75</v>
      </c>
      <c r="AF99">
        <v>66</v>
      </c>
      <c r="AG99">
        <v>65</v>
      </c>
    </row>
    <row r="100" spans="31:33">
      <c r="AE100" t="s">
        <v>75</v>
      </c>
      <c r="AF100">
        <v>78</v>
      </c>
      <c r="AG100">
        <v>78</v>
      </c>
    </row>
    <row r="101" spans="31:33">
      <c r="AE101" t="s">
        <v>75</v>
      </c>
      <c r="AF101">
        <v>86.5</v>
      </c>
      <c r="AG101">
        <v>85.5</v>
      </c>
    </row>
    <row r="102" spans="31:33">
      <c r="AE102" t="s">
        <v>76</v>
      </c>
      <c r="AF102" t="s">
        <v>37</v>
      </c>
    </row>
    <row r="103" spans="31:33">
      <c r="AE103" t="s">
        <v>76</v>
      </c>
      <c r="AF103">
        <v>67</v>
      </c>
      <c r="AG103">
        <v>66.5</v>
      </c>
    </row>
    <row r="104" spans="31:33">
      <c r="AE104" t="s">
        <v>76</v>
      </c>
      <c r="AF104">
        <v>78</v>
      </c>
      <c r="AG104">
        <v>77.5</v>
      </c>
    </row>
    <row r="105" spans="31:33">
      <c r="AE105" t="s">
        <v>76</v>
      </c>
      <c r="AF105">
        <v>83.5</v>
      </c>
      <c r="AG105">
        <v>78</v>
      </c>
    </row>
    <row r="106" spans="31:33">
      <c r="AE106" t="s">
        <v>76</v>
      </c>
      <c r="AF106">
        <v>63.5</v>
      </c>
      <c r="AG106">
        <v>63.5</v>
      </c>
    </row>
    <row r="107" spans="31:33">
      <c r="AE107" t="s">
        <v>76</v>
      </c>
      <c r="AF107">
        <v>61</v>
      </c>
      <c r="AG107">
        <v>60.5</v>
      </c>
    </row>
    <row r="108" spans="31:33">
      <c r="AE108" t="s">
        <v>76</v>
      </c>
      <c r="AF108">
        <v>69</v>
      </c>
      <c r="AG108">
        <v>66</v>
      </c>
    </row>
    <row r="109" spans="31:33">
      <c r="AE109" t="s">
        <v>76</v>
      </c>
      <c r="AF109">
        <v>75</v>
      </c>
      <c r="AG109">
        <v>71</v>
      </c>
    </row>
    <row r="110" spans="31:33">
      <c r="AE110" t="s">
        <v>76</v>
      </c>
      <c r="AF110">
        <v>72</v>
      </c>
      <c r="AG110">
        <v>68</v>
      </c>
    </row>
    <row r="111" spans="31:33">
      <c r="AE111" t="s">
        <v>76</v>
      </c>
      <c r="AF111">
        <v>65</v>
      </c>
      <c r="AG111">
        <v>60</v>
      </c>
    </row>
    <row r="112" spans="31:33">
      <c r="AE112" t="s">
        <v>76</v>
      </c>
      <c r="AF112">
        <v>61</v>
      </c>
      <c r="AG112">
        <v>57.5</v>
      </c>
    </row>
    <row r="113" spans="31:33">
      <c r="AE113" t="s">
        <v>77</v>
      </c>
      <c r="AF113" t="s">
        <v>38</v>
      </c>
    </row>
    <row r="114" spans="31:33">
      <c r="AE114" t="s">
        <v>78</v>
      </c>
      <c r="AF114">
        <v>66.5</v>
      </c>
      <c r="AG114">
        <v>59</v>
      </c>
    </row>
    <row r="115" spans="31:33">
      <c r="AE115" t="s">
        <v>78</v>
      </c>
      <c r="AF115">
        <v>62.5</v>
      </c>
      <c r="AG115">
        <v>61</v>
      </c>
    </row>
    <row r="116" spans="31:33">
      <c r="AE116" t="s">
        <v>78</v>
      </c>
      <c r="AF116">
        <v>77.5</v>
      </c>
      <c r="AG116">
        <v>67</v>
      </c>
    </row>
    <row r="117" spans="31:33">
      <c r="AE117" t="s">
        <v>78</v>
      </c>
      <c r="AF117">
        <v>75.5</v>
      </c>
      <c r="AG117">
        <v>66</v>
      </c>
    </row>
    <row r="118" spans="31:33">
      <c r="AE118" t="s">
        <v>78</v>
      </c>
      <c r="AF118">
        <v>66</v>
      </c>
      <c r="AG118">
        <v>63</v>
      </c>
    </row>
    <row r="119" spans="31:33">
      <c r="AE119" t="s">
        <v>78</v>
      </c>
      <c r="AF119">
        <v>83.5</v>
      </c>
      <c r="AG119">
        <v>79</v>
      </c>
    </row>
    <row r="120" spans="31:33">
      <c r="AE120" t="s">
        <v>78</v>
      </c>
      <c r="AF120">
        <v>65.5</v>
      </c>
      <c r="AG120">
        <v>72</v>
      </c>
    </row>
    <row r="121" spans="31:33">
      <c r="AE121" t="s">
        <v>78</v>
      </c>
      <c r="AF121">
        <v>72</v>
      </c>
      <c r="AG121">
        <v>69</v>
      </c>
    </row>
    <row r="122" spans="31:33">
      <c r="AE122" t="s">
        <v>78</v>
      </c>
      <c r="AF122">
        <v>70</v>
      </c>
      <c r="AG122">
        <v>68.5</v>
      </c>
    </row>
    <row r="123" spans="31:33">
      <c r="AE123" t="s">
        <v>78</v>
      </c>
      <c r="AF123">
        <v>66.5</v>
      </c>
      <c r="AG123">
        <v>65.5</v>
      </c>
    </row>
    <row r="124" spans="31:33">
      <c r="AE124" t="s">
        <v>79</v>
      </c>
      <c r="AF124" t="s">
        <v>39</v>
      </c>
    </row>
    <row r="125" spans="31:33">
      <c r="AE125" t="s">
        <v>79</v>
      </c>
      <c r="AF125">
        <v>84.5</v>
      </c>
      <c r="AG125">
        <v>87.5</v>
      </c>
    </row>
    <row r="126" spans="31:33">
      <c r="AE126" t="s">
        <v>79</v>
      </c>
      <c r="AF126">
        <v>72.5</v>
      </c>
      <c r="AG126">
        <v>70.5</v>
      </c>
    </row>
    <row r="127" spans="31:33">
      <c r="AE127" t="s">
        <v>79</v>
      </c>
      <c r="AF127">
        <v>77.5</v>
      </c>
      <c r="AG127">
        <v>65</v>
      </c>
    </row>
    <row r="128" spans="31:33">
      <c r="AE128" t="s">
        <v>79</v>
      </c>
      <c r="AF128">
        <v>81</v>
      </c>
      <c r="AG128">
        <v>82</v>
      </c>
    </row>
    <row r="129" spans="31:33">
      <c r="AE129" t="s">
        <v>79</v>
      </c>
      <c r="AF129">
        <v>67.5</v>
      </c>
      <c r="AG129">
        <v>66.5</v>
      </c>
    </row>
    <row r="130" spans="31:33">
      <c r="AE130" t="s">
        <v>79</v>
      </c>
      <c r="AF130">
        <v>74</v>
      </c>
      <c r="AG130">
        <v>68.5</v>
      </c>
    </row>
    <row r="131" spans="31:33">
      <c r="AE131" t="s">
        <v>79</v>
      </c>
      <c r="AF131">
        <v>68.5</v>
      </c>
      <c r="AG131">
        <v>73</v>
      </c>
    </row>
    <row r="132" spans="31:33">
      <c r="AE132" t="s">
        <v>79</v>
      </c>
      <c r="AF132">
        <v>84</v>
      </c>
      <c r="AG132">
        <v>86</v>
      </c>
    </row>
    <row r="133" spans="31:33">
      <c r="AE133" t="s">
        <v>79</v>
      </c>
      <c r="AF133">
        <v>69.5</v>
      </c>
      <c r="AG133">
        <v>64</v>
      </c>
    </row>
    <row r="134" spans="31:33">
      <c r="AE134" t="s">
        <v>79</v>
      </c>
      <c r="AF134">
        <v>61</v>
      </c>
      <c r="AG134">
        <v>59.5</v>
      </c>
    </row>
    <row r="135" spans="31:33">
      <c r="AE135" t="s">
        <v>80</v>
      </c>
      <c r="AF135" t="s">
        <v>40</v>
      </c>
    </row>
    <row r="136" spans="31:33">
      <c r="AE136" t="s">
        <v>80</v>
      </c>
      <c r="AF136">
        <v>68.5</v>
      </c>
      <c r="AG136">
        <v>66.5</v>
      </c>
    </row>
    <row r="137" spans="31:33">
      <c r="AE137" t="s">
        <v>80</v>
      </c>
      <c r="AF137">
        <v>65.5</v>
      </c>
      <c r="AG137">
        <v>71</v>
      </c>
    </row>
    <row r="138" spans="31:33">
      <c r="AE138" t="s">
        <v>80</v>
      </c>
      <c r="AF138">
        <v>82</v>
      </c>
      <c r="AG138">
        <v>85.5</v>
      </c>
    </row>
    <row r="139" spans="31:33">
      <c r="AE139" t="s">
        <v>80</v>
      </c>
      <c r="AF139">
        <v>67</v>
      </c>
      <c r="AG139">
        <v>68.5</v>
      </c>
    </row>
    <row r="140" spans="31:33">
      <c r="AE140" t="s">
        <v>80</v>
      </c>
      <c r="AF140">
        <v>73.5</v>
      </c>
      <c r="AG140">
        <v>75.5</v>
      </c>
    </row>
    <row r="141" spans="31:33">
      <c r="AE141" t="s">
        <v>80</v>
      </c>
      <c r="AF141">
        <v>68</v>
      </c>
      <c r="AG141">
        <v>62.5</v>
      </c>
    </row>
    <row r="142" spans="31:33">
      <c r="AE142" t="s">
        <v>80</v>
      </c>
      <c r="AF142">
        <v>69.5</v>
      </c>
      <c r="AG142">
        <v>68</v>
      </c>
    </row>
    <row r="143" spans="31:33">
      <c r="AE143" t="s">
        <v>80</v>
      </c>
      <c r="AF143">
        <v>77.5</v>
      </c>
      <c r="AG143">
        <v>73.5</v>
      </c>
    </row>
    <row r="144" spans="31:33">
      <c r="AE144" t="s">
        <v>80</v>
      </c>
      <c r="AF144">
        <v>68.5</v>
      </c>
      <c r="AG144">
        <v>69</v>
      </c>
    </row>
    <row r="145" spans="31:33">
      <c r="AE145" t="s">
        <v>80</v>
      </c>
      <c r="AF145">
        <v>70.5</v>
      </c>
      <c r="AG145">
        <v>70</v>
      </c>
    </row>
    <row r="146" spans="31:33">
      <c r="AE146" t="s">
        <v>81</v>
      </c>
      <c r="AF146" t="s">
        <v>41</v>
      </c>
    </row>
    <row r="147" spans="31:33">
      <c r="AE147" t="s">
        <v>81</v>
      </c>
      <c r="AF147">
        <v>72.5</v>
      </c>
      <c r="AG147">
        <v>71.5</v>
      </c>
    </row>
    <row r="148" spans="31:33">
      <c r="AE148" t="s">
        <v>81</v>
      </c>
      <c r="AF148">
        <v>69.5</v>
      </c>
      <c r="AG148">
        <v>67</v>
      </c>
    </row>
    <row r="149" spans="31:33">
      <c r="AE149" t="s">
        <v>81</v>
      </c>
      <c r="AF149">
        <v>69.5</v>
      </c>
      <c r="AG149">
        <v>63.5</v>
      </c>
    </row>
    <row r="150" spans="31:33">
      <c r="AE150" t="s">
        <v>81</v>
      </c>
      <c r="AF150">
        <v>80</v>
      </c>
      <c r="AG150">
        <v>69.5</v>
      </c>
    </row>
    <row r="151" spans="31:33">
      <c r="AE151" t="s">
        <v>81</v>
      </c>
      <c r="AF151">
        <v>72.5</v>
      </c>
      <c r="AG151">
        <v>70</v>
      </c>
    </row>
    <row r="152" spans="31:33">
      <c r="AE152" t="s">
        <v>81</v>
      </c>
      <c r="AF152">
        <v>72.5</v>
      </c>
      <c r="AG152">
        <v>70.5</v>
      </c>
    </row>
    <row r="153" spans="31:33">
      <c r="AE153" t="s">
        <v>81</v>
      </c>
      <c r="AF153">
        <v>64</v>
      </c>
      <c r="AG153">
        <v>71</v>
      </c>
    </row>
    <row r="154" spans="31:33">
      <c r="AE154" t="s">
        <v>81</v>
      </c>
      <c r="AF154">
        <v>69</v>
      </c>
      <c r="AG154">
        <v>68</v>
      </c>
    </row>
    <row r="155" spans="31:33">
      <c r="AE155" t="s">
        <v>81</v>
      </c>
      <c r="AF155">
        <v>91</v>
      </c>
      <c r="AG155">
        <v>71</v>
      </c>
    </row>
    <row r="156" spans="31:33">
      <c r="AE156" t="s">
        <v>81</v>
      </c>
      <c r="AF156">
        <v>70.5</v>
      </c>
      <c r="AG156">
        <v>68</v>
      </c>
    </row>
    <row r="157" spans="31:33">
      <c r="AE157" t="s">
        <v>82</v>
      </c>
      <c r="AF157" t="s">
        <v>42</v>
      </c>
    </row>
    <row r="158" spans="31:33">
      <c r="AE158" t="s">
        <v>82</v>
      </c>
      <c r="AF158">
        <v>74</v>
      </c>
      <c r="AG158">
        <v>69</v>
      </c>
    </row>
    <row r="159" spans="31:33">
      <c r="AE159" t="s">
        <v>82</v>
      </c>
      <c r="AF159">
        <v>67.5</v>
      </c>
      <c r="AG159">
        <v>66.5</v>
      </c>
    </row>
    <row r="160" spans="31:33">
      <c r="AE160" t="s">
        <v>82</v>
      </c>
      <c r="AF160">
        <v>71.5</v>
      </c>
      <c r="AG160">
        <v>65</v>
      </c>
    </row>
    <row r="161" spans="31:33">
      <c r="AE161" t="s">
        <v>82</v>
      </c>
      <c r="AF161">
        <v>71.5</v>
      </c>
      <c r="AG161">
        <v>75</v>
      </c>
    </row>
    <row r="162" spans="31:33">
      <c r="AE162" t="s">
        <v>82</v>
      </c>
      <c r="AF162">
        <v>73.5</v>
      </c>
      <c r="AG162">
        <v>78</v>
      </c>
    </row>
    <row r="163" spans="31:33">
      <c r="AE163" t="s">
        <v>82</v>
      </c>
      <c r="AF163">
        <v>65.5</v>
      </c>
      <c r="AG163">
        <v>65.5</v>
      </c>
    </row>
    <row r="164" spans="31:33">
      <c r="AE164" t="s">
        <v>82</v>
      </c>
      <c r="AF164">
        <v>61.5</v>
      </c>
      <c r="AG164">
        <v>61.5</v>
      </c>
    </row>
    <row r="165" spans="31:33">
      <c r="AE165" t="s">
        <v>82</v>
      </c>
      <c r="AF165">
        <v>75.5</v>
      </c>
      <c r="AG165">
        <v>72</v>
      </c>
    </row>
    <row r="166" spans="31:33">
      <c r="AE166" t="s">
        <v>82</v>
      </c>
      <c r="AF166">
        <v>67</v>
      </c>
      <c r="AG166">
        <v>63</v>
      </c>
    </row>
    <row r="167" spans="31:33">
      <c r="AE167" t="s">
        <v>82</v>
      </c>
      <c r="AF167" t="s">
        <v>42</v>
      </c>
      <c r="AG167">
        <v>65</v>
      </c>
    </row>
    <row r="168" spans="31:33">
      <c r="AE168" t="s">
        <v>83</v>
      </c>
      <c r="AF168" t="s">
        <v>43</v>
      </c>
    </row>
    <row r="169" spans="31:33">
      <c r="AE169" t="s">
        <v>83</v>
      </c>
      <c r="AF169">
        <v>74</v>
      </c>
      <c r="AG169">
        <v>71.5</v>
      </c>
    </row>
    <row r="170" spans="31:33">
      <c r="AE170" t="s">
        <v>83</v>
      </c>
      <c r="AF170">
        <v>66.5</v>
      </c>
      <c r="AG170">
        <v>63.5</v>
      </c>
    </row>
    <row r="171" spans="31:33">
      <c r="AE171" t="s">
        <v>83</v>
      </c>
      <c r="AF171">
        <v>67.5</v>
      </c>
      <c r="AG171">
        <v>66.5</v>
      </c>
    </row>
    <row r="172" spans="31:33">
      <c r="AE172" t="s">
        <v>83</v>
      </c>
      <c r="AF172">
        <v>62.5</v>
      </c>
      <c r="AG172">
        <v>66</v>
      </c>
    </row>
    <row r="173" spans="31:33">
      <c r="AE173" t="s">
        <v>83</v>
      </c>
      <c r="AF173">
        <v>70.5</v>
      </c>
      <c r="AG173">
        <v>71</v>
      </c>
    </row>
    <row r="174" spans="31:33">
      <c r="AE174" t="s">
        <v>83</v>
      </c>
      <c r="AF174">
        <v>71</v>
      </c>
      <c r="AG174">
        <v>76</v>
      </c>
    </row>
    <row r="175" spans="31:33">
      <c r="AE175" t="s">
        <v>83</v>
      </c>
      <c r="AF175">
        <v>70</v>
      </c>
      <c r="AG175">
        <v>70.5</v>
      </c>
    </row>
    <row r="176" spans="31:33">
      <c r="AE176" t="s">
        <v>83</v>
      </c>
      <c r="AF176">
        <v>69.5</v>
      </c>
      <c r="AG176">
        <v>67</v>
      </c>
    </row>
    <row r="177" spans="31:33">
      <c r="AE177" t="s">
        <v>83</v>
      </c>
      <c r="AF177">
        <v>68</v>
      </c>
      <c r="AG177">
        <v>68</v>
      </c>
    </row>
    <row r="178" spans="31:33">
      <c r="AE178" t="s">
        <v>83</v>
      </c>
      <c r="AF178" t="s">
        <v>43</v>
      </c>
      <c r="AG178">
        <v>74.5</v>
      </c>
    </row>
    <row r="179" spans="31:33">
      <c r="AE179" t="s">
        <v>84</v>
      </c>
      <c r="AF179" t="s">
        <v>44</v>
      </c>
    </row>
    <row r="180" spans="31:33">
      <c r="AE180" t="s">
        <v>84</v>
      </c>
      <c r="AF180">
        <v>82.5</v>
      </c>
      <c r="AG180">
        <v>82.5</v>
      </c>
    </row>
    <row r="181" spans="31:33">
      <c r="AE181" t="s">
        <v>84</v>
      </c>
      <c r="AF181">
        <v>59</v>
      </c>
      <c r="AG181">
        <v>62.5</v>
      </c>
    </row>
    <row r="182" spans="31:33">
      <c r="AE182" t="s">
        <v>84</v>
      </c>
      <c r="AF182">
        <v>73.5</v>
      </c>
      <c r="AG182">
        <v>75</v>
      </c>
    </row>
    <row r="183" spans="31:33">
      <c r="AE183" t="s">
        <v>84</v>
      </c>
      <c r="AF183">
        <v>85</v>
      </c>
      <c r="AG183">
        <v>85.5</v>
      </c>
    </row>
    <row r="184" spans="31:33">
      <c r="AE184" t="s">
        <v>84</v>
      </c>
      <c r="AF184">
        <v>73</v>
      </c>
      <c r="AG184">
        <v>70</v>
      </c>
    </row>
    <row r="185" spans="31:33">
      <c r="AE185" t="s">
        <v>84</v>
      </c>
      <c r="AF185">
        <v>71</v>
      </c>
      <c r="AG185">
        <v>71</v>
      </c>
    </row>
    <row r="186" spans="31:33">
      <c r="AE186" t="s">
        <v>84</v>
      </c>
      <c r="AF186">
        <v>67</v>
      </c>
      <c r="AG186">
        <v>69</v>
      </c>
    </row>
    <row r="187" spans="31:33">
      <c r="AE187" t="s">
        <v>84</v>
      </c>
      <c r="AF187">
        <v>72</v>
      </c>
      <c r="AG187">
        <v>65.5</v>
      </c>
    </row>
    <row r="188" spans="31:33">
      <c r="AE188" t="s">
        <v>84</v>
      </c>
      <c r="AF188">
        <v>77.5</v>
      </c>
      <c r="AG188">
        <v>75</v>
      </c>
    </row>
    <row r="189" spans="31:33">
      <c r="AE189" t="s">
        <v>84</v>
      </c>
      <c r="AF189" t="s">
        <v>44</v>
      </c>
      <c r="AG189">
        <v>65.5</v>
      </c>
    </row>
    <row r="190" spans="31:33">
      <c r="AE190" t="s">
        <v>85</v>
      </c>
      <c r="AF190" t="s">
        <v>45</v>
      </c>
    </row>
    <row r="191" spans="31:33">
      <c r="AE191" t="s">
        <v>85</v>
      </c>
      <c r="AF191">
        <v>71</v>
      </c>
      <c r="AG191">
        <v>66</v>
      </c>
    </row>
    <row r="192" spans="31:33">
      <c r="AE192" t="s">
        <v>85</v>
      </c>
      <c r="AF192">
        <v>54</v>
      </c>
      <c r="AG192">
        <v>65</v>
      </c>
    </row>
    <row r="193" spans="31:33">
      <c r="AE193" t="s">
        <v>85</v>
      </c>
      <c r="AF193">
        <v>72</v>
      </c>
      <c r="AG193">
        <v>70</v>
      </c>
    </row>
    <row r="194" spans="31:33">
      <c r="AE194" t="s">
        <v>85</v>
      </c>
      <c r="AF194">
        <v>66</v>
      </c>
      <c r="AG194">
        <v>61.5</v>
      </c>
    </row>
    <row r="195" spans="31:33">
      <c r="AE195" t="s">
        <v>85</v>
      </c>
      <c r="AF195">
        <v>72</v>
      </c>
      <c r="AG195">
        <v>73</v>
      </c>
    </row>
    <row r="196" spans="31:33">
      <c r="AE196" t="s">
        <v>85</v>
      </c>
      <c r="AF196">
        <v>78.5</v>
      </c>
      <c r="AG196">
        <v>66</v>
      </c>
    </row>
    <row r="197" spans="31:33">
      <c r="AE197" t="s">
        <v>85</v>
      </c>
      <c r="AF197">
        <v>72.5</v>
      </c>
      <c r="AG197">
        <v>72.5</v>
      </c>
    </row>
    <row r="198" spans="31:33">
      <c r="AE198" t="s">
        <v>85</v>
      </c>
      <c r="AF198">
        <v>76.5</v>
      </c>
      <c r="AG198">
        <v>69</v>
      </c>
    </row>
    <row r="199" spans="31:33">
      <c r="AE199" t="s">
        <v>85</v>
      </c>
      <c r="AF199">
        <v>68.5</v>
      </c>
      <c r="AG199">
        <v>66.5</v>
      </c>
    </row>
    <row r="200" spans="31:33">
      <c r="AE200" t="s">
        <v>85</v>
      </c>
      <c r="AF200" t="s">
        <v>45</v>
      </c>
      <c r="AG200">
        <v>76</v>
      </c>
    </row>
    <row r="201" spans="31:33">
      <c r="AE201" t="s">
        <v>86</v>
      </c>
      <c r="AF201" t="s">
        <v>46</v>
      </c>
    </row>
    <row r="202" spans="31:33">
      <c r="AE202" t="s">
        <v>86</v>
      </c>
      <c r="AF202">
        <v>77</v>
      </c>
      <c r="AG202">
        <v>75</v>
      </c>
    </row>
    <row r="203" spans="31:33">
      <c r="AE203" t="s">
        <v>86</v>
      </c>
      <c r="AF203">
        <v>65.5</v>
      </c>
      <c r="AG203">
        <v>67.5</v>
      </c>
    </row>
    <row r="204" spans="31:33">
      <c r="AE204" t="s">
        <v>86</v>
      </c>
      <c r="AF204">
        <v>85.5</v>
      </c>
      <c r="AG204">
        <v>77.5</v>
      </c>
    </row>
    <row r="205" spans="31:33">
      <c r="AE205" t="s">
        <v>86</v>
      </c>
      <c r="AF205">
        <v>70</v>
      </c>
      <c r="AG205">
        <v>72</v>
      </c>
    </row>
    <row r="206" spans="31:33">
      <c r="AE206" t="s">
        <v>86</v>
      </c>
      <c r="AF206">
        <v>59.5</v>
      </c>
      <c r="AG206">
        <v>61</v>
      </c>
    </row>
    <row r="207" spans="31:33">
      <c r="AE207" t="s">
        <v>86</v>
      </c>
      <c r="AF207">
        <v>81.5</v>
      </c>
      <c r="AG207">
        <v>69</v>
      </c>
    </row>
    <row r="208" spans="31:33">
      <c r="AE208" t="s">
        <v>86</v>
      </c>
      <c r="AF208">
        <v>70</v>
      </c>
      <c r="AG208">
        <v>67</v>
      </c>
    </row>
    <row r="209" spans="31:33">
      <c r="AE209" t="s">
        <v>86</v>
      </c>
      <c r="AF209">
        <v>69</v>
      </c>
      <c r="AG209">
        <v>67.5</v>
      </c>
    </row>
    <row r="210" spans="31:33">
      <c r="AE210" t="s">
        <v>86</v>
      </c>
      <c r="AF210">
        <v>65.5</v>
      </c>
      <c r="AG210">
        <v>64.5</v>
      </c>
    </row>
    <row r="211" spans="31:33">
      <c r="AE211" t="s">
        <v>86</v>
      </c>
      <c r="AF211" t="s">
        <v>46</v>
      </c>
      <c r="AG211">
        <v>75</v>
      </c>
    </row>
    <row r="222" spans="31:33">
      <c r="AF222" t="s">
        <v>90</v>
      </c>
    </row>
    <row r="233" spans="32:32">
      <c r="AF233" t="s">
        <v>95</v>
      </c>
    </row>
    <row r="244" spans="32:32">
      <c r="AF244" t="s">
        <v>124</v>
      </c>
    </row>
  </sheetData>
  <conditionalFormatting sqref="D27:AA37">
    <cfRule type="cellIs" dxfId="7" priority="2" operator="lessThan">
      <formula>0</formula>
    </cfRule>
  </conditionalFormatting>
  <conditionalFormatting sqref="C27:C37">
    <cfRule type="cellIs" dxfId="6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AR254"/>
  <sheetViews>
    <sheetView topLeftCell="A7" zoomScale="70" zoomScaleNormal="70" workbookViewId="0">
      <selection activeCell="AC34" sqref="AC34"/>
    </sheetView>
  </sheetViews>
  <sheetFormatPr defaultRowHeight="14.25"/>
  <cols>
    <col min="2" max="2" width="10.625" bestFit="1" customWidth="1"/>
    <col min="3" max="27" width="7.25" customWidth="1"/>
    <col min="29" max="29" width="6.5" bestFit="1" customWidth="1"/>
    <col min="30" max="30" width="4.625" bestFit="1" customWidth="1"/>
    <col min="31" max="31" width="5" bestFit="1" customWidth="1"/>
  </cols>
  <sheetData>
    <row r="1" spans="1:43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</row>
    <row r="2" spans="1:43">
      <c r="A2">
        <v>0</v>
      </c>
      <c r="B2" s="3" t="s">
        <v>18</v>
      </c>
      <c r="C2" s="3">
        <f>SUM(H2:AA2)</f>
        <v>1344.5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/>
      <c r="AC2">
        <f>COUNTIF(D2:AA11,"&gt;70")</f>
        <v>95</v>
      </c>
      <c r="AF2" s="8" t="s">
        <v>29</v>
      </c>
      <c r="AG2" s="8"/>
      <c r="AH2" s="8"/>
    </row>
    <row r="3" spans="1:43">
      <c r="A3">
        <v>1</v>
      </c>
      <c r="B3" s="3" t="s">
        <v>19</v>
      </c>
      <c r="C3" s="3">
        <f t="shared" ref="C3:C11" si="0">SUM(H3:AA3)</f>
        <v>1299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71</v>
      </c>
      <c r="AA3" s="3"/>
      <c r="AF3" s="8">
        <v>68.5</v>
      </c>
      <c r="AG3" s="8">
        <v>67</v>
      </c>
      <c r="AH3" s="8">
        <v>11</v>
      </c>
      <c r="AK3" t="s">
        <v>0</v>
      </c>
      <c r="AL3">
        <v>120</v>
      </c>
      <c r="AM3">
        <v>120</v>
      </c>
      <c r="AN3">
        <v>130</v>
      </c>
      <c r="AO3">
        <v>110</v>
      </c>
      <c r="AP3">
        <v>100</v>
      </c>
      <c r="AQ3">
        <v>110</v>
      </c>
    </row>
    <row r="4" spans="1:43">
      <c r="A4">
        <v>2</v>
      </c>
      <c r="B4" s="3" t="s">
        <v>20</v>
      </c>
      <c r="C4" s="3">
        <f t="shared" si="0"/>
        <v>1401.5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/>
      <c r="AF4" s="8">
        <v>69</v>
      </c>
      <c r="AG4" s="8">
        <v>67.5</v>
      </c>
      <c r="AH4" s="8">
        <v>11</v>
      </c>
      <c r="AK4" t="s">
        <v>87</v>
      </c>
      <c r="AL4">
        <v>50</v>
      </c>
      <c r="AM4">
        <v>40</v>
      </c>
      <c r="AN4">
        <v>40</v>
      </c>
      <c r="AO4">
        <v>40</v>
      </c>
      <c r="AP4">
        <v>40</v>
      </c>
      <c r="AQ4">
        <v>40</v>
      </c>
    </row>
    <row r="5" spans="1:43">
      <c r="A5">
        <v>3</v>
      </c>
      <c r="B5" s="3" t="s">
        <v>21</v>
      </c>
      <c r="C5" s="3">
        <f t="shared" si="0"/>
        <v>1326.5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/>
      <c r="AF5" s="8">
        <v>73.5</v>
      </c>
      <c r="AG5" s="8">
        <v>72.5</v>
      </c>
      <c r="AH5" s="8">
        <v>11</v>
      </c>
      <c r="AK5" t="s">
        <v>1</v>
      </c>
      <c r="AL5">
        <v>3</v>
      </c>
      <c r="AM5">
        <v>3</v>
      </c>
      <c r="AN5">
        <v>3</v>
      </c>
      <c r="AO5">
        <v>3</v>
      </c>
      <c r="AP5">
        <v>3</v>
      </c>
      <c r="AQ5">
        <v>3</v>
      </c>
    </row>
    <row r="6" spans="1:43">
      <c r="A6">
        <v>4</v>
      </c>
      <c r="B6" s="3" t="s">
        <v>23</v>
      </c>
      <c r="C6" s="3">
        <f t="shared" si="0"/>
        <v>1305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/>
      <c r="AF6" s="8">
        <v>73</v>
      </c>
      <c r="AG6" s="8">
        <v>70</v>
      </c>
      <c r="AH6" s="8">
        <v>11</v>
      </c>
      <c r="AK6" t="s">
        <v>88</v>
      </c>
      <c r="AL6">
        <v>1</v>
      </c>
      <c r="AM6">
        <v>1</v>
      </c>
      <c r="AN6">
        <v>1</v>
      </c>
      <c r="AO6">
        <v>1</v>
      </c>
      <c r="AP6">
        <v>1</v>
      </c>
      <c r="AQ6">
        <v>2</v>
      </c>
    </row>
    <row r="7" spans="1:43">
      <c r="A7">
        <v>5</v>
      </c>
      <c r="B7" s="3" t="s">
        <v>22</v>
      </c>
      <c r="C7" s="3">
        <f t="shared" si="0"/>
        <v>1311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70.5</v>
      </c>
      <c r="AA7" s="3"/>
      <c r="AF7" s="8">
        <v>68</v>
      </c>
      <c r="AG7" s="8">
        <v>72</v>
      </c>
      <c r="AH7" s="8">
        <v>11</v>
      </c>
      <c r="AK7" t="s">
        <v>89</v>
      </c>
      <c r="AL7">
        <v>30</v>
      </c>
      <c r="AM7">
        <v>30</v>
      </c>
      <c r="AN7">
        <v>30</v>
      </c>
      <c r="AO7">
        <v>30</v>
      </c>
      <c r="AP7">
        <v>30</v>
      </c>
      <c r="AQ7">
        <v>30</v>
      </c>
    </row>
    <row r="8" spans="1:43">
      <c r="A8">
        <v>6</v>
      </c>
      <c r="B8" s="3" t="s">
        <v>24</v>
      </c>
      <c r="C8" s="3">
        <f t="shared" si="0"/>
        <v>1320.5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68.5</v>
      </c>
      <c r="AA8" s="3"/>
      <c r="AF8" s="8">
        <v>57</v>
      </c>
      <c r="AG8" s="8">
        <v>61.5</v>
      </c>
      <c r="AH8" s="8">
        <v>11</v>
      </c>
      <c r="AL8">
        <v>-37</v>
      </c>
      <c r="AM8">
        <v>-29</v>
      </c>
      <c r="AN8">
        <v>-31.5</v>
      </c>
      <c r="AO8">
        <v>-24</v>
      </c>
      <c r="AP8">
        <v>-28</v>
      </c>
      <c r="AQ8">
        <v>-17</v>
      </c>
    </row>
    <row r="9" spans="1:43">
      <c r="A9">
        <v>7</v>
      </c>
      <c r="B9" s="3" t="s">
        <v>27</v>
      </c>
      <c r="C9" s="3">
        <f t="shared" si="0"/>
        <v>1310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61</v>
      </c>
      <c r="AA9" s="3"/>
      <c r="AF9" s="8">
        <v>67.5</v>
      </c>
      <c r="AG9" s="8">
        <v>67.5</v>
      </c>
      <c r="AH9" s="8">
        <v>11</v>
      </c>
      <c r="AL9">
        <v>6</v>
      </c>
      <c r="AM9">
        <v>6</v>
      </c>
      <c r="AN9">
        <v>5</v>
      </c>
      <c r="AO9">
        <v>4</v>
      </c>
      <c r="AP9">
        <v>4</v>
      </c>
      <c r="AQ9">
        <v>4</v>
      </c>
    </row>
    <row r="10" spans="1:43">
      <c r="A10">
        <v>8</v>
      </c>
      <c r="B10" s="3" t="s">
        <v>25</v>
      </c>
      <c r="C10" s="3">
        <f t="shared" si="0"/>
        <v>1296.5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6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/>
      <c r="AF10" s="8">
        <v>71</v>
      </c>
      <c r="AG10" s="8">
        <v>76</v>
      </c>
      <c r="AH10" s="8">
        <v>11</v>
      </c>
    </row>
    <row r="11" spans="1:43">
      <c r="A11">
        <v>9</v>
      </c>
      <c r="B11" s="3" t="s">
        <v>26</v>
      </c>
      <c r="C11" s="3">
        <f t="shared" si="0"/>
        <v>1360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/>
      <c r="AD11" s="8"/>
      <c r="AF11" s="8">
        <v>72.5</v>
      </c>
      <c r="AG11" s="8">
        <v>73</v>
      </c>
      <c r="AH11" s="8">
        <v>11</v>
      </c>
    </row>
    <row r="12" spans="1:43">
      <c r="C12" s="3">
        <f>SUM(C2:C11)</f>
        <v>13274.5</v>
      </c>
      <c r="D12" s="3">
        <f t="shared" ref="D12:Y12" si="1">SUM(D2:D11)</f>
        <v>701</v>
      </c>
      <c r="E12" s="3">
        <f t="shared" si="1"/>
        <v>722</v>
      </c>
      <c r="F12" s="3">
        <f t="shared" si="1"/>
        <v>693</v>
      </c>
      <c r="G12" s="3">
        <f t="shared" si="1"/>
        <v>696</v>
      </c>
      <c r="H12" s="3">
        <f t="shared" si="1"/>
        <v>720</v>
      </c>
      <c r="I12" s="3">
        <f t="shared" si="1"/>
        <v>692</v>
      </c>
      <c r="J12" s="3">
        <f t="shared" si="1"/>
        <v>671</v>
      </c>
      <c r="K12" s="3">
        <f t="shared" si="1"/>
        <v>677</v>
      </c>
      <c r="L12" s="3">
        <f t="shared" si="1"/>
        <v>711</v>
      </c>
      <c r="M12" s="3">
        <f t="shared" si="1"/>
        <v>668.5</v>
      </c>
      <c r="N12" s="3">
        <f t="shared" si="1"/>
        <v>670</v>
      </c>
      <c r="O12" s="3">
        <f t="shared" si="1"/>
        <v>722.5</v>
      </c>
      <c r="P12" s="3">
        <f t="shared" si="1"/>
        <v>710</v>
      </c>
      <c r="Q12" s="3">
        <f t="shared" si="1"/>
        <v>690</v>
      </c>
      <c r="R12" s="3">
        <f t="shared" si="1"/>
        <v>680.5</v>
      </c>
      <c r="S12" s="3">
        <f t="shared" si="1"/>
        <v>694.5</v>
      </c>
      <c r="T12" s="3">
        <f t="shared" si="1"/>
        <v>721.5</v>
      </c>
      <c r="U12" s="3">
        <f t="shared" si="1"/>
        <v>685.5</v>
      </c>
      <c r="V12" s="3">
        <f t="shared" si="1"/>
        <v>702.5</v>
      </c>
      <c r="W12" s="3">
        <f t="shared" si="1"/>
        <v>724.5</v>
      </c>
      <c r="X12" s="3">
        <f t="shared" si="1"/>
        <v>675.5</v>
      </c>
      <c r="Y12" s="3">
        <f t="shared" si="1"/>
        <v>746</v>
      </c>
      <c r="AF12" s="8">
        <v>72</v>
      </c>
      <c r="AG12" s="8">
        <v>74</v>
      </c>
      <c r="AH12" s="8">
        <v>11</v>
      </c>
    </row>
    <row r="13" spans="1:43"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  <c r="Q13">
        <v>14</v>
      </c>
      <c r="R13">
        <v>15</v>
      </c>
      <c r="S13">
        <v>16</v>
      </c>
      <c r="T13">
        <v>17</v>
      </c>
      <c r="U13">
        <v>18</v>
      </c>
      <c r="V13">
        <v>19</v>
      </c>
      <c r="W13">
        <v>20</v>
      </c>
      <c r="X13">
        <v>21</v>
      </c>
      <c r="Y13">
        <v>22</v>
      </c>
      <c r="Z13">
        <v>23</v>
      </c>
      <c r="AA13">
        <v>24</v>
      </c>
      <c r="AF13" s="8" t="s">
        <v>30</v>
      </c>
      <c r="AG13" s="8"/>
      <c r="AH13" s="8"/>
    </row>
    <row r="14" spans="1:43">
      <c r="A14">
        <v>0</v>
      </c>
      <c r="B14" s="3" t="s">
        <v>18</v>
      </c>
      <c r="C14" s="3">
        <f>SUM(H14:AA14)</f>
        <v>1351.5</v>
      </c>
      <c r="D14" s="19">
        <v>68.5</v>
      </c>
      <c r="E14" s="19">
        <v>66.5</v>
      </c>
      <c r="F14" s="3">
        <v>62</v>
      </c>
      <c r="G14" s="3">
        <v>67.5</v>
      </c>
      <c r="H14" s="19">
        <v>78</v>
      </c>
      <c r="I14" s="19">
        <v>65.5</v>
      </c>
      <c r="J14" s="19">
        <v>74</v>
      </c>
      <c r="K14" s="19">
        <v>67.5</v>
      </c>
      <c r="L14" s="3">
        <v>69</v>
      </c>
      <c r="M14" s="19">
        <v>60.5</v>
      </c>
      <c r="N14" s="19">
        <v>66.5</v>
      </c>
      <c r="O14" s="19">
        <v>79</v>
      </c>
      <c r="P14" s="3">
        <v>69</v>
      </c>
      <c r="Q14" s="19">
        <v>68.5</v>
      </c>
      <c r="R14" s="19">
        <v>72</v>
      </c>
      <c r="S14" s="3">
        <v>73.5</v>
      </c>
      <c r="T14" s="19">
        <v>82.5</v>
      </c>
      <c r="U14" s="3">
        <v>69.5</v>
      </c>
      <c r="V14" s="19">
        <v>77</v>
      </c>
      <c r="W14" s="19">
        <v>70.5</v>
      </c>
      <c r="X14" s="19">
        <v>68.5</v>
      </c>
      <c r="Y14" s="3">
        <v>79.5</v>
      </c>
      <c r="Z14" s="3">
        <v>61</v>
      </c>
      <c r="AA14" s="3"/>
      <c r="AB14" s="2">
        <f>(C14-C2)/C14</f>
        <v>5.1794302626711058E-3</v>
      </c>
      <c r="AC14">
        <f>COUNTIF(D14:AA23,"&gt;70")</f>
        <v>101</v>
      </c>
      <c r="AF14" s="8">
        <v>66.5</v>
      </c>
      <c r="AG14" s="8">
        <v>72.5</v>
      </c>
      <c r="AH14" s="8">
        <v>11</v>
      </c>
    </row>
    <row r="15" spans="1:43">
      <c r="A15">
        <v>1</v>
      </c>
      <c r="B15" s="3" t="s">
        <v>19</v>
      </c>
      <c r="C15" s="3">
        <f t="shared" ref="C15:C23" si="2">SUM(H15:AA15)</f>
        <v>1310</v>
      </c>
      <c r="D15" s="19">
        <v>69</v>
      </c>
      <c r="E15" s="19">
        <v>70.5</v>
      </c>
      <c r="F15" s="3">
        <v>69</v>
      </c>
      <c r="G15" s="19">
        <v>72.5</v>
      </c>
      <c r="H15" s="3">
        <v>79</v>
      </c>
      <c r="I15" s="3">
        <v>63</v>
      </c>
      <c r="J15" s="3">
        <v>64</v>
      </c>
      <c r="K15" s="3">
        <v>68.5</v>
      </c>
      <c r="L15" s="19">
        <v>68.5</v>
      </c>
      <c r="M15" s="19">
        <v>76.5</v>
      </c>
      <c r="N15" s="19">
        <v>61.5</v>
      </c>
      <c r="O15" s="19">
        <v>72.5</v>
      </c>
      <c r="P15" s="3">
        <v>71</v>
      </c>
      <c r="Q15" s="3">
        <v>69</v>
      </c>
      <c r="R15" s="19">
        <v>67</v>
      </c>
      <c r="S15" s="19">
        <v>64.5</v>
      </c>
      <c r="T15" s="3">
        <v>69.5</v>
      </c>
      <c r="U15" s="3">
        <v>64</v>
      </c>
      <c r="V15" s="19">
        <v>69</v>
      </c>
      <c r="W15" s="19">
        <v>69.5</v>
      </c>
      <c r="X15" s="19">
        <v>69.5</v>
      </c>
      <c r="Y15" s="3">
        <v>72.5</v>
      </c>
      <c r="Z15" s="3">
        <v>71</v>
      </c>
      <c r="AA15" s="3"/>
      <c r="AB15" s="2">
        <f t="shared" ref="AB15:AB24" si="3">(C15-C3)/C15</f>
        <v>8.3969465648854966E-3</v>
      </c>
      <c r="AF15" s="8">
        <v>70.5</v>
      </c>
      <c r="AG15" s="8">
        <v>72</v>
      </c>
      <c r="AH15" s="8">
        <v>11</v>
      </c>
    </row>
    <row r="16" spans="1:43">
      <c r="A16">
        <v>2</v>
      </c>
      <c r="B16" s="3" t="s">
        <v>20</v>
      </c>
      <c r="C16" s="3">
        <f t="shared" si="2"/>
        <v>1392</v>
      </c>
      <c r="D16" s="3">
        <v>73.5</v>
      </c>
      <c r="E16" s="3">
        <v>68</v>
      </c>
      <c r="F16" s="3">
        <v>80</v>
      </c>
      <c r="G16" s="3">
        <v>66</v>
      </c>
      <c r="H16" s="19">
        <v>75</v>
      </c>
      <c r="I16" s="3">
        <v>76</v>
      </c>
      <c r="J16" s="3">
        <v>68</v>
      </c>
      <c r="K16" s="3">
        <v>73</v>
      </c>
      <c r="L16" s="3">
        <v>68</v>
      </c>
      <c r="M16" s="3">
        <v>75</v>
      </c>
      <c r="N16" s="19">
        <v>68</v>
      </c>
      <c r="O16" s="3">
        <v>78</v>
      </c>
      <c r="P16" s="19">
        <v>72.5</v>
      </c>
      <c r="Q16" s="19">
        <v>71</v>
      </c>
      <c r="R16" s="3">
        <v>68</v>
      </c>
      <c r="S16" s="19">
        <v>66.5</v>
      </c>
      <c r="T16" s="19">
        <v>71.5</v>
      </c>
      <c r="U16" s="19">
        <v>73</v>
      </c>
      <c r="V16" s="3">
        <v>79</v>
      </c>
      <c r="W16" s="3">
        <v>79</v>
      </c>
      <c r="X16" s="19">
        <v>66.5</v>
      </c>
      <c r="Y16" s="19">
        <v>86</v>
      </c>
      <c r="Z16" s="3">
        <v>78</v>
      </c>
      <c r="AA16" s="3"/>
      <c r="AB16" s="2">
        <f t="shared" si="3"/>
        <v>-6.8247126436781613E-3</v>
      </c>
      <c r="AF16" s="8">
        <v>68</v>
      </c>
      <c r="AG16" s="8">
        <v>69</v>
      </c>
      <c r="AH16" s="8">
        <v>11</v>
      </c>
      <c r="AK16" t="s">
        <v>91</v>
      </c>
    </row>
    <row r="17" spans="1:44">
      <c r="A17">
        <v>3</v>
      </c>
      <c r="B17" s="3" t="s">
        <v>21</v>
      </c>
      <c r="C17" s="3">
        <f t="shared" si="2"/>
        <v>1321</v>
      </c>
      <c r="D17" s="19">
        <v>73</v>
      </c>
      <c r="E17" s="19">
        <v>63</v>
      </c>
      <c r="F17" s="3">
        <v>64</v>
      </c>
      <c r="G17" s="3">
        <v>63.5</v>
      </c>
      <c r="H17" s="19">
        <v>67.5</v>
      </c>
      <c r="I17" s="19">
        <v>65.5</v>
      </c>
      <c r="J17" s="3">
        <v>62</v>
      </c>
      <c r="K17" s="19">
        <v>66</v>
      </c>
      <c r="L17" s="3">
        <v>62.5</v>
      </c>
      <c r="M17" s="3">
        <v>62</v>
      </c>
      <c r="N17" s="19">
        <v>69.5</v>
      </c>
      <c r="O17" s="19">
        <v>76.5</v>
      </c>
      <c r="P17" s="19">
        <v>66</v>
      </c>
      <c r="Q17" s="19">
        <v>70.5</v>
      </c>
      <c r="R17" s="3">
        <v>75.5</v>
      </c>
      <c r="S17" s="3">
        <v>62.5</v>
      </c>
      <c r="T17" s="3">
        <v>84.5</v>
      </c>
      <c r="U17" s="3">
        <v>65</v>
      </c>
      <c r="V17" s="19">
        <v>68.5</v>
      </c>
      <c r="W17" s="19">
        <v>74</v>
      </c>
      <c r="X17" s="3">
        <v>64.5</v>
      </c>
      <c r="Y17" s="19">
        <v>86</v>
      </c>
      <c r="Z17" s="3">
        <v>72.5</v>
      </c>
      <c r="AA17" s="3"/>
      <c r="AB17" s="2">
        <f t="shared" si="3"/>
        <v>-4.163512490537472E-3</v>
      </c>
      <c r="AE17" s="7"/>
      <c r="AF17" s="8">
        <v>63</v>
      </c>
      <c r="AG17" s="8">
        <v>65</v>
      </c>
      <c r="AH17" s="8">
        <v>11</v>
      </c>
      <c r="AK17">
        <v>-12</v>
      </c>
    </row>
    <row r="18" spans="1:44">
      <c r="A18">
        <v>4</v>
      </c>
      <c r="B18" s="3" t="s">
        <v>23</v>
      </c>
      <c r="C18" s="3">
        <f t="shared" si="2"/>
        <v>1286.5</v>
      </c>
      <c r="D18" s="19">
        <v>68</v>
      </c>
      <c r="E18" s="19">
        <v>76.5</v>
      </c>
      <c r="F18" s="3">
        <v>74.5</v>
      </c>
      <c r="G18" s="3">
        <v>64</v>
      </c>
      <c r="H18" s="19">
        <v>66.5</v>
      </c>
      <c r="I18" s="3">
        <v>66</v>
      </c>
      <c r="J18" s="19">
        <v>61</v>
      </c>
      <c r="K18" s="3">
        <v>61</v>
      </c>
      <c r="L18" s="3">
        <v>62</v>
      </c>
      <c r="M18" s="3">
        <v>61.5</v>
      </c>
      <c r="N18" s="3">
        <v>66</v>
      </c>
      <c r="O18" s="3">
        <v>65.5</v>
      </c>
      <c r="P18" s="3">
        <v>74.5</v>
      </c>
      <c r="Q18" s="19">
        <v>75.5</v>
      </c>
      <c r="R18" s="3">
        <v>70</v>
      </c>
      <c r="S18" s="3">
        <v>69.5</v>
      </c>
      <c r="T18" s="3">
        <v>69.5</v>
      </c>
      <c r="U18" s="19">
        <v>72.5</v>
      </c>
      <c r="V18" s="19">
        <v>59</v>
      </c>
      <c r="W18" s="19">
        <v>72.5</v>
      </c>
      <c r="X18" s="19">
        <v>65.5</v>
      </c>
      <c r="Y18" s="19">
        <v>75.5</v>
      </c>
      <c r="Z18" s="3">
        <v>73</v>
      </c>
      <c r="AA18" s="3"/>
      <c r="AB18" s="2">
        <f t="shared" si="3"/>
        <v>-1.4380101049358725E-2</v>
      </c>
      <c r="AF18" s="8">
        <v>76.5</v>
      </c>
      <c r="AG18" s="8">
        <v>75</v>
      </c>
      <c r="AH18" s="8">
        <v>11</v>
      </c>
    </row>
    <row r="19" spans="1:44">
      <c r="A19">
        <v>5</v>
      </c>
      <c r="B19" s="3" t="s">
        <v>22</v>
      </c>
      <c r="C19" s="3">
        <f t="shared" si="2"/>
        <v>1313</v>
      </c>
      <c r="D19" s="3">
        <v>57</v>
      </c>
      <c r="E19" s="3">
        <v>76</v>
      </c>
      <c r="F19" s="19">
        <v>71.5</v>
      </c>
      <c r="G19" s="3">
        <v>71.5</v>
      </c>
      <c r="H19" s="19">
        <v>74</v>
      </c>
      <c r="I19" s="19">
        <v>67.5</v>
      </c>
      <c r="J19" s="3">
        <v>63</v>
      </c>
      <c r="K19" s="19">
        <v>64</v>
      </c>
      <c r="L19" s="19">
        <v>66</v>
      </c>
      <c r="M19" s="3">
        <v>75</v>
      </c>
      <c r="N19" s="3">
        <v>75.5</v>
      </c>
      <c r="O19" s="3">
        <v>71</v>
      </c>
      <c r="P19" s="19">
        <v>63</v>
      </c>
      <c r="Q19" s="19">
        <v>72.5</v>
      </c>
      <c r="R19" s="3">
        <v>65.5</v>
      </c>
      <c r="S19" s="19">
        <v>65.5</v>
      </c>
      <c r="T19" s="3">
        <v>73</v>
      </c>
      <c r="U19" s="3">
        <v>70</v>
      </c>
      <c r="V19" s="19">
        <v>72.5</v>
      </c>
      <c r="W19" s="3">
        <v>74.5</v>
      </c>
      <c r="X19" s="3">
        <v>66.5</v>
      </c>
      <c r="Y19" s="19">
        <v>64.5</v>
      </c>
      <c r="Z19" s="3">
        <v>69.5</v>
      </c>
      <c r="AA19" s="3"/>
      <c r="AB19" s="2">
        <f t="shared" si="3"/>
        <v>1.5232292460015233E-3</v>
      </c>
      <c r="AF19" s="8">
        <v>76</v>
      </c>
      <c r="AG19" s="8">
        <v>85.5</v>
      </c>
      <c r="AH19" s="8">
        <v>11</v>
      </c>
    </row>
    <row r="20" spans="1:44">
      <c r="A20">
        <v>6</v>
      </c>
      <c r="B20" s="3" t="s">
        <v>24</v>
      </c>
      <c r="C20" s="3">
        <f t="shared" si="2"/>
        <v>1326</v>
      </c>
      <c r="D20" s="19">
        <v>67.5</v>
      </c>
      <c r="E20" s="3">
        <v>62</v>
      </c>
      <c r="F20" s="19">
        <v>66</v>
      </c>
      <c r="G20" s="3">
        <v>72</v>
      </c>
      <c r="H20" s="19">
        <v>82.5</v>
      </c>
      <c r="I20" s="19">
        <v>61.5</v>
      </c>
      <c r="J20" s="3">
        <v>74.5</v>
      </c>
      <c r="K20" s="19">
        <v>71.5</v>
      </c>
      <c r="L20" s="3">
        <v>70.5</v>
      </c>
      <c r="M20" s="3">
        <v>70.5</v>
      </c>
      <c r="N20" s="3">
        <v>73.5</v>
      </c>
      <c r="O20" s="19">
        <v>73.5</v>
      </c>
      <c r="P20" s="19">
        <v>68</v>
      </c>
      <c r="Q20" s="3">
        <v>72</v>
      </c>
      <c r="R20" s="3">
        <v>62</v>
      </c>
      <c r="S20" s="3">
        <v>69</v>
      </c>
      <c r="T20" s="3">
        <v>67.5</v>
      </c>
      <c r="U20" s="19">
        <v>71.5</v>
      </c>
      <c r="V20" s="3">
        <v>70</v>
      </c>
      <c r="W20" s="3">
        <v>71</v>
      </c>
      <c r="X20" s="19">
        <v>74.5</v>
      </c>
      <c r="Y20" s="3">
        <v>64</v>
      </c>
      <c r="Z20" s="3">
        <v>58.5</v>
      </c>
      <c r="AA20" s="3"/>
      <c r="AB20" s="2">
        <f t="shared" si="3"/>
        <v>4.1478129713423831E-3</v>
      </c>
      <c r="AF20" s="8">
        <v>62</v>
      </c>
      <c r="AG20" s="8">
        <v>72.5</v>
      </c>
      <c r="AH20" s="8">
        <v>11</v>
      </c>
      <c r="AK20" t="s">
        <v>92</v>
      </c>
    </row>
    <row r="21" spans="1:44">
      <c r="A21">
        <v>7</v>
      </c>
      <c r="B21" s="3" t="s">
        <v>27</v>
      </c>
      <c r="C21" s="3">
        <f t="shared" si="2"/>
        <v>1327</v>
      </c>
      <c r="D21" s="19">
        <v>71</v>
      </c>
      <c r="E21" s="3">
        <v>69.5</v>
      </c>
      <c r="F21" s="3">
        <v>61</v>
      </c>
      <c r="G21" s="3">
        <v>78.5</v>
      </c>
      <c r="H21" s="3">
        <v>70.5</v>
      </c>
      <c r="I21" s="19">
        <v>69.5</v>
      </c>
      <c r="J21" s="19">
        <v>67.5</v>
      </c>
      <c r="K21" s="19">
        <v>68</v>
      </c>
      <c r="L21" s="19">
        <v>65</v>
      </c>
      <c r="M21" s="19">
        <v>69.5</v>
      </c>
      <c r="N21" s="19">
        <v>70</v>
      </c>
      <c r="O21" s="19">
        <v>81.5</v>
      </c>
      <c r="P21" s="19">
        <v>75.5</v>
      </c>
      <c r="Q21" s="19">
        <v>70</v>
      </c>
      <c r="R21" s="19">
        <v>73</v>
      </c>
      <c r="S21" s="19">
        <v>65.5</v>
      </c>
      <c r="T21" s="19">
        <v>63.5</v>
      </c>
      <c r="U21" s="3">
        <v>72</v>
      </c>
      <c r="V21" s="3">
        <v>67</v>
      </c>
      <c r="W21" s="3">
        <v>68</v>
      </c>
      <c r="X21" s="19">
        <v>72.5</v>
      </c>
      <c r="Y21" s="19">
        <v>76.5</v>
      </c>
      <c r="Z21" s="3">
        <v>62</v>
      </c>
      <c r="AA21" s="3"/>
      <c r="AB21" s="2">
        <f t="shared" si="3"/>
        <v>1.281085154483798E-2</v>
      </c>
      <c r="AF21" s="8">
        <v>69.5</v>
      </c>
      <c r="AG21" s="8">
        <v>70</v>
      </c>
      <c r="AH21" s="8">
        <v>11</v>
      </c>
    </row>
    <row r="22" spans="1:44">
      <c r="A22">
        <v>8</v>
      </c>
      <c r="B22" s="3" t="s">
        <v>25</v>
      </c>
      <c r="C22" s="3">
        <f t="shared" si="2"/>
        <v>1324</v>
      </c>
      <c r="D22" s="3">
        <v>72.5</v>
      </c>
      <c r="E22" s="3">
        <v>67.5</v>
      </c>
      <c r="F22" s="19">
        <v>66.5</v>
      </c>
      <c r="G22" s="19">
        <v>72</v>
      </c>
      <c r="H22" s="19">
        <v>65.5</v>
      </c>
      <c r="I22" s="19">
        <v>70</v>
      </c>
      <c r="J22" s="19">
        <v>68.5</v>
      </c>
      <c r="K22" s="3">
        <v>66</v>
      </c>
      <c r="L22" s="3">
        <v>76</v>
      </c>
      <c r="M22" s="19">
        <v>60.5</v>
      </c>
      <c r="N22" s="19">
        <v>70.5</v>
      </c>
      <c r="O22" s="3">
        <v>68</v>
      </c>
      <c r="P22" s="19">
        <v>69.5</v>
      </c>
      <c r="Q22" s="3">
        <v>76</v>
      </c>
      <c r="R22" s="19">
        <v>64</v>
      </c>
      <c r="S22" s="19">
        <v>64.5</v>
      </c>
      <c r="T22" s="19">
        <v>79.5</v>
      </c>
      <c r="U22" s="19">
        <v>71</v>
      </c>
      <c r="V22" s="19">
        <v>65.5</v>
      </c>
      <c r="W22" s="3">
        <v>70</v>
      </c>
      <c r="X22" s="3">
        <v>69</v>
      </c>
      <c r="Y22" s="19">
        <v>70.5</v>
      </c>
      <c r="Z22" s="3">
        <v>79.5</v>
      </c>
      <c r="AA22" s="3"/>
      <c r="AB22" s="2">
        <f t="shared" si="3"/>
        <v>2.0770392749244714E-2</v>
      </c>
      <c r="AF22" s="8">
        <v>67.5</v>
      </c>
      <c r="AG22" s="8">
        <v>71.5</v>
      </c>
      <c r="AH22" s="8">
        <v>11</v>
      </c>
    </row>
    <row r="23" spans="1:44">
      <c r="A23">
        <v>9</v>
      </c>
      <c r="B23" s="3" t="s">
        <v>26</v>
      </c>
      <c r="C23" s="3">
        <f t="shared" si="2"/>
        <v>1367</v>
      </c>
      <c r="D23" s="3">
        <v>72</v>
      </c>
      <c r="E23" s="3">
        <v>67</v>
      </c>
      <c r="F23" s="19">
        <v>73</v>
      </c>
      <c r="G23" s="19">
        <v>66.5</v>
      </c>
      <c r="H23" s="3">
        <v>66</v>
      </c>
      <c r="I23" s="19">
        <v>87.5</v>
      </c>
      <c r="J23" s="19">
        <v>66.5</v>
      </c>
      <c r="K23" s="19">
        <v>89.5</v>
      </c>
      <c r="L23" s="19">
        <v>82.5</v>
      </c>
      <c r="M23" s="3">
        <v>64</v>
      </c>
      <c r="N23" s="19">
        <v>65.5</v>
      </c>
      <c r="O23" s="19">
        <v>62.5</v>
      </c>
      <c r="P23" s="19">
        <v>70.5</v>
      </c>
      <c r="Q23" s="3">
        <v>65.5</v>
      </c>
      <c r="R23" s="3">
        <v>71</v>
      </c>
      <c r="S23" s="19">
        <v>67</v>
      </c>
      <c r="T23" s="19">
        <v>64.5</v>
      </c>
      <c r="U23" s="19">
        <v>72.5</v>
      </c>
      <c r="V23" s="19">
        <v>71.5</v>
      </c>
      <c r="W23" s="19">
        <v>76.5</v>
      </c>
      <c r="X23" s="3">
        <v>68.5</v>
      </c>
      <c r="Y23" s="19">
        <v>78.5</v>
      </c>
      <c r="Z23" s="3">
        <v>77</v>
      </c>
      <c r="AA23" s="3"/>
      <c r="AB23" s="2">
        <f t="shared" si="3"/>
        <v>5.1207022677395757E-3</v>
      </c>
      <c r="AF23" s="8">
        <v>67</v>
      </c>
      <c r="AG23" s="8">
        <v>69</v>
      </c>
      <c r="AH23" s="8">
        <v>11</v>
      </c>
    </row>
    <row r="24" spans="1:44">
      <c r="C24" s="3">
        <f>SUM(C14:C23)</f>
        <v>13318</v>
      </c>
      <c r="AB24" s="2">
        <f t="shared" si="3"/>
        <v>3.2662561946238174E-3</v>
      </c>
      <c r="AF24" s="8" t="s">
        <v>31</v>
      </c>
      <c r="AG24" s="8"/>
      <c r="AH24" s="8"/>
    </row>
    <row r="25" spans="1:44"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  <c r="Z25">
        <v>23</v>
      </c>
      <c r="AA25">
        <v>24</v>
      </c>
      <c r="AF25" s="8">
        <v>62</v>
      </c>
      <c r="AG25" s="8">
        <v>58</v>
      </c>
      <c r="AH25" s="8">
        <v>11</v>
      </c>
    </row>
    <row r="26" spans="1:44" ht="15">
      <c r="A26">
        <v>0</v>
      </c>
      <c r="B26" s="3" t="s">
        <v>18</v>
      </c>
      <c r="C26" s="4">
        <f>COUNTIF(D26:AA26,"&lt;11")</f>
        <v>0</v>
      </c>
      <c r="D26" s="3">
        <v>11</v>
      </c>
      <c r="E26" s="3">
        <v>11</v>
      </c>
      <c r="F26" s="3">
        <v>11</v>
      </c>
      <c r="G26" s="3">
        <v>11</v>
      </c>
      <c r="H26" s="3">
        <v>11</v>
      </c>
      <c r="I26" s="3">
        <v>11</v>
      </c>
      <c r="J26" s="3">
        <v>11</v>
      </c>
      <c r="K26" s="3">
        <v>11</v>
      </c>
      <c r="L26" s="3">
        <v>11</v>
      </c>
      <c r="M26" s="3">
        <v>11</v>
      </c>
      <c r="N26" s="3">
        <v>11</v>
      </c>
      <c r="O26" s="3">
        <v>11</v>
      </c>
      <c r="P26" s="3">
        <v>11</v>
      </c>
      <c r="Q26" s="3">
        <v>11</v>
      </c>
      <c r="R26" s="3">
        <v>11</v>
      </c>
      <c r="S26" s="3">
        <v>11</v>
      </c>
      <c r="T26" s="3">
        <v>11</v>
      </c>
      <c r="U26" s="3">
        <v>11</v>
      </c>
      <c r="V26" s="3">
        <v>11</v>
      </c>
      <c r="W26" s="3">
        <v>11</v>
      </c>
      <c r="X26" s="3">
        <v>11</v>
      </c>
      <c r="Y26" s="3">
        <v>11</v>
      </c>
      <c r="Z26" s="3">
        <v>11</v>
      </c>
      <c r="AA26" s="3"/>
      <c r="AC26">
        <f>COUNTIF(H39:AA48,"&gt;0")</f>
        <v>100</v>
      </c>
      <c r="AF26" s="8">
        <v>69</v>
      </c>
      <c r="AG26" s="8">
        <v>69.5</v>
      </c>
      <c r="AH26" s="8">
        <v>11</v>
      </c>
    </row>
    <row r="27" spans="1:44" ht="15">
      <c r="A27">
        <v>1</v>
      </c>
      <c r="B27" s="3" t="s">
        <v>19</v>
      </c>
      <c r="C27" s="4">
        <f t="shared" ref="C27:C35" si="4">COUNTIF(D27:AA27,"&lt;11")</f>
        <v>0</v>
      </c>
      <c r="D27" s="3">
        <v>11</v>
      </c>
      <c r="E27" s="3">
        <v>11</v>
      </c>
      <c r="F27" s="3">
        <v>11</v>
      </c>
      <c r="G27" s="3">
        <v>11</v>
      </c>
      <c r="H27" s="3">
        <v>11</v>
      </c>
      <c r="I27" s="3">
        <v>11</v>
      </c>
      <c r="J27" s="3">
        <v>11</v>
      </c>
      <c r="K27" s="3">
        <v>11</v>
      </c>
      <c r="L27" s="3">
        <v>11</v>
      </c>
      <c r="M27" s="3">
        <v>11</v>
      </c>
      <c r="N27" s="3">
        <v>11</v>
      </c>
      <c r="O27" s="3">
        <v>11</v>
      </c>
      <c r="P27" s="3">
        <v>11</v>
      </c>
      <c r="Q27" s="3">
        <v>11</v>
      </c>
      <c r="R27" s="3">
        <v>11</v>
      </c>
      <c r="S27" s="3">
        <v>11</v>
      </c>
      <c r="T27" s="3">
        <v>11</v>
      </c>
      <c r="U27" s="3">
        <v>11</v>
      </c>
      <c r="V27" s="3">
        <v>11</v>
      </c>
      <c r="W27" s="3">
        <v>11</v>
      </c>
      <c r="X27" s="3">
        <v>11</v>
      </c>
      <c r="Y27" s="3">
        <v>11</v>
      </c>
      <c r="Z27" s="3">
        <v>11</v>
      </c>
      <c r="AA27" s="3"/>
      <c r="AC27">
        <f>COUNTIF(H39:AA48,"&lt;0")</f>
        <v>73</v>
      </c>
      <c r="AF27" s="8">
        <v>80</v>
      </c>
      <c r="AG27" s="8">
        <v>82</v>
      </c>
      <c r="AH27" s="8">
        <v>11</v>
      </c>
    </row>
    <row r="28" spans="1:44" ht="15">
      <c r="A28">
        <v>2</v>
      </c>
      <c r="B28" s="3" t="s">
        <v>20</v>
      </c>
      <c r="C28" s="4">
        <f t="shared" si="4"/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/>
      <c r="AC28">
        <f>COUNTIF(H39:AA48,"0")</f>
        <v>17</v>
      </c>
      <c r="AF28" s="8">
        <v>64</v>
      </c>
      <c r="AG28" s="8">
        <v>63</v>
      </c>
      <c r="AH28" s="8">
        <v>11</v>
      </c>
      <c r="AL28">
        <v>35</v>
      </c>
      <c r="AM28">
        <v>50</v>
      </c>
      <c r="AN28">
        <v>65</v>
      </c>
      <c r="AO28">
        <v>80</v>
      </c>
      <c r="AP28">
        <v>95</v>
      </c>
    </row>
    <row r="29" spans="1:44" ht="15">
      <c r="A29">
        <v>3</v>
      </c>
      <c r="B29" s="3" t="s">
        <v>21</v>
      </c>
      <c r="C29" s="4">
        <f t="shared" si="4"/>
        <v>0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11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/>
      <c r="AC29" s="1">
        <f>AC26/SUM(AC26:AC28)</f>
        <v>0.52631578947368418</v>
      </c>
      <c r="AF29" s="8">
        <v>74.5</v>
      </c>
      <c r="AG29" s="8">
        <v>71</v>
      </c>
      <c r="AH29" s="8">
        <v>11</v>
      </c>
      <c r="AL29">
        <v>120</v>
      </c>
      <c r="AM29">
        <v>110</v>
      </c>
      <c r="AN29">
        <v>100</v>
      </c>
      <c r="AO29">
        <v>90</v>
      </c>
      <c r="AP29">
        <v>80</v>
      </c>
    </row>
    <row r="30" spans="1:44" ht="15">
      <c r="A30">
        <v>4</v>
      </c>
      <c r="B30" s="3" t="s">
        <v>23</v>
      </c>
      <c r="C30" s="4">
        <f t="shared" si="4"/>
        <v>2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10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10</v>
      </c>
      <c r="W30" s="3">
        <v>11</v>
      </c>
      <c r="X30" s="3">
        <v>11</v>
      </c>
      <c r="Y30" s="3">
        <v>11</v>
      </c>
      <c r="Z30" s="3">
        <v>11</v>
      </c>
      <c r="AA30" s="3"/>
      <c r="AC30" s="1">
        <f>AC27/SUM(AC26:AC28)</f>
        <v>0.38421052631578945</v>
      </c>
      <c r="AF30" s="8">
        <v>71.5</v>
      </c>
      <c r="AG30" s="8">
        <v>74</v>
      </c>
      <c r="AH30" s="8">
        <v>11</v>
      </c>
      <c r="AL30">
        <v>30</v>
      </c>
      <c r="AM30">
        <v>25</v>
      </c>
      <c r="AN30">
        <v>20</v>
      </c>
      <c r="AO30">
        <v>15</v>
      </c>
      <c r="AP30">
        <v>10</v>
      </c>
    </row>
    <row r="31" spans="1:44" ht="15">
      <c r="A31">
        <v>5</v>
      </c>
      <c r="B31" s="3" t="s">
        <v>22</v>
      </c>
      <c r="C31" s="4">
        <f t="shared" si="4"/>
        <v>0</v>
      </c>
      <c r="D31" s="3">
        <v>11</v>
      </c>
      <c r="E31" s="3">
        <v>11</v>
      </c>
      <c r="F31" s="3">
        <v>11</v>
      </c>
      <c r="G31" s="3">
        <v>11</v>
      </c>
      <c r="H31" s="3">
        <v>11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/>
      <c r="AF31" s="8">
        <v>66</v>
      </c>
      <c r="AG31" s="8">
        <v>66.5</v>
      </c>
      <c r="AH31" s="8">
        <v>11</v>
      </c>
      <c r="AL31">
        <v>40</v>
      </c>
      <c r="AM31">
        <v>49</v>
      </c>
      <c r="AN31">
        <v>58</v>
      </c>
      <c r="AO31">
        <v>67</v>
      </c>
      <c r="AP31">
        <v>76</v>
      </c>
      <c r="AQ31">
        <v>85</v>
      </c>
      <c r="AR31">
        <v>94</v>
      </c>
    </row>
    <row r="32" spans="1:44" ht="15">
      <c r="A32">
        <v>6</v>
      </c>
      <c r="B32" s="3" t="s">
        <v>24</v>
      </c>
      <c r="C32" s="4">
        <f t="shared" si="4"/>
        <v>0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11</v>
      </c>
      <c r="W32" s="3">
        <v>11</v>
      </c>
      <c r="X32" s="3">
        <v>11</v>
      </c>
      <c r="Y32" s="3">
        <v>11</v>
      </c>
      <c r="Z32" s="3">
        <v>11</v>
      </c>
      <c r="AA32" s="3"/>
      <c r="AF32" s="8">
        <v>61</v>
      </c>
      <c r="AG32" s="8">
        <v>61.5</v>
      </c>
      <c r="AH32" s="8">
        <v>11</v>
      </c>
      <c r="AL32">
        <v>120</v>
      </c>
      <c r="AM32">
        <v>114</v>
      </c>
      <c r="AN32">
        <v>108</v>
      </c>
      <c r="AO32">
        <v>102</v>
      </c>
      <c r="AP32">
        <v>96</v>
      </c>
      <c r="AQ32">
        <v>90</v>
      </c>
      <c r="AR32">
        <v>84</v>
      </c>
    </row>
    <row r="33" spans="1:44" ht="15">
      <c r="A33">
        <v>7</v>
      </c>
      <c r="B33" s="3" t="s">
        <v>27</v>
      </c>
      <c r="C33" s="4">
        <f t="shared" si="4"/>
        <v>0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11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/>
      <c r="AF33" s="8">
        <v>66.5</v>
      </c>
      <c r="AG33" s="8">
        <v>65.5</v>
      </c>
      <c r="AH33" s="8">
        <v>11</v>
      </c>
      <c r="AL33">
        <v>31</v>
      </c>
      <c r="AM33">
        <v>28</v>
      </c>
      <c r="AN33">
        <v>25</v>
      </c>
      <c r="AO33">
        <v>22</v>
      </c>
      <c r="AP33">
        <v>18</v>
      </c>
      <c r="AQ33">
        <v>15</v>
      </c>
      <c r="AR33">
        <v>12</v>
      </c>
    </row>
    <row r="34" spans="1:44" ht="15">
      <c r="A34">
        <v>8</v>
      </c>
      <c r="B34" s="3" t="s">
        <v>25</v>
      </c>
      <c r="C34" s="4">
        <f t="shared" si="4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/>
      <c r="AF34" s="8">
        <v>73</v>
      </c>
      <c r="AG34" s="8">
        <v>82</v>
      </c>
      <c r="AH34" s="8">
        <v>11</v>
      </c>
    </row>
    <row r="35" spans="1:44" ht="15">
      <c r="A35">
        <v>9</v>
      </c>
      <c r="B35" s="3" t="s">
        <v>26</v>
      </c>
      <c r="C35" s="4">
        <f t="shared" si="4"/>
        <v>0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11</v>
      </c>
      <c r="W35" s="3">
        <v>11</v>
      </c>
      <c r="X35" s="3">
        <v>11</v>
      </c>
      <c r="Y35" s="3">
        <v>11</v>
      </c>
      <c r="Z35" s="3">
        <v>11</v>
      </c>
      <c r="AA35" s="3"/>
      <c r="AF35" s="8" t="s">
        <v>32</v>
      </c>
      <c r="AG35" s="8"/>
      <c r="AH35" s="8"/>
      <c r="AM35">
        <v>-10</v>
      </c>
    </row>
    <row r="36" spans="1:44" ht="15">
      <c r="C36" s="4">
        <f>SUM(C26:C35)</f>
        <v>2</v>
      </c>
      <c r="D36" s="4">
        <f xml:space="preserve"> COUNTIF(D26:D35,"&lt;11")</f>
        <v>0</v>
      </c>
      <c r="E36" s="4">
        <f t="shared" ref="E36:K36" si="5" xml:space="preserve"> COUNTIF(E26:E35,"&lt;11")</f>
        <v>0</v>
      </c>
      <c r="F36" s="4">
        <f t="shared" si="5"/>
        <v>0</v>
      </c>
      <c r="G36" s="4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ref="L36:Y36" si="6" xml:space="preserve"> COUNTIF(L26:L35,"&lt;11")</f>
        <v>1</v>
      </c>
      <c r="M36" s="4">
        <f t="shared" si="6"/>
        <v>0</v>
      </c>
      <c r="N36" s="4">
        <f t="shared" si="6"/>
        <v>0</v>
      </c>
      <c r="O36" s="4">
        <f t="shared" si="6"/>
        <v>0</v>
      </c>
      <c r="P36" s="4">
        <f t="shared" si="6"/>
        <v>0</v>
      </c>
      <c r="Q36" s="4">
        <f t="shared" si="6"/>
        <v>0</v>
      </c>
      <c r="R36" s="4">
        <f t="shared" si="6"/>
        <v>0</v>
      </c>
      <c r="S36" s="4">
        <f t="shared" si="6"/>
        <v>0</v>
      </c>
      <c r="T36" s="4">
        <f t="shared" si="6"/>
        <v>0</v>
      </c>
      <c r="U36" s="4">
        <f t="shared" si="6"/>
        <v>0</v>
      </c>
      <c r="V36" s="4">
        <f t="shared" si="6"/>
        <v>1</v>
      </c>
      <c r="W36" s="4">
        <f t="shared" si="6"/>
        <v>0</v>
      </c>
      <c r="X36" s="4">
        <f t="shared" si="6"/>
        <v>0</v>
      </c>
      <c r="Y36" s="4">
        <f t="shared" si="6"/>
        <v>0</v>
      </c>
      <c r="Z36" s="4"/>
      <c r="AA36" s="4"/>
      <c r="AF36" s="8">
        <v>67.5</v>
      </c>
      <c r="AG36" s="8">
        <v>69</v>
      </c>
      <c r="AH36" s="8">
        <v>11</v>
      </c>
      <c r="AM36">
        <v>-1</v>
      </c>
    </row>
    <row r="37" spans="1:44">
      <c r="AF37" s="8">
        <v>72.5</v>
      </c>
      <c r="AG37" s="8">
        <v>72.5</v>
      </c>
      <c r="AH37" s="8">
        <v>11</v>
      </c>
      <c r="AM37">
        <v>5</v>
      </c>
    </row>
    <row r="38" spans="1:44"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  <c r="O38">
        <v>12</v>
      </c>
      <c r="P38">
        <v>13</v>
      </c>
      <c r="Q38">
        <v>14</v>
      </c>
      <c r="R38">
        <v>15</v>
      </c>
      <c r="S38">
        <v>16</v>
      </c>
      <c r="T38">
        <v>17</v>
      </c>
      <c r="U38">
        <v>18</v>
      </c>
      <c r="V38">
        <v>19</v>
      </c>
      <c r="W38">
        <v>20</v>
      </c>
      <c r="X38">
        <v>21</v>
      </c>
      <c r="Y38">
        <v>22</v>
      </c>
      <c r="Z38">
        <v>23</v>
      </c>
      <c r="AA38">
        <v>24</v>
      </c>
      <c r="AC38" t="s">
        <v>93</v>
      </c>
      <c r="AD38" t="s">
        <v>93</v>
      </c>
      <c r="AE38" t="s">
        <v>94</v>
      </c>
      <c r="AF38" s="8">
        <v>66</v>
      </c>
      <c r="AG38" s="8">
        <v>68</v>
      </c>
      <c r="AH38" s="8">
        <v>11</v>
      </c>
    </row>
    <row r="39" spans="1:44">
      <c r="A39">
        <v>0</v>
      </c>
      <c r="B39" s="3" t="s">
        <v>18</v>
      </c>
      <c r="C39" s="3">
        <f>SUM(H39:AA39)</f>
        <v>7</v>
      </c>
      <c r="D39" s="3">
        <f t="shared" ref="D39:Y39" si="7">D14-D2</f>
        <v>1.5</v>
      </c>
      <c r="E39" s="3">
        <f t="shared" si="7"/>
        <v>-6</v>
      </c>
      <c r="F39" s="3">
        <f t="shared" si="7"/>
        <v>4</v>
      </c>
      <c r="G39" s="3">
        <f t="shared" si="7"/>
        <v>-1.5</v>
      </c>
      <c r="H39" s="3">
        <f t="shared" si="7"/>
        <v>0.5</v>
      </c>
      <c r="I39" s="3">
        <f t="shared" si="7"/>
        <v>-8</v>
      </c>
      <c r="J39" s="3">
        <f t="shared" si="7"/>
        <v>1</v>
      </c>
      <c r="K39" s="3">
        <f t="shared" si="7"/>
        <v>4.5</v>
      </c>
      <c r="L39" s="3">
        <f t="shared" si="7"/>
        <v>2</v>
      </c>
      <c r="M39" s="3">
        <f t="shared" si="7"/>
        <v>-6</v>
      </c>
      <c r="N39" s="3">
        <f t="shared" si="7"/>
        <v>7.5</v>
      </c>
      <c r="O39" s="3">
        <f t="shared" si="7"/>
        <v>-8.5</v>
      </c>
      <c r="P39" s="3">
        <f t="shared" si="7"/>
        <v>2.5</v>
      </c>
      <c r="Q39" s="3">
        <f t="shared" si="7"/>
        <v>-3</v>
      </c>
      <c r="R39" s="3">
        <f t="shared" si="7"/>
        <v>3</v>
      </c>
      <c r="S39" s="3">
        <f t="shared" si="7"/>
        <v>2</v>
      </c>
      <c r="T39" s="3">
        <f t="shared" si="7"/>
        <v>0</v>
      </c>
      <c r="U39" s="3">
        <f t="shared" si="7"/>
        <v>3.5</v>
      </c>
      <c r="V39" s="3">
        <f t="shared" si="7"/>
        <v>1.5</v>
      </c>
      <c r="W39" s="3">
        <f t="shared" si="7"/>
        <v>-2.5</v>
      </c>
      <c r="X39" s="3">
        <f t="shared" si="7"/>
        <v>2</v>
      </c>
      <c r="Y39" s="3">
        <f t="shared" si="7"/>
        <v>4</v>
      </c>
      <c r="Z39" s="3">
        <f t="shared" ref="Z39" si="8">Z14-Z2</f>
        <v>1</v>
      </c>
      <c r="AA39" s="3"/>
      <c r="AB39">
        <f t="shared" ref="AB39:AB49" si="9">COUNTIF(H39:AA39,"&gt;0")</f>
        <v>13</v>
      </c>
      <c r="AC39" s="5">
        <f>COUNTIF(H39:AA39,"&gt;0")/COUNT(H39:AA39)</f>
        <v>0.68421052631578949</v>
      </c>
      <c r="AD39" s="5">
        <f>COUNTIF(I39:AB39,"=0")/COUNT(I39:AB39)</f>
        <v>5.2631578947368418E-2</v>
      </c>
      <c r="AE39" s="5">
        <f t="shared" ref="AE39:AE49" si="10">COUNTIF(H39:AA39,"&lt;0")/COUNT(H39:AA39)</f>
        <v>0.26315789473684209</v>
      </c>
      <c r="AF39" s="8">
        <v>63.5</v>
      </c>
      <c r="AG39" s="8">
        <v>63.5</v>
      </c>
      <c r="AH39" s="8">
        <v>11</v>
      </c>
    </row>
    <row r="40" spans="1:44">
      <c r="A40">
        <v>1</v>
      </c>
      <c r="B40" s="3" t="s">
        <v>19</v>
      </c>
      <c r="C40" s="3">
        <f t="shared" ref="C40:C48" si="11">SUM(H40:AA40)</f>
        <v>11</v>
      </c>
      <c r="D40" s="3">
        <f t="shared" ref="D40:Y40" si="12">D15-D3</f>
        <v>1.5</v>
      </c>
      <c r="E40" s="3">
        <f t="shared" si="12"/>
        <v>-1.5</v>
      </c>
      <c r="F40" s="3">
        <f t="shared" si="12"/>
        <v>-0.5</v>
      </c>
      <c r="G40" s="3">
        <f t="shared" si="12"/>
        <v>0</v>
      </c>
      <c r="H40" s="3">
        <f t="shared" si="12"/>
        <v>-3</v>
      </c>
      <c r="I40" s="3">
        <f t="shared" si="12"/>
        <v>-1</v>
      </c>
      <c r="J40" s="3">
        <f t="shared" si="12"/>
        <v>-1.5</v>
      </c>
      <c r="K40" s="3">
        <f t="shared" si="12"/>
        <v>3</v>
      </c>
      <c r="L40" s="3">
        <f t="shared" si="12"/>
        <v>-1.5</v>
      </c>
      <c r="M40" s="3">
        <f t="shared" si="12"/>
        <v>-1</v>
      </c>
      <c r="N40" s="3">
        <f t="shared" si="12"/>
        <v>0.5</v>
      </c>
      <c r="O40" s="3">
        <f t="shared" si="12"/>
        <v>2</v>
      </c>
      <c r="P40" s="3">
        <f t="shared" si="12"/>
        <v>0</v>
      </c>
      <c r="Q40" s="3">
        <f t="shared" si="12"/>
        <v>2</v>
      </c>
      <c r="R40" s="3">
        <f t="shared" si="12"/>
        <v>0.5</v>
      </c>
      <c r="S40" s="3">
        <f t="shared" si="12"/>
        <v>1</v>
      </c>
      <c r="T40" s="3">
        <f t="shared" si="12"/>
        <v>7</v>
      </c>
      <c r="U40" s="3">
        <f t="shared" si="12"/>
        <v>-1</v>
      </c>
      <c r="V40" s="3">
        <f t="shared" si="12"/>
        <v>2</v>
      </c>
      <c r="W40" s="3">
        <f t="shared" si="12"/>
        <v>0</v>
      </c>
      <c r="X40" s="3">
        <f t="shared" si="12"/>
        <v>2.5</v>
      </c>
      <c r="Y40" s="3">
        <f t="shared" si="12"/>
        <v>-0.5</v>
      </c>
      <c r="Z40" s="3">
        <f t="shared" ref="Z40" si="13">Z15-Z3</f>
        <v>0</v>
      </c>
      <c r="AA40" s="3"/>
      <c r="AB40">
        <f t="shared" si="9"/>
        <v>9</v>
      </c>
      <c r="AC40" s="5">
        <f t="shared" ref="AC40:AC49" si="14">COUNTIF(H40:AA40,"&gt;0")/COUNT(H40:AA40)</f>
        <v>0.47368421052631576</v>
      </c>
      <c r="AD40" s="5">
        <f t="shared" ref="AD40:AD49" si="15">COUNTIF(I40:AB40,"=0")/COUNT(I40:AB40)</f>
        <v>0.15789473684210525</v>
      </c>
      <c r="AE40" s="5">
        <f t="shared" si="10"/>
        <v>0.36842105263157893</v>
      </c>
      <c r="AF40" s="8">
        <v>64</v>
      </c>
      <c r="AG40" s="8">
        <v>62.5</v>
      </c>
      <c r="AH40" s="8">
        <v>11</v>
      </c>
    </row>
    <row r="41" spans="1:44">
      <c r="A41">
        <v>2</v>
      </c>
      <c r="B41" s="3" t="s">
        <v>20</v>
      </c>
      <c r="C41" s="3">
        <f t="shared" si="11"/>
        <v>-9.5</v>
      </c>
      <c r="D41" s="3">
        <f t="shared" ref="D41:Y41" si="16">D16-D4</f>
        <v>1</v>
      </c>
      <c r="E41" s="3">
        <f t="shared" si="16"/>
        <v>-1</v>
      </c>
      <c r="F41" s="3">
        <f t="shared" si="16"/>
        <v>-2</v>
      </c>
      <c r="G41" s="3">
        <f t="shared" si="16"/>
        <v>-2</v>
      </c>
      <c r="H41" s="3">
        <f t="shared" si="16"/>
        <v>0.5</v>
      </c>
      <c r="I41" s="3">
        <f t="shared" si="16"/>
        <v>2</v>
      </c>
      <c r="J41" s="3">
        <f t="shared" si="16"/>
        <v>-4.5</v>
      </c>
      <c r="K41" s="3">
        <f t="shared" si="16"/>
        <v>-4.5</v>
      </c>
      <c r="L41" s="3">
        <f t="shared" si="16"/>
        <v>-4</v>
      </c>
      <c r="M41" s="3">
        <f t="shared" si="16"/>
        <v>-3</v>
      </c>
      <c r="N41" s="3">
        <f t="shared" si="16"/>
        <v>1</v>
      </c>
      <c r="O41" s="3">
        <f t="shared" si="16"/>
        <v>13</v>
      </c>
      <c r="P41" s="3">
        <f t="shared" si="16"/>
        <v>-13</v>
      </c>
      <c r="Q41" s="3">
        <f t="shared" si="16"/>
        <v>7.5</v>
      </c>
      <c r="R41" s="3">
        <f t="shared" si="16"/>
        <v>3</v>
      </c>
      <c r="S41" s="3">
        <f t="shared" si="16"/>
        <v>0</v>
      </c>
      <c r="T41" s="3">
        <f t="shared" si="16"/>
        <v>-3.5</v>
      </c>
      <c r="U41" s="3">
        <f t="shared" si="16"/>
        <v>3</v>
      </c>
      <c r="V41" s="3">
        <f t="shared" si="16"/>
        <v>0.5</v>
      </c>
      <c r="W41" s="3">
        <f t="shared" si="16"/>
        <v>-0.5</v>
      </c>
      <c r="X41" s="3">
        <f t="shared" si="16"/>
        <v>-2.5</v>
      </c>
      <c r="Y41" s="3">
        <f t="shared" si="16"/>
        <v>-1</v>
      </c>
      <c r="Z41" s="3">
        <f t="shared" ref="Z41" si="17">Z16-Z4</f>
        <v>-3.5</v>
      </c>
      <c r="AA41" s="3"/>
      <c r="AB41">
        <f t="shared" si="9"/>
        <v>8</v>
      </c>
      <c r="AC41" s="5">
        <f t="shared" si="14"/>
        <v>0.42105263157894735</v>
      </c>
      <c r="AD41" s="5">
        <f t="shared" si="15"/>
        <v>5.2631578947368418E-2</v>
      </c>
      <c r="AE41" s="5">
        <f t="shared" si="10"/>
        <v>0.52631578947368418</v>
      </c>
      <c r="AF41" s="8">
        <v>71.5</v>
      </c>
      <c r="AG41" s="8">
        <v>74</v>
      </c>
      <c r="AH41" s="8">
        <v>11</v>
      </c>
    </row>
    <row r="42" spans="1:44">
      <c r="A42">
        <v>3</v>
      </c>
      <c r="B42" s="3" t="s">
        <v>21</v>
      </c>
      <c r="C42" s="3">
        <f t="shared" si="11"/>
        <v>-5.5</v>
      </c>
      <c r="D42" s="3">
        <f t="shared" ref="D42:Y42" si="18">D17-D5</f>
        <v>3</v>
      </c>
      <c r="E42" s="3">
        <f t="shared" si="18"/>
        <v>-2</v>
      </c>
      <c r="F42" s="3">
        <f t="shared" si="18"/>
        <v>1</v>
      </c>
      <c r="G42" s="3">
        <f t="shared" si="18"/>
        <v>0</v>
      </c>
      <c r="H42" s="3">
        <f t="shared" si="18"/>
        <v>5</v>
      </c>
      <c r="I42" s="3">
        <f t="shared" si="18"/>
        <v>1.5</v>
      </c>
      <c r="J42" s="3">
        <f t="shared" si="18"/>
        <v>-4.5</v>
      </c>
      <c r="K42" s="3">
        <f t="shared" si="18"/>
        <v>2</v>
      </c>
      <c r="L42" s="3">
        <f t="shared" si="18"/>
        <v>-7.5</v>
      </c>
      <c r="M42" s="3">
        <f t="shared" si="18"/>
        <v>-1.5</v>
      </c>
      <c r="N42" s="3">
        <f t="shared" si="18"/>
        <v>3.5</v>
      </c>
      <c r="O42" s="3">
        <f t="shared" si="18"/>
        <v>-5.5</v>
      </c>
      <c r="P42" s="3">
        <f t="shared" si="18"/>
        <v>-2.5</v>
      </c>
      <c r="Q42" s="3">
        <f t="shared" si="18"/>
        <v>1</v>
      </c>
      <c r="R42" s="3">
        <f t="shared" si="18"/>
        <v>0.5</v>
      </c>
      <c r="S42" s="3">
        <f t="shared" si="18"/>
        <v>-3.5</v>
      </c>
      <c r="T42" s="3">
        <f t="shared" si="18"/>
        <v>-1</v>
      </c>
      <c r="U42" s="3">
        <f t="shared" si="18"/>
        <v>3.5</v>
      </c>
      <c r="V42" s="3">
        <f t="shared" si="18"/>
        <v>-2.5</v>
      </c>
      <c r="W42" s="3">
        <f t="shared" si="18"/>
        <v>-1.5</v>
      </c>
      <c r="X42" s="3">
        <f t="shared" si="18"/>
        <v>3</v>
      </c>
      <c r="Y42" s="3">
        <f t="shared" si="18"/>
        <v>4</v>
      </c>
      <c r="Z42" s="3">
        <f t="shared" ref="Z42" si="19">Z17-Z5</f>
        <v>0.5</v>
      </c>
      <c r="AA42" s="3"/>
      <c r="AB42">
        <f t="shared" si="9"/>
        <v>10</v>
      </c>
      <c r="AC42" s="5">
        <f t="shared" si="14"/>
        <v>0.52631578947368418</v>
      </c>
      <c r="AD42" s="5">
        <f t="shared" si="15"/>
        <v>0</v>
      </c>
      <c r="AE42" s="5">
        <f t="shared" si="10"/>
        <v>0.47368421052631576</v>
      </c>
      <c r="AF42" s="8">
        <v>72</v>
      </c>
      <c r="AG42" s="8">
        <v>71</v>
      </c>
      <c r="AH42" s="8">
        <v>11</v>
      </c>
    </row>
    <row r="43" spans="1:44">
      <c r="A43">
        <v>4</v>
      </c>
      <c r="B43" s="3" t="s">
        <v>23</v>
      </c>
      <c r="C43" s="3">
        <f t="shared" si="11"/>
        <v>-18.5</v>
      </c>
      <c r="D43" s="3">
        <f t="shared" ref="D43:Y43" si="20">D18-D6</f>
        <v>-4</v>
      </c>
      <c r="E43" s="3">
        <f t="shared" si="20"/>
        <v>1.5</v>
      </c>
      <c r="F43" s="3">
        <f t="shared" si="20"/>
        <v>3.5</v>
      </c>
      <c r="G43" s="3">
        <f t="shared" si="20"/>
        <v>1.5</v>
      </c>
      <c r="H43" s="3">
        <f t="shared" si="20"/>
        <v>-1</v>
      </c>
      <c r="I43" s="3">
        <f t="shared" si="20"/>
        <v>-0.5</v>
      </c>
      <c r="J43" s="3">
        <f t="shared" si="20"/>
        <v>-1</v>
      </c>
      <c r="K43" s="3">
        <f t="shared" si="20"/>
        <v>2.5</v>
      </c>
      <c r="L43" s="3">
        <f t="shared" si="20"/>
        <v>-6</v>
      </c>
      <c r="M43" s="3">
        <f t="shared" si="20"/>
        <v>1</v>
      </c>
      <c r="N43" s="3">
        <f t="shared" si="20"/>
        <v>3</v>
      </c>
      <c r="O43" s="3">
        <f t="shared" si="20"/>
        <v>-1</v>
      </c>
      <c r="P43" s="3">
        <f t="shared" si="20"/>
        <v>-1</v>
      </c>
      <c r="Q43" s="3">
        <f t="shared" si="20"/>
        <v>5.5</v>
      </c>
      <c r="R43" s="3">
        <f t="shared" si="20"/>
        <v>-8</v>
      </c>
      <c r="S43" s="3">
        <f t="shared" si="20"/>
        <v>-1.5</v>
      </c>
      <c r="T43" s="3">
        <f t="shared" si="20"/>
        <v>-0.5</v>
      </c>
      <c r="U43" s="3">
        <f t="shared" si="20"/>
        <v>-0.5</v>
      </c>
      <c r="V43" s="3">
        <f t="shared" si="20"/>
        <v>-7.5</v>
      </c>
      <c r="W43" s="3">
        <f t="shared" si="20"/>
        <v>-0.5</v>
      </c>
      <c r="X43" s="3">
        <f t="shared" si="20"/>
        <v>-2</v>
      </c>
      <c r="Y43" s="3">
        <f t="shared" si="20"/>
        <v>2</v>
      </c>
      <c r="Z43" s="3">
        <f t="shared" ref="Z43" si="21">Z18-Z6</f>
        <v>-1.5</v>
      </c>
      <c r="AA43" s="3"/>
      <c r="AB43">
        <f t="shared" si="9"/>
        <v>5</v>
      </c>
      <c r="AC43" s="5">
        <f t="shared" si="14"/>
        <v>0.26315789473684209</v>
      </c>
      <c r="AD43" s="5">
        <f t="shared" si="15"/>
        <v>0</v>
      </c>
      <c r="AE43" s="5">
        <f t="shared" si="10"/>
        <v>0.73684210526315785</v>
      </c>
      <c r="AF43" s="8">
        <v>78.5</v>
      </c>
      <c r="AG43" s="8">
        <v>80</v>
      </c>
      <c r="AH43" s="8">
        <v>11</v>
      </c>
    </row>
    <row r="44" spans="1:44">
      <c r="A44">
        <v>5</v>
      </c>
      <c r="B44" s="3" t="s">
        <v>22</v>
      </c>
      <c r="C44" s="3">
        <f t="shared" si="11"/>
        <v>2</v>
      </c>
      <c r="D44" s="3">
        <f t="shared" ref="D44:Y44" si="22">D19-D7</f>
        <v>-4.5</v>
      </c>
      <c r="E44" s="3">
        <f t="shared" si="22"/>
        <v>-9.5</v>
      </c>
      <c r="F44" s="3">
        <f t="shared" si="22"/>
        <v>-2.5</v>
      </c>
      <c r="G44" s="3">
        <f t="shared" si="22"/>
        <v>-2.5</v>
      </c>
      <c r="H44" s="3">
        <f t="shared" si="22"/>
        <v>0</v>
      </c>
      <c r="I44" s="3">
        <f t="shared" si="22"/>
        <v>1</v>
      </c>
      <c r="J44" s="3">
        <f t="shared" si="22"/>
        <v>2</v>
      </c>
      <c r="K44" s="3">
        <f t="shared" si="22"/>
        <v>-1.5</v>
      </c>
      <c r="L44" s="3">
        <f t="shared" si="22"/>
        <v>0</v>
      </c>
      <c r="M44" s="3">
        <f t="shared" si="22"/>
        <v>9</v>
      </c>
      <c r="N44" s="3">
        <f t="shared" si="22"/>
        <v>-3.5</v>
      </c>
      <c r="O44" s="3">
        <f t="shared" si="22"/>
        <v>2.5</v>
      </c>
      <c r="P44" s="3">
        <f t="shared" si="22"/>
        <v>0.5</v>
      </c>
      <c r="Q44" s="3">
        <f t="shared" si="22"/>
        <v>2</v>
      </c>
      <c r="R44" s="3">
        <f t="shared" si="22"/>
        <v>0</v>
      </c>
      <c r="S44" s="3">
        <f t="shared" si="22"/>
        <v>-10.5</v>
      </c>
      <c r="T44" s="3">
        <f t="shared" si="22"/>
        <v>2</v>
      </c>
      <c r="U44" s="3">
        <f t="shared" si="22"/>
        <v>4</v>
      </c>
      <c r="V44" s="3">
        <f t="shared" si="22"/>
        <v>2.5</v>
      </c>
      <c r="W44" s="3">
        <f t="shared" si="22"/>
        <v>-0.5</v>
      </c>
      <c r="X44" s="3">
        <f t="shared" si="22"/>
        <v>-1.5</v>
      </c>
      <c r="Y44" s="3">
        <f t="shared" si="22"/>
        <v>-5</v>
      </c>
      <c r="Z44" s="3">
        <f t="shared" ref="Z44" si="23">Z19-Z7</f>
        <v>-1</v>
      </c>
      <c r="AA44" s="3"/>
      <c r="AB44">
        <f t="shared" si="9"/>
        <v>9</v>
      </c>
      <c r="AC44" s="5">
        <f t="shared" si="14"/>
        <v>0.47368421052631576</v>
      </c>
      <c r="AD44" s="5">
        <f t="shared" si="15"/>
        <v>0.10526315789473684</v>
      </c>
      <c r="AE44" s="5">
        <f t="shared" si="10"/>
        <v>0.36842105263157893</v>
      </c>
      <c r="AF44" s="8">
        <v>72</v>
      </c>
      <c r="AG44" s="8">
        <v>68.5</v>
      </c>
      <c r="AH44" s="8">
        <v>11</v>
      </c>
    </row>
    <row r="45" spans="1:44">
      <c r="A45">
        <v>6</v>
      </c>
      <c r="B45" s="3" t="s">
        <v>24</v>
      </c>
      <c r="C45" s="3">
        <f t="shared" si="11"/>
        <v>5.5</v>
      </c>
      <c r="D45" s="3">
        <f t="shared" ref="D45:Y45" si="24">D20-D8</f>
        <v>0</v>
      </c>
      <c r="E45" s="3">
        <f t="shared" si="24"/>
        <v>-10.5</v>
      </c>
      <c r="F45" s="3">
        <f t="shared" si="24"/>
        <v>-0.5</v>
      </c>
      <c r="G45" s="3">
        <f t="shared" si="24"/>
        <v>1</v>
      </c>
      <c r="H45" s="3">
        <f t="shared" si="24"/>
        <v>5.5</v>
      </c>
      <c r="I45" s="3">
        <f t="shared" si="24"/>
        <v>0.5</v>
      </c>
      <c r="J45" s="3">
        <f t="shared" si="24"/>
        <v>6</v>
      </c>
      <c r="K45" s="3">
        <f t="shared" si="24"/>
        <v>-0.5</v>
      </c>
      <c r="L45" s="3">
        <f t="shared" si="24"/>
        <v>1</v>
      </c>
      <c r="M45" s="3">
        <f t="shared" si="24"/>
        <v>-0.5</v>
      </c>
      <c r="N45" s="3">
        <f t="shared" si="24"/>
        <v>1.5</v>
      </c>
      <c r="O45" s="3">
        <f t="shared" si="24"/>
        <v>0.5</v>
      </c>
      <c r="P45" s="3">
        <f t="shared" si="24"/>
        <v>0</v>
      </c>
      <c r="Q45" s="3">
        <f t="shared" si="24"/>
        <v>1</v>
      </c>
      <c r="R45" s="3">
        <f t="shared" si="24"/>
        <v>0.5</v>
      </c>
      <c r="S45" s="3">
        <f t="shared" si="24"/>
        <v>-1.5</v>
      </c>
      <c r="T45" s="3">
        <f t="shared" si="24"/>
        <v>-1.5</v>
      </c>
      <c r="U45" s="3">
        <f t="shared" si="24"/>
        <v>-1</v>
      </c>
      <c r="V45" s="3">
        <f t="shared" si="24"/>
        <v>2.5</v>
      </c>
      <c r="W45" s="3">
        <f t="shared" si="24"/>
        <v>4.5</v>
      </c>
      <c r="X45" s="3">
        <f t="shared" si="24"/>
        <v>-5.5</v>
      </c>
      <c r="Y45" s="3">
        <f t="shared" si="24"/>
        <v>2.5</v>
      </c>
      <c r="Z45" s="3">
        <f t="shared" ref="Z45" si="25">Z20-Z8</f>
        <v>-10</v>
      </c>
      <c r="AA45" s="3"/>
      <c r="AB45">
        <f t="shared" si="9"/>
        <v>11</v>
      </c>
      <c r="AC45" s="5">
        <f t="shared" si="14"/>
        <v>0.57894736842105265</v>
      </c>
      <c r="AD45" s="5">
        <f t="shared" si="15"/>
        <v>5.2631578947368418E-2</v>
      </c>
      <c r="AE45" s="5">
        <f t="shared" si="10"/>
        <v>0.36842105263157893</v>
      </c>
      <c r="AF45" s="8">
        <v>66.5</v>
      </c>
      <c r="AG45" s="8">
        <v>67</v>
      </c>
      <c r="AH45" s="8">
        <v>11</v>
      </c>
    </row>
    <row r="46" spans="1:44">
      <c r="A46">
        <v>7</v>
      </c>
      <c r="B46" s="3" t="s">
        <v>27</v>
      </c>
      <c r="C46" s="3">
        <f t="shared" si="11"/>
        <v>17</v>
      </c>
      <c r="D46" s="3">
        <f t="shared" ref="D46:Y46" si="26">D21-D9</f>
        <v>-5</v>
      </c>
      <c r="E46" s="3">
        <f t="shared" si="26"/>
        <v>-0.5</v>
      </c>
      <c r="F46" s="3">
        <f t="shared" si="26"/>
        <v>-0.5</v>
      </c>
      <c r="G46" s="3">
        <f t="shared" si="26"/>
        <v>-1.5</v>
      </c>
      <c r="H46" s="3">
        <f t="shared" si="26"/>
        <v>0</v>
      </c>
      <c r="I46" s="3">
        <f t="shared" si="26"/>
        <v>0</v>
      </c>
      <c r="J46" s="3">
        <f t="shared" si="26"/>
        <v>1</v>
      </c>
      <c r="K46" s="3">
        <f t="shared" si="26"/>
        <v>2</v>
      </c>
      <c r="L46" s="3">
        <f t="shared" si="26"/>
        <v>0</v>
      </c>
      <c r="M46" s="3">
        <f t="shared" si="26"/>
        <v>1.5</v>
      </c>
      <c r="N46" s="3">
        <f t="shared" si="26"/>
        <v>1</v>
      </c>
      <c r="O46" s="3">
        <f t="shared" si="26"/>
        <v>-4.5</v>
      </c>
      <c r="P46" s="3">
        <f t="shared" si="26"/>
        <v>2</v>
      </c>
      <c r="Q46" s="3">
        <f t="shared" si="26"/>
        <v>2</v>
      </c>
      <c r="R46" s="3">
        <f t="shared" si="26"/>
        <v>1</v>
      </c>
      <c r="S46" s="3">
        <f t="shared" si="26"/>
        <v>-1.5</v>
      </c>
      <c r="T46" s="3">
        <f t="shared" si="26"/>
        <v>-2</v>
      </c>
      <c r="U46" s="3">
        <f t="shared" si="26"/>
        <v>3</v>
      </c>
      <c r="V46" s="3">
        <f t="shared" si="26"/>
        <v>0</v>
      </c>
      <c r="W46" s="3">
        <f t="shared" si="26"/>
        <v>0.5</v>
      </c>
      <c r="X46" s="3">
        <f t="shared" si="26"/>
        <v>8.5</v>
      </c>
      <c r="Y46" s="3">
        <f t="shared" si="26"/>
        <v>1.5</v>
      </c>
      <c r="Z46" s="3">
        <f t="shared" ref="Z46" si="27">Z21-Z9</f>
        <v>1</v>
      </c>
      <c r="AA46" s="3"/>
      <c r="AB46">
        <f t="shared" si="9"/>
        <v>12</v>
      </c>
      <c r="AC46" s="5">
        <f t="shared" si="14"/>
        <v>0.63157894736842102</v>
      </c>
      <c r="AD46" s="5">
        <f t="shared" si="15"/>
        <v>0.15789473684210525</v>
      </c>
      <c r="AE46" s="5">
        <f t="shared" si="10"/>
        <v>0.15789473684210525</v>
      </c>
      <c r="AF46" s="8" t="s">
        <v>33</v>
      </c>
      <c r="AG46" s="8"/>
      <c r="AH46" s="8"/>
    </row>
    <row r="47" spans="1:44">
      <c r="A47">
        <v>8</v>
      </c>
      <c r="B47" s="3" t="s">
        <v>25</v>
      </c>
      <c r="C47" s="3">
        <f t="shared" si="11"/>
        <v>27.5</v>
      </c>
      <c r="D47" s="3">
        <f t="shared" ref="D47:Y47" si="28">D22-D10</f>
        <v>-0.5</v>
      </c>
      <c r="E47" s="3">
        <f t="shared" si="28"/>
        <v>-4</v>
      </c>
      <c r="F47" s="3">
        <f t="shared" si="28"/>
        <v>1</v>
      </c>
      <c r="G47" s="3">
        <f t="shared" si="28"/>
        <v>3.5</v>
      </c>
      <c r="H47" s="3">
        <f t="shared" si="28"/>
        <v>-3</v>
      </c>
      <c r="I47" s="3">
        <f t="shared" si="28"/>
        <v>3.5</v>
      </c>
      <c r="J47" s="3">
        <f t="shared" si="28"/>
        <v>0.5</v>
      </c>
      <c r="K47" s="3">
        <f t="shared" si="28"/>
        <v>0</v>
      </c>
      <c r="L47" s="3">
        <f t="shared" si="28"/>
        <v>-2</v>
      </c>
      <c r="M47" s="3">
        <f t="shared" si="28"/>
        <v>0.5</v>
      </c>
      <c r="N47" s="3">
        <f t="shared" si="28"/>
        <v>2</v>
      </c>
      <c r="O47" s="3">
        <f t="shared" si="28"/>
        <v>4</v>
      </c>
      <c r="P47" s="3">
        <f t="shared" si="28"/>
        <v>0.5</v>
      </c>
      <c r="Q47" s="3">
        <f t="shared" si="28"/>
        <v>5</v>
      </c>
      <c r="R47" s="3">
        <f t="shared" si="28"/>
        <v>1</v>
      </c>
      <c r="S47" s="3">
        <f t="shared" si="28"/>
        <v>-3.5</v>
      </c>
      <c r="T47" s="3">
        <f t="shared" si="28"/>
        <v>4.5</v>
      </c>
      <c r="U47" s="3">
        <f t="shared" si="28"/>
        <v>4.5</v>
      </c>
      <c r="V47" s="3">
        <f t="shared" si="28"/>
        <v>0.5</v>
      </c>
      <c r="W47" s="3">
        <f t="shared" si="28"/>
        <v>1</v>
      </c>
      <c r="X47" s="3">
        <f t="shared" si="28"/>
        <v>5.5</v>
      </c>
      <c r="Y47" s="3">
        <f t="shared" si="28"/>
        <v>2.5</v>
      </c>
      <c r="Z47" s="3">
        <f t="shared" ref="Z47" si="29">Z22-Z10</f>
        <v>0.5</v>
      </c>
      <c r="AA47" s="3"/>
      <c r="AB47">
        <f t="shared" si="9"/>
        <v>15</v>
      </c>
      <c r="AC47" s="5">
        <f t="shared" si="14"/>
        <v>0.78947368421052633</v>
      </c>
      <c r="AD47" s="5">
        <f t="shared" si="15"/>
        <v>5.2631578947368418E-2</v>
      </c>
      <c r="AE47" s="5">
        <f t="shared" si="10"/>
        <v>0.15789473684210525</v>
      </c>
      <c r="AF47" s="8">
        <v>78</v>
      </c>
      <c r="AG47" s="8">
        <v>77.5</v>
      </c>
      <c r="AH47" s="8">
        <v>11</v>
      </c>
    </row>
    <row r="48" spans="1:44">
      <c r="A48">
        <v>9</v>
      </c>
      <c r="B48" s="3" t="s">
        <v>26</v>
      </c>
      <c r="C48" s="3">
        <f t="shared" si="11"/>
        <v>7</v>
      </c>
      <c r="D48" s="3">
        <f t="shared" ref="D48:Y48" si="30">D23-D11</f>
        <v>-2</v>
      </c>
      <c r="E48" s="3">
        <f t="shared" si="30"/>
        <v>-2</v>
      </c>
      <c r="F48" s="3">
        <f t="shared" si="30"/>
        <v>-9</v>
      </c>
      <c r="G48" s="3">
        <f t="shared" si="30"/>
        <v>-0.5</v>
      </c>
      <c r="H48" s="3">
        <f t="shared" si="30"/>
        <v>0</v>
      </c>
      <c r="I48" s="3">
        <f t="shared" si="30"/>
        <v>1</v>
      </c>
      <c r="J48" s="3">
        <f t="shared" si="30"/>
        <v>-1</v>
      </c>
      <c r="K48" s="3">
        <f t="shared" si="30"/>
        <v>10.5</v>
      </c>
      <c r="L48" s="3">
        <f t="shared" si="30"/>
        <v>-3</v>
      </c>
      <c r="M48" s="3">
        <f t="shared" si="30"/>
        <v>6.5</v>
      </c>
      <c r="N48" s="3">
        <f t="shared" si="30"/>
        <v>0</v>
      </c>
      <c r="O48" s="3">
        <f t="shared" si="30"/>
        <v>3</v>
      </c>
      <c r="P48" s="3">
        <f t="shared" si="30"/>
        <v>0.5</v>
      </c>
      <c r="Q48" s="3">
        <f t="shared" si="30"/>
        <v>-2.5</v>
      </c>
      <c r="R48" s="3">
        <f t="shared" si="30"/>
        <v>6</v>
      </c>
      <c r="S48" s="3">
        <f t="shared" si="30"/>
        <v>-7.5</v>
      </c>
      <c r="T48" s="3">
        <f t="shared" si="30"/>
        <v>-1</v>
      </c>
      <c r="U48" s="3">
        <f t="shared" si="30"/>
        <v>-3.5</v>
      </c>
      <c r="V48" s="3">
        <f t="shared" si="30"/>
        <v>-3</v>
      </c>
      <c r="W48" s="3">
        <f t="shared" si="30"/>
        <v>0.5</v>
      </c>
      <c r="X48" s="3">
        <f t="shared" si="30"/>
        <v>0</v>
      </c>
      <c r="Y48" s="3">
        <f t="shared" si="30"/>
        <v>-2.5</v>
      </c>
      <c r="Z48" s="3">
        <f t="shared" ref="Z48" si="31">Z23-Z11</f>
        <v>3</v>
      </c>
      <c r="AA48" s="3"/>
      <c r="AB48">
        <f t="shared" si="9"/>
        <v>8</v>
      </c>
      <c r="AC48" s="5">
        <f t="shared" si="14"/>
        <v>0.42105263157894735</v>
      </c>
      <c r="AD48" s="5">
        <f t="shared" si="15"/>
        <v>0.10526315789473684</v>
      </c>
      <c r="AE48" s="5">
        <f t="shared" si="10"/>
        <v>0.42105263157894735</v>
      </c>
      <c r="AF48" s="8">
        <v>79</v>
      </c>
      <c r="AG48" s="8">
        <v>82</v>
      </c>
      <c r="AH48" s="8">
        <v>11</v>
      </c>
    </row>
    <row r="49" spans="2:34" ht="15">
      <c r="C49" s="4">
        <f>SUM(C39:C48)</f>
        <v>43.5</v>
      </c>
      <c r="D49" s="4">
        <f t="shared" ref="D49:Y49" si="32">SUM(D39:D48)</f>
        <v>-9</v>
      </c>
      <c r="E49" s="4">
        <f t="shared" si="32"/>
        <v>-35.5</v>
      </c>
      <c r="F49" s="4">
        <f t="shared" si="32"/>
        <v>-5.5</v>
      </c>
      <c r="G49" s="4">
        <f t="shared" si="32"/>
        <v>-2</v>
      </c>
      <c r="H49" s="21">
        <f t="shared" si="32"/>
        <v>4.5</v>
      </c>
      <c r="I49" s="21">
        <f t="shared" si="32"/>
        <v>0</v>
      </c>
      <c r="J49" s="21">
        <f t="shared" si="32"/>
        <v>-2</v>
      </c>
      <c r="K49" s="21">
        <f t="shared" si="32"/>
        <v>18</v>
      </c>
      <c r="L49" s="21">
        <f t="shared" si="32"/>
        <v>-21</v>
      </c>
      <c r="M49" s="21">
        <f t="shared" si="32"/>
        <v>6.5</v>
      </c>
      <c r="N49" s="21">
        <f t="shared" si="32"/>
        <v>16.5</v>
      </c>
      <c r="O49" s="21">
        <f t="shared" si="32"/>
        <v>5.5</v>
      </c>
      <c r="P49" s="21">
        <f t="shared" si="32"/>
        <v>-10.5</v>
      </c>
      <c r="Q49" s="21">
        <f t="shared" si="32"/>
        <v>20.5</v>
      </c>
      <c r="R49" s="21">
        <f t="shared" si="32"/>
        <v>7.5</v>
      </c>
      <c r="S49" s="21">
        <f t="shared" si="32"/>
        <v>-26.5</v>
      </c>
      <c r="T49" s="21">
        <f t="shared" si="32"/>
        <v>4</v>
      </c>
      <c r="U49" s="21">
        <f t="shared" si="32"/>
        <v>15.5</v>
      </c>
      <c r="V49" s="21">
        <f t="shared" si="32"/>
        <v>-3.5</v>
      </c>
      <c r="W49" s="21">
        <f t="shared" si="32"/>
        <v>1</v>
      </c>
      <c r="X49" s="21">
        <f t="shared" si="32"/>
        <v>10</v>
      </c>
      <c r="Y49" s="21">
        <f t="shared" si="32"/>
        <v>7.5</v>
      </c>
      <c r="Z49" s="21">
        <f t="shared" ref="Z49" si="33">SUM(Z39:Z48)</f>
        <v>-10</v>
      </c>
      <c r="AA49" s="21"/>
      <c r="AB49">
        <f t="shared" si="9"/>
        <v>12</v>
      </c>
      <c r="AC49" s="5">
        <f t="shared" si="14"/>
        <v>0.63157894736842102</v>
      </c>
      <c r="AD49" s="5">
        <f t="shared" si="15"/>
        <v>5.2631578947368418E-2</v>
      </c>
      <c r="AE49" s="5">
        <f t="shared" si="10"/>
        <v>0.31578947368421051</v>
      </c>
      <c r="AF49" s="8">
        <v>75</v>
      </c>
      <c r="AG49" s="8">
        <v>74.5</v>
      </c>
      <c r="AH49" s="8">
        <v>11</v>
      </c>
    </row>
    <row r="50" spans="2:34">
      <c r="AC50" s="13">
        <f>AVERAGE(AC39:AC49)</f>
        <v>0.53588516746411485</v>
      </c>
      <c r="AD50" s="13">
        <f>AVERAGE(AD39:AD49)</f>
        <v>7.1770334928229665E-2</v>
      </c>
      <c r="AE50" s="13">
        <f>AVERAGE(AE39:AE49)</f>
        <v>0.37799043062200949</v>
      </c>
      <c r="AF50" s="8">
        <v>67.5</v>
      </c>
      <c r="AG50" s="8">
        <v>62.5</v>
      </c>
      <c r="AH50" s="8">
        <v>11</v>
      </c>
    </row>
    <row r="51" spans="2:34">
      <c r="B51" t="s">
        <v>18</v>
      </c>
      <c r="C51">
        <v>4</v>
      </c>
      <c r="D51">
        <v>1.5</v>
      </c>
      <c r="E51">
        <v>-6</v>
      </c>
      <c r="F51">
        <v>4</v>
      </c>
      <c r="G51">
        <v>-1.5</v>
      </c>
      <c r="H51">
        <v>0.5</v>
      </c>
      <c r="I51">
        <v>-8</v>
      </c>
      <c r="J51">
        <v>1</v>
      </c>
      <c r="K51">
        <v>4.5</v>
      </c>
      <c r="L51">
        <v>2</v>
      </c>
      <c r="M51">
        <v>-6</v>
      </c>
      <c r="N51">
        <v>7.5</v>
      </c>
      <c r="O51">
        <v>-8.5</v>
      </c>
      <c r="P51">
        <v>2.5</v>
      </c>
      <c r="Q51">
        <v>-3</v>
      </c>
      <c r="R51">
        <v>3</v>
      </c>
      <c r="S51">
        <v>2</v>
      </c>
      <c r="T51">
        <v>0</v>
      </c>
      <c r="U51">
        <v>3.5</v>
      </c>
      <c r="V51">
        <v>1.5</v>
      </c>
      <c r="W51" s="8">
        <v>-2.5</v>
      </c>
      <c r="X51">
        <v>0</v>
      </c>
      <c r="Y51">
        <v>4</v>
      </c>
      <c r="Z51">
        <v>0</v>
      </c>
      <c r="AD51" s="5"/>
      <c r="AF51" s="8">
        <v>66.5</v>
      </c>
      <c r="AG51" s="8">
        <v>67.5</v>
      </c>
      <c r="AH51" s="8">
        <v>11</v>
      </c>
    </row>
    <row r="52" spans="2:34">
      <c r="B52" t="s">
        <v>19</v>
      </c>
      <c r="C52">
        <v>9.5</v>
      </c>
      <c r="D52">
        <v>1.5</v>
      </c>
      <c r="E52">
        <v>-1.5</v>
      </c>
      <c r="F52">
        <v>-0.5</v>
      </c>
      <c r="G52">
        <v>0</v>
      </c>
      <c r="H52">
        <v>-3</v>
      </c>
      <c r="I52">
        <v>-1</v>
      </c>
      <c r="J52">
        <v>-1.5</v>
      </c>
      <c r="K52">
        <v>3</v>
      </c>
      <c r="L52">
        <v>-1.5</v>
      </c>
      <c r="M52">
        <v>-1</v>
      </c>
      <c r="N52">
        <v>0.5</v>
      </c>
      <c r="O52">
        <v>2</v>
      </c>
      <c r="P52">
        <v>0</v>
      </c>
      <c r="Q52">
        <v>2</v>
      </c>
      <c r="R52">
        <v>0.5</v>
      </c>
      <c r="S52">
        <v>1</v>
      </c>
      <c r="T52">
        <v>7</v>
      </c>
      <c r="U52">
        <v>-1</v>
      </c>
      <c r="V52">
        <v>2</v>
      </c>
      <c r="W52">
        <v>0</v>
      </c>
      <c r="X52">
        <v>0.5</v>
      </c>
      <c r="Y52">
        <v>-0.5</v>
      </c>
      <c r="Z52">
        <v>0.5</v>
      </c>
      <c r="AD52" s="5"/>
      <c r="AF52" s="8">
        <v>74</v>
      </c>
      <c r="AG52" s="8">
        <v>74</v>
      </c>
      <c r="AH52" s="8">
        <v>11</v>
      </c>
    </row>
    <row r="53" spans="2:34">
      <c r="B53" t="s">
        <v>20</v>
      </c>
      <c r="C53">
        <v>-10.5</v>
      </c>
      <c r="D53">
        <v>1</v>
      </c>
      <c r="E53">
        <v>-1</v>
      </c>
      <c r="F53">
        <v>-2</v>
      </c>
      <c r="G53">
        <v>-2</v>
      </c>
      <c r="H53" s="20">
        <v>0.5</v>
      </c>
      <c r="I53">
        <v>2</v>
      </c>
      <c r="J53">
        <v>-4.5</v>
      </c>
      <c r="K53">
        <v>-4.5</v>
      </c>
      <c r="L53">
        <v>-4</v>
      </c>
      <c r="M53">
        <v>-3</v>
      </c>
      <c r="N53">
        <v>1</v>
      </c>
      <c r="O53">
        <v>13</v>
      </c>
      <c r="P53">
        <v>-13</v>
      </c>
      <c r="Q53">
        <v>7.5</v>
      </c>
      <c r="R53">
        <v>3</v>
      </c>
      <c r="S53">
        <v>0</v>
      </c>
      <c r="T53">
        <v>-3.5</v>
      </c>
      <c r="U53">
        <v>3</v>
      </c>
      <c r="V53">
        <v>0.5</v>
      </c>
      <c r="W53">
        <v>-0.5</v>
      </c>
      <c r="X53">
        <v>-2.5</v>
      </c>
      <c r="Y53">
        <v>-1</v>
      </c>
      <c r="Z53">
        <v>-4.5</v>
      </c>
      <c r="AD53" s="5"/>
      <c r="AF53" s="8">
        <v>82.5</v>
      </c>
      <c r="AG53" s="8">
        <v>77</v>
      </c>
      <c r="AH53" s="8">
        <v>11</v>
      </c>
    </row>
    <row r="54" spans="2:34">
      <c r="B54" t="s">
        <v>21</v>
      </c>
      <c r="C54">
        <v>-10.5</v>
      </c>
      <c r="D54">
        <v>3</v>
      </c>
      <c r="E54">
        <v>-2</v>
      </c>
      <c r="F54">
        <v>1</v>
      </c>
      <c r="G54">
        <v>0</v>
      </c>
      <c r="H54">
        <v>5</v>
      </c>
      <c r="I54">
        <v>1.5</v>
      </c>
      <c r="J54">
        <v>-4.5</v>
      </c>
      <c r="K54">
        <v>2</v>
      </c>
      <c r="L54">
        <v>-7.5</v>
      </c>
      <c r="M54">
        <v>-1.5</v>
      </c>
      <c r="N54">
        <v>3.5</v>
      </c>
      <c r="O54">
        <v>-5.5</v>
      </c>
      <c r="P54">
        <v>-2.5</v>
      </c>
      <c r="Q54">
        <v>1</v>
      </c>
      <c r="R54">
        <v>0.5</v>
      </c>
      <c r="S54">
        <v>-3.5</v>
      </c>
      <c r="T54">
        <v>-1</v>
      </c>
      <c r="U54">
        <v>3.5</v>
      </c>
      <c r="V54">
        <v>-2.5</v>
      </c>
      <c r="W54">
        <v>-1.5</v>
      </c>
      <c r="X54">
        <v>3</v>
      </c>
      <c r="Y54">
        <v>-2</v>
      </c>
      <c r="Z54">
        <v>1.5</v>
      </c>
      <c r="AD54" s="5"/>
      <c r="AF54" s="8">
        <v>70.5</v>
      </c>
      <c r="AG54" s="8">
        <v>70.5</v>
      </c>
      <c r="AH54" s="8">
        <v>11</v>
      </c>
    </row>
    <row r="55" spans="2:34">
      <c r="B55" t="s">
        <v>23</v>
      </c>
      <c r="C55">
        <v>-15.5</v>
      </c>
      <c r="D55">
        <v>-4</v>
      </c>
      <c r="E55">
        <v>1.5</v>
      </c>
      <c r="F55">
        <v>3.5</v>
      </c>
      <c r="G55">
        <v>1.5</v>
      </c>
      <c r="H55">
        <v>-1</v>
      </c>
      <c r="I55">
        <v>-0.5</v>
      </c>
      <c r="J55">
        <v>-1</v>
      </c>
      <c r="K55">
        <v>2.5</v>
      </c>
      <c r="L55">
        <v>-6</v>
      </c>
      <c r="M55">
        <v>1</v>
      </c>
      <c r="N55">
        <v>3</v>
      </c>
      <c r="O55">
        <v>-1</v>
      </c>
      <c r="P55">
        <v>-1</v>
      </c>
      <c r="Q55">
        <v>5.5</v>
      </c>
      <c r="R55">
        <v>-8</v>
      </c>
      <c r="S55">
        <v>-1.5</v>
      </c>
      <c r="T55">
        <v>-0.5</v>
      </c>
      <c r="U55">
        <v>-0.5</v>
      </c>
      <c r="V55">
        <v>-7.5</v>
      </c>
      <c r="W55">
        <v>-0.5</v>
      </c>
      <c r="X55">
        <v>1</v>
      </c>
      <c r="Y55">
        <v>2</v>
      </c>
      <c r="Z55">
        <v>-1.5</v>
      </c>
      <c r="AF55" s="8">
        <v>65.5</v>
      </c>
      <c r="AG55" s="8">
        <v>68.5</v>
      </c>
      <c r="AH55" s="8">
        <v>11</v>
      </c>
    </row>
    <row r="56" spans="2:34">
      <c r="B56" t="s">
        <v>22</v>
      </c>
      <c r="C56">
        <v>7</v>
      </c>
      <c r="D56">
        <v>-4.5</v>
      </c>
      <c r="E56">
        <v>-9.5</v>
      </c>
      <c r="F56">
        <v>-2.5</v>
      </c>
      <c r="G56">
        <v>-2.5</v>
      </c>
      <c r="H56">
        <v>0</v>
      </c>
      <c r="I56">
        <v>1</v>
      </c>
      <c r="J56">
        <v>2</v>
      </c>
      <c r="K56">
        <v>-1.5</v>
      </c>
      <c r="L56">
        <v>0</v>
      </c>
      <c r="M56">
        <v>9</v>
      </c>
      <c r="N56">
        <v>-3.5</v>
      </c>
      <c r="O56">
        <v>2.5</v>
      </c>
      <c r="P56">
        <v>0.5</v>
      </c>
      <c r="Q56">
        <v>2</v>
      </c>
      <c r="R56">
        <v>0</v>
      </c>
      <c r="S56">
        <v>-10.5</v>
      </c>
      <c r="T56">
        <v>2</v>
      </c>
      <c r="U56">
        <v>4</v>
      </c>
      <c r="V56">
        <v>2.5</v>
      </c>
      <c r="W56">
        <v>-0.5</v>
      </c>
      <c r="X56">
        <v>-1.5</v>
      </c>
      <c r="Y56">
        <v>0</v>
      </c>
      <c r="Z56">
        <v>-1</v>
      </c>
      <c r="AF56" s="8">
        <v>66</v>
      </c>
      <c r="AG56" s="8">
        <v>66</v>
      </c>
      <c r="AH56" s="8">
        <v>11</v>
      </c>
    </row>
    <row r="57" spans="2:34">
      <c r="B57" t="s">
        <v>24</v>
      </c>
      <c r="C57">
        <v>5.5</v>
      </c>
      <c r="D57">
        <v>0</v>
      </c>
      <c r="E57">
        <v>-10.5</v>
      </c>
      <c r="F57">
        <v>-0.5</v>
      </c>
      <c r="G57">
        <v>1</v>
      </c>
      <c r="H57">
        <v>5.5</v>
      </c>
      <c r="I57">
        <v>0.5</v>
      </c>
      <c r="J57">
        <v>6</v>
      </c>
      <c r="K57">
        <v>-0.5</v>
      </c>
      <c r="L57">
        <v>1</v>
      </c>
      <c r="M57">
        <v>-0.5</v>
      </c>
      <c r="N57">
        <v>1.5</v>
      </c>
      <c r="O57">
        <v>0.5</v>
      </c>
      <c r="P57">
        <v>0</v>
      </c>
      <c r="Q57">
        <v>1</v>
      </c>
      <c r="R57">
        <v>0.5</v>
      </c>
      <c r="S57">
        <v>-1.5</v>
      </c>
      <c r="T57">
        <v>-1.5</v>
      </c>
      <c r="U57">
        <v>-1</v>
      </c>
      <c r="V57">
        <v>2.5</v>
      </c>
      <c r="W57">
        <v>4.5</v>
      </c>
      <c r="X57">
        <v>-5.5</v>
      </c>
      <c r="Y57">
        <v>2.5</v>
      </c>
      <c r="Z57">
        <v>-10</v>
      </c>
      <c r="AF57" s="8" t="s">
        <v>28</v>
      </c>
      <c r="AG57" s="8"/>
      <c r="AH57" s="8"/>
    </row>
    <row r="58" spans="2:34">
      <c r="B58" t="s">
        <v>27</v>
      </c>
      <c r="C58">
        <v>16</v>
      </c>
      <c r="D58">
        <v>-5</v>
      </c>
      <c r="E58">
        <v>-0.5</v>
      </c>
      <c r="F58">
        <v>-0.5</v>
      </c>
      <c r="G58">
        <v>-1.5</v>
      </c>
      <c r="H58">
        <v>0</v>
      </c>
      <c r="I58">
        <v>0</v>
      </c>
      <c r="J58">
        <v>1</v>
      </c>
      <c r="K58">
        <v>2</v>
      </c>
      <c r="L58">
        <v>0</v>
      </c>
      <c r="M58">
        <v>1.5</v>
      </c>
      <c r="N58">
        <v>1</v>
      </c>
      <c r="O58">
        <v>-4.5</v>
      </c>
      <c r="P58">
        <v>2</v>
      </c>
      <c r="Q58">
        <v>2</v>
      </c>
      <c r="R58">
        <v>1</v>
      </c>
      <c r="S58">
        <v>-1.5</v>
      </c>
      <c r="T58">
        <v>-2</v>
      </c>
      <c r="U58">
        <v>3</v>
      </c>
      <c r="V58">
        <v>0</v>
      </c>
      <c r="W58">
        <v>0.5</v>
      </c>
      <c r="X58">
        <v>8.5</v>
      </c>
      <c r="Y58">
        <v>0.5</v>
      </c>
      <c r="Z58">
        <v>1</v>
      </c>
      <c r="AF58" s="8">
        <v>65.5</v>
      </c>
      <c r="AG58" s="8">
        <v>73.5</v>
      </c>
      <c r="AH58" s="8">
        <v>11</v>
      </c>
    </row>
    <row r="59" spans="2:34">
      <c r="B59" t="s">
        <v>25</v>
      </c>
      <c r="C59">
        <v>29.5</v>
      </c>
      <c r="D59">
        <v>-0.5</v>
      </c>
      <c r="E59">
        <v>-4</v>
      </c>
      <c r="F59">
        <v>1</v>
      </c>
      <c r="G59">
        <v>3.5</v>
      </c>
      <c r="H59">
        <v>-3</v>
      </c>
      <c r="I59">
        <v>3.5</v>
      </c>
      <c r="J59">
        <v>0.5</v>
      </c>
      <c r="K59">
        <v>0</v>
      </c>
      <c r="L59">
        <v>-2</v>
      </c>
      <c r="M59">
        <v>0.5</v>
      </c>
      <c r="N59">
        <v>2</v>
      </c>
      <c r="O59">
        <v>4</v>
      </c>
      <c r="P59">
        <v>0.5</v>
      </c>
      <c r="Q59">
        <v>5</v>
      </c>
      <c r="R59">
        <v>1</v>
      </c>
      <c r="S59">
        <v>-3.5</v>
      </c>
      <c r="T59">
        <v>4.5</v>
      </c>
      <c r="U59">
        <v>4.5</v>
      </c>
      <c r="V59">
        <v>0.5</v>
      </c>
      <c r="W59">
        <v>1</v>
      </c>
      <c r="X59">
        <v>8</v>
      </c>
      <c r="Y59">
        <v>2</v>
      </c>
      <c r="Z59">
        <v>0.5</v>
      </c>
      <c r="AF59" s="8">
        <v>63</v>
      </c>
      <c r="AG59" s="8">
        <v>64</v>
      </c>
      <c r="AH59" s="8">
        <v>11</v>
      </c>
    </row>
    <row r="60" spans="2:34">
      <c r="B60" t="s">
        <v>26</v>
      </c>
      <c r="C60">
        <v>9.5</v>
      </c>
      <c r="D60">
        <v>-2</v>
      </c>
      <c r="E60">
        <v>-2</v>
      </c>
      <c r="F60">
        <v>-9</v>
      </c>
      <c r="G60">
        <v>-0.5</v>
      </c>
      <c r="H60">
        <v>0</v>
      </c>
      <c r="I60">
        <v>1</v>
      </c>
      <c r="J60">
        <v>-1</v>
      </c>
      <c r="K60">
        <v>10.5</v>
      </c>
      <c r="L60">
        <v>-3</v>
      </c>
      <c r="M60">
        <v>6.5</v>
      </c>
      <c r="N60">
        <v>0</v>
      </c>
      <c r="O60">
        <v>3</v>
      </c>
      <c r="P60">
        <v>0.5</v>
      </c>
      <c r="Q60">
        <v>-2.5</v>
      </c>
      <c r="R60">
        <v>6</v>
      </c>
      <c r="S60">
        <v>-7.5</v>
      </c>
      <c r="T60">
        <v>-1</v>
      </c>
      <c r="U60">
        <v>-3.5</v>
      </c>
      <c r="V60">
        <v>-3</v>
      </c>
      <c r="W60">
        <v>1.5</v>
      </c>
      <c r="X60">
        <v>0</v>
      </c>
      <c r="Y60">
        <v>-1</v>
      </c>
      <c r="Z60">
        <v>3</v>
      </c>
      <c r="AF60" s="8">
        <v>76</v>
      </c>
      <c r="AG60" s="8">
        <v>74</v>
      </c>
      <c r="AH60" s="8">
        <v>11</v>
      </c>
    </row>
    <row r="61" spans="2:34">
      <c r="C61">
        <v>44.5</v>
      </c>
      <c r="D61">
        <v>-9</v>
      </c>
      <c r="E61">
        <v>-35.5</v>
      </c>
      <c r="F61">
        <v>-5.5</v>
      </c>
      <c r="G61">
        <v>-2</v>
      </c>
      <c r="H61">
        <v>4.5</v>
      </c>
      <c r="I61">
        <v>0</v>
      </c>
      <c r="J61">
        <v>-2</v>
      </c>
      <c r="K61">
        <v>18</v>
      </c>
      <c r="L61">
        <v>-21</v>
      </c>
      <c r="M61">
        <v>6.5</v>
      </c>
      <c r="N61">
        <v>16.5</v>
      </c>
      <c r="O61">
        <v>5.5</v>
      </c>
      <c r="P61">
        <v>-10.5</v>
      </c>
      <c r="Q61">
        <v>20.5</v>
      </c>
      <c r="R61">
        <v>7.5</v>
      </c>
      <c r="S61">
        <v>-26.5</v>
      </c>
      <c r="T61">
        <v>4</v>
      </c>
      <c r="U61">
        <v>15.5</v>
      </c>
      <c r="V61">
        <v>-3.5</v>
      </c>
      <c r="W61">
        <v>2</v>
      </c>
      <c r="X61">
        <v>11.5</v>
      </c>
      <c r="Y61">
        <v>6.5</v>
      </c>
      <c r="Z61">
        <v>-10.5</v>
      </c>
      <c r="AF61" s="8">
        <v>65.5</v>
      </c>
      <c r="AG61" s="8">
        <v>64</v>
      </c>
      <c r="AH61" s="8">
        <v>11</v>
      </c>
    </row>
    <row r="62" spans="2:34">
      <c r="AF62" s="8">
        <v>66</v>
      </c>
      <c r="AG62" s="8">
        <v>66.5</v>
      </c>
      <c r="AH62" s="8">
        <v>11</v>
      </c>
    </row>
    <row r="63" spans="2:34">
      <c r="AF63" s="8">
        <v>67.5</v>
      </c>
      <c r="AG63" s="8">
        <v>66.5</v>
      </c>
      <c r="AH63" s="8">
        <v>11</v>
      </c>
    </row>
    <row r="64" spans="2:34">
      <c r="AF64" s="8">
        <v>61.5</v>
      </c>
      <c r="AG64" s="8">
        <v>61</v>
      </c>
      <c r="AH64" s="8">
        <v>11</v>
      </c>
    </row>
    <row r="65" spans="32:34">
      <c r="AF65" s="8">
        <v>69.5</v>
      </c>
      <c r="AG65" s="8">
        <v>69.5</v>
      </c>
      <c r="AH65" s="8">
        <v>11</v>
      </c>
    </row>
    <row r="66" spans="32:34">
      <c r="AF66" s="8">
        <v>70</v>
      </c>
      <c r="AG66" s="8">
        <v>66.5</v>
      </c>
      <c r="AH66" s="8">
        <v>11</v>
      </c>
    </row>
    <row r="67" spans="32:34">
      <c r="AF67" s="8">
        <v>87.5</v>
      </c>
      <c r="AG67" s="8">
        <v>86.5</v>
      </c>
      <c r="AH67" s="8">
        <v>11</v>
      </c>
    </row>
    <row r="68" spans="32:34">
      <c r="AF68" s="8" t="s">
        <v>34</v>
      </c>
      <c r="AG68" s="8"/>
      <c r="AH68" s="8"/>
    </row>
    <row r="69" spans="32:34">
      <c r="AF69" s="8">
        <v>74</v>
      </c>
      <c r="AG69" s="8">
        <v>73</v>
      </c>
      <c r="AH69" s="8">
        <v>11</v>
      </c>
    </row>
    <row r="70" spans="32:34">
      <c r="AF70" s="8">
        <v>64</v>
      </c>
      <c r="AG70" s="8">
        <v>65.5</v>
      </c>
      <c r="AH70" s="8">
        <v>11</v>
      </c>
    </row>
    <row r="71" spans="32:34">
      <c r="AF71" s="8">
        <v>68</v>
      </c>
      <c r="AG71" s="8">
        <v>72.5</v>
      </c>
      <c r="AH71" s="8">
        <v>11</v>
      </c>
    </row>
    <row r="72" spans="32:34">
      <c r="AF72" s="8">
        <v>62</v>
      </c>
      <c r="AG72" s="8">
        <v>66.5</v>
      </c>
      <c r="AH72" s="8">
        <v>11</v>
      </c>
    </row>
    <row r="73" spans="32:34">
      <c r="AF73" s="8">
        <v>61</v>
      </c>
      <c r="AG73" s="8">
        <v>62</v>
      </c>
      <c r="AH73" s="8">
        <v>11</v>
      </c>
    </row>
    <row r="74" spans="32:34">
      <c r="AF74" s="8">
        <v>63</v>
      </c>
      <c r="AG74" s="8">
        <v>61</v>
      </c>
      <c r="AH74" s="8">
        <v>11</v>
      </c>
    </row>
    <row r="75" spans="32:34">
      <c r="AF75" s="8">
        <v>74.5</v>
      </c>
      <c r="AG75" s="8">
        <v>68.5</v>
      </c>
      <c r="AH75" s="8">
        <v>11</v>
      </c>
    </row>
    <row r="76" spans="32:34">
      <c r="AF76" s="8">
        <v>67.5</v>
      </c>
      <c r="AG76" s="8">
        <v>66.5</v>
      </c>
      <c r="AH76" s="8">
        <v>11</v>
      </c>
    </row>
    <row r="77" spans="32:34">
      <c r="AF77" s="8">
        <v>68.5</v>
      </c>
      <c r="AG77" s="8">
        <v>68</v>
      </c>
      <c r="AH77" s="8">
        <v>11</v>
      </c>
    </row>
    <row r="78" spans="32:34">
      <c r="AF78" s="8">
        <v>66.5</v>
      </c>
      <c r="AG78" s="8">
        <v>67.5</v>
      </c>
      <c r="AH78" s="8">
        <v>11</v>
      </c>
    </row>
    <row r="79" spans="32:34">
      <c r="AF79" s="8" t="s">
        <v>35</v>
      </c>
      <c r="AG79" s="8"/>
      <c r="AH79" s="8"/>
    </row>
    <row r="80" spans="32:34">
      <c r="AF80" s="8">
        <v>67.5</v>
      </c>
      <c r="AG80" s="8">
        <v>63</v>
      </c>
      <c r="AH80" s="8">
        <v>11</v>
      </c>
    </row>
    <row r="81" spans="32:34">
      <c r="AF81" s="8">
        <v>68.5</v>
      </c>
      <c r="AG81" s="8">
        <v>65.5</v>
      </c>
      <c r="AH81" s="8">
        <v>11</v>
      </c>
    </row>
    <row r="82" spans="32:34">
      <c r="AF82" s="8">
        <v>73</v>
      </c>
      <c r="AG82" s="8">
        <v>77.5</v>
      </c>
      <c r="AH82" s="8">
        <v>11</v>
      </c>
    </row>
    <row r="83" spans="32:34">
      <c r="AF83" s="8">
        <v>66</v>
      </c>
      <c r="AG83" s="8">
        <v>64</v>
      </c>
      <c r="AH83" s="8">
        <v>11</v>
      </c>
    </row>
    <row r="84" spans="32:34">
      <c r="AF84" s="8">
        <v>61</v>
      </c>
      <c r="AG84" s="8">
        <v>58.5</v>
      </c>
      <c r="AH84" s="8">
        <v>11</v>
      </c>
    </row>
    <row r="85" spans="32:34">
      <c r="AF85" s="8">
        <v>64</v>
      </c>
      <c r="AG85" s="8">
        <v>65.5</v>
      </c>
      <c r="AH85" s="8">
        <v>11</v>
      </c>
    </row>
    <row r="86" spans="32:34">
      <c r="AF86" s="8">
        <v>71.5</v>
      </c>
      <c r="AG86" s="8">
        <v>72</v>
      </c>
      <c r="AH86" s="8">
        <v>11</v>
      </c>
    </row>
    <row r="87" spans="32:34">
      <c r="AF87" s="8">
        <v>68</v>
      </c>
      <c r="AG87" s="8">
        <v>66</v>
      </c>
      <c r="AH87" s="8">
        <v>11</v>
      </c>
    </row>
    <row r="88" spans="32:34">
      <c r="AF88" s="8">
        <v>66</v>
      </c>
      <c r="AG88" s="8">
        <v>66</v>
      </c>
      <c r="AH88" s="8">
        <v>11</v>
      </c>
    </row>
    <row r="89" spans="32:34">
      <c r="AF89" s="8">
        <v>89.5</v>
      </c>
      <c r="AG89" s="8">
        <v>79</v>
      </c>
      <c r="AH89" s="8">
        <v>11</v>
      </c>
    </row>
    <row r="90" spans="32:34">
      <c r="AF90" s="8" t="s">
        <v>36</v>
      </c>
      <c r="AG90" s="8"/>
      <c r="AH90" s="8"/>
    </row>
    <row r="91" spans="32:34">
      <c r="AF91" s="8">
        <v>69</v>
      </c>
      <c r="AG91" s="8">
        <v>67</v>
      </c>
      <c r="AH91" s="8">
        <v>11</v>
      </c>
    </row>
    <row r="92" spans="32:34">
      <c r="AF92" s="8">
        <v>68.5</v>
      </c>
      <c r="AG92" s="8">
        <v>70</v>
      </c>
      <c r="AH92" s="8">
        <v>11</v>
      </c>
    </row>
    <row r="93" spans="32:34">
      <c r="AF93" s="8">
        <v>68</v>
      </c>
      <c r="AG93" s="8">
        <v>72</v>
      </c>
      <c r="AH93" s="8">
        <v>11</v>
      </c>
    </row>
    <row r="94" spans="32:34">
      <c r="AF94" s="8">
        <v>62.5</v>
      </c>
      <c r="AG94" s="8">
        <v>70</v>
      </c>
      <c r="AH94" s="8">
        <v>11</v>
      </c>
    </row>
    <row r="95" spans="32:34">
      <c r="AF95" s="8">
        <v>62</v>
      </c>
      <c r="AG95" s="8">
        <v>68</v>
      </c>
      <c r="AH95" s="8">
        <v>10</v>
      </c>
    </row>
    <row r="96" spans="32:34">
      <c r="AF96" s="8">
        <v>66</v>
      </c>
      <c r="AG96" s="8">
        <v>66</v>
      </c>
      <c r="AH96" s="8">
        <v>11</v>
      </c>
    </row>
    <row r="97" spans="32:34">
      <c r="AF97" s="8">
        <v>70.5</v>
      </c>
      <c r="AG97" s="8">
        <v>69.5</v>
      </c>
      <c r="AH97" s="8">
        <v>11</v>
      </c>
    </row>
    <row r="98" spans="32:34">
      <c r="AF98" s="8">
        <v>65</v>
      </c>
      <c r="AG98" s="8">
        <v>65</v>
      </c>
      <c r="AH98" s="8">
        <v>11</v>
      </c>
    </row>
    <row r="99" spans="32:34">
      <c r="AF99" s="8">
        <v>76</v>
      </c>
      <c r="AG99" s="8">
        <v>78</v>
      </c>
      <c r="AH99" s="8">
        <v>11</v>
      </c>
    </row>
    <row r="100" spans="32:34">
      <c r="AF100" s="8">
        <v>82.5</v>
      </c>
      <c r="AG100" s="8">
        <v>85.5</v>
      </c>
      <c r="AH100" s="8">
        <v>11</v>
      </c>
    </row>
    <row r="101" spans="32:34">
      <c r="AF101" s="8" t="s">
        <v>37</v>
      </c>
      <c r="AG101" s="8"/>
      <c r="AH101" s="8"/>
    </row>
    <row r="102" spans="32:34">
      <c r="AF102" s="8">
        <v>60.5</v>
      </c>
      <c r="AG102" s="8">
        <v>66.5</v>
      </c>
      <c r="AH102" s="8">
        <v>11</v>
      </c>
    </row>
    <row r="103" spans="32:34">
      <c r="AF103" s="8">
        <v>76.5</v>
      </c>
      <c r="AG103" s="8">
        <v>77.5</v>
      </c>
      <c r="AH103" s="8">
        <v>11</v>
      </c>
    </row>
    <row r="104" spans="32:34">
      <c r="AF104" s="8">
        <v>75</v>
      </c>
      <c r="AG104" s="8">
        <v>78</v>
      </c>
      <c r="AH104" s="8">
        <v>11</v>
      </c>
    </row>
    <row r="105" spans="32:34">
      <c r="AF105" s="8">
        <v>62</v>
      </c>
      <c r="AG105" s="8">
        <v>63.5</v>
      </c>
      <c r="AH105" s="8">
        <v>11</v>
      </c>
    </row>
    <row r="106" spans="32:34">
      <c r="AF106" s="8">
        <v>61.5</v>
      </c>
      <c r="AG106" s="8">
        <v>60.5</v>
      </c>
      <c r="AH106" s="8">
        <v>11</v>
      </c>
    </row>
    <row r="107" spans="32:34">
      <c r="AF107" s="8">
        <v>75</v>
      </c>
      <c r="AG107" s="8">
        <v>66</v>
      </c>
      <c r="AH107" s="8">
        <v>11</v>
      </c>
    </row>
    <row r="108" spans="32:34">
      <c r="AF108" s="8">
        <v>70.5</v>
      </c>
      <c r="AG108" s="8">
        <v>71</v>
      </c>
      <c r="AH108" s="8">
        <v>11</v>
      </c>
    </row>
    <row r="109" spans="32:34">
      <c r="AF109" s="8">
        <v>69.5</v>
      </c>
      <c r="AG109" s="8">
        <v>68</v>
      </c>
      <c r="AH109" s="8">
        <v>11</v>
      </c>
    </row>
    <row r="110" spans="32:34">
      <c r="AF110" s="8">
        <v>60.5</v>
      </c>
      <c r="AG110" s="8">
        <v>60</v>
      </c>
      <c r="AH110" s="8">
        <v>11</v>
      </c>
    </row>
    <row r="111" spans="32:34">
      <c r="AF111" s="8">
        <v>64</v>
      </c>
      <c r="AG111" s="8">
        <v>57.5</v>
      </c>
      <c r="AH111" s="8">
        <v>11</v>
      </c>
    </row>
    <row r="112" spans="32:34">
      <c r="AF112" s="8" t="s">
        <v>38</v>
      </c>
      <c r="AG112" s="8"/>
      <c r="AH112" s="8"/>
    </row>
    <row r="113" spans="32:34">
      <c r="AF113" s="8">
        <v>66.5</v>
      </c>
      <c r="AG113" s="8">
        <v>59</v>
      </c>
      <c r="AH113" s="8">
        <v>11</v>
      </c>
    </row>
    <row r="114" spans="32:34">
      <c r="AF114" s="8">
        <v>61.5</v>
      </c>
      <c r="AG114" s="8">
        <v>61</v>
      </c>
      <c r="AH114" s="8">
        <v>11</v>
      </c>
    </row>
    <row r="115" spans="32:34">
      <c r="AF115" s="8">
        <v>68</v>
      </c>
      <c r="AG115" s="8">
        <v>67</v>
      </c>
      <c r="AH115" s="8">
        <v>11</v>
      </c>
    </row>
    <row r="116" spans="32:34">
      <c r="AF116" s="8">
        <v>69.5</v>
      </c>
      <c r="AG116" s="8">
        <v>66</v>
      </c>
      <c r="AH116" s="8">
        <v>11</v>
      </c>
    </row>
    <row r="117" spans="32:34">
      <c r="AF117" s="8">
        <v>66</v>
      </c>
      <c r="AG117" s="8">
        <v>63</v>
      </c>
      <c r="AH117" s="8">
        <v>11</v>
      </c>
    </row>
    <row r="118" spans="32:34">
      <c r="AF118" s="8">
        <v>75.5</v>
      </c>
      <c r="AG118" s="8">
        <v>79</v>
      </c>
      <c r="AH118" s="8">
        <v>11</v>
      </c>
    </row>
    <row r="119" spans="32:34">
      <c r="AF119" s="8">
        <v>73.5</v>
      </c>
      <c r="AG119" s="8">
        <v>72</v>
      </c>
      <c r="AH119" s="8">
        <v>11</v>
      </c>
    </row>
    <row r="120" spans="32:34">
      <c r="AF120" s="8">
        <v>70</v>
      </c>
      <c r="AG120" s="8">
        <v>69</v>
      </c>
      <c r="AH120" s="8">
        <v>11</v>
      </c>
    </row>
    <row r="121" spans="32:34">
      <c r="AF121" s="8">
        <v>70.5</v>
      </c>
      <c r="AG121" s="8">
        <v>68.5</v>
      </c>
      <c r="AH121" s="8">
        <v>11</v>
      </c>
    </row>
    <row r="122" spans="32:34">
      <c r="AF122" s="8">
        <v>65.5</v>
      </c>
      <c r="AG122" s="8">
        <v>65.5</v>
      </c>
      <c r="AH122" s="8">
        <v>11</v>
      </c>
    </row>
    <row r="123" spans="32:34">
      <c r="AF123" s="8" t="s">
        <v>39</v>
      </c>
      <c r="AG123" s="8"/>
      <c r="AH123" s="8"/>
    </row>
    <row r="124" spans="32:34">
      <c r="AF124" s="8">
        <v>79</v>
      </c>
      <c r="AG124" s="8">
        <v>87.5</v>
      </c>
      <c r="AH124" s="8">
        <v>11</v>
      </c>
    </row>
    <row r="125" spans="32:34">
      <c r="AF125" s="8">
        <v>72.5</v>
      </c>
      <c r="AG125" s="8">
        <v>70.5</v>
      </c>
      <c r="AH125" s="8">
        <v>11</v>
      </c>
    </row>
    <row r="126" spans="32:34">
      <c r="AF126" s="8">
        <v>78</v>
      </c>
      <c r="AG126" s="8">
        <v>65</v>
      </c>
      <c r="AH126" s="8">
        <v>11</v>
      </c>
    </row>
    <row r="127" spans="32:34">
      <c r="AF127" s="8">
        <v>76.5</v>
      </c>
      <c r="AG127" s="8">
        <v>82</v>
      </c>
      <c r="AH127" s="8">
        <v>11</v>
      </c>
    </row>
    <row r="128" spans="32:34">
      <c r="AF128" s="8">
        <v>65.5</v>
      </c>
      <c r="AG128" s="8">
        <v>66.5</v>
      </c>
      <c r="AH128" s="8">
        <v>11</v>
      </c>
    </row>
    <row r="129" spans="32:34">
      <c r="AF129" s="8">
        <v>71</v>
      </c>
      <c r="AG129" s="8">
        <v>68.5</v>
      </c>
      <c r="AH129" s="8">
        <v>11</v>
      </c>
    </row>
    <row r="130" spans="32:34">
      <c r="AF130" s="8">
        <v>73.5</v>
      </c>
      <c r="AG130" s="8">
        <v>73</v>
      </c>
      <c r="AH130" s="8">
        <v>11</v>
      </c>
    </row>
    <row r="131" spans="32:34">
      <c r="AF131" s="8">
        <v>81.5</v>
      </c>
      <c r="AG131" s="8">
        <v>86</v>
      </c>
      <c r="AH131" s="8">
        <v>11</v>
      </c>
    </row>
    <row r="132" spans="32:34">
      <c r="AF132" s="8">
        <v>68</v>
      </c>
      <c r="AG132" s="8">
        <v>64</v>
      </c>
      <c r="AH132" s="8">
        <v>11</v>
      </c>
    </row>
    <row r="133" spans="32:34">
      <c r="AF133" s="8">
        <v>62.5</v>
      </c>
      <c r="AG133" s="8">
        <v>59.5</v>
      </c>
      <c r="AH133" s="8">
        <v>11</v>
      </c>
    </row>
    <row r="134" spans="32:34">
      <c r="AF134" s="8" t="s">
        <v>40</v>
      </c>
      <c r="AG134" s="8"/>
      <c r="AH134" s="8"/>
    </row>
    <row r="135" spans="32:34">
      <c r="AF135" s="8">
        <v>69</v>
      </c>
      <c r="AG135" s="8">
        <v>66.5</v>
      </c>
      <c r="AH135" s="8">
        <v>11</v>
      </c>
    </row>
    <row r="136" spans="32:34">
      <c r="AF136" s="8">
        <v>71</v>
      </c>
      <c r="AG136" s="8">
        <v>71</v>
      </c>
      <c r="AH136" s="8">
        <v>11</v>
      </c>
    </row>
    <row r="137" spans="32:34">
      <c r="AF137" s="8">
        <v>72.5</v>
      </c>
      <c r="AG137" s="8">
        <v>85.5</v>
      </c>
      <c r="AH137" s="8">
        <v>11</v>
      </c>
    </row>
    <row r="138" spans="32:34">
      <c r="AF138" s="8">
        <v>66</v>
      </c>
      <c r="AG138" s="8">
        <v>68.5</v>
      </c>
      <c r="AH138" s="8">
        <v>11</v>
      </c>
    </row>
    <row r="139" spans="32:34">
      <c r="AF139" s="8">
        <v>74.5</v>
      </c>
      <c r="AG139" s="8">
        <v>75.5</v>
      </c>
      <c r="AH139" s="8">
        <v>11</v>
      </c>
    </row>
    <row r="140" spans="32:34">
      <c r="AF140" s="8">
        <v>63</v>
      </c>
      <c r="AG140" s="8">
        <v>62.5</v>
      </c>
      <c r="AH140" s="8">
        <v>11</v>
      </c>
    </row>
    <row r="141" spans="32:34">
      <c r="AF141" s="8">
        <v>68</v>
      </c>
      <c r="AG141" s="8">
        <v>68</v>
      </c>
      <c r="AH141" s="8">
        <v>11</v>
      </c>
    </row>
    <row r="142" spans="32:34">
      <c r="AF142" s="8">
        <v>75.5</v>
      </c>
      <c r="AG142" s="8">
        <v>73.5</v>
      </c>
      <c r="AH142" s="8">
        <v>11</v>
      </c>
    </row>
    <row r="143" spans="32:34">
      <c r="AF143" s="8">
        <v>69.5</v>
      </c>
      <c r="AG143" s="8">
        <v>69</v>
      </c>
      <c r="AH143" s="8">
        <v>11</v>
      </c>
    </row>
    <row r="144" spans="32:34">
      <c r="AF144" s="8">
        <v>70.5</v>
      </c>
      <c r="AG144" s="8">
        <v>70</v>
      </c>
      <c r="AH144" s="8">
        <v>11</v>
      </c>
    </row>
    <row r="145" spans="32:34">
      <c r="AF145" s="8" t="s">
        <v>41</v>
      </c>
      <c r="AG145" s="8"/>
      <c r="AH145" s="8"/>
    </row>
    <row r="146" spans="32:34">
      <c r="AF146" s="8">
        <v>68.5</v>
      </c>
      <c r="AG146" s="8">
        <v>71.5</v>
      </c>
      <c r="AH146" s="8">
        <v>11</v>
      </c>
    </row>
    <row r="147" spans="32:34">
      <c r="AF147" s="8">
        <v>69</v>
      </c>
      <c r="AG147" s="8">
        <v>67</v>
      </c>
      <c r="AH147" s="8">
        <v>11</v>
      </c>
    </row>
    <row r="148" spans="32:34">
      <c r="AF148" s="8">
        <v>71</v>
      </c>
      <c r="AG148" s="8">
        <v>63.5</v>
      </c>
      <c r="AH148" s="8">
        <v>11</v>
      </c>
    </row>
    <row r="149" spans="32:34">
      <c r="AF149" s="8">
        <v>70.5</v>
      </c>
      <c r="AG149" s="8">
        <v>69.5</v>
      </c>
      <c r="AH149" s="8">
        <v>11</v>
      </c>
    </row>
    <row r="150" spans="32:34">
      <c r="AF150" s="8">
        <v>75.5</v>
      </c>
      <c r="AG150" s="8">
        <v>70</v>
      </c>
      <c r="AH150" s="8">
        <v>11</v>
      </c>
    </row>
    <row r="151" spans="32:34">
      <c r="AF151" s="8">
        <v>72.5</v>
      </c>
      <c r="AG151" s="8">
        <v>70.5</v>
      </c>
      <c r="AH151" s="8">
        <v>11</v>
      </c>
    </row>
    <row r="152" spans="32:34">
      <c r="AF152" s="8">
        <v>72</v>
      </c>
      <c r="AG152" s="8">
        <v>71</v>
      </c>
      <c r="AH152" s="8">
        <v>11</v>
      </c>
    </row>
    <row r="153" spans="32:34">
      <c r="AF153" s="8">
        <v>70</v>
      </c>
      <c r="AG153" s="8">
        <v>68</v>
      </c>
      <c r="AH153" s="8">
        <v>11</v>
      </c>
    </row>
    <row r="154" spans="32:34">
      <c r="AF154" s="8">
        <v>76</v>
      </c>
      <c r="AG154" s="8">
        <v>71</v>
      </c>
      <c r="AH154" s="8">
        <v>11</v>
      </c>
    </row>
    <row r="155" spans="32:34">
      <c r="AF155" s="8">
        <v>65.5</v>
      </c>
      <c r="AG155" s="8">
        <v>68</v>
      </c>
      <c r="AH155" s="8">
        <v>11</v>
      </c>
    </row>
    <row r="156" spans="32:34">
      <c r="AF156" s="8" t="s">
        <v>42</v>
      </c>
      <c r="AG156" s="8"/>
      <c r="AH156" s="8"/>
    </row>
    <row r="157" spans="32:34">
      <c r="AF157" s="8">
        <v>72</v>
      </c>
      <c r="AG157" s="8">
        <v>69</v>
      </c>
      <c r="AH157" s="8">
        <v>11</v>
      </c>
    </row>
    <row r="158" spans="32:34">
      <c r="AF158" s="8">
        <v>67</v>
      </c>
      <c r="AG158" s="8">
        <v>66.5</v>
      </c>
      <c r="AH158" s="8">
        <v>11</v>
      </c>
    </row>
    <row r="159" spans="32:34">
      <c r="AF159" s="8">
        <v>68</v>
      </c>
      <c r="AG159" s="8">
        <v>65</v>
      </c>
      <c r="AH159" s="8">
        <v>11</v>
      </c>
    </row>
    <row r="160" spans="32:34">
      <c r="AF160" s="8">
        <v>75.5</v>
      </c>
      <c r="AG160" s="8">
        <v>75</v>
      </c>
      <c r="AH160" s="8">
        <v>11</v>
      </c>
    </row>
    <row r="161" spans="32:34">
      <c r="AF161" s="8">
        <v>70</v>
      </c>
      <c r="AG161" s="8">
        <v>78</v>
      </c>
      <c r="AH161" s="8">
        <v>11</v>
      </c>
    </row>
    <row r="162" spans="32:34">
      <c r="AF162" s="8">
        <v>65.5</v>
      </c>
      <c r="AG162" s="8">
        <v>65.5</v>
      </c>
      <c r="AH162" s="8">
        <v>11</v>
      </c>
    </row>
    <row r="163" spans="32:34">
      <c r="AF163" s="8">
        <v>62</v>
      </c>
      <c r="AG163" s="8">
        <v>61.5</v>
      </c>
      <c r="AH163" s="8">
        <v>11</v>
      </c>
    </row>
    <row r="164" spans="32:34">
      <c r="AF164" s="8">
        <v>73</v>
      </c>
      <c r="AG164" s="8">
        <v>72</v>
      </c>
      <c r="AH164" s="8">
        <v>11</v>
      </c>
    </row>
    <row r="165" spans="32:34">
      <c r="AF165" s="8">
        <v>64</v>
      </c>
      <c r="AG165" s="8">
        <v>63</v>
      </c>
      <c r="AH165" s="8">
        <v>11</v>
      </c>
    </row>
    <row r="166" spans="32:34">
      <c r="AF166" s="8">
        <v>71</v>
      </c>
      <c r="AG166" s="8">
        <v>65</v>
      </c>
      <c r="AH166" s="8">
        <v>11</v>
      </c>
    </row>
    <row r="167" spans="32:34">
      <c r="AF167" s="8" t="s">
        <v>43</v>
      </c>
      <c r="AG167" s="8"/>
      <c r="AH167" s="8"/>
    </row>
    <row r="168" spans="32:34">
      <c r="AF168" s="8">
        <v>73.5</v>
      </c>
      <c r="AG168" s="8">
        <v>71.5</v>
      </c>
      <c r="AH168" s="8">
        <v>11</v>
      </c>
    </row>
    <row r="169" spans="32:34">
      <c r="AF169" s="8">
        <v>64.5</v>
      </c>
      <c r="AG169" s="8">
        <v>63.5</v>
      </c>
      <c r="AH169" s="8">
        <v>11</v>
      </c>
    </row>
    <row r="170" spans="32:34">
      <c r="AF170" s="8">
        <v>66.5</v>
      </c>
      <c r="AG170" s="8">
        <v>66.5</v>
      </c>
      <c r="AH170" s="8">
        <v>11</v>
      </c>
    </row>
    <row r="171" spans="32:34">
      <c r="AF171" s="8">
        <v>62.5</v>
      </c>
      <c r="AG171" s="8">
        <v>66</v>
      </c>
      <c r="AH171" s="8">
        <v>11</v>
      </c>
    </row>
    <row r="172" spans="32:34">
      <c r="AF172" s="8">
        <v>69.5</v>
      </c>
      <c r="AG172" s="8">
        <v>71</v>
      </c>
      <c r="AH172" s="8">
        <v>11</v>
      </c>
    </row>
    <row r="173" spans="32:34">
      <c r="AF173" s="8">
        <v>65.5</v>
      </c>
      <c r="AG173" s="8">
        <v>76</v>
      </c>
      <c r="AH173" s="8">
        <v>11</v>
      </c>
    </row>
    <row r="174" spans="32:34">
      <c r="AF174" s="8">
        <v>69</v>
      </c>
      <c r="AG174" s="8">
        <v>70.5</v>
      </c>
      <c r="AH174" s="8">
        <v>11</v>
      </c>
    </row>
    <row r="175" spans="32:34">
      <c r="AF175" s="8">
        <v>65.5</v>
      </c>
      <c r="AG175" s="8">
        <v>67</v>
      </c>
      <c r="AH175" s="8">
        <v>11</v>
      </c>
    </row>
    <row r="176" spans="32:34">
      <c r="AF176" s="8">
        <v>64.5</v>
      </c>
      <c r="AG176" s="8">
        <v>68</v>
      </c>
      <c r="AH176" s="8">
        <v>11</v>
      </c>
    </row>
    <row r="177" spans="32:34">
      <c r="AF177" s="8">
        <v>67</v>
      </c>
      <c r="AG177" s="8">
        <v>74.5</v>
      </c>
      <c r="AH177" s="8">
        <v>11</v>
      </c>
    </row>
    <row r="178" spans="32:34">
      <c r="AF178" s="8" t="s">
        <v>44</v>
      </c>
      <c r="AG178" s="8"/>
      <c r="AH178" s="8"/>
    </row>
    <row r="179" spans="32:34">
      <c r="AF179" s="8">
        <v>82.5</v>
      </c>
      <c r="AG179" s="8">
        <v>82.5</v>
      </c>
      <c r="AH179" s="8">
        <v>11</v>
      </c>
    </row>
    <row r="180" spans="32:34">
      <c r="AF180" s="8">
        <v>69.5</v>
      </c>
      <c r="AG180" s="8">
        <v>62.5</v>
      </c>
      <c r="AH180" s="8">
        <v>11</v>
      </c>
    </row>
    <row r="181" spans="32:34">
      <c r="AF181" s="8">
        <v>71.5</v>
      </c>
      <c r="AG181" s="8">
        <v>75</v>
      </c>
      <c r="AH181" s="8">
        <v>11</v>
      </c>
    </row>
    <row r="182" spans="32:34">
      <c r="AF182" s="8">
        <v>84.5</v>
      </c>
      <c r="AG182" s="8">
        <v>85.5</v>
      </c>
      <c r="AH182" s="8">
        <v>11</v>
      </c>
    </row>
    <row r="183" spans="32:34">
      <c r="AF183" s="8">
        <v>69.5</v>
      </c>
      <c r="AG183" s="8">
        <v>70</v>
      </c>
      <c r="AH183" s="8">
        <v>11</v>
      </c>
    </row>
    <row r="184" spans="32:34">
      <c r="AF184" s="8">
        <v>73</v>
      </c>
      <c r="AG184" s="8">
        <v>71</v>
      </c>
      <c r="AH184" s="8">
        <v>11</v>
      </c>
    </row>
    <row r="185" spans="32:34">
      <c r="AF185" s="8">
        <v>67.5</v>
      </c>
      <c r="AG185" s="8">
        <v>69</v>
      </c>
      <c r="AH185" s="8">
        <v>11</v>
      </c>
    </row>
    <row r="186" spans="32:34">
      <c r="AF186" s="8">
        <v>63.5</v>
      </c>
      <c r="AG186" s="8">
        <v>65.5</v>
      </c>
      <c r="AH186" s="8">
        <v>11</v>
      </c>
    </row>
    <row r="187" spans="32:34">
      <c r="AF187" s="8">
        <v>79.5</v>
      </c>
      <c r="AG187" s="8">
        <v>75</v>
      </c>
      <c r="AH187" s="8">
        <v>11</v>
      </c>
    </row>
    <row r="188" spans="32:34">
      <c r="AF188" s="8">
        <v>64.5</v>
      </c>
      <c r="AG188" s="8">
        <v>65.5</v>
      </c>
      <c r="AH188" s="8">
        <v>11</v>
      </c>
    </row>
    <row r="189" spans="32:34">
      <c r="AF189" s="8" t="s">
        <v>45</v>
      </c>
      <c r="AG189" s="8"/>
      <c r="AH189" s="8"/>
    </row>
    <row r="190" spans="32:34">
      <c r="AF190" s="8">
        <v>69.5</v>
      </c>
      <c r="AG190" s="8">
        <v>66</v>
      </c>
      <c r="AH190" s="8">
        <v>11</v>
      </c>
    </row>
    <row r="191" spans="32:34">
      <c r="AF191" s="8">
        <v>64</v>
      </c>
      <c r="AG191" s="8">
        <v>65</v>
      </c>
      <c r="AH191" s="8">
        <v>11</v>
      </c>
    </row>
    <row r="192" spans="32:34">
      <c r="AF192" s="8">
        <v>73</v>
      </c>
      <c r="AG192" s="8">
        <v>70</v>
      </c>
      <c r="AH192" s="8">
        <v>11</v>
      </c>
    </row>
    <row r="193" spans="32:34">
      <c r="AF193" s="8">
        <v>65</v>
      </c>
      <c r="AG193" s="8">
        <v>61.5</v>
      </c>
      <c r="AH193" s="8">
        <v>11</v>
      </c>
    </row>
    <row r="194" spans="32:34">
      <c r="AF194" s="8">
        <v>72.5</v>
      </c>
      <c r="AG194" s="8">
        <v>73</v>
      </c>
      <c r="AH194" s="8">
        <v>11</v>
      </c>
    </row>
    <row r="195" spans="32:34">
      <c r="AF195" s="8">
        <v>70</v>
      </c>
      <c r="AG195" s="8">
        <v>66</v>
      </c>
      <c r="AH195" s="8">
        <v>11</v>
      </c>
    </row>
    <row r="196" spans="32:34">
      <c r="AF196" s="8">
        <v>71.5</v>
      </c>
      <c r="AG196" s="8">
        <v>72.5</v>
      </c>
      <c r="AH196" s="8">
        <v>11</v>
      </c>
    </row>
    <row r="197" spans="32:34">
      <c r="AF197" s="8">
        <v>72</v>
      </c>
      <c r="AG197" s="8">
        <v>69</v>
      </c>
      <c r="AH197" s="8">
        <v>11</v>
      </c>
    </row>
    <row r="198" spans="32:34">
      <c r="AF198" s="8">
        <v>71</v>
      </c>
      <c r="AG198" s="8">
        <v>66.5</v>
      </c>
      <c r="AH198" s="8">
        <v>11</v>
      </c>
    </row>
    <row r="199" spans="32:34">
      <c r="AF199" s="8">
        <v>72.5</v>
      </c>
      <c r="AG199" s="8">
        <v>76</v>
      </c>
      <c r="AH199" s="8">
        <v>11</v>
      </c>
    </row>
    <row r="200" spans="32:34">
      <c r="AF200" s="8" t="s">
        <v>46</v>
      </c>
      <c r="AG200" s="8"/>
      <c r="AH200" s="8"/>
    </row>
    <row r="201" spans="32:34">
      <c r="AF201" s="8">
        <v>77</v>
      </c>
      <c r="AG201" s="8">
        <v>75.5</v>
      </c>
      <c r="AH201" s="8">
        <v>11</v>
      </c>
    </row>
    <row r="202" spans="32:34">
      <c r="AF202" s="8">
        <v>69</v>
      </c>
      <c r="AG202" s="8">
        <v>67</v>
      </c>
      <c r="AH202" s="8">
        <v>11</v>
      </c>
    </row>
    <row r="203" spans="32:34">
      <c r="AF203" s="8">
        <v>79</v>
      </c>
      <c r="AG203" s="8">
        <v>78.5</v>
      </c>
      <c r="AH203" s="8">
        <v>11</v>
      </c>
    </row>
    <row r="204" spans="32:34">
      <c r="AF204" s="8">
        <v>68.5</v>
      </c>
      <c r="AG204" s="8">
        <v>71</v>
      </c>
      <c r="AH204" s="8">
        <v>11</v>
      </c>
    </row>
    <row r="205" spans="32:34">
      <c r="AF205" s="8">
        <v>59</v>
      </c>
      <c r="AG205" s="8">
        <v>66.5</v>
      </c>
      <c r="AH205" s="8">
        <v>10</v>
      </c>
    </row>
    <row r="206" spans="32:34">
      <c r="AF206" s="8">
        <v>72.5</v>
      </c>
      <c r="AG206" s="8">
        <v>70</v>
      </c>
      <c r="AH206" s="8">
        <v>11</v>
      </c>
    </row>
    <row r="207" spans="32:34">
      <c r="AF207" s="8">
        <v>70</v>
      </c>
      <c r="AG207" s="8">
        <v>67.5</v>
      </c>
      <c r="AH207" s="8">
        <v>11</v>
      </c>
    </row>
    <row r="208" spans="32:34">
      <c r="AF208" s="8">
        <v>67</v>
      </c>
      <c r="AG208" s="8">
        <v>67</v>
      </c>
      <c r="AH208" s="8">
        <v>11</v>
      </c>
    </row>
    <row r="209" spans="32:34">
      <c r="AF209" s="8">
        <v>65.5</v>
      </c>
      <c r="AG209" s="8">
        <v>65</v>
      </c>
      <c r="AH209" s="8">
        <v>11</v>
      </c>
    </row>
    <row r="210" spans="32:34">
      <c r="AF210" s="8">
        <v>71.5</v>
      </c>
      <c r="AG210" s="8">
        <v>74.5</v>
      </c>
      <c r="AH210" s="8">
        <v>11</v>
      </c>
    </row>
    <row r="211" spans="32:34">
      <c r="AF211" t="s">
        <v>90</v>
      </c>
    </row>
    <row r="212" spans="32:34">
      <c r="AF212">
        <v>70.5</v>
      </c>
      <c r="AG212">
        <v>73</v>
      </c>
      <c r="AH212">
        <v>11</v>
      </c>
    </row>
    <row r="213" spans="32:34">
      <c r="AF213">
        <v>69.5</v>
      </c>
      <c r="AG213">
        <v>69.5</v>
      </c>
      <c r="AH213">
        <v>11</v>
      </c>
    </row>
    <row r="214" spans="32:34">
      <c r="AF214">
        <v>79</v>
      </c>
      <c r="AG214">
        <v>79.5</v>
      </c>
      <c r="AH214">
        <v>11</v>
      </c>
    </row>
    <row r="215" spans="32:34">
      <c r="AF215">
        <v>74</v>
      </c>
      <c r="AG215">
        <v>75.5</v>
      </c>
      <c r="AH215">
        <v>11</v>
      </c>
    </row>
    <row r="216" spans="32:34">
      <c r="AF216">
        <v>72.5</v>
      </c>
      <c r="AG216">
        <v>73</v>
      </c>
      <c r="AH216">
        <v>11</v>
      </c>
    </row>
    <row r="217" spans="32:34">
      <c r="AF217">
        <v>74.5</v>
      </c>
      <c r="AG217">
        <v>75</v>
      </c>
      <c r="AH217">
        <v>11</v>
      </c>
    </row>
    <row r="218" spans="32:34">
      <c r="AF218">
        <v>71</v>
      </c>
      <c r="AG218">
        <v>66.5</v>
      </c>
      <c r="AH218">
        <v>11</v>
      </c>
    </row>
    <row r="219" spans="32:34">
      <c r="AF219">
        <v>68</v>
      </c>
      <c r="AG219">
        <v>67.5</v>
      </c>
      <c r="AH219">
        <v>11</v>
      </c>
    </row>
    <row r="220" spans="32:34">
      <c r="AF220">
        <v>70</v>
      </c>
      <c r="AG220">
        <v>69</v>
      </c>
      <c r="AH220">
        <v>11</v>
      </c>
    </row>
    <row r="221" spans="32:34">
      <c r="AF221">
        <v>76.5</v>
      </c>
      <c r="AG221">
        <v>76</v>
      </c>
      <c r="AH221">
        <v>11</v>
      </c>
    </row>
    <row r="222" spans="32:34">
      <c r="AF222" t="s">
        <v>95</v>
      </c>
    </row>
    <row r="223" spans="32:34">
      <c r="AF223">
        <v>68.5</v>
      </c>
      <c r="AG223">
        <v>66.5</v>
      </c>
      <c r="AH223">
        <v>11</v>
      </c>
    </row>
    <row r="224" spans="32:34">
      <c r="AF224">
        <v>69.5</v>
      </c>
      <c r="AG224">
        <v>67</v>
      </c>
      <c r="AH224">
        <v>11</v>
      </c>
    </row>
    <row r="225" spans="32:34">
      <c r="AF225">
        <v>66.5</v>
      </c>
      <c r="AG225">
        <v>69</v>
      </c>
      <c r="AH225">
        <v>11</v>
      </c>
    </row>
    <row r="226" spans="32:34">
      <c r="AF226">
        <v>64.5</v>
      </c>
      <c r="AG226">
        <v>61.5</v>
      </c>
      <c r="AH226">
        <v>11</v>
      </c>
    </row>
    <row r="227" spans="32:34">
      <c r="AF227">
        <v>65.5</v>
      </c>
      <c r="AG227">
        <v>67.5</v>
      </c>
      <c r="AH227">
        <v>11</v>
      </c>
    </row>
    <row r="228" spans="32:34">
      <c r="AF228">
        <v>66.5</v>
      </c>
      <c r="AG228">
        <v>68</v>
      </c>
      <c r="AH228">
        <v>11</v>
      </c>
    </row>
    <row r="229" spans="32:34">
      <c r="AF229">
        <v>74.5</v>
      </c>
      <c r="AG229">
        <v>80</v>
      </c>
      <c r="AH229">
        <v>11</v>
      </c>
    </row>
    <row r="230" spans="32:34">
      <c r="AF230">
        <v>72.5</v>
      </c>
      <c r="AG230">
        <v>64</v>
      </c>
      <c r="AH230">
        <v>11</v>
      </c>
    </row>
    <row r="231" spans="32:34">
      <c r="AF231">
        <v>69</v>
      </c>
      <c r="AG231">
        <v>63.5</v>
      </c>
      <c r="AH231">
        <v>11</v>
      </c>
    </row>
    <row r="232" spans="32:34">
      <c r="AF232">
        <v>68.5</v>
      </c>
      <c r="AG232">
        <v>68.5</v>
      </c>
      <c r="AH232">
        <v>11</v>
      </c>
    </row>
    <row r="233" spans="32:34">
      <c r="AF233" t="s">
        <v>124</v>
      </c>
    </row>
    <row r="234" spans="32:34">
      <c r="AF234">
        <v>79.5</v>
      </c>
      <c r="AG234">
        <v>75.5</v>
      </c>
      <c r="AH234">
        <v>11</v>
      </c>
    </row>
    <row r="235" spans="32:34">
      <c r="AF235">
        <v>72.5</v>
      </c>
      <c r="AG235">
        <v>73</v>
      </c>
      <c r="AH235">
        <v>11</v>
      </c>
    </row>
    <row r="236" spans="32:34">
      <c r="AF236">
        <v>86</v>
      </c>
      <c r="AG236">
        <v>87</v>
      </c>
      <c r="AH236">
        <v>11</v>
      </c>
    </row>
    <row r="237" spans="32:34">
      <c r="AF237">
        <v>86</v>
      </c>
      <c r="AG237">
        <v>82</v>
      </c>
      <c r="AH237">
        <v>11</v>
      </c>
    </row>
    <row r="238" spans="32:34">
      <c r="AF238">
        <v>75.5</v>
      </c>
      <c r="AG238">
        <v>73.5</v>
      </c>
      <c r="AH238">
        <v>11</v>
      </c>
    </row>
    <row r="239" spans="32:34">
      <c r="AF239">
        <v>64.5</v>
      </c>
      <c r="AG239">
        <v>69.5</v>
      </c>
      <c r="AH239">
        <v>11</v>
      </c>
    </row>
    <row r="240" spans="32:34">
      <c r="AF240">
        <v>64</v>
      </c>
      <c r="AG240">
        <v>61.5</v>
      </c>
      <c r="AH240">
        <v>11</v>
      </c>
    </row>
    <row r="241" spans="32:34">
      <c r="AF241">
        <v>76.5</v>
      </c>
      <c r="AG241">
        <v>75</v>
      </c>
      <c r="AH241">
        <v>11</v>
      </c>
    </row>
    <row r="242" spans="32:34">
      <c r="AF242">
        <v>70.5</v>
      </c>
      <c r="AG242">
        <v>68</v>
      </c>
      <c r="AH242">
        <v>11</v>
      </c>
    </row>
    <row r="243" spans="32:34">
      <c r="AF243">
        <v>78.5</v>
      </c>
      <c r="AG243">
        <v>81</v>
      </c>
      <c r="AH243">
        <v>11</v>
      </c>
    </row>
    <row r="244" spans="32:34">
      <c r="AF244" t="s">
        <v>186</v>
      </c>
    </row>
    <row r="245" spans="32:34">
      <c r="AF245">
        <v>61</v>
      </c>
      <c r="AG245">
        <v>60</v>
      </c>
      <c r="AH245">
        <v>11</v>
      </c>
    </row>
    <row r="246" spans="32:34">
      <c r="AF246">
        <v>71</v>
      </c>
      <c r="AG246">
        <v>71</v>
      </c>
      <c r="AH246">
        <v>11</v>
      </c>
    </row>
    <row r="247" spans="32:34">
      <c r="AF247">
        <v>78</v>
      </c>
      <c r="AG247">
        <v>81.5</v>
      </c>
      <c r="AH247">
        <v>11</v>
      </c>
    </row>
    <row r="248" spans="32:34">
      <c r="AF248">
        <v>72.5</v>
      </c>
      <c r="AG248">
        <v>72</v>
      </c>
      <c r="AH248">
        <v>11</v>
      </c>
    </row>
    <row r="249" spans="32:34">
      <c r="AF249">
        <v>73</v>
      </c>
      <c r="AG249">
        <v>74.5</v>
      </c>
      <c r="AH249">
        <v>11</v>
      </c>
    </row>
    <row r="250" spans="32:34">
      <c r="AF250">
        <v>69.5</v>
      </c>
      <c r="AG250">
        <v>70.5</v>
      </c>
      <c r="AH250">
        <v>11</v>
      </c>
    </row>
    <row r="251" spans="32:34">
      <c r="AF251">
        <v>58.5</v>
      </c>
      <c r="AG251">
        <v>68.5</v>
      </c>
      <c r="AH251">
        <v>11</v>
      </c>
    </row>
    <row r="252" spans="32:34">
      <c r="AF252">
        <v>62</v>
      </c>
      <c r="AG252">
        <v>61</v>
      </c>
      <c r="AH252">
        <v>11</v>
      </c>
    </row>
    <row r="253" spans="32:34">
      <c r="AF253">
        <v>79.5</v>
      </c>
      <c r="AG253">
        <v>79</v>
      </c>
      <c r="AH253">
        <v>11</v>
      </c>
    </row>
    <row r="254" spans="32:34">
      <c r="AF254">
        <v>77</v>
      </c>
      <c r="AG254">
        <v>74</v>
      </c>
      <c r="AH254">
        <v>11</v>
      </c>
    </row>
  </sheetData>
  <conditionalFormatting sqref="D26:AA35">
    <cfRule type="cellIs" dxfId="5" priority="5" operator="lessThan">
      <formula>11</formula>
    </cfRule>
  </conditionalFormatting>
  <conditionalFormatting sqref="D14:AA23">
    <cfRule type="cellIs" dxfId="4" priority="4" operator="greaterThan">
      <formula>70</formula>
    </cfRule>
  </conditionalFormatting>
  <conditionalFormatting sqref="C39:AA49">
    <cfRule type="cellIs" dxfId="3" priority="3" operator="lessThan">
      <formula>0</formula>
    </cfRule>
  </conditionalFormatting>
  <conditionalFormatting sqref="D36:AA36">
    <cfRule type="cellIs" dxfId="2" priority="2" operator="greaterThan">
      <formula>0</formula>
    </cfRule>
  </conditionalFormatting>
  <conditionalFormatting sqref="C26:C35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6:J3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29</xdr:col>
                    <xdr:colOff>190500</xdr:colOff>
                    <xdr:row>3</xdr:row>
                    <xdr:rowOff>123825</xdr:rowOff>
                  </from>
                  <to>
                    <xdr:col>30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 filterMode="1"/>
  <dimension ref="D2:BA222"/>
  <sheetViews>
    <sheetView workbookViewId="0">
      <selection activeCell="F3" sqref="F3:F203"/>
    </sheetView>
  </sheetViews>
  <sheetFormatPr defaultRowHeight="14.25"/>
  <cols>
    <col min="1" max="21" width="6.5" style="9" customWidth="1"/>
    <col min="22" max="22" width="6.875" style="9" bestFit="1" customWidth="1"/>
    <col min="23" max="23" width="9" style="9"/>
    <col min="24" max="24" width="13.125" style="9" bestFit="1" customWidth="1"/>
    <col min="25" max="25" width="10.875" style="9" bestFit="1" customWidth="1"/>
    <col min="26" max="26" width="10.875" style="9" customWidth="1"/>
    <col min="27" max="29" width="9" style="9"/>
    <col min="30" max="30" width="18.375" style="9" bestFit="1" customWidth="1"/>
    <col min="31" max="31" width="20.75" style="9" bestFit="1" customWidth="1"/>
    <col min="32" max="32" width="2.875" style="9" bestFit="1" customWidth="1"/>
    <col min="33" max="35" width="3.875" style="9" bestFit="1" customWidth="1"/>
    <col min="36" max="36" width="18.375" style="9" bestFit="1" customWidth="1"/>
    <col min="37" max="39" width="3.875" style="9" bestFit="1" customWidth="1"/>
    <col min="40" max="40" width="9" style="9" bestFit="1" customWidth="1"/>
    <col min="41" max="41" width="4.625" style="9" bestFit="1" customWidth="1"/>
    <col min="42" max="42" width="2.875" style="9" bestFit="1" customWidth="1"/>
    <col min="43" max="45" width="3.875" style="9" bestFit="1" customWidth="1"/>
    <col min="46" max="46" width="9" style="9"/>
    <col min="47" max="47" width="4.625" style="9" bestFit="1" customWidth="1"/>
    <col min="48" max="48" width="2.875" style="9" bestFit="1" customWidth="1"/>
    <col min="49" max="51" width="3.875" style="9" bestFit="1" customWidth="1"/>
    <col min="52" max="52" width="9" style="9"/>
    <col min="53" max="53" width="18.375" style="9" bestFit="1" customWidth="1"/>
    <col min="54" max="16384" width="9" style="9"/>
  </cols>
  <sheetData>
    <row r="2" spans="4:53">
      <c r="D2" s="10" t="s">
        <v>96</v>
      </c>
      <c r="E2" s="10" t="s">
        <v>97</v>
      </c>
      <c r="F2" s="10" t="s">
        <v>98</v>
      </c>
      <c r="G2" s="10" t="s">
        <v>99</v>
      </c>
      <c r="H2" s="10" t="s">
        <v>100</v>
      </c>
      <c r="I2" s="10" t="s">
        <v>101</v>
      </c>
      <c r="J2" s="10" t="s">
        <v>102</v>
      </c>
      <c r="K2" s="10" t="s">
        <v>103</v>
      </c>
      <c r="L2" s="10" t="s">
        <v>104</v>
      </c>
      <c r="M2" s="10" t="s">
        <v>105</v>
      </c>
      <c r="N2" s="10" t="s">
        <v>106</v>
      </c>
      <c r="O2" s="10" t="s">
        <v>107</v>
      </c>
      <c r="P2" s="10" t="s">
        <v>108</v>
      </c>
      <c r="Q2" s="10" t="s">
        <v>109</v>
      </c>
      <c r="R2" s="10" t="s">
        <v>110</v>
      </c>
      <c r="S2" s="10" t="s">
        <v>111</v>
      </c>
      <c r="T2" s="10" t="s">
        <v>112</v>
      </c>
      <c r="U2" s="10" t="s">
        <v>113</v>
      </c>
      <c r="V2" s="10" t="s">
        <v>114</v>
      </c>
      <c r="W2" s="10" t="s">
        <v>115</v>
      </c>
      <c r="X2" s="10" t="s">
        <v>120</v>
      </c>
      <c r="Y2" s="10" t="s">
        <v>121</v>
      </c>
      <c r="Z2" s="10" t="s">
        <v>122</v>
      </c>
      <c r="AA2" s="10" t="s">
        <v>123</v>
      </c>
      <c r="AD2" s="15" t="s">
        <v>118</v>
      </c>
      <c r="AE2" s="15" t="s">
        <v>119</v>
      </c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4:53" ht="15">
      <c r="D3" s="9">
        <v>1</v>
      </c>
      <c r="E3" s="9">
        <v>0</v>
      </c>
      <c r="F3" s="9">
        <v>0</v>
      </c>
      <c r="G3">
        <v>1</v>
      </c>
      <c r="H3">
        <v>0</v>
      </c>
      <c r="I3">
        <v>69.5</v>
      </c>
      <c r="J3">
        <v>11</v>
      </c>
      <c r="K3">
        <v>6</v>
      </c>
      <c r="L3">
        <v>80</v>
      </c>
      <c r="M3">
        <v>70</v>
      </c>
      <c r="N3">
        <v>30</v>
      </c>
      <c r="O3" s="11"/>
      <c r="P3" s="12">
        <v>2</v>
      </c>
      <c r="Q3" s="12">
        <v>68.5</v>
      </c>
      <c r="R3" s="12">
        <v>6</v>
      </c>
      <c r="S3" s="12">
        <v>80</v>
      </c>
      <c r="T3" s="9">
        <v>95</v>
      </c>
      <c r="U3" s="9">
        <v>10</v>
      </c>
      <c r="V3" s="9">
        <f>I3-Q3</f>
        <v>1</v>
      </c>
      <c r="W3" s="14">
        <v>1</v>
      </c>
      <c r="X3" s="14">
        <v>0</v>
      </c>
      <c r="Y3" s="14">
        <v>0</v>
      </c>
      <c r="Z3" s="18">
        <f>INT(Q3/10)*10</f>
        <v>60</v>
      </c>
      <c r="AA3" s="9">
        <f>S3-L3</f>
        <v>0</v>
      </c>
      <c r="AD3" s="15" t="s">
        <v>116</v>
      </c>
      <c r="AE3">
        <v>80</v>
      </c>
      <c r="AF3">
        <v>90</v>
      </c>
      <c r="AG3">
        <v>100</v>
      </c>
      <c r="AH3">
        <v>110</v>
      </c>
      <c r="AI3">
        <v>120</v>
      </c>
      <c r="AJ3" t="s">
        <v>117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4:53" ht="15" hidden="1">
      <c r="D4" s="9">
        <v>1</v>
      </c>
      <c r="E4" s="9">
        <v>1</v>
      </c>
      <c r="F4" s="9">
        <v>0</v>
      </c>
      <c r="G4">
        <v>1</v>
      </c>
      <c r="H4">
        <v>1</v>
      </c>
      <c r="I4">
        <v>67</v>
      </c>
      <c r="J4">
        <v>11</v>
      </c>
      <c r="K4">
        <v>6</v>
      </c>
      <c r="L4">
        <v>80</v>
      </c>
      <c r="M4">
        <v>70</v>
      </c>
      <c r="N4">
        <v>30</v>
      </c>
      <c r="O4" s="11"/>
      <c r="P4" s="12">
        <v>2</v>
      </c>
      <c r="Q4" s="12">
        <v>70.5</v>
      </c>
      <c r="R4" s="12">
        <v>6</v>
      </c>
      <c r="S4" s="12">
        <v>100</v>
      </c>
      <c r="T4" s="9">
        <v>65</v>
      </c>
      <c r="U4" s="9">
        <v>20</v>
      </c>
      <c r="V4" s="9">
        <f t="shared" ref="V4:V67" si="0">I4-Q4</f>
        <v>-3.5</v>
      </c>
      <c r="W4" s="14">
        <v>1</v>
      </c>
      <c r="X4" s="14">
        <v>1</v>
      </c>
      <c r="Y4" s="14">
        <v>0</v>
      </c>
      <c r="Z4" s="18">
        <f t="shared" ref="Z4:Z67" si="1">INT(Q4/10)*10</f>
        <v>70</v>
      </c>
      <c r="AA4" s="9">
        <f>S4-L4</f>
        <v>20</v>
      </c>
      <c r="AD4" s="16">
        <v>0</v>
      </c>
      <c r="AE4" s="17">
        <v>8</v>
      </c>
      <c r="AF4" s="17">
        <v>5</v>
      </c>
      <c r="AG4" s="17">
        <v>4</v>
      </c>
      <c r="AH4" s="17">
        <v>3</v>
      </c>
      <c r="AI4" s="17">
        <v>1</v>
      </c>
      <c r="AJ4" s="17">
        <v>21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4:53" ht="15" hidden="1">
      <c r="D5" s="9">
        <v>1</v>
      </c>
      <c r="E5" s="9">
        <v>2</v>
      </c>
      <c r="F5" s="9">
        <v>0</v>
      </c>
      <c r="G5">
        <v>1</v>
      </c>
      <c r="H5">
        <v>2</v>
      </c>
      <c r="I5">
        <v>71</v>
      </c>
      <c r="J5">
        <v>11</v>
      </c>
      <c r="K5">
        <v>6</v>
      </c>
      <c r="L5">
        <v>80</v>
      </c>
      <c r="M5">
        <v>70</v>
      </c>
      <c r="N5">
        <v>30</v>
      </c>
      <c r="O5" s="11"/>
      <c r="P5" s="12">
        <v>2</v>
      </c>
      <c r="Q5" s="12">
        <v>63.5</v>
      </c>
      <c r="R5" s="12">
        <v>6</v>
      </c>
      <c r="S5" s="12">
        <v>90</v>
      </c>
      <c r="T5" s="9">
        <v>80</v>
      </c>
      <c r="U5" s="9">
        <v>15</v>
      </c>
      <c r="V5" s="9">
        <f t="shared" si="0"/>
        <v>7.5</v>
      </c>
      <c r="W5" s="14">
        <v>1</v>
      </c>
      <c r="X5" s="14">
        <v>2</v>
      </c>
      <c r="Y5" s="14">
        <v>0</v>
      </c>
      <c r="Z5" s="18">
        <f t="shared" si="1"/>
        <v>60</v>
      </c>
      <c r="AA5" s="9">
        <f t="shared" ref="AA5:AA13" si="2">S5-L5</f>
        <v>10</v>
      </c>
      <c r="AD5" s="16">
        <v>1</v>
      </c>
      <c r="AE5" s="17">
        <v>1</v>
      </c>
      <c r="AF5" s="17">
        <v>1</v>
      </c>
      <c r="AG5" s="17">
        <v>15</v>
      </c>
      <c r="AH5" s="17">
        <v>3</v>
      </c>
      <c r="AI5" s="17">
        <v>1</v>
      </c>
      <c r="AJ5" s="17">
        <v>21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4:53" ht="15" hidden="1">
      <c r="D6" s="9">
        <v>1</v>
      </c>
      <c r="E6" s="9">
        <v>3</v>
      </c>
      <c r="F6" s="9">
        <v>0</v>
      </c>
      <c r="G6">
        <v>1</v>
      </c>
      <c r="H6">
        <v>3</v>
      </c>
      <c r="I6">
        <v>70</v>
      </c>
      <c r="J6">
        <v>11</v>
      </c>
      <c r="K6">
        <v>6</v>
      </c>
      <c r="L6">
        <v>80</v>
      </c>
      <c r="M6">
        <v>70</v>
      </c>
      <c r="N6">
        <v>30</v>
      </c>
      <c r="O6" s="11"/>
      <c r="P6" s="12">
        <v>2</v>
      </c>
      <c r="Q6" s="12">
        <v>63.5</v>
      </c>
      <c r="R6" s="12">
        <v>6</v>
      </c>
      <c r="S6" s="12">
        <v>100</v>
      </c>
      <c r="T6" s="9">
        <v>65</v>
      </c>
      <c r="U6" s="9">
        <v>20</v>
      </c>
      <c r="V6" s="9">
        <f t="shared" si="0"/>
        <v>6.5</v>
      </c>
      <c r="W6" s="14">
        <v>1</v>
      </c>
      <c r="X6" s="14">
        <v>3</v>
      </c>
      <c r="Y6" s="14">
        <v>0</v>
      </c>
      <c r="Z6" s="18">
        <f t="shared" si="1"/>
        <v>60</v>
      </c>
      <c r="AA6" s="9">
        <f t="shared" si="2"/>
        <v>20</v>
      </c>
      <c r="AD6" s="16">
        <v>2</v>
      </c>
      <c r="AE6" s="17">
        <v>5</v>
      </c>
      <c r="AF6" s="17">
        <v>6</v>
      </c>
      <c r="AG6" s="17">
        <v>5</v>
      </c>
      <c r="AH6" s="17">
        <v>3</v>
      </c>
      <c r="AI6" s="17">
        <v>2</v>
      </c>
      <c r="AJ6" s="17">
        <v>21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4:53" ht="15" hidden="1">
      <c r="D7" s="9">
        <v>1</v>
      </c>
      <c r="E7" s="9">
        <v>4</v>
      </c>
      <c r="F7" s="9">
        <v>0</v>
      </c>
      <c r="G7">
        <v>1</v>
      </c>
      <c r="H7">
        <v>4</v>
      </c>
      <c r="I7">
        <v>70</v>
      </c>
      <c r="J7">
        <v>11</v>
      </c>
      <c r="K7">
        <v>6</v>
      </c>
      <c r="L7">
        <v>80</v>
      </c>
      <c r="M7">
        <v>70</v>
      </c>
      <c r="N7">
        <v>30</v>
      </c>
      <c r="O7" s="11"/>
      <c r="P7" s="12">
        <v>2</v>
      </c>
      <c r="Q7" s="12">
        <v>79.5</v>
      </c>
      <c r="R7" s="12">
        <v>6</v>
      </c>
      <c r="S7" s="12">
        <v>80</v>
      </c>
      <c r="T7" s="9">
        <v>95</v>
      </c>
      <c r="U7" s="9">
        <v>10</v>
      </c>
      <c r="V7" s="9">
        <f t="shared" si="0"/>
        <v>-9.5</v>
      </c>
      <c r="W7" s="14">
        <v>1</v>
      </c>
      <c r="X7" s="14">
        <v>4</v>
      </c>
      <c r="Y7" s="14">
        <v>0</v>
      </c>
      <c r="Z7" s="18">
        <f t="shared" si="1"/>
        <v>70</v>
      </c>
      <c r="AA7" s="9">
        <f t="shared" si="2"/>
        <v>0</v>
      </c>
      <c r="AD7" s="16">
        <v>3</v>
      </c>
      <c r="AE7" s="17">
        <v>4</v>
      </c>
      <c r="AF7" s="17">
        <v>3</v>
      </c>
      <c r="AG7" s="17">
        <v>9</v>
      </c>
      <c r="AH7" s="17">
        <v>3</v>
      </c>
      <c r="AI7" s="17">
        <v>2</v>
      </c>
      <c r="AJ7" s="17">
        <v>21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4:53" ht="15" hidden="1">
      <c r="D8" s="9">
        <v>1</v>
      </c>
      <c r="E8" s="9">
        <v>5</v>
      </c>
      <c r="F8" s="9">
        <v>0</v>
      </c>
      <c r="G8">
        <v>1</v>
      </c>
      <c r="H8">
        <v>5</v>
      </c>
      <c r="I8">
        <v>60.5</v>
      </c>
      <c r="J8">
        <v>11</v>
      </c>
      <c r="K8">
        <v>6</v>
      </c>
      <c r="L8">
        <v>80</v>
      </c>
      <c r="M8">
        <v>70</v>
      </c>
      <c r="N8">
        <v>30</v>
      </c>
      <c r="O8" s="11"/>
      <c r="P8" s="12">
        <v>2</v>
      </c>
      <c r="Q8" s="12">
        <v>77.5</v>
      </c>
      <c r="R8" s="12">
        <v>6</v>
      </c>
      <c r="S8" s="12">
        <v>100</v>
      </c>
      <c r="T8" s="9">
        <v>65</v>
      </c>
      <c r="U8" s="9">
        <v>20</v>
      </c>
      <c r="V8" s="9">
        <f t="shared" si="0"/>
        <v>-17</v>
      </c>
      <c r="W8" s="14">
        <v>1</v>
      </c>
      <c r="X8" s="14">
        <v>5</v>
      </c>
      <c r="Y8" s="14">
        <v>0</v>
      </c>
      <c r="Z8" s="18">
        <f t="shared" si="1"/>
        <v>70</v>
      </c>
      <c r="AA8" s="9">
        <f t="shared" si="2"/>
        <v>20</v>
      </c>
      <c r="AD8" s="16">
        <v>4</v>
      </c>
      <c r="AE8" s="17">
        <v>4</v>
      </c>
      <c r="AF8" s="17">
        <v>4</v>
      </c>
      <c r="AG8" s="17">
        <v>6</v>
      </c>
      <c r="AH8" s="17">
        <v>5</v>
      </c>
      <c r="AI8" s="17">
        <v>2</v>
      </c>
      <c r="AJ8" s="17">
        <v>21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4:53" ht="15" hidden="1">
      <c r="D9" s="9">
        <v>1</v>
      </c>
      <c r="E9" s="9">
        <v>6</v>
      </c>
      <c r="F9" s="9">
        <v>0</v>
      </c>
      <c r="G9">
        <v>1</v>
      </c>
      <c r="H9">
        <v>6</v>
      </c>
      <c r="I9">
        <v>73</v>
      </c>
      <c r="J9">
        <v>11</v>
      </c>
      <c r="K9">
        <v>6</v>
      </c>
      <c r="L9">
        <v>80</v>
      </c>
      <c r="M9">
        <v>70</v>
      </c>
      <c r="N9">
        <v>30</v>
      </c>
      <c r="O9" s="11"/>
      <c r="P9" s="12">
        <v>2</v>
      </c>
      <c r="Q9" s="12">
        <v>69</v>
      </c>
      <c r="R9" s="12">
        <v>6</v>
      </c>
      <c r="S9" s="12">
        <v>100</v>
      </c>
      <c r="T9" s="9">
        <v>65</v>
      </c>
      <c r="U9" s="9">
        <v>20</v>
      </c>
      <c r="V9" s="9">
        <f t="shared" si="0"/>
        <v>4</v>
      </c>
      <c r="W9" s="14">
        <v>1</v>
      </c>
      <c r="X9" s="14">
        <v>6</v>
      </c>
      <c r="Y9" s="14">
        <v>0</v>
      </c>
      <c r="Z9" s="18">
        <f t="shared" si="1"/>
        <v>60</v>
      </c>
      <c r="AA9" s="9">
        <f t="shared" si="2"/>
        <v>20</v>
      </c>
      <c r="AD9" s="16">
        <v>5</v>
      </c>
      <c r="AE9" s="17">
        <v>4</v>
      </c>
      <c r="AF9" s="17">
        <v>2</v>
      </c>
      <c r="AG9" s="17">
        <v>10</v>
      </c>
      <c r="AH9" s="17">
        <v>2</v>
      </c>
      <c r="AI9" s="17">
        <v>3</v>
      </c>
      <c r="AJ9" s="17">
        <v>21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4:53" ht="15" hidden="1">
      <c r="D10" s="9">
        <v>1</v>
      </c>
      <c r="E10" s="9">
        <v>7</v>
      </c>
      <c r="F10" s="9">
        <v>0</v>
      </c>
      <c r="G10">
        <v>1</v>
      </c>
      <c r="H10">
        <v>7</v>
      </c>
      <c r="I10">
        <v>68</v>
      </c>
      <c r="J10">
        <v>11</v>
      </c>
      <c r="K10">
        <v>6</v>
      </c>
      <c r="L10">
        <v>80</v>
      </c>
      <c r="M10">
        <v>70</v>
      </c>
      <c r="N10">
        <v>30</v>
      </c>
      <c r="O10" s="11"/>
      <c r="P10" s="12">
        <v>2</v>
      </c>
      <c r="Q10" s="12">
        <v>68</v>
      </c>
      <c r="R10" s="12">
        <v>6</v>
      </c>
      <c r="S10" s="12">
        <v>110</v>
      </c>
      <c r="T10" s="9">
        <v>50</v>
      </c>
      <c r="U10" s="9">
        <v>25</v>
      </c>
      <c r="V10" s="9">
        <f t="shared" si="0"/>
        <v>0</v>
      </c>
      <c r="W10" s="14">
        <v>1</v>
      </c>
      <c r="X10" s="14">
        <v>7</v>
      </c>
      <c r="Y10" s="14">
        <v>0</v>
      </c>
      <c r="Z10" s="18">
        <f t="shared" si="1"/>
        <v>60</v>
      </c>
      <c r="AA10" s="9">
        <f t="shared" si="2"/>
        <v>30</v>
      </c>
      <c r="AD10" s="16">
        <v>6</v>
      </c>
      <c r="AE10" s="17">
        <v>3</v>
      </c>
      <c r="AF10" s="17">
        <v>1</v>
      </c>
      <c r="AG10" s="17">
        <v>11</v>
      </c>
      <c r="AH10" s="17">
        <v>5</v>
      </c>
      <c r="AI10" s="17">
        <v>1</v>
      </c>
      <c r="AJ10" s="17">
        <v>21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4:53" ht="15" hidden="1">
      <c r="D11" s="9">
        <v>1</v>
      </c>
      <c r="E11" s="9">
        <v>8</v>
      </c>
      <c r="F11" s="9">
        <v>0</v>
      </c>
      <c r="G11">
        <v>1</v>
      </c>
      <c r="H11">
        <v>8</v>
      </c>
      <c r="I11">
        <v>74</v>
      </c>
      <c r="J11">
        <v>11</v>
      </c>
      <c r="K11">
        <v>6</v>
      </c>
      <c r="L11">
        <v>80</v>
      </c>
      <c r="M11">
        <v>70</v>
      </c>
      <c r="N11">
        <v>30</v>
      </c>
      <c r="O11" s="11"/>
      <c r="P11" s="12">
        <v>2</v>
      </c>
      <c r="Q11" s="12">
        <v>71.5</v>
      </c>
      <c r="R11" s="12">
        <v>6</v>
      </c>
      <c r="S11" s="12">
        <v>120</v>
      </c>
      <c r="T11" s="9">
        <v>35</v>
      </c>
      <c r="U11" s="9">
        <v>30</v>
      </c>
      <c r="V11" s="9">
        <f t="shared" si="0"/>
        <v>2.5</v>
      </c>
      <c r="W11" s="14">
        <v>1</v>
      </c>
      <c r="X11" s="14">
        <v>8</v>
      </c>
      <c r="Y11" s="14">
        <v>0</v>
      </c>
      <c r="Z11" s="18">
        <f t="shared" si="1"/>
        <v>70</v>
      </c>
      <c r="AA11" s="9">
        <f t="shared" si="2"/>
        <v>40</v>
      </c>
      <c r="AD11" s="16">
        <v>7</v>
      </c>
      <c r="AE11" s="17">
        <v>3</v>
      </c>
      <c r="AF11" s="17">
        <v>2</v>
      </c>
      <c r="AG11" s="17">
        <v>7</v>
      </c>
      <c r="AH11" s="17">
        <v>4</v>
      </c>
      <c r="AI11" s="17">
        <v>5</v>
      </c>
      <c r="AJ11" s="17">
        <v>21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4:53" ht="15" hidden="1">
      <c r="D12" s="9">
        <v>1</v>
      </c>
      <c r="E12" s="9">
        <v>9</v>
      </c>
      <c r="F12" s="9">
        <v>0</v>
      </c>
      <c r="G12">
        <v>1</v>
      </c>
      <c r="H12">
        <v>9</v>
      </c>
      <c r="I12">
        <v>65</v>
      </c>
      <c r="J12">
        <v>11</v>
      </c>
      <c r="K12">
        <v>6</v>
      </c>
      <c r="L12">
        <v>80</v>
      </c>
      <c r="M12">
        <v>70</v>
      </c>
      <c r="N12">
        <v>30</v>
      </c>
      <c r="O12" s="11"/>
      <c r="P12" s="12">
        <v>2</v>
      </c>
      <c r="Q12" s="12">
        <v>69.5</v>
      </c>
      <c r="R12" s="12">
        <v>6</v>
      </c>
      <c r="S12" s="12">
        <v>80</v>
      </c>
      <c r="T12" s="9">
        <v>95</v>
      </c>
      <c r="U12" s="9">
        <v>10</v>
      </c>
      <c r="V12" s="9">
        <f t="shared" si="0"/>
        <v>-4.5</v>
      </c>
      <c r="W12" s="14">
        <v>1</v>
      </c>
      <c r="X12" s="14">
        <v>9</v>
      </c>
      <c r="Y12" s="14">
        <v>0</v>
      </c>
      <c r="Z12" s="18">
        <f t="shared" si="1"/>
        <v>60</v>
      </c>
      <c r="AA12" s="9">
        <f t="shared" si="2"/>
        <v>0</v>
      </c>
      <c r="AD12" s="16">
        <v>8</v>
      </c>
      <c r="AE12" s="17">
        <v>4</v>
      </c>
      <c r="AF12" s="17">
        <v>1</v>
      </c>
      <c r="AG12" s="17">
        <v>10</v>
      </c>
      <c r="AH12" s="17">
        <v>4</v>
      </c>
      <c r="AI12" s="17">
        <v>2</v>
      </c>
      <c r="AJ12" s="17">
        <v>21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4:53" ht="15">
      <c r="D13" s="9">
        <v>2</v>
      </c>
      <c r="E13" s="9">
        <v>0</v>
      </c>
      <c r="F13" s="9">
        <v>1180</v>
      </c>
      <c r="G13">
        <v>2</v>
      </c>
      <c r="H13">
        <v>0</v>
      </c>
      <c r="I13">
        <v>64.5</v>
      </c>
      <c r="J13">
        <v>11</v>
      </c>
      <c r="K13">
        <v>6</v>
      </c>
      <c r="L13">
        <v>110</v>
      </c>
      <c r="M13">
        <v>50</v>
      </c>
      <c r="N13">
        <v>25</v>
      </c>
      <c r="O13" s="11"/>
      <c r="P13" s="12">
        <v>3</v>
      </c>
      <c r="Q13" s="12">
        <v>61.5</v>
      </c>
      <c r="R13" s="12">
        <v>6</v>
      </c>
      <c r="S13" s="12">
        <v>90</v>
      </c>
      <c r="T13" s="9">
        <v>80</v>
      </c>
      <c r="U13" s="9">
        <v>15</v>
      </c>
      <c r="V13" s="9">
        <f t="shared" si="0"/>
        <v>3</v>
      </c>
      <c r="W13" s="14">
        <v>2</v>
      </c>
      <c r="X13" s="14">
        <v>0</v>
      </c>
      <c r="Y13" s="14">
        <v>0</v>
      </c>
      <c r="Z13" s="18">
        <f t="shared" si="1"/>
        <v>60</v>
      </c>
      <c r="AA13" s="9">
        <f t="shared" si="2"/>
        <v>-20</v>
      </c>
      <c r="AD13" s="16">
        <v>9</v>
      </c>
      <c r="AE13" s="17">
        <v>4</v>
      </c>
      <c r="AF13" s="17">
        <v>4</v>
      </c>
      <c r="AG13" s="17">
        <v>8</v>
      </c>
      <c r="AH13" s="17">
        <v>3</v>
      </c>
      <c r="AI13" s="17">
        <v>2</v>
      </c>
      <c r="AJ13" s="17">
        <v>21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4:53" ht="15" hidden="1">
      <c r="D14" s="9">
        <v>2</v>
      </c>
      <c r="E14" s="9">
        <v>1</v>
      </c>
      <c r="F14" s="9">
        <v>825</v>
      </c>
      <c r="G14">
        <v>2</v>
      </c>
      <c r="H14">
        <v>1</v>
      </c>
      <c r="I14">
        <v>70.5</v>
      </c>
      <c r="J14">
        <v>11</v>
      </c>
      <c r="K14">
        <v>6</v>
      </c>
      <c r="L14">
        <v>110</v>
      </c>
      <c r="M14">
        <v>50</v>
      </c>
      <c r="N14">
        <v>25</v>
      </c>
      <c r="O14" s="11"/>
      <c r="P14" s="12">
        <v>3</v>
      </c>
      <c r="Q14" s="12">
        <v>69</v>
      </c>
      <c r="R14" s="12">
        <v>6</v>
      </c>
      <c r="S14" s="12">
        <v>100</v>
      </c>
      <c r="T14" s="9">
        <v>65</v>
      </c>
      <c r="U14" s="9">
        <v>20</v>
      </c>
      <c r="V14" s="9">
        <f t="shared" si="0"/>
        <v>1.5</v>
      </c>
      <c r="W14" s="14">
        <v>2</v>
      </c>
      <c r="X14" s="14">
        <v>1</v>
      </c>
      <c r="Y14" s="14">
        <v>0</v>
      </c>
      <c r="Z14" s="18">
        <f t="shared" si="1"/>
        <v>60</v>
      </c>
      <c r="AA14" s="9">
        <f>S14-L14</f>
        <v>-10</v>
      </c>
      <c r="AD14" s="16" t="s">
        <v>117</v>
      </c>
      <c r="AE14" s="17">
        <v>40</v>
      </c>
      <c r="AF14" s="17">
        <v>29</v>
      </c>
      <c r="AG14" s="17">
        <v>85</v>
      </c>
      <c r="AH14" s="17">
        <v>35</v>
      </c>
      <c r="AI14" s="17">
        <v>21</v>
      </c>
      <c r="AJ14" s="17">
        <v>210</v>
      </c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4:53" ht="15" hidden="1">
      <c r="D15" s="9">
        <v>2</v>
      </c>
      <c r="E15" s="9">
        <v>2</v>
      </c>
      <c r="F15" s="9">
        <v>1255</v>
      </c>
      <c r="G15">
        <v>2</v>
      </c>
      <c r="H15">
        <v>2</v>
      </c>
      <c r="I15">
        <v>63.5</v>
      </c>
      <c r="J15">
        <v>11</v>
      </c>
      <c r="K15">
        <v>6</v>
      </c>
      <c r="L15">
        <v>100</v>
      </c>
      <c r="M15">
        <v>65</v>
      </c>
      <c r="N15">
        <v>20</v>
      </c>
      <c r="O15" s="11"/>
      <c r="P15" s="12">
        <v>3</v>
      </c>
      <c r="Q15" s="12">
        <v>80</v>
      </c>
      <c r="R15" s="12">
        <v>6</v>
      </c>
      <c r="S15" s="12">
        <v>80</v>
      </c>
      <c r="T15" s="9">
        <v>95</v>
      </c>
      <c r="U15" s="9">
        <v>10</v>
      </c>
      <c r="V15" s="9">
        <f t="shared" si="0"/>
        <v>-16.5</v>
      </c>
      <c r="W15" s="14">
        <v>2</v>
      </c>
      <c r="X15" s="14">
        <v>2</v>
      </c>
      <c r="Y15" s="14">
        <v>0</v>
      </c>
      <c r="Z15" s="18">
        <f t="shared" si="1"/>
        <v>80</v>
      </c>
      <c r="AA15" s="9">
        <f>S15-L15</f>
        <v>-20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4:53" ht="15" hidden="1">
      <c r="D16" s="9">
        <v>2</v>
      </c>
      <c r="E16" s="9">
        <v>3</v>
      </c>
      <c r="F16" s="9">
        <v>970</v>
      </c>
      <c r="G16">
        <v>2</v>
      </c>
      <c r="H16">
        <v>3</v>
      </c>
      <c r="I16">
        <v>63.5</v>
      </c>
      <c r="J16">
        <v>11</v>
      </c>
      <c r="K16">
        <v>6</v>
      </c>
      <c r="L16">
        <v>120</v>
      </c>
      <c r="M16">
        <v>35</v>
      </c>
      <c r="N16">
        <v>30</v>
      </c>
      <c r="O16" s="11"/>
      <c r="P16" s="12">
        <v>3</v>
      </c>
      <c r="Q16" s="12">
        <v>64.5</v>
      </c>
      <c r="R16" s="12">
        <v>6</v>
      </c>
      <c r="S16" s="12">
        <v>80</v>
      </c>
      <c r="T16" s="9">
        <v>95</v>
      </c>
      <c r="U16" s="9">
        <v>10</v>
      </c>
      <c r="V16" s="9">
        <f t="shared" si="0"/>
        <v>-1</v>
      </c>
      <c r="W16" s="14">
        <v>2</v>
      </c>
      <c r="X16" s="14">
        <v>3</v>
      </c>
      <c r="Y16" s="14">
        <v>0</v>
      </c>
      <c r="Z16" s="18">
        <f t="shared" si="1"/>
        <v>60</v>
      </c>
      <c r="AA16" s="9">
        <f>S16-L16</f>
        <v>-40</v>
      </c>
      <c r="AD16"/>
      <c r="AE16"/>
      <c r="AF16"/>
    </row>
    <row r="17" spans="4:32" ht="15" hidden="1">
      <c r="D17" s="9">
        <v>2</v>
      </c>
      <c r="E17" s="9">
        <v>4</v>
      </c>
      <c r="F17" s="9">
        <v>995</v>
      </c>
      <c r="G17">
        <v>2</v>
      </c>
      <c r="H17">
        <v>4</v>
      </c>
      <c r="I17">
        <v>79.5</v>
      </c>
      <c r="J17">
        <v>11</v>
      </c>
      <c r="K17">
        <v>6</v>
      </c>
      <c r="L17">
        <v>80</v>
      </c>
      <c r="M17">
        <v>95</v>
      </c>
      <c r="N17">
        <v>10</v>
      </c>
      <c r="O17" s="11"/>
      <c r="P17" s="12">
        <v>3</v>
      </c>
      <c r="Q17" s="12">
        <v>73.5</v>
      </c>
      <c r="R17" s="12">
        <v>6</v>
      </c>
      <c r="S17" s="12">
        <v>110</v>
      </c>
      <c r="T17" s="9">
        <v>50</v>
      </c>
      <c r="U17" s="9">
        <v>25</v>
      </c>
      <c r="V17" s="9">
        <f t="shared" si="0"/>
        <v>6</v>
      </c>
      <c r="W17" s="14">
        <v>2</v>
      </c>
      <c r="X17" s="14">
        <v>4</v>
      </c>
      <c r="Y17" s="14">
        <v>0</v>
      </c>
      <c r="Z17" s="18">
        <f t="shared" si="1"/>
        <v>70</v>
      </c>
      <c r="AA17" s="9">
        <f t="shared" ref="AA17:AA23" si="3">S17-L17</f>
        <v>30</v>
      </c>
      <c r="AD17"/>
      <c r="AE17"/>
      <c r="AF17"/>
    </row>
    <row r="18" spans="4:32" ht="15" hidden="1">
      <c r="D18" s="9">
        <v>2</v>
      </c>
      <c r="E18" s="9">
        <v>5</v>
      </c>
      <c r="F18" s="9">
        <v>1055</v>
      </c>
      <c r="G18">
        <v>2</v>
      </c>
      <c r="H18">
        <v>5</v>
      </c>
      <c r="I18">
        <v>77.5</v>
      </c>
      <c r="J18">
        <v>11</v>
      </c>
      <c r="K18">
        <v>6</v>
      </c>
      <c r="L18">
        <v>110</v>
      </c>
      <c r="M18">
        <v>50</v>
      </c>
      <c r="N18">
        <v>25</v>
      </c>
      <c r="O18" s="11"/>
      <c r="P18" s="12">
        <v>3</v>
      </c>
      <c r="Q18" s="12">
        <v>72.5</v>
      </c>
      <c r="R18" s="12">
        <v>6</v>
      </c>
      <c r="S18" s="12">
        <v>100</v>
      </c>
      <c r="T18" s="9">
        <v>65</v>
      </c>
      <c r="U18" s="9">
        <v>20</v>
      </c>
      <c r="V18" s="9">
        <f t="shared" si="0"/>
        <v>5</v>
      </c>
      <c r="W18" s="14">
        <v>2</v>
      </c>
      <c r="X18" s="14">
        <v>5</v>
      </c>
      <c r="Y18" s="14">
        <v>0</v>
      </c>
      <c r="Z18" s="18">
        <f t="shared" si="1"/>
        <v>70</v>
      </c>
      <c r="AA18" s="9">
        <f t="shared" si="3"/>
        <v>-10</v>
      </c>
      <c r="AD18"/>
      <c r="AE18"/>
      <c r="AF18"/>
    </row>
    <row r="19" spans="4:32" ht="15" hidden="1">
      <c r="D19" s="9">
        <v>2</v>
      </c>
      <c r="E19" s="9">
        <v>6</v>
      </c>
      <c r="F19" s="9">
        <v>955</v>
      </c>
      <c r="G19">
        <v>2</v>
      </c>
      <c r="H19">
        <v>6</v>
      </c>
      <c r="I19">
        <v>69</v>
      </c>
      <c r="J19">
        <v>11</v>
      </c>
      <c r="K19">
        <v>6</v>
      </c>
      <c r="L19">
        <v>95</v>
      </c>
      <c r="M19">
        <v>72</v>
      </c>
      <c r="N19">
        <v>18</v>
      </c>
      <c r="O19" s="11"/>
      <c r="P19" s="12">
        <v>3</v>
      </c>
      <c r="Q19" s="12">
        <v>66.5</v>
      </c>
      <c r="R19" s="12">
        <v>6</v>
      </c>
      <c r="S19" s="12">
        <v>110</v>
      </c>
      <c r="T19" s="9">
        <v>50</v>
      </c>
      <c r="U19" s="9">
        <v>25</v>
      </c>
      <c r="V19" s="9">
        <f t="shared" si="0"/>
        <v>2.5</v>
      </c>
      <c r="W19" s="14">
        <v>2</v>
      </c>
      <c r="X19" s="14">
        <v>6</v>
      </c>
      <c r="Y19" s="14">
        <v>0</v>
      </c>
      <c r="Z19" s="18">
        <f t="shared" si="1"/>
        <v>60</v>
      </c>
      <c r="AA19" s="9">
        <f t="shared" si="3"/>
        <v>15</v>
      </c>
      <c r="AD19"/>
      <c r="AE19"/>
      <c r="AF19"/>
    </row>
    <row r="20" spans="4:32" ht="15" hidden="1">
      <c r="D20" s="9">
        <v>2</v>
      </c>
      <c r="E20" s="9">
        <v>7</v>
      </c>
      <c r="F20" s="9">
        <v>1205</v>
      </c>
      <c r="G20">
        <v>2</v>
      </c>
      <c r="H20">
        <v>7</v>
      </c>
      <c r="I20">
        <v>68</v>
      </c>
      <c r="J20">
        <v>11</v>
      </c>
      <c r="K20">
        <v>6</v>
      </c>
      <c r="L20">
        <v>115</v>
      </c>
      <c r="M20">
        <v>42</v>
      </c>
      <c r="N20">
        <v>28</v>
      </c>
      <c r="O20" s="11"/>
      <c r="P20" s="12">
        <v>3</v>
      </c>
      <c r="Q20" s="12">
        <v>59</v>
      </c>
      <c r="R20" s="12">
        <v>6</v>
      </c>
      <c r="S20" s="12">
        <v>100</v>
      </c>
      <c r="T20" s="9">
        <v>65</v>
      </c>
      <c r="U20" s="9">
        <v>20</v>
      </c>
      <c r="V20" s="9">
        <f t="shared" si="0"/>
        <v>9</v>
      </c>
      <c r="W20" s="14">
        <v>2</v>
      </c>
      <c r="X20" s="14">
        <v>7</v>
      </c>
      <c r="Y20" s="14">
        <v>0</v>
      </c>
      <c r="Z20" s="18">
        <f t="shared" si="1"/>
        <v>50</v>
      </c>
      <c r="AA20" s="9">
        <f t="shared" si="3"/>
        <v>-15</v>
      </c>
      <c r="AD20"/>
      <c r="AE20"/>
    </row>
    <row r="21" spans="4:32" ht="15" hidden="1">
      <c r="D21" s="9">
        <v>2</v>
      </c>
      <c r="E21" s="9">
        <v>8</v>
      </c>
      <c r="F21" s="9">
        <v>1140</v>
      </c>
      <c r="G21">
        <v>2</v>
      </c>
      <c r="H21">
        <v>8</v>
      </c>
      <c r="I21">
        <v>69</v>
      </c>
      <c r="J21">
        <v>11</v>
      </c>
      <c r="K21">
        <v>6</v>
      </c>
      <c r="L21">
        <v>90</v>
      </c>
      <c r="M21">
        <v>80</v>
      </c>
      <c r="N21">
        <v>15</v>
      </c>
      <c r="O21" s="11"/>
      <c r="P21" s="12">
        <v>3</v>
      </c>
      <c r="Q21" s="12">
        <v>66.5</v>
      </c>
      <c r="R21" s="12">
        <v>6</v>
      </c>
      <c r="S21" s="12">
        <v>100</v>
      </c>
      <c r="T21" s="9">
        <v>65</v>
      </c>
      <c r="U21" s="9">
        <v>20</v>
      </c>
      <c r="V21" s="9">
        <f t="shared" si="0"/>
        <v>2.5</v>
      </c>
      <c r="W21" s="14">
        <v>2</v>
      </c>
      <c r="X21" s="14">
        <v>8</v>
      </c>
      <c r="Y21" s="14">
        <v>0</v>
      </c>
      <c r="Z21" s="18">
        <f t="shared" si="1"/>
        <v>60</v>
      </c>
      <c r="AA21" s="9">
        <f t="shared" si="3"/>
        <v>10</v>
      </c>
      <c r="AD21"/>
      <c r="AE21"/>
    </row>
    <row r="22" spans="4:32" ht="15" hidden="1">
      <c r="D22" s="9">
        <v>2</v>
      </c>
      <c r="E22" s="9">
        <v>9</v>
      </c>
      <c r="F22" s="9">
        <v>955</v>
      </c>
      <c r="G22">
        <v>2</v>
      </c>
      <c r="H22">
        <v>9</v>
      </c>
      <c r="I22">
        <v>69.5</v>
      </c>
      <c r="J22">
        <v>11</v>
      </c>
      <c r="K22">
        <v>6</v>
      </c>
      <c r="L22">
        <v>80</v>
      </c>
      <c r="M22">
        <v>95</v>
      </c>
      <c r="N22">
        <v>10</v>
      </c>
      <c r="O22" s="11"/>
      <c r="P22" s="12">
        <v>3</v>
      </c>
      <c r="Q22" s="12">
        <v>79.5</v>
      </c>
      <c r="R22" s="12">
        <v>6</v>
      </c>
      <c r="S22" s="12">
        <v>100</v>
      </c>
      <c r="T22" s="9">
        <v>65</v>
      </c>
      <c r="U22" s="9">
        <v>20</v>
      </c>
      <c r="V22" s="9">
        <f t="shared" si="0"/>
        <v>-10</v>
      </c>
      <c r="W22" s="14">
        <v>2</v>
      </c>
      <c r="X22" s="14">
        <v>9</v>
      </c>
      <c r="Y22" s="14">
        <v>0</v>
      </c>
      <c r="Z22" s="18">
        <f t="shared" si="1"/>
        <v>70</v>
      </c>
      <c r="AA22" s="9">
        <f t="shared" si="3"/>
        <v>20</v>
      </c>
      <c r="AD22"/>
      <c r="AE22"/>
    </row>
    <row r="23" spans="4:32" ht="15">
      <c r="D23" s="9">
        <v>3</v>
      </c>
      <c r="E23" s="9">
        <v>0</v>
      </c>
      <c r="F23" s="9">
        <v>1145</v>
      </c>
      <c r="G23">
        <v>3</v>
      </c>
      <c r="H23">
        <v>0</v>
      </c>
      <c r="I23">
        <v>61.5</v>
      </c>
      <c r="J23">
        <v>11</v>
      </c>
      <c r="K23">
        <v>6</v>
      </c>
      <c r="L23">
        <v>105</v>
      </c>
      <c r="M23">
        <v>58</v>
      </c>
      <c r="N23">
        <v>22</v>
      </c>
      <c r="O23" s="11"/>
      <c r="P23" s="12">
        <v>4</v>
      </c>
      <c r="Q23" s="12">
        <v>65</v>
      </c>
      <c r="R23" s="12">
        <v>6</v>
      </c>
      <c r="S23" s="12">
        <v>80</v>
      </c>
      <c r="T23" s="9">
        <v>95</v>
      </c>
      <c r="U23" s="9">
        <v>10</v>
      </c>
      <c r="V23" s="9">
        <f t="shared" si="0"/>
        <v>-3.5</v>
      </c>
      <c r="W23" s="14">
        <v>3</v>
      </c>
      <c r="X23" s="14">
        <v>0</v>
      </c>
      <c r="Y23" s="14">
        <v>0</v>
      </c>
      <c r="Z23" s="18">
        <f t="shared" si="1"/>
        <v>60</v>
      </c>
      <c r="AA23" s="9">
        <f t="shared" si="3"/>
        <v>-25</v>
      </c>
      <c r="AD23"/>
      <c r="AE23"/>
    </row>
    <row r="24" spans="4:32" ht="15" hidden="1">
      <c r="D24" s="9">
        <v>3</v>
      </c>
      <c r="E24" s="9">
        <v>1</v>
      </c>
      <c r="F24" s="9">
        <v>832</v>
      </c>
      <c r="G24">
        <v>3</v>
      </c>
      <c r="H24">
        <v>1</v>
      </c>
      <c r="I24">
        <v>69</v>
      </c>
      <c r="J24">
        <v>11</v>
      </c>
      <c r="K24">
        <v>6</v>
      </c>
      <c r="L24">
        <v>100</v>
      </c>
      <c r="M24">
        <v>65</v>
      </c>
      <c r="N24">
        <v>20</v>
      </c>
      <c r="O24" s="11"/>
      <c r="P24" s="12">
        <v>4</v>
      </c>
      <c r="Q24" s="12">
        <v>72.5</v>
      </c>
      <c r="R24" s="12">
        <v>6</v>
      </c>
      <c r="S24" s="12">
        <v>110</v>
      </c>
      <c r="T24" s="9">
        <v>50</v>
      </c>
      <c r="U24" s="9">
        <v>25</v>
      </c>
      <c r="V24" s="9">
        <f t="shared" si="0"/>
        <v>-3.5</v>
      </c>
      <c r="W24" s="14">
        <v>3</v>
      </c>
      <c r="X24" s="14">
        <v>1</v>
      </c>
      <c r="Y24" s="14">
        <v>0</v>
      </c>
      <c r="Z24" s="18">
        <f t="shared" si="1"/>
        <v>70</v>
      </c>
      <c r="AA24" s="9">
        <f>S24-L24</f>
        <v>10</v>
      </c>
      <c r="AD24"/>
      <c r="AE24"/>
    </row>
    <row r="25" spans="4:32" ht="15" hidden="1">
      <c r="D25" s="9">
        <v>3</v>
      </c>
      <c r="E25" s="9">
        <v>2</v>
      </c>
      <c r="F25" s="9">
        <v>1232</v>
      </c>
      <c r="G25">
        <v>3</v>
      </c>
      <c r="H25">
        <v>2</v>
      </c>
      <c r="I25">
        <v>79</v>
      </c>
      <c r="J25">
        <v>11</v>
      </c>
      <c r="K25">
        <v>6</v>
      </c>
      <c r="L25">
        <v>95</v>
      </c>
      <c r="M25">
        <v>72</v>
      </c>
      <c r="N25">
        <v>18</v>
      </c>
      <c r="O25" s="11"/>
      <c r="P25" s="12">
        <v>4</v>
      </c>
      <c r="Q25" s="12">
        <v>68.5</v>
      </c>
      <c r="R25" s="12">
        <v>6</v>
      </c>
      <c r="S25" s="12">
        <v>80</v>
      </c>
      <c r="T25" s="9">
        <v>95</v>
      </c>
      <c r="U25" s="9">
        <v>10</v>
      </c>
      <c r="V25" s="9">
        <f t="shared" si="0"/>
        <v>10.5</v>
      </c>
      <c r="W25" s="14">
        <v>3</v>
      </c>
      <c r="X25" s="14">
        <v>2</v>
      </c>
      <c r="Y25" s="14">
        <v>0</v>
      </c>
      <c r="Z25" s="18">
        <f t="shared" si="1"/>
        <v>60</v>
      </c>
      <c r="AA25" s="9">
        <f>S25-L25</f>
        <v>-15</v>
      </c>
      <c r="AD25"/>
      <c r="AE25"/>
    </row>
    <row r="26" spans="4:32" ht="15" hidden="1">
      <c r="D26" s="9">
        <v>3</v>
      </c>
      <c r="E26" s="9">
        <v>3</v>
      </c>
      <c r="F26" s="9">
        <v>1128</v>
      </c>
      <c r="G26">
        <v>3</v>
      </c>
      <c r="H26">
        <v>3</v>
      </c>
      <c r="I26">
        <v>63</v>
      </c>
      <c r="J26">
        <v>11</v>
      </c>
      <c r="K26">
        <v>6</v>
      </c>
      <c r="L26">
        <v>100</v>
      </c>
      <c r="M26">
        <v>65</v>
      </c>
      <c r="N26">
        <v>20</v>
      </c>
      <c r="O26" s="11"/>
      <c r="P26" s="12">
        <v>4</v>
      </c>
      <c r="Q26" s="12">
        <v>64</v>
      </c>
      <c r="R26" s="12">
        <v>6</v>
      </c>
      <c r="S26" s="12">
        <v>90</v>
      </c>
      <c r="T26" s="9">
        <v>80</v>
      </c>
      <c r="U26" s="9">
        <v>15</v>
      </c>
      <c r="V26" s="9">
        <f t="shared" si="0"/>
        <v>-1</v>
      </c>
      <c r="W26" s="14">
        <v>3</v>
      </c>
      <c r="X26" s="14">
        <v>3</v>
      </c>
      <c r="Y26" s="14">
        <v>0</v>
      </c>
      <c r="Z26" s="18">
        <f t="shared" si="1"/>
        <v>60</v>
      </c>
      <c r="AA26" s="9">
        <f>S26-L26</f>
        <v>-10</v>
      </c>
      <c r="AD26"/>
      <c r="AE26"/>
    </row>
    <row r="27" spans="4:32" ht="15" hidden="1">
      <c r="D27" s="9">
        <v>3</v>
      </c>
      <c r="E27" s="9">
        <v>4</v>
      </c>
      <c r="F27" s="9">
        <v>1258</v>
      </c>
      <c r="G27">
        <v>3</v>
      </c>
      <c r="H27">
        <v>4</v>
      </c>
      <c r="I27">
        <v>73.5</v>
      </c>
      <c r="J27">
        <v>11</v>
      </c>
      <c r="K27">
        <v>6</v>
      </c>
      <c r="L27">
        <v>110</v>
      </c>
      <c r="M27">
        <v>50</v>
      </c>
      <c r="N27">
        <v>25</v>
      </c>
      <c r="O27" s="11"/>
      <c r="P27" s="12">
        <v>4</v>
      </c>
      <c r="Q27" s="12">
        <v>64</v>
      </c>
      <c r="R27" s="12">
        <v>6</v>
      </c>
      <c r="S27" s="12">
        <v>90</v>
      </c>
      <c r="T27" s="9">
        <v>80</v>
      </c>
      <c r="U27" s="9">
        <v>15</v>
      </c>
      <c r="V27" s="9">
        <f t="shared" si="0"/>
        <v>9.5</v>
      </c>
      <c r="W27" s="14">
        <v>3</v>
      </c>
      <c r="X27" s="14">
        <v>4</v>
      </c>
      <c r="Y27" s="14">
        <v>0</v>
      </c>
      <c r="Z27" s="18">
        <f t="shared" si="1"/>
        <v>60</v>
      </c>
      <c r="AA27" s="9">
        <f t="shared" ref="AA27:AA33" si="4">S27-L27</f>
        <v>-20</v>
      </c>
      <c r="AD27"/>
      <c r="AE27"/>
    </row>
    <row r="28" spans="4:32" ht="15" hidden="1">
      <c r="D28" s="9">
        <v>3</v>
      </c>
      <c r="E28" s="9">
        <v>5</v>
      </c>
      <c r="F28" s="9">
        <v>1220</v>
      </c>
      <c r="G28">
        <v>3</v>
      </c>
      <c r="H28">
        <v>5</v>
      </c>
      <c r="I28">
        <v>72.5</v>
      </c>
      <c r="J28">
        <v>11</v>
      </c>
      <c r="K28">
        <v>6</v>
      </c>
      <c r="L28">
        <v>115</v>
      </c>
      <c r="M28">
        <v>42</v>
      </c>
      <c r="N28">
        <v>28</v>
      </c>
      <c r="O28" s="11"/>
      <c r="P28" s="12">
        <v>4</v>
      </c>
      <c r="Q28" s="12">
        <v>74</v>
      </c>
      <c r="R28" s="12">
        <v>6</v>
      </c>
      <c r="S28" s="12">
        <v>120</v>
      </c>
      <c r="T28" s="9">
        <v>35</v>
      </c>
      <c r="U28" s="9">
        <v>30</v>
      </c>
      <c r="V28" s="9">
        <f t="shared" si="0"/>
        <v>-1.5</v>
      </c>
      <c r="W28" s="14">
        <v>3</v>
      </c>
      <c r="X28" s="14">
        <v>5</v>
      </c>
      <c r="Y28" s="14">
        <v>0</v>
      </c>
      <c r="Z28" s="18">
        <f t="shared" si="1"/>
        <v>70</v>
      </c>
      <c r="AA28" s="9">
        <f t="shared" si="4"/>
        <v>5</v>
      </c>
      <c r="AD28"/>
      <c r="AE28"/>
    </row>
    <row r="29" spans="4:32" ht="15" hidden="1">
      <c r="D29" s="9">
        <v>3</v>
      </c>
      <c r="E29" s="9">
        <v>6</v>
      </c>
      <c r="F29" s="9">
        <v>1074</v>
      </c>
      <c r="G29">
        <v>3</v>
      </c>
      <c r="H29">
        <v>6</v>
      </c>
      <c r="I29">
        <v>66.5</v>
      </c>
      <c r="J29">
        <v>11</v>
      </c>
      <c r="K29">
        <v>6</v>
      </c>
      <c r="L29">
        <v>120</v>
      </c>
      <c r="M29">
        <v>35</v>
      </c>
      <c r="N29">
        <v>30</v>
      </c>
      <c r="O29" s="11"/>
      <c r="P29" s="12">
        <v>4</v>
      </c>
      <c r="Q29" s="12">
        <v>71</v>
      </c>
      <c r="R29" s="12">
        <v>6</v>
      </c>
      <c r="S29" s="12">
        <v>100</v>
      </c>
      <c r="T29" s="9">
        <v>65</v>
      </c>
      <c r="U29" s="9">
        <v>20</v>
      </c>
      <c r="V29" s="9">
        <f t="shared" si="0"/>
        <v>-4.5</v>
      </c>
      <c r="W29" s="14">
        <v>3</v>
      </c>
      <c r="X29" s="14">
        <v>6</v>
      </c>
      <c r="Y29" s="14">
        <v>0</v>
      </c>
      <c r="Z29" s="18">
        <f t="shared" si="1"/>
        <v>70</v>
      </c>
      <c r="AA29" s="9">
        <f t="shared" si="4"/>
        <v>-20</v>
      </c>
      <c r="AD29"/>
      <c r="AE29"/>
    </row>
    <row r="30" spans="4:32" ht="15" hidden="1">
      <c r="D30" s="9">
        <v>3</v>
      </c>
      <c r="E30" s="9">
        <v>7</v>
      </c>
      <c r="F30" s="9">
        <v>1394</v>
      </c>
      <c r="G30">
        <v>3</v>
      </c>
      <c r="H30">
        <v>7</v>
      </c>
      <c r="I30">
        <v>59</v>
      </c>
      <c r="J30">
        <v>11</v>
      </c>
      <c r="K30">
        <v>6</v>
      </c>
      <c r="L30">
        <v>95</v>
      </c>
      <c r="M30">
        <v>72</v>
      </c>
      <c r="N30">
        <v>18</v>
      </c>
      <c r="O30" s="11"/>
      <c r="P30" s="12">
        <v>4</v>
      </c>
      <c r="Q30" s="12">
        <v>78.5</v>
      </c>
      <c r="R30" s="12">
        <v>6</v>
      </c>
      <c r="S30" s="12">
        <v>110</v>
      </c>
      <c r="T30" s="9">
        <v>50</v>
      </c>
      <c r="U30" s="9">
        <v>25</v>
      </c>
      <c r="V30" s="9">
        <f t="shared" si="0"/>
        <v>-19.5</v>
      </c>
      <c r="W30" s="14">
        <v>3</v>
      </c>
      <c r="X30" s="14">
        <v>7</v>
      </c>
      <c r="Y30" s="14">
        <v>0</v>
      </c>
      <c r="Z30" s="18">
        <f t="shared" si="1"/>
        <v>70</v>
      </c>
      <c r="AA30" s="9">
        <f t="shared" si="4"/>
        <v>15</v>
      </c>
      <c r="AD30"/>
      <c r="AE30"/>
    </row>
    <row r="31" spans="4:32" ht="15" hidden="1">
      <c r="D31" s="9">
        <v>3</v>
      </c>
      <c r="E31" s="9">
        <v>8</v>
      </c>
      <c r="F31" s="9">
        <v>1208</v>
      </c>
      <c r="G31">
        <v>3</v>
      </c>
      <c r="H31">
        <v>8</v>
      </c>
      <c r="I31">
        <v>66.5</v>
      </c>
      <c r="J31">
        <v>11</v>
      </c>
      <c r="K31">
        <v>6</v>
      </c>
      <c r="L31">
        <v>105</v>
      </c>
      <c r="M31">
        <v>58</v>
      </c>
      <c r="N31">
        <v>22</v>
      </c>
      <c r="O31" s="11"/>
      <c r="P31" s="12">
        <v>4</v>
      </c>
      <c r="Q31" s="12">
        <v>69.5</v>
      </c>
      <c r="R31" s="12">
        <v>6</v>
      </c>
      <c r="S31" s="12">
        <v>110</v>
      </c>
      <c r="T31" s="9">
        <v>50</v>
      </c>
      <c r="U31" s="9">
        <v>25</v>
      </c>
      <c r="V31" s="9">
        <f t="shared" si="0"/>
        <v>-3</v>
      </c>
      <c r="W31" s="14">
        <v>3</v>
      </c>
      <c r="X31" s="14">
        <v>8</v>
      </c>
      <c r="Y31" s="14">
        <v>0</v>
      </c>
      <c r="Z31" s="18">
        <f t="shared" si="1"/>
        <v>60</v>
      </c>
      <c r="AA31" s="9">
        <f t="shared" si="4"/>
        <v>5</v>
      </c>
      <c r="AD31"/>
      <c r="AE31"/>
    </row>
    <row r="32" spans="4:32" ht="15" hidden="1">
      <c r="D32" s="9">
        <v>3</v>
      </c>
      <c r="E32" s="9">
        <v>9</v>
      </c>
      <c r="F32" s="9">
        <v>1229</v>
      </c>
      <c r="G32">
        <v>3</v>
      </c>
      <c r="H32">
        <v>9</v>
      </c>
      <c r="I32">
        <v>79.5</v>
      </c>
      <c r="J32">
        <v>11</v>
      </c>
      <c r="K32">
        <v>6</v>
      </c>
      <c r="L32">
        <v>120</v>
      </c>
      <c r="M32">
        <v>35</v>
      </c>
      <c r="N32">
        <v>30</v>
      </c>
      <c r="O32" s="11"/>
      <c r="P32" s="12">
        <v>4</v>
      </c>
      <c r="Q32" s="12">
        <v>67</v>
      </c>
      <c r="R32" s="12">
        <v>6</v>
      </c>
      <c r="S32" s="12">
        <v>80</v>
      </c>
      <c r="T32" s="9">
        <v>95</v>
      </c>
      <c r="U32" s="9">
        <v>10</v>
      </c>
      <c r="V32" s="9">
        <f t="shared" si="0"/>
        <v>12.5</v>
      </c>
      <c r="W32" s="14">
        <v>3</v>
      </c>
      <c r="X32" s="14">
        <v>9</v>
      </c>
      <c r="Y32" s="14">
        <v>0</v>
      </c>
      <c r="Z32" s="18">
        <f t="shared" si="1"/>
        <v>60</v>
      </c>
      <c r="AA32" s="9">
        <f t="shared" si="4"/>
        <v>-40</v>
      </c>
      <c r="AD32"/>
      <c r="AE32"/>
    </row>
    <row r="33" spans="4:31" ht="15">
      <c r="D33" s="9">
        <v>4</v>
      </c>
      <c r="E33" s="9">
        <v>0</v>
      </c>
      <c r="F33" s="9">
        <v>1280</v>
      </c>
      <c r="G33">
        <v>4</v>
      </c>
      <c r="H33">
        <v>0</v>
      </c>
      <c r="I33">
        <v>64.5</v>
      </c>
      <c r="J33">
        <v>11</v>
      </c>
      <c r="K33">
        <v>6</v>
      </c>
      <c r="L33">
        <v>100</v>
      </c>
      <c r="M33">
        <v>65</v>
      </c>
      <c r="N33">
        <v>20</v>
      </c>
      <c r="O33" s="11"/>
      <c r="P33" s="12">
        <v>5</v>
      </c>
      <c r="Q33" s="12">
        <v>81.5</v>
      </c>
      <c r="R33" s="12">
        <v>6</v>
      </c>
      <c r="S33" s="12">
        <v>80</v>
      </c>
      <c r="T33" s="9">
        <v>95</v>
      </c>
      <c r="U33" s="9">
        <v>10</v>
      </c>
      <c r="V33" s="9">
        <f t="shared" si="0"/>
        <v>-17</v>
      </c>
      <c r="W33" s="14">
        <v>4</v>
      </c>
      <c r="X33" s="14">
        <v>0</v>
      </c>
      <c r="Y33" s="14">
        <v>0</v>
      </c>
      <c r="Z33" s="18">
        <f t="shared" si="1"/>
        <v>80</v>
      </c>
      <c r="AA33" s="9">
        <f t="shared" si="4"/>
        <v>-20</v>
      </c>
      <c r="AD33"/>
      <c r="AE33"/>
    </row>
    <row r="34" spans="4:31" ht="15" hidden="1">
      <c r="D34" s="9">
        <v>4</v>
      </c>
      <c r="E34" s="9">
        <v>1</v>
      </c>
      <c r="F34" s="9">
        <v>1003</v>
      </c>
      <c r="G34">
        <v>4</v>
      </c>
      <c r="H34">
        <v>1</v>
      </c>
      <c r="I34">
        <v>72.5</v>
      </c>
      <c r="J34">
        <v>11</v>
      </c>
      <c r="K34">
        <v>6</v>
      </c>
      <c r="L34">
        <v>100</v>
      </c>
      <c r="M34">
        <v>65</v>
      </c>
      <c r="N34">
        <v>20</v>
      </c>
      <c r="O34" s="11"/>
      <c r="P34" s="12">
        <v>5</v>
      </c>
      <c r="Q34" s="12">
        <v>79</v>
      </c>
      <c r="R34" s="12">
        <v>6</v>
      </c>
      <c r="S34" s="12">
        <v>120</v>
      </c>
      <c r="T34" s="9">
        <v>35</v>
      </c>
      <c r="U34" s="9">
        <v>30</v>
      </c>
      <c r="V34" s="9">
        <f t="shared" si="0"/>
        <v>-6.5</v>
      </c>
      <c r="W34" s="14">
        <v>4</v>
      </c>
      <c r="X34" s="14">
        <v>1</v>
      </c>
      <c r="Y34" s="14">
        <v>0</v>
      </c>
      <c r="Z34" s="18">
        <f t="shared" si="1"/>
        <v>70</v>
      </c>
      <c r="AA34" s="9">
        <f>S34-L34</f>
        <v>20</v>
      </c>
      <c r="AD34"/>
      <c r="AE34"/>
    </row>
    <row r="35" spans="4:31" ht="15" hidden="1">
      <c r="D35" s="9">
        <v>4</v>
      </c>
      <c r="E35" s="9">
        <v>2</v>
      </c>
      <c r="F35" s="9">
        <v>1433</v>
      </c>
      <c r="G35">
        <v>4</v>
      </c>
      <c r="H35">
        <v>2</v>
      </c>
      <c r="I35">
        <v>66</v>
      </c>
      <c r="J35">
        <v>11</v>
      </c>
      <c r="K35">
        <v>6</v>
      </c>
      <c r="L35">
        <v>100</v>
      </c>
      <c r="M35">
        <v>65</v>
      </c>
      <c r="N35">
        <v>20</v>
      </c>
      <c r="O35" s="11"/>
      <c r="P35" s="12">
        <v>5</v>
      </c>
      <c r="Q35" s="12">
        <v>79.5</v>
      </c>
      <c r="R35" s="12">
        <v>6</v>
      </c>
      <c r="S35" s="12">
        <v>90</v>
      </c>
      <c r="T35" s="9">
        <v>80</v>
      </c>
      <c r="U35" s="9">
        <v>15</v>
      </c>
      <c r="V35" s="9">
        <f t="shared" si="0"/>
        <v>-13.5</v>
      </c>
      <c r="W35" s="14">
        <v>4</v>
      </c>
      <c r="X35" s="14">
        <v>2</v>
      </c>
      <c r="Y35" s="14">
        <v>0</v>
      </c>
      <c r="Z35" s="18">
        <f t="shared" si="1"/>
        <v>70</v>
      </c>
      <c r="AA35" s="9">
        <f t="shared" ref="AA35:AA98" si="5">S35-L35</f>
        <v>-10</v>
      </c>
      <c r="AD35"/>
      <c r="AE35"/>
    </row>
    <row r="36" spans="4:31" ht="15" hidden="1">
      <c r="D36" s="9">
        <v>4</v>
      </c>
      <c r="E36" s="9">
        <v>3</v>
      </c>
      <c r="F36" s="9">
        <v>1265</v>
      </c>
      <c r="G36">
        <v>4</v>
      </c>
      <c r="H36">
        <v>3</v>
      </c>
      <c r="I36">
        <v>62.5</v>
      </c>
      <c r="J36">
        <v>11</v>
      </c>
      <c r="K36">
        <v>6</v>
      </c>
      <c r="L36">
        <v>100</v>
      </c>
      <c r="M36">
        <v>65</v>
      </c>
      <c r="N36">
        <v>20</v>
      </c>
      <c r="O36" s="11"/>
      <c r="P36" s="12">
        <v>5</v>
      </c>
      <c r="Q36" s="12">
        <v>66.5</v>
      </c>
      <c r="R36" s="12">
        <v>6</v>
      </c>
      <c r="S36" s="12">
        <v>100</v>
      </c>
      <c r="T36" s="9">
        <v>65</v>
      </c>
      <c r="U36" s="9">
        <v>20</v>
      </c>
      <c r="V36" s="9">
        <f t="shared" si="0"/>
        <v>-4</v>
      </c>
      <c r="W36" s="14">
        <v>4</v>
      </c>
      <c r="X36" s="14">
        <v>3</v>
      </c>
      <c r="Y36" s="14">
        <v>0</v>
      </c>
      <c r="Z36" s="18">
        <f t="shared" si="1"/>
        <v>60</v>
      </c>
      <c r="AA36" s="9">
        <f t="shared" si="5"/>
        <v>0</v>
      </c>
      <c r="AD36"/>
      <c r="AE36"/>
    </row>
    <row r="37" spans="4:31" ht="15" hidden="1">
      <c r="D37" s="9">
        <v>4</v>
      </c>
      <c r="E37" s="9">
        <v>4</v>
      </c>
      <c r="F37" s="9">
        <v>1264</v>
      </c>
      <c r="G37">
        <v>4</v>
      </c>
      <c r="H37">
        <v>4</v>
      </c>
      <c r="I37">
        <v>64</v>
      </c>
      <c r="J37">
        <v>11</v>
      </c>
      <c r="K37">
        <v>6</v>
      </c>
      <c r="L37">
        <v>105</v>
      </c>
      <c r="M37">
        <v>58</v>
      </c>
      <c r="N37">
        <v>22</v>
      </c>
      <c r="O37" s="11"/>
      <c r="P37" s="12">
        <v>5</v>
      </c>
      <c r="Q37" s="12">
        <v>68.5</v>
      </c>
      <c r="R37" s="12">
        <v>6</v>
      </c>
      <c r="S37" s="12">
        <v>90</v>
      </c>
      <c r="T37" s="9">
        <v>80</v>
      </c>
      <c r="U37" s="9">
        <v>15</v>
      </c>
      <c r="V37" s="9">
        <f t="shared" si="0"/>
        <v>-4.5</v>
      </c>
      <c r="W37" s="14">
        <v>4</v>
      </c>
      <c r="X37" s="14">
        <v>4</v>
      </c>
      <c r="Y37" s="14">
        <v>0</v>
      </c>
      <c r="Z37" s="18">
        <f t="shared" si="1"/>
        <v>60</v>
      </c>
      <c r="AA37" s="9">
        <f t="shared" si="5"/>
        <v>-15</v>
      </c>
      <c r="AD37"/>
      <c r="AE37"/>
    </row>
    <row r="38" spans="4:31" ht="15" hidden="1">
      <c r="D38" s="9">
        <v>4</v>
      </c>
      <c r="E38" s="9">
        <v>5</v>
      </c>
      <c r="F38" s="9">
        <v>1355</v>
      </c>
      <c r="G38">
        <v>4</v>
      </c>
      <c r="H38">
        <v>5</v>
      </c>
      <c r="I38">
        <v>71.5</v>
      </c>
      <c r="J38">
        <v>11</v>
      </c>
      <c r="K38">
        <v>6</v>
      </c>
      <c r="L38">
        <v>100</v>
      </c>
      <c r="M38">
        <v>65</v>
      </c>
      <c r="N38">
        <v>20</v>
      </c>
      <c r="O38" s="11"/>
      <c r="P38" s="12">
        <v>5</v>
      </c>
      <c r="Q38" s="12">
        <v>75.5</v>
      </c>
      <c r="R38" s="12">
        <v>6</v>
      </c>
      <c r="S38" s="12">
        <v>110</v>
      </c>
      <c r="T38" s="9">
        <v>50</v>
      </c>
      <c r="U38" s="9">
        <v>25</v>
      </c>
      <c r="V38" s="9">
        <f t="shared" si="0"/>
        <v>-4</v>
      </c>
      <c r="W38" s="14">
        <v>4</v>
      </c>
      <c r="X38" s="14">
        <v>5</v>
      </c>
      <c r="Y38" s="14">
        <v>0</v>
      </c>
      <c r="Z38" s="18">
        <f t="shared" si="1"/>
        <v>70</v>
      </c>
      <c r="AA38" s="9">
        <f t="shared" si="5"/>
        <v>10</v>
      </c>
      <c r="AD38"/>
      <c r="AE38"/>
    </row>
    <row r="39" spans="4:31" ht="15" hidden="1">
      <c r="D39" s="9">
        <v>4</v>
      </c>
      <c r="E39" s="9">
        <v>6</v>
      </c>
      <c r="F39" s="9">
        <v>1257</v>
      </c>
      <c r="G39">
        <v>4</v>
      </c>
      <c r="H39">
        <v>6</v>
      </c>
      <c r="I39">
        <v>71</v>
      </c>
      <c r="J39">
        <v>11</v>
      </c>
      <c r="K39">
        <v>6</v>
      </c>
      <c r="L39">
        <v>80</v>
      </c>
      <c r="M39">
        <v>95</v>
      </c>
      <c r="N39">
        <v>10</v>
      </c>
      <c r="O39" s="11"/>
      <c r="P39" s="12">
        <v>5</v>
      </c>
      <c r="Q39" s="12">
        <v>81.5</v>
      </c>
      <c r="R39" s="12">
        <v>6</v>
      </c>
      <c r="S39" s="12">
        <v>100</v>
      </c>
      <c r="T39" s="9">
        <v>65</v>
      </c>
      <c r="U39" s="9">
        <v>20</v>
      </c>
      <c r="V39" s="9">
        <f t="shared" si="0"/>
        <v>-10.5</v>
      </c>
      <c r="W39" s="14">
        <v>4</v>
      </c>
      <c r="X39" s="14">
        <v>6</v>
      </c>
      <c r="Y39" s="14">
        <v>0</v>
      </c>
      <c r="Z39" s="18">
        <f t="shared" si="1"/>
        <v>80</v>
      </c>
      <c r="AA39" s="9">
        <f t="shared" si="5"/>
        <v>20</v>
      </c>
      <c r="AD39"/>
      <c r="AE39"/>
    </row>
    <row r="40" spans="4:31" ht="15" hidden="1">
      <c r="D40" s="9">
        <v>4</v>
      </c>
      <c r="E40" s="9">
        <v>7</v>
      </c>
      <c r="F40" s="9">
        <v>1445</v>
      </c>
      <c r="G40">
        <v>4</v>
      </c>
      <c r="H40">
        <v>7</v>
      </c>
      <c r="I40">
        <v>75.5</v>
      </c>
      <c r="J40">
        <v>11</v>
      </c>
      <c r="K40">
        <v>6</v>
      </c>
      <c r="L40">
        <v>100</v>
      </c>
      <c r="M40">
        <v>65</v>
      </c>
      <c r="N40">
        <v>20</v>
      </c>
      <c r="O40" s="11"/>
      <c r="P40" s="12">
        <v>5</v>
      </c>
      <c r="Q40" s="12">
        <v>70.5</v>
      </c>
      <c r="R40" s="12">
        <v>6</v>
      </c>
      <c r="S40" s="12">
        <v>120</v>
      </c>
      <c r="T40" s="9">
        <v>35</v>
      </c>
      <c r="U40" s="9">
        <v>30</v>
      </c>
      <c r="V40" s="9">
        <f t="shared" si="0"/>
        <v>5</v>
      </c>
      <c r="W40" s="14">
        <v>4</v>
      </c>
      <c r="X40" s="14">
        <v>7</v>
      </c>
      <c r="Y40" s="14">
        <v>0</v>
      </c>
      <c r="Z40" s="18">
        <f t="shared" si="1"/>
        <v>70</v>
      </c>
      <c r="AA40" s="9">
        <f t="shared" si="5"/>
        <v>20</v>
      </c>
      <c r="AD40"/>
      <c r="AE40"/>
    </row>
    <row r="41" spans="4:31" ht="15" hidden="1">
      <c r="D41" s="9">
        <v>4</v>
      </c>
      <c r="E41" s="9">
        <v>8</v>
      </c>
      <c r="F41" s="9">
        <v>1318</v>
      </c>
      <c r="G41">
        <v>4</v>
      </c>
      <c r="H41">
        <v>8</v>
      </c>
      <c r="I41">
        <v>69.5</v>
      </c>
      <c r="J41">
        <v>11</v>
      </c>
      <c r="K41">
        <v>6</v>
      </c>
      <c r="L41">
        <v>120</v>
      </c>
      <c r="M41">
        <v>35</v>
      </c>
      <c r="N41">
        <v>30</v>
      </c>
      <c r="O41" s="11"/>
      <c r="P41" s="12">
        <v>5</v>
      </c>
      <c r="Q41" s="12">
        <v>65.5</v>
      </c>
      <c r="R41" s="12">
        <v>6</v>
      </c>
      <c r="S41" s="12">
        <v>80</v>
      </c>
      <c r="T41" s="9">
        <v>95</v>
      </c>
      <c r="U41" s="9">
        <v>10</v>
      </c>
      <c r="V41" s="9">
        <f t="shared" si="0"/>
        <v>4</v>
      </c>
      <c r="W41" s="14">
        <v>4</v>
      </c>
      <c r="X41" s="14">
        <v>8</v>
      </c>
      <c r="Y41" s="14">
        <v>0</v>
      </c>
      <c r="Z41" s="18">
        <f t="shared" si="1"/>
        <v>60</v>
      </c>
      <c r="AA41" s="9">
        <f t="shared" si="5"/>
        <v>-40</v>
      </c>
      <c r="AD41"/>
      <c r="AE41"/>
    </row>
    <row r="42" spans="4:31" ht="15" hidden="1">
      <c r="D42" s="9">
        <v>4</v>
      </c>
      <c r="E42" s="9">
        <v>9</v>
      </c>
      <c r="F42" s="9">
        <v>1294</v>
      </c>
      <c r="G42">
        <v>4</v>
      </c>
      <c r="H42">
        <v>9</v>
      </c>
      <c r="I42">
        <v>66.5</v>
      </c>
      <c r="J42">
        <v>11</v>
      </c>
      <c r="K42">
        <v>6</v>
      </c>
      <c r="L42">
        <v>100</v>
      </c>
      <c r="M42">
        <v>65</v>
      </c>
      <c r="N42">
        <v>20</v>
      </c>
      <c r="O42" s="11"/>
      <c r="P42" s="12">
        <v>5</v>
      </c>
      <c r="Q42" s="12">
        <v>66</v>
      </c>
      <c r="R42" s="12">
        <v>6</v>
      </c>
      <c r="S42" s="12">
        <v>100</v>
      </c>
      <c r="T42" s="9">
        <v>65</v>
      </c>
      <c r="U42" s="9">
        <v>20</v>
      </c>
      <c r="V42" s="9">
        <f t="shared" si="0"/>
        <v>0.5</v>
      </c>
      <c r="W42" s="14">
        <v>4</v>
      </c>
      <c r="X42" s="14">
        <v>9</v>
      </c>
      <c r="Y42" s="14">
        <v>0</v>
      </c>
      <c r="Z42" s="18">
        <f t="shared" si="1"/>
        <v>60</v>
      </c>
      <c r="AA42" s="9">
        <f t="shared" si="5"/>
        <v>0</v>
      </c>
      <c r="AD42"/>
      <c r="AE42"/>
    </row>
    <row r="43" spans="4:31" ht="15">
      <c r="D43" s="9">
        <v>5</v>
      </c>
      <c r="E43" s="9">
        <v>0</v>
      </c>
      <c r="F43" s="9">
        <v>1339</v>
      </c>
      <c r="G43">
        <v>5</v>
      </c>
      <c r="H43">
        <v>0</v>
      </c>
      <c r="I43">
        <v>81.5</v>
      </c>
      <c r="J43">
        <v>11</v>
      </c>
      <c r="K43">
        <v>6</v>
      </c>
      <c r="L43">
        <v>80</v>
      </c>
      <c r="M43">
        <v>95</v>
      </c>
      <c r="N43">
        <v>10</v>
      </c>
      <c r="O43" s="11"/>
      <c r="P43" s="12">
        <v>6</v>
      </c>
      <c r="Q43" s="12">
        <v>74.5</v>
      </c>
      <c r="R43" s="12">
        <v>6</v>
      </c>
      <c r="S43" s="12">
        <v>90</v>
      </c>
      <c r="T43" s="9">
        <v>80</v>
      </c>
      <c r="U43" s="9">
        <v>15</v>
      </c>
      <c r="V43" s="9">
        <f t="shared" si="0"/>
        <v>7</v>
      </c>
      <c r="W43" s="14">
        <v>5</v>
      </c>
      <c r="X43" s="14">
        <v>0</v>
      </c>
      <c r="Y43" s="14">
        <v>12</v>
      </c>
      <c r="Z43" s="18">
        <f t="shared" si="1"/>
        <v>70</v>
      </c>
      <c r="AA43" s="9">
        <f t="shared" si="5"/>
        <v>10</v>
      </c>
      <c r="AD43"/>
      <c r="AE43"/>
    </row>
    <row r="44" spans="4:31" ht="15" hidden="1">
      <c r="D44" s="9">
        <v>5</v>
      </c>
      <c r="E44" s="9">
        <v>1</v>
      </c>
      <c r="F44" s="9">
        <v>1106</v>
      </c>
      <c r="G44">
        <v>5</v>
      </c>
      <c r="H44">
        <v>1</v>
      </c>
      <c r="I44">
        <v>78</v>
      </c>
      <c r="J44">
        <v>11</v>
      </c>
      <c r="K44">
        <v>6</v>
      </c>
      <c r="L44">
        <v>100</v>
      </c>
      <c r="M44">
        <v>65</v>
      </c>
      <c r="N44">
        <v>20</v>
      </c>
      <c r="O44" s="11"/>
      <c r="P44" s="12">
        <v>6</v>
      </c>
      <c r="Q44" s="12">
        <v>63</v>
      </c>
      <c r="R44" s="12">
        <v>6</v>
      </c>
      <c r="S44" s="12">
        <v>100</v>
      </c>
      <c r="T44" s="9">
        <v>65</v>
      </c>
      <c r="U44" s="9">
        <v>20</v>
      </c>
      <c r="V44" s="9">
        <f t="shared" si="0"/>
        <v>15</v>
      </c>
      <c r="W44" s="14">
        <v>5</v>
      </c>
      <c r="X44" s="14">
        <v>1</v>
      </c>
      <c r="Y44" s="14">
        <v>13</v>
      </c>
      <c r="Z44" s="18">
        <f t="shared" si="1"/>
        <v>60</v>
      </c>
      <c r="AA44" s="9">
        <f t="shared" si="5"/>
        <v>0</v>
      </c>
      <c r="AD44"/>
      <c r="AE44"/>
    </row>
    <row r="45" spans="4:31" ht="15" hidden="1">
      <c r="D45" s="9">
        <v>5</v>
      </c>
      <c r="E45" s="9">
        <v>2</v>
      </c>
      <c r="F45" s="9">
        <v>1421</v>
      </c>
      <c r="G45">
        <v>5</v>
      </c>
      <c r="H45">
        <v>2</v>
      </c>
      <c r="I45">
        <v>79.5</v>
      </c>
      <c r="J45">
        <v>11</v>
      </c>
      <c r="K45">
        <v>6</v>
      </c>
      <c r="L45">
        <v>90</v>
      </c>
      <c r="M45">
        <v>80</v>
      </c>
      <c r="N45">
        <v>15</v>
      </c>
      <c r="O45" s="11"/>
      <c r="P45" s="12">
        <v>6</v>
      </c>
      <c r="Q45" s="12">
        <v>75</v>
      </c>
      <c r="R45" s="12">
        <v>6</v>
      </c>
      <c r="S45" s="12">
        <v>100</v>
      </c>
      <c r="T45" s="9">
        <v>65</v>
      </c>
      <c r="U45" s="9">
        <v>20</v>
      </c>
      <c r="V45" s="9">
        <f t="shared" si="0"/>
        <v>4.5</v>
      </c>
      <c r="W45" s="14">
        <v>5</v>
      </c>
      <c r="X45" s="14">
        <v>2</v>
      </c>
      <c r="Y45" s="14">
        <v>11</v>
      </c>
      <c r="Z45" s="18">
        <f t="shared" si="1"/>
        <v>70</v>
      </c>
      <c r="AA45" s="9">
        <f t="shared" si="5"/>
        <v>10</v>
      </c>
      <c r="AD45"/>
      <c r="AE45"/>
    </row>
    <row r="46" spans="4:31" ht="15" hidden="1">
      <c r="D46" s="9">
        <v>5</v>
      </c>
      <c r="E46" s="9">
        <v>3</v>
      </c>
      <c r="F46" s="9">
        <v>1234</v>
      </c>
      <c r="G46">
        <v>5</v>
      </c>
      <c r="H46">
        <v>3</v>
      </c>
      <c r="I46">
        <v>66.5</v>
      </c>
      <c r="J46">
        <v>11</v>
      </c>
      <c r="K46">
        <v>6</v>
      </c>
      <c r="L46">
        <v>95</v>
      </c>
      <c r="M46">
        <v>72</v>
      </c>
      <c r="N46">
        <v>18</v>
      </c>
      <c r="O46" s="11"/>
      <c r="P46" s="12">
        <v>6</v>
      </c>
      <c r="Q46" s="12">
        <v>65.5</v>
      </c>
      <c r="R46" s="12">
        <v>6</v>
      </c>
      <c r="S46" s="12">
        <v>100</v>
      </c>
      <c r="T46" s="9">
        <v>65</v>
      </c>
      <c r="U46" s="9">
        <v>20</v>
      </c>
      <c r="V46" s="9">
        <f t="shared" si="0"/>
        <v>1</v>
      </c>
      <c r="W46" s="14">
        <v>5</v>
      </c>
      <c r="X46" s="14">
        <v>3</v>
      </c>
      <c r="Y46" s="14">
        <v>19</v>
      </c>
      <c r="Z46" s="18">
        <f t="shared" si="1"/>
        <v>60</v>
      </c>
      <c r="AA46" s="9">
        <f t="shared" si="5"/>
        <v>5</v>
      </c>
      <c r="AD46"/>
      <c r="AE46"/>
    </row>
    <row r="47" spans="4:31" ht="15" hidden="1">
      <c r="D47" s="9">
        <v>5</v>
      </c>
      <c r="E47" s="9">
        <v>4</v>
      </c>
      <c r="F47" s="9">
        <v>1351</v>
      </c>
      <c r="G47">
        <v>5</v>
      </c>
      <c r="H47">
        <v>4</v>
      </c>
      <c r="I47">
        <v>68.5</v>
      </c>
      <c r="J47">
        <v>11</v>
      </c>
      <c r="K47">
        <v>6</v>
      </c>
      <c r="L47">
        <v>100</v>
      </c>
      <c r="M47">
        <v>65</v>
      </c>
      <c r="N47">
        <v>20</v>
      </c>
      <c r="O47" s="11"/>
      <c r="P47" s="12">
        <v>6</v>
      </c>
      <c r="Q47" s="12">
        <v>66</v>
      </c>
      <c r="R47" s="12">
        <v>6</v>
      </c>
      <c r="S47" s="12">
        <v>80</v>
      </c>
      <c r="T47" s="9">
        <v>95</v>
      </c>
      <c r="U47" s="9">
        <v>10</v>
      </c>
      <c r="V47" s="9">
        <f t="shared" si="0"/>
        <v>2.5</v>
      </c>
      <c r="W47" s="14">
        <v>5</v>
      </c>
      <c r="X47" s="14">
        <v>4</v>
      </c>
      <c r="Y47" s="14">
        <v>5</v>
      </c>
      <c r="Z47" s="18">
        <f t="shared" si="1"/>
        <v>60</v>
      </c>
      <c r="AA47" s="9">
        <f t="shared" si="5"/>
        <v>-20</v>
      </c>
      <c r="AD47"/>
      <c r="AE47"/>
    </row>
    <row r="48" spans="4:31" ht="15" hidden="1">
      <c r="D48" s="9">
        <v>5</v>
      </c>
      <c r="E48" s="9">
        <v>5</v>
      </c>
      <c r="F48" s="9">
        <v>1583</v>
      </c>
      <c r="G48">
        <v>5</v>
      </c>
      <c r="H48">
        <v>5</v>
      </c>
      <c r="I48">
        <v>74</v>
      </c>
      <c r="J48">
        <v>11</v>
      </c>
      <c r="K48">
        <v>6</v>
      </c>
      <c r="L48">
        <v>80</v>
      </c>
      <c r="M48">
        <v>95</v>
      </c>
      <c r="N48">
        <v>10</v>
      </c>
      <c r="O48" s="11"/>
      <c r="P48" s="12">
        <v>6</v>
      </c>
      <c r="Q48" s="12">
        <v>67.5</v>
      </c>
      <c r="R48" s="12">
        <v>6</v>
      </c>
      <c r="S48" s="12">
        <v>80</v>
      </c>
      <c r="T48" s="9">
        <v>95</v>
      </c>
      <c r="U48" s="9">
        <v>10</v>
      </c>
      <c r="V48" s="9">
        <f t="shared" si="0"/>
        <v>6.5</v>
      </c>
      <c r="W48" s="14">
        <v>5</v>
      </c>
      <c r="X48" s="14">
        <v>5</v>
      </c>
      <c r="Y48" s="14">
        <v>14</v>
      </c>
      <c r="Z48" s="18">
        <f t="shared" si="1"/>
        <v>60</v>
      </c>
      <c r="AA48" s="9">
        <f t="shared" si="5"/>
        <v>0</v>
      </c>
      <c r="AD48"/>
      <c r="AE48"/>
    </row>
    <row r="49" spans="4:31" ht="15" hidden="1">
      <c r="D49" s="9">
        <v>5</v>
      </c>
      <c r="E49" s="9">
        <v>6</v>
      </c>
      <c r="F49" s="9">
        <v>1251</v>
      </c>
      <c r="G49">
        <v>5</v>
      </c>
      <c r="H49">
        <v>6</v>
      </c>
      <c r="I49">
        <v>81.5</v>
      </c>
      <c r="J49">
        <v>11</v>
      </c>
      <c r="K49">
        <v>6</v>
      </c>
      <c r="L49">
        <v>90</v>
      </c>
      <c r="M49">
        <v>80</v>
      </c>
      <c r="N49">
        <v>15</v>
      </c>
      <c r="O49" s="11"/>
      <c r="P49" s="12">
        <v>6</v>
      </c>
      <c r="Q49" s="12">
        <v>70.5</v>
      </c>
      <c r="R49" s="12">
        <v>6</v>
      </c>
      <c r="S49" s="12">
        <v>100</v>
      </c>
      <c r="T49" s="9">
        <v>65</v>
      </c>
      <c r="U49" s="9">
        <v>20</v>
      </c>
      <c r="V49" s="9">
        <f t="shared" si="0"/>
        <v>11</v>
      </c>
      <c r="W49" s="14">
        <v>5</v>
      </c>
      <c r="X49" s="14">
        <v>6</v>
      </c>
      <c r="Y49" s="14">
        <v>10</v>
      </c>
      <c r="Z49" s="18">
        <f t="shared" si="1"/>
        <v>70</v>
      </c>
      <c r="AA49" s="9">
        <f t="shared" si="5"/>
        <v>10</v>
      </c>
      <c r="AD49"/>
      <c r="AE49"/>
    </row>
    <row r="50" spans="4:31" ht="15" hidden="1">
      <c r="D50" s="9">
        <v>5</v>
      </c>
      <c r="E50" s="9">
        <v>7</v>
      </c>
      <c r="F50" s="9">
        <v>1545</v>
      </c>
      <c r="G50">
        <v>5</v>
      </c>
      <c r="H50">
        <v>7</v>
      </c>
      <c r="I50">
        <v>67</v>
      </c>
      <c r="J50">
        <v>11</v>
      </c>
      <c r="K50">
        <v>6</v>
      </c>
      <c r="L50">
        <v>90</v>
      </c>
      <c r="M50">
        <v>80</v>
      </c>
      <c r="N50">
        <v>15</v>
      </c>
      <c r="O50" s="11"/>
      <c r="P50" s="12">
        <v>6</v>
      </c>
      <c r="Q50" s="12">
        <v>69.5</v>
      </c>
      <c r="R50" s="12">
        <v>6</v>
      </c>
      <c r="S50" s="12">
        <v>100</v>
      </c>
      <c r="T50" s="9">
        <v>65</v>
      </c>
      <c r="U50" s="9">
        <v>20</v>
      </c>
      <c r="V50" s="9">
        <f t="shared" si="0"/>
        <v>-2.5</v>
      </c>
      <c r="W50" s="14">
        <v>5</v>
      </c>
      <c r="X50" s="14">
        <v>7</v>
      </c>
      <c r="Y50" s="14">
        <v>5</v>
      </c>
      <c r="Z50" s="18">
        <f t="shared" si="1"/>
        <v>60</v>
      </c>
      <c r="AA50" s="9">
        <f t="shared" si="5"/>
        <v>10</v>
      </c>
      <c r="AD50"/>
      <c r="AE50"/>
    </row>
    <row r="51" spans="4:31" ht="15" hidden="1">
      <c r="D51" s="9">
        <v>5</v>
      </c>
      <c r="E51" s="9">
        <v>8</v>
      </c>
      <c r="F51" s="9">
        <v>1388</v>
      </c>
      <c r="G51">
        <v>5</v>
      </c>
      <c r="H51">
        <v>8</v>
      </c>
      <c r="I51">
        <v>62</v>
      </c>
      <c r="J51">
        <v>11</v>
      </c>
      <c r="K51">
        <v>6</v>
      </c>
      <c r="L51">
        <v>110</v>
      </c>
      <c r="M51">
        <v>50</v>
      </c>
      <c r="N51">
        <v>25</v>
      </c>
      <c r="O51" s="11"/>
      <c r="P51" s="12">
        <v>6</v>
      </c>
      <c r="Q51" s="12">
        <v>68.5</v>
      </c>
      <c r="R51" s="12">
        <v>6</v>
      </c>
      <c r="S51" s="12">
        <v>80</v>
      </c>
      <c r="T51" s="9">
        <v>95</v>
      </c>
      <c r="U51" s="9">
        <v>10</v>
      </c>
      <c r="V51" s="9">
        <f t="shared" si="0"/>
        <v>-6.5</v>
      </c>
      <c r="W51" s="14">
        <v>5</v>
      </c>
      <c r="X51" s="14">
        <v>8</v>
      </c>
      <c r="Y51" s="14">
        <v>11</v>
      </c>
      <c r="Z51" s="18">
        <f t="shared" si="1"/>
        <v>60</v>
      </c>
      <c r="AA51" s="9">
        <f t="shared" si="5"/>
        <v>-30</v>
      </c>
      <c r="AD51"/>
      <c r="AE51"/>
    </row>
    <row r="52" spans="4:31" ht="15" hidden="1">
      <c r="D52" s="9">
        <v>5</v>
      </c>
      <c r="E52" s="9">
        <v>9</v>
      </c>
      <c r="F52" s="9">
        <v>1266</v>
      </c>
      <c r="G52">
        <v>5</v>
      </c>
      <c r="H52">
        <v>9</v>
      </c>
      <c r="I52">
        <v>66</v>
      </c>
      <c r="J52">
        <v>11</v>
      </c>
      <c r="K52">
        <v>6</v>
      </c>
      <c r="L52">
        <v>100</v>
      </c>
      <c r="M52">
        <v>65</v>
      </c>
      <c r="N52">
        <v>20</v>
      </c>
      <c r="O52" s="11"/>
      <c r="P52" s="12">
        <v>6</v>
      </c>
      <c r="Q52" s="12">
        <v>87.5</v>
      </c>
      <c r="R52" s="12">
        <v>6</v>
      </c>
      <c r="S52" s="12">
        <v>110</v>
      </c>
      <c r="T52" s="9">
        <v>50</v>
      </c>
      <c r="U52" s="9">
        <v>25</v>
      </c>
      <c r="V52" s="9">
        <f t="shared" si="0"/>
        <v>-21.5</v>
      </c>
      <c r="W52" s="14">
        <v>5</v>
      </c>
      <c r="X52" s="14">
        <v>9</v>
      </c>
      <c r="Y52" s="14">
        <v>7</v>
      </c>
      <c r="Z52" s="18">
        <f t="shared" si="1"/>
        <v>80</v>
      </c>
      <c r="AA52" s="9">
        <f t="shared" si="5"/>
        <v>10</v>
      </c>
      <c r="AD52"/>
      <c r="AE52"/>
    </row>
    <row r="53" spans="4:31" ht="15">
      <c r="D53" s="9">
        <v>6</v>
      </c>
      <c r="E53" s="9">
        <v>0</v>
      </c>
      <c r="F53" s="9">
        <v>1384</v>
      </c>
      <c r="G53">
        <v>6</v>
      </c>
      <c r="H53">
        <v>0</v>
      </c>
      <c r="I53">
        <v>74.5</v>
      </c>
      <c r="J53">
        <v>11</v>
      </c>
      <c r="K53">
        <v>6</v>
      </c>
      <c r="L53">
        <v>100</v>
      </c>
      <c r="M53">
        <v>65</v>
      </c>
      <c r="N53">
        <v>20</v>
      </c>
      <c r="O53" s="11"/>
      <c r="P53" s="12">
        <v>7</v>
      </c>
      <c r="Q53" s="12">
        <v>71.5</v>
      </c>
      <c r="R53" s="12">
        <v>6</v>
      </c>
      <c r="S53" s="12">
        <v>120</v>
      </c>
      <c r="T53" s="9">
        <v>35</v>
      </c>
      <c r="U53" s="9">
        <v>30</v>
      </c>
      <c r="V53" s="9">
        <f t="shared" si="0"/>
        <v>3</v>
      </c>
      <c r="W53" s="14">
        <v>6</v>
      </c>
      <c r="X53" s="14">
        <v>0</v>
      </c>
      <c r="Y53" s="14">
        <v>15</v>
      </c>
      <c r="Z53" s="18">
        <f t="shared" si="1"/>
        <v>70</v>
      </c>
      <c r="AA53" s="9">
        <f t="shared" si="5"/>
        <v>20</v>
      </c>
      <c r="AB53" s="9">
        <f>SUM(S13:S53)/5</f>
        <v>798</v>
      </c>
      <c r="AD53"/>
      <c r="AE53"/>
    </row>
    <row r="54" spans="4:31" ht="15" hidden="1">
      <c r="D54" s="9">
        <v>6</v>
      </c>
      <c r="E54" s="9">
        <v>1</v>
      </c>
      <c r="F54" s="9">
        <v>1095</v>
      </c>
      <c r="G54">
        <v>6</v>
      </c>
      <c r="H54">
        <v>1</v>
      </c>
      <c r="I54">
        <v>63</v>
      </c>
      <c r="J54">
        <v>11</v>
      </c>
      <c r="K54">
        <v>6</v>
      </c>
      <c r="L54">
        <v>100</v>
      </c>
      <c r="M54">
        <v>65</v>
      </c>
      <c r="N54">
        <v>20</v>
      </c>
      <c r="O54" s="11"/>
      <c r="P54" s="12">
        <v>7</v>
      </c>
      <c r="Q54" s="12">
        <v>64</v>
      </c>
      <c r="R54" s="12">
        <v>6</v>
      </c>
      <c r="S54" s="12">
        <v>100</v>
      </c>
      <c r="T54" s="9">
        <v>65</v>
      </c>
      <c r="U54" s="9">
        <v>20</v>
      </c>
      <c r="V54" s="9">
        <f t="shared" si="0"/>
        <v>-1</v>
      </c>
      <c r="W54" s="14">
        <v>6</v>
      </c>
      <c r="X54" s="14">
        <v>1</v>
      </c>
      <c r="Y54" s="14">
        <v>7</v>
      </c>
      <c r="Z54" s="18">
        <f t="shared" si="1"/>
        <v>60</v>
      </c>
      <c r="AA54" s="9">
        <f t="shared" si="5"/>
        <v>0</v>
      </c>
      <c r="AD54"/>
      <c r="AE54"/>
    </row>
    <row r="55" spans="4:31" ht="15" hidden="1">
      <c r="D55" s="9">
        <v>6</v>
      </c>
      <c r="E55" s="9">
        <v>2</v>
      </c>
      <c r="F55" s="9">
        <v>1561</v>
      </c>
      <c r="G55">
        <v>6</v>
      </c>
      <c r="H55">
        <v>2</v>
      </c>
      <c r="I55">
        <v>75</v>
      </c>
      <c r="J55">
        <v>11</v>
      </c>
      <c r="K55">
        <v>6</v>
      </c>
      <c r="L55">
        <v>105</v>
      </c>
      <c r="M55">
        <v>58</v>
      </c>
      <c r="N55">
        <v>22</v>
      </c>
      <c r="O55" s="11"/>
      <c r="P55" s="12">
        <v>7</v>
      </c>
      <c r="Q55" s="12">
        <v>63.5</v>
      </c>
      <c r="R55" s="12">
        <v>6</v>
      </c>
      <c r="S55" s="12">
        <v>100</v>
      </c>
      <c r="T55" s="9">
        <v>65</v>
      </c>
      <c r="U55" s="9">
        <v>20</v>
      </c>
      <c r="V55" s="9">
        <f t="shared" si="0"/>
        <v>11.5</v>
      </c>
      <c r="W55" s="14">
        <v>6</v>
      </c>
      <c r="X55" s="14">
        <v>2</v>
      </c>
      <c r="Y55" s="14">
        <v>15</v>
      </c>
      <c r="Z55" s="18">
        <f t="shared" si="1"/>
        <v>60</v>
      </c>
      <c r="AA55" s="9">
        <f t="shared" si="5"/>
        <v>-5</v>
      </c>
      <c r="AD55"/>
      <c r="AE55"/>
    </row>
    <row r="56" spans="4:31" ht="15" hidden="1">
      <c r="D56" s="9">
        <v>6</v>
      </c>
      <c r="E56" s="9">
        <v>3</v>
      </c>
      <c r="F56" s="9">
        <v>1285</v>
      </c>
      <c r="G56">
        <v>6</v>
      </c>
      <c r="H56">
        <v>3</v>
      </c>
      <c r="I56">
        <v>65.5</v>
      </c>
      <c r="J56">
        <v>11</v>
      </c>
      <c r="K56">
        <v>6</v>
      </c>
      <c r="L56">
        <v>100</v>
      </c>
      <c r="M56">
        <v>65</v>
      </c>
      <c r="N56">
        <v>20</v>
      </c>
      <c r="O56" s="11"/>
      <c r="P56" s="12">
        <v>7</v>
      </c>
      <c r="Q56" s="12">
        <v>70</v>
      </c>
      <c r="R56" s="12">
        <v>6</v>
      </c>
      <c r="S56" s="12">
        <v>90</v>
      </c>
      <c r="T56" s="9">
        <v>80</v>
      </c>
      <c r="U56" s="9">
        <v>15</v>
      </c>
      <c r="V56" s="9">
        <f t="shared" si="0"/>
        <v>-4.5</v>
      </c>
      <c r="W56" s="14">
        <v>6</v>
      </c>
      <c r="X56" s="14">
        <v>3</v>
      </c>
      <c r="Y56" s="14">
        <v>10</v>
      </c>
      <c r="Z56" s="18">
        <f t="shared" si="1"/>
        <v>70</v>
      </c>
      <c r="AA56" s="9">
        <f t="shared" si="5"/>
        <v>-10</v>
      </c>
      <c r="AD56"/>
      <c r="AE56"/>
    </row>
    <row r="57" spans="4:31" ht="15" hidden="1">
      <c r="D57" s="9">
        <v>6</v>
      </c>
      <c r="E57" s="9">
        <v>4</v>
      </c>
      <c r="F57" s="9">
        <v>1472</v>
      </c>
      <c r="G57">
        <v>6</v>
      </c>
      <c r="H57">
        <v>4</v>
      </c>
      <c r="I57">
        <v>66</v>
      </c>
      <c r="J57">
        <v>11</v>
      </c>
      <c r="K57">
        <v>6</v>
      </c>
      <c r="L57">
        <v>85</v>
      </c>
      <c r="M57">
        <v>88</v>
      </c>
      <c r="N57">
        <v>12</v>
      </c>
      <c r="O57" s="11"/>
      <c r="P57" s="12">
        <v>7</v>
      </c>
      <c r="Q57" s="12">
        <v>62.5</v>
      </c>
      <c r="R57" s="12">
        <v>6</v>
      </c>
      <c r="S57" s="12">
        <v>110</v>
      </c>
      <c r="T57" s="9">
        <v>50</v>
      </c>
      <c r="U57" s="9">
        <v>25</v>
      </c>
      <c r="V57" s="9">
        <f t="shared" si="0"/>
        <v>3.5</v>
      </c>
      <c r="W57" s="14">
        <v>6</v>
      </c>
      <c r="X57" s="14">
        <v>4</v>
      </c>
      <c r="Y57" s="14">
        <v>20</v>
      </c>
      <c r="Z57" s="18">
        <f t="shared" si="1"/>
        <v>60</v>
      </c>
      <c r="AA57" s="9">
        <f t="shared" si="5"/>
        <v>25</v>
      </c>
      <c r="AD57"/>
      <c r="AE57"/>
    </row>
    <row r="58" spans="4:31" ht="15" hidden="1">
      <c r="D58" s="9">
        <v>6</v>
      </c>
      <c r="E58" s="9">
        <v>5</v>
      </c>
      <c r="F58" s="9">
        <v>1568</v>
      </c>
      <c r="G58">
        <v>6</v>
      </c>
      <c r="H58">
        <v>5</v>
      </c>
      <c r="I58">
        <v>66.5</v>
      </c>
      <c r="J58">
        <v>11</v>
      </c>
      <c r="K58">
        <v>6</v>
      </c>
      <c r="L58">
        <v>110</v>
      </c>
      <c r="M58">
        <v>50</v>
      </c>
      <c r="N58">
        <v>25</v>
      </c>
      <c r="O58" s="11"/>
      <c r="P58" s="12">
        <v>7</v>
      </c>
      <c r="Q58" s="12">
        <v>62</v>
      </c>
      <c r="R58" s="12">
        <v>6</v>
      </c>
      <c r="S58" s="12">
        <v>100</v>
      </c>
      <c r="T58" s="9">
        <v>65</v>
      </c>
      <c r="U58" s="9">
        <v>20</v>
      </c>
      <c r="V58" s="9">
        <f t="shared" si="0"/>
        <v>4.5</v>
      </c>
      <c r="W58" s="14">
        <v>6</v>
      </c>
      <c r="X58" s="14">
        <v>5</v>
      </c>
      <c r="Y58" s="14">
        <v>12</v>
      </c>
      <c r="Z58" s="18">
        <f t="shared" si="1"/>
        <v>60</v>
      </c>
      <c r="AA58" s="9">
        <f t="shared" si="5"/>
        <v>-10</v>
      </c>
      <c r="AD58"/>
      <c r="AE58"/>
    </row>
    <row r="59" spans="4:31" ht="15" hidden="1">
      <c r="D59" s="9">
        <v>6</v>
      </c>
      <c r="E59" s="9">
        <v>6</v>
      </c>
      <c r="F59" s="9">
        <v>1391</v>
      </c>
      <c r="G59">
        <v>6</v>
      </c>
      <c r="H59">
        <v>6</v>
      </c>
      <c r="I59">
        <v>70.5</v>
      </c>
      <c r="J59">
        <v>11</v>
      </c>
      <c r="K59">
        <v>6</v>
      </c>
      <c r="L59">
        <v>80</v>
      </c>
      <c r="M59">
        <v>95</v>
      </c>
      <c r="N59">
        <v>10</v>
      </c>
      <c r="O59" s="11"/>
      <c r="P59" s="12">
        <v>7</v>
      </c>
      <c r="Q59" s="12">
        <v>73.5</v>
      </c>
      <c r="R59" s="12">
        <v>6</v>
      </c>
      <c r="S59" s="12">
        <v>110</v>
      </c>
      <c r="T59" s="9">
        <v>50</v>
      </c>
      <c r="U59" s="9">
        <v>25</v>
      </c>
      <c r="V59" s="9">
        <f t="shared" si="0"/>
        <v>-3</v>
      </c>
      <c r="W59" s="14">
        <v>6</v>
      </c>
      <c r="X59" s="14">
        <v>6</v>
      </c>
      <c r="Y59" s="14">
        <v>13</v>
      </c>
      <c r="Z59" s="18">
        <f t="shared" si="1"/>
        <v>70</v>
      </c>
      <c r="AA59" s="9">
        <f t="shared" si="5"/>
        <v>30</v>
      </c>
      <c r="AD59"/>
      <c r="AE59"/>
    </row>
    <row r="60" spans="4:31" ht="15" hidden="1">
      <c r="D60" s="9">
        <v>6</v>
      </c>
      <c r="E60" s="9">
        <v>7</v>
      </c>
      <c r="F60" s="9">
        <v>1542</v>
      </c>
      <c r="G60">
        <v>6</v>
      </c>
      <c r="H60">
        <v>7</v>
      </c>
      <c r="I60">
        <v>69.5</v>
      </c>
      <c r="J60">
        <v>11</v>
      </c>
      <c r="K60">
        <v>6</v>
      </c>
      <c r="L60">
        <v>90</v>
      </c>
      <c r="M60">
        <v>80</v>
      </c>
      <c r="N60">
        <v>15</v>
      </c>
      <c r="O60" s="11"/>
      <c r="P60" s="12">
        <v>7</v>
      </c>
      <c r="Q60" s="12">
        <v>69.5</v>
      </c>
      <c r="R60" s="12">
        <v>6</v>
      </c>
      <c r="S60" s="12">
        <v>80</v>
      </c>
      <c r="T60" s="9">
        <v>95</v>
      </c>
      <c r="U60" s="9">
        <v>10</v>
      </c>
      <c r="V60" s="9">
        <f t="shared" si="0"/>
        <v>0</v>
      </c>
      <c r="W60" s="14">
        <v>6</v>
      </c>
      <c r="X60" s="14">
        <v>7</v>
      </c>
      <c r="Y60" s="14">
        <v>20</v>
      </c>
      <c r="Z60" s="18">
        <f t="shared" si="1"/>
        <v>60</v>
      </c>
      <c r="AA60" s="9">
        <f t="shared" si="5"/>
        <v>-10</v>
      </c>
      <c r="AD60"/>
      <c r="AE60"/>
    </row>
    <row r="61" spans="4:31" ht="15" hidden="1">
      <c r="D61" s="9">
        <v>6</v>
      </c>
      <c r="E61" s="9">
        <v>8</v>
      </c>
      <c r="F61" s="9">
        <v>1358</v>
      </c>
      <c r="G61">
        <v>6</v>
      </c>
      <c r="H61">
        <v>8</v>
      </c>
      <c r="I61">
        <v>68.5</v>
      </c>
      <c r="J61">
        <v>11</v>
      </c>
      <c r="K61">
        <v>6</v>
      </c>
      <c r="L61">
        <v>85</v>
      </c>
      <c r="M61">
        <v>88</v>
      </c>
      <c r="N61">
        <v>12</v>
      </c>
      <c r="O61" s="11"/>
      <c r="P61" s="12">
        <v>7</v>
      </c>
      <c r="Q61" s="12">
        <v>68.5</v>
      </c>
      <c r="R61" s="12">
        <v>6</v>
      </c>
      <c r="S61" s="12">
        <v>100</v>
      </c>
      <c r="T61" s="9">
        <v>65</v>
      </c>
      <c r="U61" s="9">
        <v>20</v>
      </c>
      <c r="V61" s="9">
        <f t="shared" si="0"/>
        <v>0</v>
      </c>
      <c r="W61" s="14">
        <v>6</v>
      </c>
      <c r="X61" s="14">
        <v>8</v>
      </c>
      <c r="Y61" s="14">
        <v>12</v>
      </c>
      <c r="Z61" s="18">
        <f t="shared" si="1"/>
        <v>60</v>
      </c>
      <c r="AA61" s="9">
        <f t="shared" si="5"/>
        <v>15</v>
      </c>
      <c r="AD61"/>
      <c r="AE61"/>
    </row>
    <row r="62" spans="4:31" ht="15" hidden="1">
      <c r="D62" s="9">
        <v>6</v>
      </c>
      <c r="E62" s="9">
        <v>9</v>
      </c>
      <c r="F62" s="9">
        <v>1332</v>
      </c>
      <c r="G62">
        <v>6</v>
      </c>
      <c r="H62">
        <v>9</v>
      </c>
      <c r="I62">
        <v>87.5</v>
      </c>
      <c r="J62">
        <v>11</v>
      </c>
      <c r="K62">
        <v>6</v>
      </c>
      <c r="L62">
        <v>110</v>
      </c>
      <c r="M62">
        <v>50</v>
      </c>
      <c r="N62">
        <v>25</v>
      </c>
      <c r="O62" s="11"/>
      <c r="P62" s="12">
        <v>7</v>
      </c>
      <c r="Q62" s="12">
        <v>67.5</v>
      </c>
      <c r="R62" s="12">
        <v>6</v>
      </c>
      <c r="S62" s="12">
        <v>100</v>
      </c>
      <c r="T62" s="9">
        <v>65</v>
      </c>
      <c r="U62" s="9">
        <v>20</v>
      </c>
      <c r="V62" s="9">
        <f t="shared" si="0"/>
        <v>20</v>
      </c>
      <c r="W62" s="14">
        <v>6</v>
      </c>
      <c r="X62" s="14">
        <v>9</v>
      </c>
      <c r="Y62" s="14">
        <v>16</v>
      </c>
      <c r="Z62" s="18">
        <f t="shared" si="1"/>
        <v>60</v>
      </c>
      <c r="AA62" s="9">
        <f t="shared" si="5"/>
        <v>-10</v>
      </c>
      <c r="AD62"/>
      <c r="AE62"/>
    </row>
    <row r="63" spans="4:31" ht="15">
      <c r="D63" s="9">
        <v>7</v>
      </c>
      <c r="E63" s="9">
        <v>0</v>
      </c>
      <c r="F63" s="9">
        <v>1388</v>
      </c>
      <c r="G63">
        <v>7</v>
      </c>
      <c r="H63">
        <v>0</v>
      </c>
      <c r="I63">
        <v>70.5</v>
      </c>
      <c r="J63">
        <v>11</v>
      </c>
      <c r="K63">
        <v>6</v>
      </c>
      <c r="L63">
        <v>100</v>
      </c>
      <c r="M63">
        <v>65</v>
      </c>
      <c r="N63">
        <v>20</v>
      </c>
      <c r="O63" s="11"/>
      <c r="P63" s="12">
        <v>8</v>
      </c>
      <c r="Q63" s="12">
        <v>69.5</v>
      </c>
      <c r="R63" s="12">
        <v>6</v>
      </c>
      <c r="S63" s="12">
        <v>110</v>
      </c>
      <c r="T63" s="9">
        <v>50</v>
      </c>
      <c r="U63" s="9">
        <v>25</v>
      </c>
      <c r="V63" s="9">
        <f t="shared" si="0"/>
        <v>1</v>
      </c>
      <c r="W63" s="14">
        <v>7</v>
      </c>
      <c r="X63" s="14">
        <v>0</v>
      </c>
      <c r="Y63" s="14">
        <v>12</v>
      </c>
      <c r="Z63" s="18">
        <f t="shared" si="1"/>
        <v>60</v>
      </c>
      <c r="AA63" s="9">
        <f t="shared" si="5"/>
        <v>10</v>
      </c>
      <c r="AB63" s="9">
        <f>SUM(S23:S63)/50</f>
        <v>80.400000000000006</v>
      </c>
      <c r="AD63"/>
      <c r="AE63"/>
    </row>
    <row r="64" spans="4:31" ht="15" hidden="1">
      <c r="D64" s="9">
        <v>7</v>
      </c>
      <c r="E64" s="9">
        <v>1</v>
      </c>
      <c r="F64" s="9">
        <v>1185</v>
      </c>
      <c r="G64">
        <v>7</v>
      </c>
      <c r="H64">
        <v>1</v>
      </c>
      <c r="I64">
        <v>64</v>
      </c>
      <c r="J64">
        <v>11</v>
      </c>
      <c r="K64">
        <v>6</v>
      </c>
      <c r="L64">
        <v>105</v>
      </c>
      <c r="M64">
        <v>58</v>
      </c>
      <c r="N64">
        <v>22</v>
      </c>
      <c r="O64" s="11"/>
      <c r="P64" s="12">
        <v>8</v>
      </c>
      <c r="Q64" s="12">
        <v>67.5</v>
      </c>
      <c r="R64" s="12">
        <v>6</v>
      </c>
      <c r="S64" s="12">
        <v>100</v>
      </c>
      <c r="T64" s="9">
        <v>65</v>
      </c>
      <c r="U64" s="9">
        <v>20</v>
      </c>
      <c r="V64" s="9">
        <f t="shared" si="0"/>
        <v>-3.5</v>
      </c>
      <c r="W64" s="14">
        <v>7</v>
      </c>
      <c r="X64" s="14">
        <v>1</v>
      </c>
      <c r="Y64" s="14">
        <v>19</v>
      </c>
      <c r="Z64" s="18">
        <f t="shared" si="1"/>
        <v>60</v>
      </c>
      <c r="AA64" s="9">
        <f t="shared" si="5"/>
        <v>-5</v>
      </c>
      <c r="AD64"/>
      <c r="AE64"/>
    </row>
    <row r="65" spans="4:31" ht="15" hidden="1">
      <c r="D65" s="9">
        <v>7</v>
      </c>
      <c r="E65" s="9">
        <v>2</v>
      </c>
      <c r="F65" s="9">
        <v>1575</v>
      </c>
      <c r="G65">
        <v>7</v>
      </c>
      <c r="H65">
        <v>2</v>
      </c>
      <c r="I65">
        <v>63.5</v>
      </c>
      <c r="J65">
        <v>11</v>
      </c>
      <c r="K65">
        <v>6</v>
      </c>
      <c r="L65">
        <v>80</v>
      </c>
      <c r="M65">
        <v>95</v>
      </c>
      <c r="N65">
        <v>10</v>
      </c>
      <c r="O65" s="11"/>
      <c r="P65" s="12">
        <v>8</v>
      </c>
      <c r="Q65" s="12">
        <v>75</v>
      </c>
      <c r="R65" s="12">
        <v>6</v>
      </c>
      <c r="S65" s="12">
        <v>110</v>
      </c>
      <c r="T65" s="9">
        <v>50</v>
      </c>
      <c r="U65" s="9">
        <v>25</v>
      </c>
      <c r="V65" s="9">
        <f t="shared" si="0"/>
        <v>-11.5</v>
      </c>
      <c r="W65" s="14">
        <v>7</v>
      </c>
      <c r="X65" s="14">
        <v>2</v>
      </c>
      <c r="Y65" s="14">
        <v>12</v>
      </c>
      <c r="Z65" s="18">
        <f t="shared" si="1"/>
        <v>70</v>
      </c>
      <c r="AA65" s="9">
        <f t="shared" si="5"/>
        <v>30</v>
      </c>
      <c r="AD65"/>
      <c r="AE65"/>
    </row>
    <row r="66" spans="4:31" ht="15" hidden="1">
      <c r="D66" s="9">
        <v>7</v>
      </c>
      <c r="E66" s="9">
        <v>3</v>
      </c>
      <c r="F66" s="9">
        <v>1290</v>
      </c>
      <c r="G66">
        <v>7</v>
      </c>
      <c r="H66">
        <v>3</v>
      </c>
      <c r="I66">
        <v>70</v>
      </c>
      <c r="J66">
        <v>11</v>
      </c>
      <c r="K66">
        <v>6</v>
      </c>
      <c r="L66">
        <v>95</v>
      </c>
      <c r="M66">
        <v>72</v>
      </c>
      <c r="N66">
        <v>18</v>
      </c>
      <c r="O66" s="11"/>
      <c r="P66" s="12">
        <v>8</v>
      </c>
      <c r="Q66" s="12">
        <v>65.5</v>
      </c>
      <c r="R66" s="12">
        <v>6</v>
      </c>
      <c r="S66" s="12">
        <v>100</v>
      </c>
      <c r="T66" s="9">
        <v>65</v>
      </c>
      <c r="U66" s="9">
        <v>20</v>
      </c>
      <c r="V66" s="9">
        <f t="shared" si="0"/>
        <v>4.5</v>
      </c>
      <c r="W66" s="14">
        <v>7</v>
      </c>
      <c r="X66" s="14">
        <v>3</v>
      </c>
      <c r="Y66" s="14">
        <v>13</v>
      </c>
      <c r="Z66" s="18">
        <f t="shared" si="1"/>
        <v>60</v>
      </c>
      <c r="AA66" s="9">
        <f t="shared" si="5"/>
        <v>5</v>
      </c>
      <c r="AD66"/>
      <c r="AE66"/>
    </row>
    <row r="67" spans="4:31" ht="15" hidden="1">
      <c r="D67" s="9">
        <v>7</v>
      </c>
      <c r="E67" s="9">
        <v>4</v>
      </c>
      <c r="F67" s="9">
        <v>1464</v>
      </c>
      <c r="G67">
        <v>7</v>
      </c>
      <c r="H67">
        <v>4</v>
      </c>
      <c r="I67">
        <v>62.5</v>
      </c>
      <c r="J67">
        <v>11</v>
      </c>
      <c r="K67">
        <v>6</v>
      </c>
      <c r="L67">
        <v>110</v>
      </c>
      <c r="M67">
        <v>50</v>
      </c>
      <c r="N67">
        <v>25</v>
      </c>
      <c r="O67" s="11"/>
      <c r="P67" s="12">
        <v>8</v>
      </c>
      <c r="Q67" s="12">
        <v>61</v>
      </c>
      <c r="R67" s="12">
        <v>6</v>
      </c>
      <c r="S67" s="12">
        <v>100</v>
      </c>
      <c r="T67" s="9">
        <v>65</v>
      </c>
      <c r="U67" s="9">
        <v>20</v>
      </c>
      <c r="V67" s="9">
        <f t="shared" si="0"/>
        <v>1.5</v>
      </c>
      <c r="W67" s="14">
        <v>7</v>
      </c>
      <c r="X67" s="14">
        <v>4</v>
      </c>
      <c r="Y67" s="14">
        <v>7</v>
      </c>
      <c r="Z67" s="18">
        <f t="shared" si="1"/>
        <v>60</v>
      </c>
      <c r="AA67" s="9">
        <f t="shared" si="5"/>
        <v>-10</v>
      </c>
      <c r="AD67"/>
      <c r="AE67"/>
    </row>
    <row r="68" spans="4:31" ht="15" hidden="1">
      <c r="D68" s="9">
        <v>7</v>
      </c>
      <c r="E68" s="9">
        <v>5</v>
      </c>
      <c r="F68" s="9">
        <v>1553</v>
      </c>
      <c r="G68">
        <v>7</v>
      </c>
      <c r="H68">
        <v>5</v>
      </c>
      <c r="I68">
        <v>62.5</v>
      </c>
      <c r="J68">
        <v>11</v>
      </c>
      <c r="K68">
        <v>6</v>
      </c>
      <c r="L68">
        <v>95</v>
      </c>
      <c r="M68">
        <v>72</v>
      </c>
      <c r="N68">
        <v>18</v>
      </c>
      <c r="O68" s="11"/>
      <c r="P68" s="12">
        <v>8</v>
      </c>
      <c r="Q68" s="12">
        <v>63.5</v>
      </c>
      <c r="R68" s="12">
        <v>6</v>
      </c>
      <c r="S68" s="12">
        <v>100</v>
      </c>
      <c r="T68" s="9">
        <v>65</v>
      </c>
      <c r="U68" s="9">
        <v>20</v>
      </c>
      <c r="V68" s="9">
        <f t="shared" ref="V68:V131" si="6">I68-Q68</f>
        <v>-1</v>
      </c>
      <c r="W68" s="14">
        <v>7</v>
      </c>
      <c r="X68" s="14">
        <v>5</v>
      </c>
      <c r="Y68" s="14">
        <v>11</v>
      </c>
      <c r="Z68" s="18">
        <f t="shared" ref="Z68:Z131" si="7">INT(Q68/10)*10</f>
        <v>60</v>
      </c>
      <c r="AA68" s="9">
        <f t="shared" si="5"/>
        <v>5</v>
      </c>
      <c r="AD68"/>
      <c r="AE68"/>
    </row>
    <row r="69" spans="4:31" ht="15" hidden="1">
      <c r="D69" s="9">
        <v>7</v>
      </c>
      <c r="E69" s="9">
        <v>6</v>
      </c>
      <c r="F69" s="9">
        <v>1393</v>
      </c>
      <c r="G69">
        <v>7</v>
      </c>
      <c r="H69">
        <v>6</v>
      </c>
      <c r="I69">
        <v>73.5</v>
      </c>
      <c r="J69">
        <v>11</v>
      </c>
      <c r="K69">
        <v>6</v>
      </c>
      <c r="L69">
        <v>110</v>
      </c>
      <c r="M69">
        <v>50</v>
      </c>
      <c r="N69">
        <v>25</v>
      </c>
      <c r="O69" s="11"/>
      <c r="P69" s="12">
        <v>8</v>
      </c>
      <c r="Q69" s="12">
        <v>70.5</v>
      </c>
      <c r="R69" s="12">
        <v>6</v>
      </c>
      <c r="S69" s="12">
        <v>100</v>
      </c>
      <c r="T69" s="9">
        <v>65</v>
      </c>
      <c r="U69" s="9">
        <v>20</v>
      </c>
      <c r="V69" s="9">
        <f t="shared" si="6"/>
        <v>3</v>
      </c>
      <c r="W69" s="14">
        <v>7</v>
      </c>
      <c r="X69" s="14">
        <v>6</v>
      </c>
      <c r="Y69" s="14">
        <v>14</v>
      </c>
      <c r="Z69" s="18">
        <f t="shared" si="7"/>
        <v>70</v>
      </c>
      <c r="AA69" s="9">
        <f t="shared" si="5"/>
        <v>-10</v>
      </c>
      <c r="AD69"/>
      <c r="AE69"/>
    </row>
    <row r="70" spans="4:31" ht="15" hidden="1">
      <c r="D70" s="9">
        <v>7</v>
      </c>
      <c r="E70" s="9">
        <v>7</v>
      </c>
      <c r="F70" s="9">
        <v>1550</v>
      </c>
      <c r="G70">
        <v>7</v>
      </c>
      <c r="H70">
        <v>7</v>
      </c>
      <c r="I70">
        <v>68.5</v>
      </c>
      <c r="J70">
        <v>11</v>
      </c>
      <c r="K70">
        <v>6</v>
      </c>
      <c r="L70">
        <v>100</v>
      </c>
      <c r="M70">
        <v>65</v>
      </c>
      <c r="N70">
        <v>20</v>
      </c>
      <c r="O70" s="11"/>
      <c r="P70" s="12">
        <v>8</v>
      </c>
      <c r="Q70" s="12">
        <v>65.5</v>
      </c>
      <c r="R70" s="12">
        <v>6</v>
      </c>
      <c r="S70" s="12">
        <v>100</v>
      </c>
      <c r="T70" s="9">
        <v>65</v>
      </c>
      <c r="U70" s="9">
        <v>20</v>
      </c>
      <c r="V70" s="9">
        <f t="shared" si="6"/>
        <v>3</v>
      </c>
      <c r="W70" s="14">
        <v>7</v>
      </c>
      <c r="X70" s="14">
        <v>7</v>
      </c>
      <c r="Y70" s="14">
        <v>6</v>
      </c>
      <c r="Z70" s="18">
        <f t="shared" si="7"/>
        <v>60</v>
      </c>
      <c r="AA70" s="9">
        <f t="shared" si="5"/>
        <v>0</v>
      </c>
      <c r="AD70"/>
      <c r="AE70"/>
    </row>
    <row r="71" spans="4:31" ht="15" hidden="1">
      <c r="D71" s="9">
        <v>7</v>
      </c>
      <c r="E71" s="9">
        <v>8</v>
      </c>
      <c r="F71" s="9">
        <v>1355</v>
      </c>
      <c r="G71">
        <v>7</v>
      </c>
      <c r="H71">
        <v>8</v>
      </c>
      <c r="I71">
        <v>68.5</v>
      </c>
      <c r="J71">
        <v>11</v>
      </c>
      <c r="K71">
        <v>6</v>
      </c>
      <c r="L71">
        <v>90</v>
      </c>
      <c r="M71">
        <v>80</v>
      </c>
      <c r="N71">
        <v>15</v>
      </c>
      <c r="O71" s="11"/>
      <c r="P71" s="12">
        <v>8</v>
      </c>
      <c r="Q71" s="12">
        <v>66</v>
      </c>
      <c r="R71" s="12">
        <v>6</v>
      </c>
      <c r="S71" s="12">
        <v>100</v>
      </c>
      <c r="T71" s="9">
        <v>65</v>
      </c>
      <c r="U71" s="9">
        <v>20</v>
      </c>
      <c r="V71" s="9">
        <f t="shared" si="6"/>
        <v>2.5</v>
      </c>
      <c r="W71" s="14">
        <v>7</v>
      </c>
      <c r="X71" s="14">
        <v>8</v>
      </c>
      <c r="Y71" s="14">
        <v>12</v>
      </c>
      <c r="Z71" s="18">
        <f t="shared" si="7"/>
        <v>60</v>
      </c>
      <c r="AA71" s="9">
        <f t="shared" si="5"/>
        <v>10</v>
      </c>
      <c r="AD71"/>
      <c r="AE71"/>
    </row>
    <row r="72" spans="4:31" ht="15" hidden="1">
      <c r="D72" s="9">
        <v>7</v>
      </c>
      <c r="E72" s="9">
        <v>9</v>
      </c>
      <c r="F72" s="9">
        <v>1416</v>
      </c>
      <c r="G72">
        <v>7</v>
      </c>
      <c r="H72">
        <v>9</v>
      </c>
      <c r="I72">
        <v>67.5</v>
      </c>
      <c r="J72">
        <v>11</v>
      </c>
      <c r="K72">
        <v>6</v>
      </c>
      <c r="L72">
        <v>110</v>
      </c>
      <c r="M72">
        <v>50</v>
      </c>
      <c r="N72">
        <v>25</v>
      </c>
      <c r="O72" s="11"/>
      <c r="P72" s="12">
        <v>8</v>
      </c>
      <c r="Q72" s="12">
        <v>89.5</v>
      </c>
      <c r="R72" s="12">
        <v>6</v>
      </c>
      <c r="S72" s="12">
        <v>100</v>
      </c>
      <c r="T72" s="9">
        <v>65</v>
      </c>
      <c r="U72" s="9">
        <v>20</v>
      </c>
      <c r="V72" s="9">
        <f t="shared" si="6"/>
        <v>-22</v>
      </c>
      <c r="W72" s="14">
        <v>7</v>
      </c>
      <c r="X72" s="14">
        <v>9</v>
      </c>
      <c r="Y72" s="14">
        <v>12</v>
      </c>
      <c r="Z72" s="18">
        <f t="shared" si="7"/>
        <v>80</v>
      </c>
      <c r="AA72" s="9">
        <f t="shared" si="5"/>
        <v>-10</v>
      </c>
      <c r="AD72"/>
      <c r="AE72"/>
    </row>
    <row r="73" spans="4:31" ht="15">
      <c r="D73" s="9">
        <v>8</v>
      </c>
      <c r="E73" s="9">
        <v>0</v>
      </c>
      <c r="F73" s="9">
        <v>1401</v>
      </c>
      <c r="G73">
        <v>8</v>
      </c>
      <c r="H73">
        <v>0</v>
      </c>
      <c r="I73">
        <v>69.5</v>
      </c>
      <c r="J73">
        <v>11</v>
      </c>
      <c r="K73">
        <v>6</v>
      </c>
      <c r="L73">
        <v>115</v>
      </c>
      <c r="M73">
        <v>42</v>
      </c>
      <c r="N73">
        <v>28</v>
      </c>
      <c r="O73" s="11"/>
      <c r="P73" s="12">
        <v>9</v>
      </c>
      <c r="Q73" s="12">
        <v>70.5</v>
      </c>
      <c r="R73" s="12">
        <v>6</v>
      </c>
      <c r="S73" s="12">
        <v>90</v>
      </c>
      <c r="T73" s="9">
        <v>80</v>
      </c>
      <c r="U73" s="9">
        <v>15</v>
      </c>
      <c r="V73" s="9">
        <f t="shared" si="6"/>
        <v>-1</v>
      </c>
      <c r="W73" s="14">
        <v>8</v>
      </c>
      <c r="X73" s="14">
        <v>0</v>
      </c>
      <c r="Y73" s="14">
        <v>12</v>
      </c>
      <c r="Z73" s="18">
        <f t="shared" si="7"/>
        <v>70</v>
      </c>
      <c r="AA73" s="9">
        <f t="shared" si="5"/>
        <v>-25</v>
      </c>
      <c r="AB73" s="9">
        <f>SUM(S33:S73)/50</f>
        <v>81</v>
      </c>
      <c r="AD73"/>
      <c r="AE73"/>
    </row>
    <row r="74" spans="4:31" ht="15" hidden="1">
      <c r="D74" s="9">
        <v>8</v>
      </c>
      <c r="E74" s="9">
        <v>1</v>
      </c>
      <c r="F74" s="9">
        <v>1237</v>
      </c>
      <c r="G74">
        <v>8</v>
      </c>
      <c r="H74">
        <v>1</v>
      </c>
      <c r="I74">
        <v>68</v>
      </c>
      <c r="J74">
        <v>11</v>
      </c>
      <c r="K74">
        <v>6</v>
      </c>
      <c r="L74">
        <v>95</v>
      </c>
      <c r="M74">
        <v>72</v>
      </c>
      <c r="N74">
        <v>18</v>
      </c>
      <c r="O74" s="11"/>
      <c r="P74" s="12">
        <v>9</v>
      </c>
      <c r="Q74" s="12">
        <v>67.5</v>
      </c>
      <c r="R74" s="12">
        <v>6</v>
      </c>
      <c r="S74" s="12">
        <v>100</v>
      </c>
      <c r="T74" s="9">
        <v>65</v>
      </c>
      <c r="U74" s="9">
        <v>20</v>
      </c>
      <c r="V74" s="9">
        <f t="shared" si="6"/>
        <v>0.5</v>
      </c>
      <c r="W74" s="14">
        <v>8</v>
      </c>
      <c r="X74" s="14">
        <v>1</v>
      </c>
      <c r="Y74" s="14">
        <v>11</v>
      </c>
      <c r="Z74" s="18">
        <f t="shared" si="7"/>
        <v>60</v>
      </c>
      <c r="AA74" s="9">
        <f t="shared" si="5"/>
        <v>5</v>
      </c>
      <c r="AD74"/>
      <c r="AE74"/>
    </row>
    <row r="75" spans="4:31" ht="15" hidden="1">
      <c r="D75" s="9">
        <v>8</v>
      </c>
      <c r="E75" s="9">
        <v>2</v>
      </c>
      <c r="F75" s="9">
        <v>1537</v>
      </c>
      <c r="G75">
        <v>8</v>
      </c>
      <c r="H75">
        <v>2</v>
      </c>
      <c r="I75">
        <v>75</v>
      </c>
      <c r="J75">
        <v>11</v>
      </c>
      <c r="K75">
        <v>6</v>
      </c>
      <c r="L75">
        <v>115</v>
      </c>
      <c r="M75">
        <v>42</v>
      </c>
      <c r="N75">
        <v>28</v>
      </c>
      <c r="O75" s="11"/>
      <c r="P75" s="12">
        <v>9</v>
      </c>
      <c r="Q75" s="12">
        <v>73</v>
      </c>
      <c r="R75" s="12">
        <v>6</v>
      </c>
      <c r="S75" s="12">
        <v>90</v>
      </c>
      <c r="T75" s="9">
        <v>80</v>
      </c>
      <c r="U75" s="9">
        <v>15</v>
      </c>
      <c r="V75" s="9">
        <f t="shared" si="6"/>
        <v>2</v>
      </c>
      <c r="W75" s="14">
        <v>8</v>
      </c>
      <c r="X75" s="14">
        <v>2</v>
      </c>
      <c r="Y75" s="14">
        <v>12</v>
      </c>
      <c r="Z75" s="18">
        <f t="shared" si="7"/>
        <v>70</v>
      </c>
      <c r="AA75" s="9">
        <f t="shared" si="5"/>
        <v>-25</v>
      </c>
      <c r="AD75"/>
      <c r="AE75"/>
    </row>
    <row r="76" spans="4:31" ht="15" hidden="1">
      <c r="D76" s="9">
        <v>8</v>
      </c>
      <c r="E76" s="9">
        <v>3</v>
      </c>
      <c r="F76" s="9">
        <v>1269</v>
      </c>
      <c r="G76">
        <v>8</v>
      </c>
      <c r="H76">
        <v>3</v>
      </c>
      <c r="I76">
        <v>65.5</v>
      </c>
      <c r="J76">
        <v>11</v>
      </c>
      <c r="K76">
        <v>6</v>
      </c>
      <c r="L76">
        <v>100</v>
      </c>
      <c r="M76">
        <v>65</v>
      </c>
      <c r="N76">
        <v>20</v>
      </c>
      <c r="O76" s="11"/>
      <c r="P76" s="12">
        <v>9</v>
      </c>
      <c r="Q76" s="12">
        <v>70</v>
      </c>
      <c r="R76" s="12">
        <v>6</v>
      </c>
      <c r="S76" s="12">
        <v>100</v>
      </c>
      <c r="T76" s="9">
        <v>65</v>
      </c>
      <c r="U76" s="9">
        <v>20</v>
      </c>
      <c r="V76" s="9">
        <f t="shared" si="6"/>
        <v>-4.5</v>
      </c>
      <c r="W76" s="14">
        <v>8</v>
      </c>
      <c r="X76" s="14">
        <v>3</v>
      </c>
      <c r="Y76" s="14">
        <v>10</v>
      </c>
      <c r="Z76" s="18">
        <f t="shared" si="7"/>
        <v>70</v>
      </c>
      <c r="AA76" s="9">
        <f t="shared" si="5"/>
        <v>0</v>
      </c>
      <c r="AD76"/>
      <c r="AE76"/>
    </row>
    <row r="77" spans="4:31" ht="15" hidden="1">
      <c r="D77" s="9">
        <v>8</v>
      </c>
      <c r="E77" s="9">
        <v>4</v>
      </c>
      <c r="F77" s="9">
        <v>1504</v>
      </c>
      <c r="G77">
        <v>8</v>
      </c>
      <c r="H77">
        <v>4</v>
      </c>
      <c r="I77">
        <v>61</v>
      </c>
      <c r="J77">
        <v>11</v>
      </c>
      <c r="K77">
        <v>6</v>
      </c>
      <c r="L77">
        <v>120</v>
      </c>
      <c r="M77">
        <v>35</v>
      </c>
      <c r="N77">
        <v>30</v>
      </c>
      <c r="O77" s="11"/>
      <c r="P77" s="12">
        <v>9</v>
      </c>
      <c r="Q77" s="12">
        <v>66</v>
      </c>
      <c r="R77" s="12">
        <v>6</v>
      </c>
      <c r="S77" s="12">
        <v>110</v>
      </c>
      <c r="T77" s="9">
        <v>50</v>
      </c>
      <c r="U77" s="9">
        <v>25</v>
      </c>
      <c r="V77" s="9">
        <f t="shared" si="6"/>
        <v>-5</v>
      </c>
      <c r="W77" s="14">
        <v>8</v>
      </c>
      <c r="X77" s="14">
        <v>4</v>
      </c>
      <c r="Y77" s="14">
        <v>11</v>
      </c>
      <c r="Z77" s="18">
        <f t="shared" si="7"/>
        <v>60</v>
      </c>
      <c r="AA77" s="9">
        <f t="shared" si="5"/>
        <v>-10</v>
      </c>
      <c r="AD77"/>
      <c r="AE77"/>
    </row>
    <row r="78" spans="4:31" ht="15" hidden="1">
      <c r="D78" s="9">
        <v>8</v>
      </c>
      <c r="E78" s="9">
        <v>5</v>
      </c>
      <c r="F78" s="9">
        <v>1575</v>
      </c>
      <c r="G78">
        <v>8</v>
      </c>
      <c r="H78">
        <v>5</v>
      </c>
      <c r="I78">
        <v>63.5</v>
      </c>
      <c r="J78">
        <v>11</v>
      </c>
      <c r="K78">
        <v>6</v>
      </c>
      <c r="L78">
        <v>105</v>
      </c>
      <c r="M78">
        <v>58</v>
      </c>
      <c r="N78">
        <v>22</v>
      </c>
      <c r="O78" s="11"/>
      <c r="P78" s="12">
        <v>9</v>
      </c>
      <c r="Q78" s="12">
        <v>66.5</v>
      </c>
      <c r="R78" s="12">
        <v>6</v>
      </c>
      <c r="S78" s="12">
        <v>90</v>
      </c>
      <c r="T78" s="9">
        <v>80</v>
      </c>
      <c r="U78" s="9">
        <v>15</v>
      </c>
      <c r="V78" s="9">
        <f t="shared" si="6"/>
        <v>-3</v>
      </c>
      <c r="W78" s="14">
        <v>8</v>
      </c>
      <c r="X78" s="14">
        <v>5</v>
      </c>
      <c r="Y78" s="14">
        <v>16</v>
      </c>
      <c r="Z78" s="18">
        <f t="shared" si="7"/>
        <v>60</v>
      </c>
      <c r="AA78" s="9">
        <f t="shared" si="5"/>
        <v>-15</v>
      </c>
      <c r="AD78"/>
      <c r="AE78"/>
    </row>
    <row r="79" spans="4:31" ht="15" hidden="1">
      <c r="D79" s="9">
        <v>8</v>
      </c>
      <c r="E79" s="9">
        <v>6</v>
      </c>
      <c r="F79" s="9">
        <v>1389</v>
      </c>
      <c r="G79">
        <v>8</v>
      </c>
      <c r="H79">
        <v>6</v>
      </c>
      <c r="I79">
        <v>70.5</v>
      </c>
      <c r="J79">
        <v>11</v>
      </c>
      <c r="K79">
        <v>6</v>
      </c>
      <c r="L79">
        <v>110</v>
      </c>
      <c r="M79">
        <v>50</v>
      </c>
      <c r="N79">
        <v>25</v>
      </c>
      <c r="O79" s="11"/>
      <c r="P79" s="12">
        <v>9</v>
      </c>
      <c r="Q79" s="12">
        <v>72</v>
      </c>
      <c r="R79" s="12">
        <v>6</v>
      </c>
      <c r="S79" s="12">
        <v>80</v>
      </c>
      <c r="T79" s="9">
        <v>95</v>
      </c>
      <c r="U79" s="9">
        <v>10</v>
      </c>
      <c r="V79" s="9">
        <f t="shared" si="6"/>
        <v>-1.5</v>
      </c>
      <c r="W79" s="14">
        <v>8</v>
      </c>
      <c r="X79" s="14">
        <v>6</v>
      </c>
      <c r="Y79" s="14">
        <v>13</v>
      </c>
      <c r="Z79" s="18">
        <f t="shared" si="7"/>
        <v>70</v>
      </c>
      <c r="AA79" s="9">
        <f t="shared" si="5"/>
        <v>-30</v>
      </c>
      <c r="AD79"/>
      <c r="AE79"/>
    </row>
    <row r="80" spans="4:31" ht="15" hidden="1">
      <c r="D80" s="9">
        <v>8</v>
      </c>
      <c r="E80" s="9">
        <v>7</v>
      </c>
      <c r="F80" s="9">
        <v>1526</v>
      </c>
      <c r="G80">
        <v>8</v>
      </c>
      <c r="H80">
        <v>7</v>
      </c>
      <c r="I80">
        <v>65.5</v>
      </c>
      <c r="J80">
        <v>11</v>
      </c>
      <c r="K80">
        <v>6</v>
      </c>
      <c r="L80">
        <v>90</v>
      </c>
      <c r="M80">
        <v>80</v>
      </c>
      <c r="N80">
        <v>15</v>
      </c>
      <c r="O80" s="11"/>
      <c r="P80" s="12">
        <v>9</v>
      </c>
      <c r="Q80" s="12">
        <v>64</v>
      </c>
      <c r="R80" s="12">
        <v>6</v>
      </c>
      <c r="S80" s="12">
        <v>100</v>
      </c>
      <c r="T80" s="9">
        <v>65</v>
      </c>
      <c r="U80" s="9">
        <v>20</v>
      </c>
      <c r="V80" s="9">
        <f t="shared" si="6"/>
        <v>1.5</v>
      </c>
      <c r="W80" s="14">
        <v>8</v>
      </c>
      <c r="X80" s="14">
        <v>7</v>
      </c>
      <c r="Y80" s="14">
        <v>7</v>
      </c>
      <c r="Z80" s="18">
        <f t="shared" si="7"/>
        <v>60</v>
      </c>
      <c r="AA80" s="9">
        <f t="shared" si="5"/>
        <v>10</v>
      </c>
      <c r="AD80"/>
      <c r="AE80"/>
    </row>
    <row r="81" spans="4:31" ht="15" hidden="1">
      <c r="D81" s="9">
        <v>8</v>
      </c>
      <c r="E81" s="9">
        <v>8</v>
      </c>
      <c r="F81" s="9">
        <v>1332</v>
      </c>
      <c r="G81">
        <v>8</v>
      </c>
      <c r="H81">
        <v>8</v>
      </c>
      <c r="I81">
        <v>66</v>
      </c>
      <c r="J81">
        <v>11</v>
      </c>
      <c r="K81">
        <v>6</v>
      </c>
      <c r="L81">
        <v>110</v>
      </c>
      <c r="M81">
        <v>50</v>
      </c>
      <c r="N81">
        <v>25</v>
      </c>
      <c r="O81" s="11"/>
      <c r="P81" s="12">
        <v>9</v>
      </c>
      <c r="Q81" s="12">
        <v>76</v>
      </c>
      <c r="R81" s="12">
        <v>6</v>
      </c>
      <c r="S81" s="12">
        <v>100</v>
      </c>
      <c r="T81" s="9">
        <v>65</v>
      </c>
      <c r="U81" s="9">
        <v>20</v>
      </c>
      <c r="V81" s="9">
        <f t="shared" si="6"/>
        <v>-10</v>
      </c>
      <c r="W81" s="14">
        <v>8</v>
      </c>
      <c r="X81" s="14">
        <v>8</v>
      </c>
      <c r="Y81" s="14">
        <v>13</v>
      </c>
      <c r="Z81" s="18">
        <f t="shared" si="7"/>
        <v>70</v>
      </c>
      <c r="AA81" s="9">
        <f t="shared" si="5"/>
        <v>-10</v>
      </c>
      <c r="AD81"/>
      <c r="AE81"/>
    </row>
    <row r="82" spans="4:31" ht="15" hidden="1">
      <c r="D82" s="9">
        <v>8</v>
      </c>
      <c r="E82" s="9">
        <v>9</v>
      </c>
      <c r="F82" s="9">
        <v>1412</v>
      </c>
      <c r="G82">
        <v>8</v>
      </c>
      <c r="H82">
        <v>9</v>
      </c>
      <c r="I82">
        <v>89.5</v>
      </c>
      <c r="J82">
        <v>11</v>
      </c>
      <c r="K82">
        <v>6</v>
      </c>
      <c r="L82">
        <v>85</v>
      </c>
      <c r="M82">
        <v>88</v>
      </c>
      <c r="N82">
        <v>12</v>
      </c>
      <c r="O82" s="11"/>
      <c r="P82" s="12">
        <v>9</v>
      </c>
      <c r="Q82" s="12">
        <v>84.5</v>
      </c>
      <c r="R82" s="12">
        <v>6</v>
      </c>
      <c r="S82" s="12">
        <v>90</v>
      </c>
      <c r="T82" s="9">
        <v>80</v>
      </c>
      <c r="U82" s="9">
        <v>15</v>
      </c>
      <c r="V82" s="9">
        <f t="shared" si="6"/>
        <v>5</v>
      </c>
      <c r="W82" s="14">
        <v>8</v>
      </c>
      <c r="X82" s="14">
        <v>9</v>
      </c>
      <c r="Y82" s="14">
        <v>9</v>
      </c>
      <c r="Z82" s="18">
        <f t="shared" si="7"/>
        <v>80</v>
      </c>
      <c r="AA82" s="9">
        <f t="shared" si="5"/>
        <v>5</v>
      </c>
      <c r="AD82"/>
      <c r="AE82"/>
    </row>
    <row r="83" spans="4:31" ht="15">
      <c r="D83" s="9">
        <v>9</v>
      </c>
      <c r="E83" s="9">
        <v>0</v>
      </c>
      <c r="F83" s="9">
        <v>1394</v>
      </c>
      <c r="G83">
        <v>9</v>
      </c>
      <c r="H83">
        <v>0</v>
      </c>
      <c r="I83">
        <v>70</v>
      </c>
      <c r="J83">
        <v>11</v>
      </c>
      <c r="K83">
        <v>6</v>
      </c>
      <c r="L83">
        <v>105</v>
      </c>
      <c r="M83">
        <v>58</v>
      </c>
      <c r="N83">
        <v>22</v>
      </c>
      <c r="O83" s="11"/>
      <c r="P83" s="12">
        <v>10</v>
      </c>
      <c r="Q83" s="12">
        <v>62.5</v>
      </c>
      <c r="R83" s="12">
        <v>6</v>
      </c>
      <c r="S83" s="12">
        <v>80</v>
      </c>
      <c r="T83" s="9">
        <v>95</v>
      </c>
      <c r="U83" s="9">
        <v>10</v>
      </c>
      <c r="V83" s="9">
        <f t="shared" si="6"/>
        <v>7.5</v>
      </c>
      <c r="W83" s="14">
        <v>9</v>
      </c>
      <c r="X83" s="14">
        <v>0</v>
      </c>
      <c r="Y83" s="14">
        <v>13</v>
      </c>
      <c r="Z83" s="18">
        <f t="shared" si="7"/>
        <v>60</v>
      </c>
      <c r="AA83" s="9">
        <f t="shared" si="5"/>
        <v>-25</v>
      </c>
      <c r="AB83" s="9">
        <f>SUM(S43:S83)/50</f>
        <v>80</v>
      </c>
      <c r="AD83"/>
      <c r="AE83"/>
    </row>
    <row r="84" spans="4:31" ht="15" hidden="1">
      <c r="D84" s="9">
        <v>9</v>
      </c>
      <c r="E84" s="9">
        <v>1</v>
      </c>
      <c r="F84" s="9">
        <v>1220</v>
      </c>
      <c r="G84">
        <v>9</v>
      </c>
      <c r="H84">
        <v>1</v>
      </c>
      <c r="I84">
        <v>67.5</v>
      </c>
      <c r="J84">
        <v>11</v>
      </c>
      <c r="K84">
        <v>6</v>
      </c>
      <c r="L84">
        <v>90</v>
      </c>
      <c r="M84">
        <v>80</v>
      </c>
      <c r="N84">
        <v>15</v>
      </c>
      <c r="O84" s="11"/>
      <c r="P84" s="12">
        <v>10</v>
      </c>
      <c r="Q84" s="12">
        <v>75.5</v>
      </c>
      <c r="R84" s="12">
        <v>6</v>
      </c>
      <c r="S84" s="12">
        <v>100</v>
      </c>
      <c r="T84" s="9">
        <v>65</v>
      </c>
      <c r="U84" s="9">
        <v>20</v>
      </c>
      <c r="V84" s="9">
        <f t="shared" si="6"/>
        <v>-8</v>
      </c>
      <c r="W84" s="14">
        <v>9</v>
      </c>
      <c r="X84" s="14">
        <v>1</v>
      </c>
      <c r="Y84" s="14">
        <v>14</v>
      </c>
      <c r="Z84" s="18">
        <f t="shared" si="7"/>
        <v>70</v>
      </c>
      <c r="AA84" s="9">
        <f t="shared" si="5"/>
        <v>10</v>
      </c>
      <c r="AD84"/>
      <c r="AE84"/>
    </row>
    <row r="85" spans="4:31" ht="15" hidden="1">
      <c r="D85" s="9">
        <v>9</v>
      </c>
      <c r="E85" s="9">
        <v>2</v>
      </c>
      <c r="F85" s="9">
        <v>1560</v>
      </c>
      <c r="G85">
        <v>9</v>
      </c>
      <c r="H85">
        <v>2</v>
      </c>
      <c r="I85">
        <v>73</v>
      </c>
      <c r="J85">
        <v>11</v>
      </c>
      <c r="K85">
        <v>6</v>
      </c>
      <c r="L85">
        <v>100</v>
      </c>
      <c r="M85">
        <v>65</v>
      </c>
      <c r="N85">
        <v>20</v>
      </c>
      <c r="O85" s="11"/>
      <c r="P85" s="12">
        <v>10</v>
      </c>
      <c r="Q85" s="12">
        <v>74</v>
      </c>
      <c r="R85" s="12">
        <v>6</v>
      </c>
      <c r="S85" s="12">
        <v>100</v>
      </c>
      <c r="T85" s="9">
        <v>65</v>
      </c>
      <c r="U85" s="9">
        <v>20</v>
      </c>
      <c r="V85" s="9">
        <f t="shared" si="6"/>
        <v>-1</v>
      </c>
      <c r="W85" s="14">
        <v>9</v>
      </c>
      <c r="X85" s="14">
        <v>2</v>
      </c>
      <c r="Y85" s="14">
        <v>13</v>
      </c>
      <c r="Z85" s="18">
        <f t="shared" si="7"/>
        <v>70</v>
      </c>
      <c r="AA85" s="9">
        <f t="shared" si="5"/>
        <v>0</v>
      </c>
      <c r="AD85"/>
      <c r="AE85"/>
    </row>
    <row r="86" spans="4:31" ht="15" hidden="1">
      <c r="D86" s="9">
        <v>9</v>
      </c>
      <c r="E86" s="9">
        <v>3</v>
      </c>
      <c r="F86" s="9">
        <v>1324</v>
      </c>
      <c r="G86">
        <v>9</v>
      </c>
      <c r="H86">
        <v>3</v>
      </c>
      <c r="I86">
        <v>70</v>
      </c>
      <c r="J86">
        <v>11</v>
      </c>
      <c r="K86">
        <v>6</v>
      </c>
      <c r="L86">
        <v>100</v>
      </c>
      <c r="M86">
        <v>65</v>
      </c>
      <c r="N86">
        <v>20</v>
      </c>
      <c r="O86" s="11"/>
      <c r="P86" s="12">
        <v>10</v>
      </c>
      <c r="Q86" s="12">
        <v>62</v>
      </c>
      <c r="R86" s="12">
        <v>6</v>
      </c>
      <c r="S86" s="12">
        <v>80</v>
      </c>
      <c r="T86" s="9">
        <v>95</v>
      </c>
      <c r="U86" s="9">
        <v>10</v>
      </c>
      <c r="V86" s="9">
        <f t="shared" si="6"/>
        <v>8</v>
      </c>
      <c r="W86" s="14">
        <v>9</v>
      </c>
      <c r="X86" s="14">
        <v>3</v>
      </c>
      <c r="Y86" s="14">
        <v>15</v>
      </c>
      <c r="Z86" s="18">
        <f t="shared" si="7"/>
        <v>60</v>
      </c>
      <c r="AA86" s="9">
        <f t="shared" si="5"/>
        <v>-20</v>
      </c>
      <c r="AD86"/>
      <c r="AE86"/>
    </row>
    <row r="87" spans="4:31" ht="15" hidden="1">
      <c r="D87" s="9">
        <v>9</v>
      </c>
      <c r="E87" s="9">
        <v>4</v>
      </c>
      <c r="F87" s="9">
        <v>1410</v>
      </c>
      <c r="G87">
        <v>9</v>
      </c>
      <c r="H87">
        <v>4</v>
      </c>
      <c r="I87">
        <v>60</v>
      </c>
      <c r="J87">
        <v>10</v>
      </c>
      <c r="K87">
        <v>6</v>
      </c>
      <c r="L87">
        <v>90</v>
      </c>
      <c r="M87">
        <v>80</v>
      </c>
      <c r="N87">
        <v>15</v>
      </c>
      <c r="O87" s="11"/>
      <c r="P87" s="12">
        <v>10</v>
      </c>
      <c r="Q87" s="12">
        <v>61</v>
      </c>
      <c r="R87" s="12">
        <v>6</v>
      </c>
      <c r="S87" s="12">
        <v>110</v>
      </c>
      <c r="T87" s="9">
        <v>50</v>
      </c>
      <c r="U87" s="9">
        <v>25</v>
      </c>
      <c r="V87" s="9">
        <f t="shared" si="6"/>
        <v>-1</v>
      </c>
      <c r="W87" s="14">
        <v>9</v>
      </c>
      <c r="X87" s="14">
        <v>4</v>
      </c>
      <c r="Y87" s="14">
        <v>14</v>
      </c>
      <c r="Z87" s="18">
        <f t="shared" si="7"/>
        <v>60</v>
      </c>
      <c r="AA87" s="9">
        <f t="shared" si="5"/>
        <v>20</v>
      </c>
      <c r="AD87"/>
      <c r="AE87"/>
    </row>
    <row r="88" spans="4:31" ht="15" hidden="1">
      <c r="D88" s="9">
        <v>9</v>
      </c>
      <c r="E88" s="9">
        <v>5</v>
      </c>
      <c r="F88" s="9">
        <v>1550</v>
      </c>
      <c r="G88">
        <v>9</v>
      </c>
      <c r="H88">
        <v>5</v>
      </c>
      <c r="I88">
        <v>66.5</v>
      </c>
      <c r="J88">
        <v>11</v>
      </c>
      <c r="K88">
        <v>6</v>
      </c>
      <c r="L88">
        <v>90</v>
      </c>
      <c r="M88">
        <v>80</v>
      </c>
      <c r="N88">
        <v>15</v>
      </c>
      <c r="O88" s="11"/>
      <c r="P88" s="12">
        <v>10</v>
      </c>
      <c r="Q88" s="12">
        <v>73</v>
      </c>
      <c r="R88" s="12">
        <v>6</v>
      </c>
      <c r="S88" s="12">
        <v>100</v>
      </c>
      <c r="T88" s="9">
        <v>65</v>
      </c>
      <c r="U88" s="9">
        <v>20</v>
      </c>
      <c r="V88" s="9">
        <f t="shared" si="6"/>
        <v>-6.5</v>
      </c>
      <c r="W88" s="14">
        <v>9</v>
      </c>
      <c r="X88" s="14">
        <v>5</v>
      </c>
      <c r="Y88" s="14">
        <v>9</v>
      </c>
      <c r="Z88" s="18">
        <f t="shared" si="7"/>
        <v>70</v>
      </c>
      <c r="AA88" s="9">
        <f t="shared" si="5"/>
        <v>10</v>
      </c>
      <c r="AD88"/>
      <c r="AE88"/>
    </row>
    <row r="89" spans="4:31" ht="15" hidden="1">
      <c r="D89" s="9">
        <v>9</v>
      </c>
      <c r="E89" s="9">
        <v>6</v>
      </c>
      <c r="F89" s="9">
        <v>1389</v>
      </c>
      <c r="G89">
        <v>9</v>
      </c>
      <c r="H89">
        <v>6</v>
      </c>
      <c r="I89">
        <v>72</v>
      </c>
      <c r="J89">
        <v>11</v>
      </c>
      <c r="K89">
        <v>6</v>
      </c>
      <c r="L89">
        <v>80</v>
      </c>
      <c r="M89">
        <v>95</v>
      </c>
      <c r="N89">
        <v>10</v>
      </c>
      <c r="O89" s="11"/>
      <c r="P89" s="12">
        <v>10</v>
      </c>
      <c r="Q89" s="12">
        <v>70.5</v>
      </c>
      <c r="R89" s="12">
        <v>6</v>
      </c>
      <c r="S89" s="12">
        <v>120</v>
      </c>
      <c r="T89" s="9">
        <v>35</v>
      </c>
      <c r="U89" s="9">
        <v>30</v>
      </c>
      <c r="V89" s="9">
        <f t="shared" si="6"/>
        <v>1.5</v>
      </c>
      <c r="W89" s="14">
        <v>9</v>
      </c>
      <c r="X89" s="14">
        <v>6</v>
      </c>
      <c r="Y89" s="14">
        <v>12</v>
      </c>
      <c r="Z89" s="18">
        <f t="shared" si="7"/>
        <v>70</v>
      </c>
      <c r="AA89" s="9">
        <f t="shared" si="5"/>
        <v>40</v>
      </c>
      <c r="AD89"/>
      <c r="AE89"/>
    </row>
    <row r="90" spans="4:31" ht="15" hidden="1">
      <c r="D90" s="9">
        <v>9</v>
      </c>
      <c r="E90" s="9">
        <v>7</v>
      </c>
      <c r="F90" s="9">
        <v>1484</v>
      </c>
      <c r="G90">
        <v>9</v>
      </c>
      <c r="H90">
        <v>7</v>
      </c>
      <c r="I90">
        <v>64</v>
      </c>
      <c r="J90">
        <v>11</v>
      </c>
      <c r="K90">
        <v>6</v>
      </c>
      <c r="L90">
        <v>100</v>
      </c>
      <c r="M90">
        <v>65</v>
      </c>
      <c r="N90">
        <v>20</v>
      </c>
      <c r="O90" s="11"/>
      <c r="P90" s="12">
        <v>10</v>
      </c>
      <c r="Q90" s="12">
        <v>69.5</v>
      </c>
      <c r="R90" s="12">
        <v>6</v>
      </c>
      <c r="S90" s="12">
        <v>120</v>
      </c>
      <c r="T90" s="9">
        <v>35</v>
      </c>
      <c r="U90" s="9">
        <v>30</v>
      </c>
      <c r="V90" s="9">
        <f t="shared" si="6"/>
        <v>-5.5</v>
      </c>
      <c r="W90" s="14">
        <v>9</v>
      </c>
      <c r="X90" s="14">
        <v>7</v>
      </c>
      <c r="Y90" s="14">
        <v>18</v>
      </c>
      <c r="Z90" s="18">
        <f t="shared" si="7"/>
        <v>60</v>
      </c>
      <c r="AA90" s="9">
        <f t="shared" si="5"/>
        <v>20</v>
      </c>
      <c r="AD90"/>
      <c r="AE90"/>
    </row>
    <row r="91" spans="4:31" ht="15" hidden="1">
      <c r="D91" s="9">
        <v>9</v>
      </c>
      <c r="E91" s="9">
        <v>8</v>
      </c>
      <c r="F91" s="9">
        <v>1325</v>
      </c>
      <c r="G91">
        <v>9</v>
      </c>
      <c r="H91">
        <v>8</v>
      </c>
      <c r="I91">
        <v>76</v>
      </c>
      <c r="J91">
        <v>11</v>
      </c>
      <c r="K91">
        <v>6</v>
      </c>
      <c r="L91">
        <v>100</v>
      </c>
      <c r="M91">
        <v>65</v>
      </c>
      <c r="N91">
        <v>20</v>
      </c>
      <c r="O91" s="11"/>
      <c r="P91" s="12">
        <v>10</v>
      </c>
      <c r="Q91" s="12">
        <v>60.5</v>
      </c>
      <c r="R91" s="12">
        <v>6</v>
      </c>
      <c r="S91" s="12">
        <v>100</v>
      </c>
      <c r="T91" s="9">
        <v>65</v>
      </c>
      <c r="U91" s="9">
        <v>20</v>
      </c>
      <c r="V91" s="9">
        <f t="shared" si="6"/>
        <v>15.5</v>
      </c>
      <c r="W91" s="14">
        <v>9</v>
      </c>
      <c r="X91" s="14">
        <v>8</v>
      </c>
      <c r="Y91" s="14">
        <v>12</v>
      </c>
      <c r="Z91" s="18">
        <f t="shared" si="7"/>
        <v>60</v>
      </c>
      <c r="AA91" s="9">
        <f t="shared" si="5"/>
        <v>0</v>
      </c>
      <c r="AD91"/>
      <c r="AE91"/>
    </row>
    <row r="92" spans="4:31" ht="15" hidden="1">
      <c r="D92" s="9">
        <v>9</v>
      </c>
      <c r="E92" s="9">
        <v>9</v>
      </c>
      <c r="F92" s="9">
        <v>1447</v>
      </c>
      <c r="G92">
        <v>9</v>
      </c>
      <c r="H92">
        <v>9</v>
      </c>
      <c r="I92">
        <v>84.5</v>
      </c>
      <c r="J92">
        <v>11</v>
      </c>
      <c r="K92">
        <v>6</v>
      </c>
      <c r="L92">
        <v>100</v>
      </c>
      <c r="M92">
        <v>65</v>
      </c>
      <c r="N92">
        <v>20</v>
      </c>
      <c r="O92" s="11"/>
      <c r="P92" s="12">
        <v>10</v>
      </c>
      <c r="Q92" s="12">
        <v>65</v>
      </c>
      <c r="R92" s="12">
        <v>6</v>
      </c>
      <c r="S92" s="12">
        <v>80</v>
      </c>
      <c r="T92" s="9">
        <v>95</v>
      </c>
      <c r="U92" s="9">
        <v>10</v>
      </c>
      <c r="V92" s="9">
        <f t="shared" si="6"/>
        <v>19.5</v>
      </c>
      <c r="W92" s="14">
        <v>9</v>
      </c>
      <c r="X92" s="14">
        <v>9</v>
      </c>
      <c r="Y92" s="14">
        <v>16</v>
      </c>
      <c r="Z92" s="18">
        <f t="shared" si="7"/>
        <v>60</v>
      </c>
      <c r="AA92" s="9">
        <f t="shared" si="5"/>
        <v>-20</v>
      </c>
      <c r="AD92"/>
      <c r="AE92"/>
    </row>
    <row r="93" spans="4:31" ht="15">
      <c r="D93" s="9">
        <v>10</v>
      </c>
      <c r="E93" s="9">
        <v>0</v>
      </c>
      <c r="F93" s="9">
        <v>1425</v>
      </c>
      <c r="G93">
        <v>10</v>
      </c>
      <c r="H93">
        <v>0</v>
      </c>
      <c r="I93">
        <v>62.5</v>
      </c>
      <c r="J93">
        <v>11</v>
      </c>
      <c r="K93">
        <v>6</v>
      </c>
      <c r="L93">
        <v>80</v>
      </c>
      <c r="M93">
        <v>95</v>
      </c>
      <c r="N93">
        <v>10</v>
      </c>
      <c r="O93" s="11"/>
      <c r="P93" s="12">
        <v>11</v>
      </c>
      <c r="Q93" s="12">
        <v>66.5</v>
      </c>
      <c r="R93" s="12">
        <v>6</v>
      </c>
      <c r="S93" s="12">
        <v>90</v>
      </c>
      <c r="T93" s="9">
        <v>80</v>
      </c>
      <c r="U93" s="9">
        <v>15</v>
      </c>
      <c r="V93" s="9">
        <f t="shared" si="6"/>
        <v>-4</v>
      </c>
      <c r="W93" s="14">
        <v>10</v>
      </c>
      <c r="X93" s="14">
        <v>0</v>
      </c>
      <c r="Y93" s="14">
        <v>12</v>
      </c>
      <c r="Z93" s="18">
        <f t="shared" si="7"/>
        <v>60</v>
      </c>
      <c r="AA93" s="9">
        <f t="shared" si="5"/>
        <v>10</v>
      </c>
      <c r="AB93" s="9">
        <f>SUM(S53:S93)/50</f>
        <v>81.2</v>
      </c>
      <c r="AD93"/>
      <c r="AE93"/>
    </row>
    <row r="94" spans="4:31" ht="15" hidden="1">
      <c r="D94" s="9">
        <v>10</v>
      </c>
      <c r="E94" s="9">
        <v>1</v>
      </c>
      <c r="F94" s="9">
        <v>1221</v>
      </c>
      <c r="G94">
        <v>10</v>
      </c>
      <c r="H94">
        <v>1</v>
      </c>
      <c r="I94">
        <v>75.5</v>
      </c>
      <c r="J94">
        <v>11</v>
      </c>
      <c r="K94">
        <v>6</v>
      </c>
      <c r="L94">
        <v>107</v>
      </c>
      <c r="M94">
        <v>54</v>
      </c>
      <c r="N94">
        <v>24</v>
      </c>
      <c r="O94" s="11"/>
      <c r="P94" s="12">
        <v>11</v>
      </c>
      <c r="Q94" s="12">
        <v>61.5</v>
      </c>
      <c r="R94" s="12">
        <v>6</v>
      </c>
      <c r="S94" s="12">
        <v>100</v>
      </c>
      <c r="T94" s="9">
        <v>65</v>
      </c>
      <c r="U94" s="9">
        <v>20</v>
      </c>
      <c r="V94" s="9">
        <f t="shared" si="6"/>
        <v>14</v>
      </c>
      <c r="W94" s="14">
        <v>10</v>
      </c>
      <c r="X94" s="14">
        <v>1</v>
      </c>
      <c r="Y94" s="14">
        <v>11</v>
      </c>
      <c r="Z94" s="18">
        <f t="shared" si="7"/>
        <v>60</v>
      </c>
      <c r="AA94" s="9">
        <f t="shared" si="5"/>
        <v>-7</v>
      </c>
      <c r="AD94"/>
      <c r="AE94"/>
    </row>
    <row r="95" spans="4:31" ht="15" hidden="1">
      <c r="D95" s="9">
        <v>10</v>
      </c>
      <c r="E95" s="9">
        <v>2</v>
      </c>
      <c r="F95" s="9">
        <v>1530</v>
      </c>
      <c r="G95">
        <v>10</v>
      </c>
      <c r="H95">
        <v>2</v>
      </c>
      <c r="I95">
        <v>74</v>
      </c>
      <c r="J95">
        <v>11</v>
      </c>
      <c r="K95">
        <v>6</v>
      </c>
      <c r="L95">
        <v>100</v>
      </c>
      <c r="M95">
        <v>65</v>
      </c>
      <c r="N95">
        <v>20</v>
      </c>
      <c r="O95" s="11"/>
      <c r="P95" s="12">
        <v>11</v>
      </c>
      <c r="Q95" s="12">
        <v>76.5</v>
      </c>
      <c r="R95" s="12">
        <v>6</v>
      </c>
      <c r="S95" s="12">
        <v>90</v>
      </c>
      <c r="T95" s="9">
        <v>80</v>
      </c>
      <c r="U95" s="9">
        <v>15</v>
      </c>
      <c r="V95" s="9">
        <f t="shared" si="6"/>
        <v>-2.5</v>
      </c>
      <c r="W95" s="14">
        <v>10</v>
      </c>
      <c r="X95" s="14">
        <v>2</v>
      </c>
      <c r="Y95" s="14">
        <v>12</v>
      </c>
      <c r="Z95" s="18">
        <f t="shared" si="7"/>
        <v>70</v>
      </c>
      <c r="AA95" s="9">
        <f t="shared" si="5"/>
        <v>-10</v>
      </c>
      <c r="AD95"/>
      <c r="AE95"/>
    </row>
    <row r="96" spans="4:31" ht="15" hidden="1">
      <c r="D96" s="9">
        <v>10</v>
      </c>
      <c r="E96" s="9">
        <v>3</v>
      </c>
      <c r="F96" s="9">
        <v>1316</v>
      </c>
      <c r="G96">
        <v>10</v>
      </c>
      <c r="H96">
        <v>3</v>
      </c>
      <c r="I96">
        <v>61</v>
      </c>
      <c r="J96">
        <v>11</v>
      </c>
      <c r="K96">
        <v>6</v>
      </c>
      <c r="L96">
        <v>100</v>
      </c>
      <c r="M96">
        <v>65</v>
      </c>
      <c r="N96">
        <v>20</v>
      </c>
      <c r="O96" s="11"/>
      <c r="P96" s="12">
        <v>11</v>
      </c>
      <c r="Q96" s="12">
        <v>68.5</v>
      </c>
      <c r="R96" s="12">
        <v>6</v>
      </c>
      <c r="S96" s="12">
        <v>90</v>
      </c>
      <c r="T96" s="9">
        <v>80</v>
      </c>
      <c r="U96" s="9">
        <v>15</v>
      </c>
      <c r="V96" s="9">
        <f t="shared" si="6"/>
        <v>-7.5</v>
      </c>
      <c r="W96" s="14">
        <v>10</v>
      </c>
      <c r="X96" s="14">
        <v>3</v>
      </c>
      <c r="Y96" s="14">
        <v>10</v>
      </c>
      <c r="Z96" s="18">
        <f t="shared" si="7"/>
        <v>60</v>
      </c>
      <c r="AA96" s="9">
        <f t="shared" si="5"/>
        <v>-10</v>
      </c>
      <c r="AD96"/>
      <c r="AE96"/>
    </row>
    <row r="97" spans="4:31" ht="15" hidden="1">
      <c r="D97" s="9">
        <v>10</v>
      </c>
      <c r="E97" s="9">
        <v>4</v>
      </c>
      <c r="F97" s="9">
        <v>1441</v>
      </c>
      <c r="G97">
        <v>10</v>
      </c>
      <c r="H97">
        <v>4</v>
      </c>
      <c r="I97">
        <v>60</v>
      </c>
      <c r="J97">
        <v>11</v>
      </c>
      <c r="K97">
        <v>6</v>
      </c>
      <c r="L97">
        <v>100</v>
      </c>
      <c r="M97">
        <v>65</v>
      </c>
      <c r="N97">
        <v>20</v>
      </c>
      <c r="O97" s="11"/>
      <c r="P97" s="12">
        <v>11</v>
      </c>
      <c r="Q97" s="12">
        <v>65</v>
      </c>
      <c r="R97" s="12">
        <v>6</v>
      </c>
      <c r="S97" s="12">
        <v>100</v>
      </c>
      <c r="T97" s="9">
        <v>65</v>
      </c>
      <c r="U97" s="9">
        <v>20</v>
      </c>
      <c r="V97" s="9">
        <f t="shared" si="6"/>
        <v>-5</v>
      </c>
      <c r="W97" s="14">
        <v>10</v>
      </c>
      <c r="X97" s="14">
        <v>4</v>
      </c>
      <c r="Y97" s="14">
        <v>11</v>
      </c>
      <c r="Z97" s="18">
        <f t="shared" si="7"/>
        <v>60</v>
      </c>
      <c r="AA97" s="9">
        <f t="shared" si="5"/>
        <v>0</v>
      </c>
      <c r="AD97"/>
      <c r="AE97"/>
    </row>
    <row r="98" spans="4:31" ht="15" hidden="1">
      <c r="D98" s="9">
        <v>10</v>
      </c>
      <c r="E98" s="9">
        <v>5</v>
      </c>
      <c r="F98" s="9">
        <v>1516</v>
      </c>
      <c r="G98">
        <v>10</v>
      </c>
      <c r="H98">
        <v>5</v>
      </c>
      <c r="I98">
        <v>73</v>
      </c>
      <c r="J98">
        <v>11</v>
      </c>
      <c r="K98">
        <v>6</v>
      </c>
      <c r="L98">
        <v>115</v>
      </c>
      <c r="M98">
        <v>42</v>
      </c>
      <c r="N98">
        <v>28</v>
      </c>
      <c r="O98" s="11"/>
      <c r="P98" s="12">
        <v>11</v>
      </c>
      <c r="Q98" s="12">
        <v>84.5</v>
      </c>
      <c r="R98" s="12">
        <v>6</v>
      </c>
      <c r="S98" s="12">
        <v>110</v>
      </c>
      <c r="T98" s="9">
        <v>50</v>
      </c>
      <c r="U98" s="9">
        <v>25</v>
      </c>
      <c r="V98" s="9">
        <f t="shared" si="6"/>
        <v>-11.5</v>
      </c>
      <c r="W98" s="14">
        <v>10</v>
      </c>
      <c r="X98" s="14">
        <v>5</v>
      </c>
      <c r="Y98" s="14">
        <v>16</v>
      </c>
      <c r="Z98" s="18">
        <f t="shared" si="7"/>
        <v>80</v>
      </c>
      <c r="AA98" s="9">
        <f t="shared" si="5"/>
        <v>-5</v>
      </c>
      <c r="AD98"/>
      <c r="AE98"/>
    </row>
    <row r="99" spans="4:31" ht="15" hidden="1">
      <c r="D99" s="9">
        <v>10</v>
      </c>
      <c r="E99" s="9">
        <v>6</v>
      </c>
      <c r="F99" s="9">
        <v>1416</v>
      </c>
      <c r="G99">
        <v>10</v>
      </c>
      <c r="H99">
        <v>6</v>
      </c>
      <c r="I99">
        <v>69</v>
      </c>
      <c r="J99">
        <v>11</v>
      </c>
      <c r="K99">
        <v>6</v>
      </c>
      <c r="L99">
        <v>100</v>
      </c>
      <c r="M99">
        <v>65</v>
      </c>
      <c r="N99">
        <v>20</v>
      </c>
      <c r="O99" s="11"/>
      <c r="P99" s="12">
        <v>11</v>
      </c>
      <c r="Q99" s="12">
        <v>73.5</v>
      </c>
      <c r="R99" s="12">
        <v>6</v>
      </c>
      <c r="S99" s="12">
        <v>110</v>
      </c>
      <c r="T99" s="9">
        <v>50</v>
      </c>
      <c r="U99" s="9">
        <v>25</v>
      </c>
      <c r="V99" s="9">
        <f t="shared" si="6"/>
        <v>-4.5</v>
      </c>
      <c r="W99" s="14">
        <v>10</v>
      </c>
      <c r="X99" s="14">
        <v>6</v>
      </c>
      <c r="Y99" s="14">
        <v>13</v>
      </c>
      <c r="Z99" s="18">
        <f t="shared" si="7"/>
        <v>70</v>
      </c>
      <c r="AA99" s="9">
        <f t="shared" ref="AA99:AA162" si="8">S99-L99</f>
        <v>10</v>
      </c>
      <c r="AD99"/>
      <c r="AE99"/>
    </row>
    <row r="100" spans="4:31" ht="15" hidden="1">
      <c r="D100" s="9">
        <v>10</v>
      </c>
      <c r="E100" s="9">
        <v>7</v>
      </c>
      <c r="F100" s="9">
        <v>1494</v>
      </c>
      <c r="G100">
        <v>10</v>
      </c>
      <c r="H100">
        <v>7</v>
      </c>
      <c r="I100">
        <v>67.5</v>
      </c>
      <c r="J100">
        <v>11</v>
      </c>
      <c r="K100">
        <v>6</v>
      </c>
      <c r="L100">
        <v>100</v>
      </c>
      <c r="M100">
        <v>65</v>
      </c>
      <c r="N100">
        <v>20</v>
      </c>
      <c r="O100" s="11"/>
      <c r="P100" s="12">
        <v>11</v>
      </c>
      <c r="Q100" s="12">
        <v>71.5</v>
      </c>
      <c r="R100" s="12">
        <v>6</v>
      </c>
      <c r="S100" s="12">
        <v>100</v>
      </c>
      <c r="T100" s="9">
        <v>65</v>
      </c>
      <c r="U100" s="9">
        <v>20</v>
      </c>
      <c r="V100" s="9">
        <f t="shared" si="6"/>
        <v>-4</v>
      </c>
      <c r="W100" s="14">
        <v>10</v>
      </c>
      <c r="X100" s="14">
        <v>7</v>
      </c>
      <c r="Y100" s="14">
        <v>7</v>
      </c>
      <c r="Z100" s="18">
        <f t="shared" si="7"/>
        <v>70</v>
      </c>
      <c r="AA100" s="9">
        <f t="shared" si="8"/>
        <v>0</v>
      </c>
      <c r="AD100"/>
      <c r="AE100"/>
    </row>
    <row r="101" spans="4:31" ht="15" hidden="1">
      <c r="D101" s="9">
        <v>10</v>
      </c>
      <c r="E101" s="9">
        <v>8</v>
      </c>
      <c r="F101" s="9">
        <v>1404</v>
      </c>
      <c r="G101">
        <v>10</v>
      </c>
      <c r="H101">
        <v>8</v>
      </c>
      <c r="I101">
        <v>60.5</v>
      </c>
      <c r="J101">
        <v>11</v>
      </c>
      <c r="K101">
        <v>6</v>
      </c>
      <c r="L101">
        <v>85</v>
      </c>
      <c r="M101">
        <v>88</v>
      </c>
      <c r="N101">
        <v>12</v>
      </c>
      <c r="O101" s="11"/>
      <c r="P101" s="12">
        <v>11</v>
      </c>
      <c r="Q101" s="12">
        <v>70.5</v>
      </c>
      <c r="R101" s="12">
        <v>6</v>
      </c>
      <c r="S101" s="12">
        <v>100</v>
      </c>
      <c r="T101" s="9">
        <v>65</v>
      </c>
      <c r="U101" s="9">
        <v>20</v>
      </c>
      <c r="V101" s="9">
        <f t="shared" si="6"/>
        <v>-10</v>
      </c>
      <c r="W101" s="14">
        <v>10</v>
      </c>
      <c r="X101" s="14">
        <v>8</v>
      </c>
      <c r="Y101" s="14">
        <v>13</v>
      </c>
      <c r="Z101" s="18">
        <f t="shared" si="7"/>
        <v>70</v>
      </c>
      <c r="AA101" s="9">
        <f t="shared" si="8"/>
        <v>15</v>
      </c>
      <c r="AD101"/>
      <c r="AE101"/>
    </row>
    <row r="102" spans="4:31" ht="15" hidden="1">
      <c r="D102" s="9">
        <v>10</v>
      </c>
      <c r="E102" s="9">
        <v>9</v>
      </c>
      <c r="F102" s="9">
        <v>1427</v>
      </c>
      <c r="G102">
        <v>10</v>
      </c>
      <c r="H102">
        <v>9</v>
      </c>
      <c r="I102">
        <v>64</v>
      </c>
      <c r="J102">
        <v>11</v>
      </c>
      <c r="K102">
        <v>6</v>
      </c>
      <c r="L102">
        <v>100</v>
      </c>
      <c r="M102">
        <v>65</v>
      </c>
      <c r="N102">
        <v>20</v>
      </c>
      <c r="O102" s="11"/>
      <c r="P102" s="12">
        <v>11</v>
      </c>
      <c r="Q102" s="12">
        <v>65</v>
      </c>
      <c r="R102" s="12">
        <v>6</v>
      </c>
      <c r="S102" s="12">
        <v>110</v>
      </c>
      <c r="T102" s="9">
        <v>50</v>
      </c>
      <c r="U102" s="9">
        <v>25</v>
      </c>
      <c r="V102" s="9">
        <f t="shared" si="6"/>
        <v>-1</v>
      </c>
      <c r="W102" s="14">
        <v>10</v>
      </c>
      <c r="X102" s="14">
        <v>9</v>
      </c>
      <c r="Y102" s="14">
        <v>9</v>
      </c>
      <c r="Z102" s="18">
        <f t="shared" si="7"/>
        <v>60</v>
      </c>
      <c r="AA102" s="9">
        <f t="shared" si="8"/>
        <v>10</v>
      </c>
      <c r="AD102"/>
      <c r="AE102"/>
    </row>
    <row r="103" spans="4:31" ht="15">
      <c r="D103" s="9">
        <v>11</v>
      </c>
      <c r="E103" s="9">
        <v>0</v>
      </c>
      <c r="F103" s="9">
        <v>1508</v>
      </c>
      <c r="G103">
        <v>11</v>
      </c>
      <c r="H103">
        <v>0</v>
      </c>
      <c r="I103">
        <v>66.5</v>
      </c>
      <c r="J103">
        <v>11</v>
      </c>
      <c r="K103">
        <v>6</v>
      </c>
      <c r="L103">
        <v>100</v>
      </c>
      <c r="M103">
        <v>65</v>
      </c>
      <c r="N103">
        <v>20</v>
      </c>
      <c r="O103" s="11"/>
      <c r="P103" s="12">
        <v>12</v>
      </c>
      <c r="Q103" s="12">
        <v>76.5</v>
      </c>
      <c r="R103" s="12">
        <v>6</v>
      </c>
      <c r="S103" s="12">
        <v>80</v>
      </c>
      <c r="T103" s="9">
        <v>95</v>
      </c>
      <c r="U103" s="9">
        <v>10</v>
      </c>
      <c r="V103" s="9">
        <f t="shared" si="6"/>
        <v>-10</v>
      </c>
      <c r="W103" s="14">
        <v>11</v>
      </c>
      <c r="X103" s="14">
        <v>0</v>
      </c>
      <c r="Y103" s="14">
        <v>15</v>
      </c>
      <c r="Z103" s="18">
        <f t="shared" si="7"/>
        <v>70</v>
      </c>
      <c r="AA103" s="9">
        <f t="shared" si="8"/>
        <v>-20</v>
      </c>
      <c r="AB103" s="9">
        <f>SUM(S63:S103)/50</f>
        <v>80.8</v>
      </c>
      <c r="AD103"/>
      <c r="AE103"/>
    </row>
    <row r="104" spans="4:31" ht="15" hidden="1">
      <c r="D104" s="9">
        <v>11</v>
      </c>
      <c r="E104" s="9">
        <v>1</v>
      </c>
      <c r="F104" s="9">
        <v>1200</v>
      </c>
      <c r="G104">
        <v>11</v>
      </c>
      <c r="H104">
        <v>1</v>
      </c>
      <c r="I104">
        <v>61.5</v>
      </c>
      <c r="J104">
        <v>11</v>
      </c>
      <c r="K104">
        <v>6</v>
      </c>
      <c r="L104">
        <v>100</v>
      </c>
      <c r="M104">
        <v>65</v>
      </c>
      <c r="N104">
        <v>20</v>
      </c>
      <c r="O104" s="11"/>
      <c r="P104" s="12">
        <v>12</v>
      </c>
      <c r="Q104" s="12">
        <v>72.5</v>
      </c>
      <c r="R104" s="12">
        <v>6</v>
      </c>
      <c r="S104" s="12">
        <v>90</v>
      </c>
      <c r="T104" s="9">
        <v>80</v>
      </c>
      <c r="U104" s="9">
        <v>15</v>
      </c>
      <c r="V104" s="9">
        <f t="shared" si="6"/>
        <v>-11</v>
      </c>
      <c r="W104" s="14">
        <v>11</v>
      </c>
      <c r="X104" s="14">
        <v>1</v>
      </c>
      <c r="Y104" s="14">
        <v>14</v>
      </c>
      <c r="Z104" s="18">
        <f t="shared" si="7"/>
        <v>70</v>
      </c>
      <c r="AA104" s="9">
        <f t="shared" si="8"/>
        <v>-10</v>
      </c>
      <c r="AD104"/>
      <c r="AE104"/>
    </row>
    <row r="105" spans="4:31" ht="15" hidden="1">
      <c r="D105" s="9">
        <v>11</v>
      </c>
      <c r="E105" s="9">
        <v>2</v>
      </c>
      <c r="F105" s="9">
        <v>1494</v>
      </c>
      <c r="G105">
        <v>11</v>
      </c>
      <c r="H105">
        <v>2</v>
      </c>
      <c r="I105">
        <v>76.5</v>
      </c>
      <c r="J105">
        <v>11</v>
      </c>
      <c r="K105">
        <v>6</v>
      </c>
      <c r="L105">
        <v>100</v>
      </c>
      <c r="M105">
        <v>65</v>
      </c>
      <c r="N105">
        <v>20</v>
      </c>
      <c r="O105" s="11"/>
      <c r="P105" s="12">
        <v>12</v>
      </c>
      <c r="Q105" s="12">
        <v>77</v>
      </c>
      <c r="R105" s="12">
        <v>6</v>
      </c>
      <c r="S105" s="12">
        <v>100</v>
      </c>
      <c r="T105" s="9">
        <v>65</v>
      </c>
      <c r="U105" s="9">
        <v>20</v>
      </c>
      <c r="V105" s="9">
        <f t="shared" si="6"/>
        <v>-0.5</v>
      </c>
      <c r="W105" s="14">
        <v>11</v>
      </c>
      <c r="X105" s="14">
        <v>2</v>
      </c>
      <c r="Y105" s="14">
        <v>12</v>
      </c>
      <c r="Z105" s="18">
        <f t="shared" si="7"/>
        <v>70</v>
      </c>
      <c r="AA105" s="9">
        <f t="shared" si="8"/>
        <v>0</v>
      </c>
      <c r="AD105"/>
      <c r="AE105"/>
    </row>
    <row r="106" spans="4:31" ht="15" hidden="1">
      <c r="D106" s="9">
        <v>11</v>
      </c>
      <c r="E106" s="9">
        <v>3</v>
      </c>
      <c r="F106" s="9">
        <v>1290</v>
      </c>
      <c r="G106">
        <v>11</v>
      </c>
      <c r="H106">
        <v>3</v>
      </c>
      <c r="I106">
        <v>68.5</v>
      </c>
      <c r="J106">
        <v>11</v>
      </c>
      <c r="K106">
        <v>6</v>
      </c>
      <c r="L106">
        <v>100</v>
      </c>
      <c r="M106">
        <v>65</v>
      </c>
      <c r="N106">
        <v>20</v>
      </c>
      <c r="O106" s="11"/>
      <c r="P106" s="12">
        <v>12</v>
      </c>
      <c r="Q106" s="12">
        <v>82</v>
      </c>
      <c r="R106" s="12">
        <v>6</v>
      </c>
      <c r="S106" s="12">
        <v>100</v>
      </c>
      <c r="T106" s="9">
        <v>65</v>
      </c>
      <c r="U106" s="9">
        <v>20</v>
      </c>
      <c r="V106" s="9">
        <f t="shared" si="6"/>
        <v>-13.5</v>
      </c>
      <c r="W106" s="14">
        <v>11</v>
      </c>
      <c r="X106" s="14">
        <v>3</v>
      </c>
      <c r="Y106" s="14">
        <v>15</v>
      </c>
      <c r="Z106" s="18">
        <f t="shared" si="7"/>
        <v>80</v>
      </c>
      <c r="AA106" s="9">
        <f t="shared" si="8"/>
        <v>0</v>
      </c>
      <c r="AD106"/>
      <c r="AE106"/>
    </row>
    <row r="107" spans="4:31" ht="15" hidden="1">
      <c r="D107" s="9">
        <v>11</v>
      </c>
      <c r="E107" s="9">
        <v>4</v>
      </c>
      <c r="F107" s="9">
        <v>1432</v>
      </c>
      <c r="G107">
        <v>11</v>
      </c>
      <c r="H107">
        <v>4</v>
      </c>
      <c r="I107">
        <v>65</v>
      </c>
      <c r="J107">
        <v>11</v>
      </c>
      <c r="K107">
        <v>6</v>
      </c>
      <c r="L107">
        <v>85</v>
      </c>
      <c r="M107">
        <v>88</v>
      </c>
      <c r="N107">
        <v>12</v>
      </c>
      <c r="O107" s="11"/>
      <c r="P107" s="12">
        <v>12</v>
      </c>
      <c r="Q107" s="12">
        <v>65.5</v>
      </c>
      <c r="R107" s="12">
        <v>6</v>
      </c>
      <c r="S107" s="12">
        <v>110</v>
      </c>
      <c r="T107" s="9">
        <v>50</v>
      </c>
      <c r="U107" s="9">
        <v>25</v>
      </c>
      <c r="V107" s="9">
        <f t="shared" si="6"/>
        <v>-0.5</v>
      </c>
      <c r="W107" s="14">
        <v>11</v>
      </c>
      <c r="X107" s="14">
        <v>4</v>
      </c>
      <c r="Y107" s="14">
        <v>15</v>
      </c>
      <c r="Z107" s="18">
        <f t="shared" si="7"/>
        <v>60</v>
      </c>
      <c r="AA107" s="9">
        <f t="shared" si="8"/>
        <v>25</v>
      </c>
      <c r="AD107"/>
      <c r="AE107"/>
    </row>
    <row r="108" spans="4:31" ht="15" hidden="1">
      <c r="D108" s="9">
        <v>11</v>
      </c>
      <c r="E108" s="9">
        <v>5</v>
      </c>
      <c r="F108" s="9">
        <v>1477</v>
      </c>
      <c r="G108">
        <v>11</v>
      </c>
      <c r="H108">
        <v>5</v>
      </c>
      <c r="I108">
        <v>83</v>
      </c>
      <c r="J108">
        <v>11</v>
      </c>
      <c r="K108">
        <v>6</v>
      </c>
      <c r="L108">
        <v>100</v>
      </c>
      <c r="M108">
        <v>65</v>
      </c>
      <c r="N108">
        <v>20</v>
      </c>
      <c r="O108" s="11"/>
      <c r="P108" s="12">
        <v>12</v>
      </c>
      <c r="Q108" s="12">
        <v>71.5</v>
      </c>
      <c r="R108" s="12">
        <v>6</v>
      </c>
      <c r="S108" s="12">
        <v>120</v>
      </c>
      <c r="T108" s="9">
        <v>35</v>
      </c>
      <c r="U108" s="9">
        <v>30</v>
      </c>
      <c r="V108" s="9">
        <f t="shared" si="6"/>
        <v>11.5</v>
      </c>
      <c r="W108" s="14">
        <v>11</v>
      </c>
      <c r="X108" s="14">
        <v>5</v>
      </c>
      <c r="Y108" s="14">
        <v>10</v>
      </c>
      <c r="Z108" s="18">
        <f t="shared" si="7"/>
        <v>70</v>
      </c>
      <c r="AA108" s="9">
        <f t="shared" si="8"/>
        <v>20</v>
      </c>
    </row>
    <row r="109" spans="4:31" ht="15" hidden="1">
      <c r="D109" s="9">
        <v>11</v>
      </c>
      <c r="E109" s="9">
        <v>6</v>
      </c>
      <c r="F109" s="9">
        <v>1412</v>
      </c>
      <c r="G109">
        <v>11</v>
      </c>
      <c r="H109">
        <v>6</v>
      </c>
      <c r="I109">
        <v>71</v>
      </c>
      <c r="J109">
        <v>11</v>
      </c>
      <c r="K109">
        <v>6</v>
      </c>
      <c r="L109">
        <v>90</v>
      </c>
      <c r="M109">
        <v>80</v>
      </c>
      <c r="N109">
        <v>15</v>
      </c>
      <c r="O109" s="11"/>
      <c r="P109" s="12">
        <v>12</v>
      </c>
      <c r="Q109" s="12">
        <v>74</v>
      </c>
      <c r="R109" s="12">
        <v>6</v>
      </c>
      <c r="S109" s="12">
        <v>80</v>
      </c>
      <c r="T109" s="9">
        <v>95</v>
      </c>
      <c r="U109" s="9">
        <v>10</v>
      </c>
      <c r="V109" s="9">
        <f t="shared" si="6"/>
        <v>-3</v>
      </c>
      <c r="W109" s="14">
        <v>11</v>
      </c>
      <c r="X109" s="14">
        <v>6</v>
      </c>
      <c r="Y109" s="14">
        <v>11</v>
      </c>
      <c r="Z109" s="18">
        <f t="shared" si="7"/>
        <v>70</v>
      </c>
      <c r="AA109" s="9">
        <f t="shared" si="8"/>
        <v>-10</v>
      </c>
    </row>
    <row r="110" spans="4:31" ht="15" hidden="1">
      <c r="D110" s="9">
        <v>11</v>
      </c>
      <c r="E110" s="9">
        <v>7</v>
      </c>
      <c r="F110" s="9">
        <v>1367</v>
      </c>
      <c r="G110">
        <v>11</v>
      </c>
      <c r="H110">
        <v>7</v>
      </c>
      <c r="I110">
        <v>70.5</v>
      </c>
      <c r="J110">
        <v>11</v>
      </c>
      <c r="K110">
        <v>6</v>
      </c>
      <c r="L110">
        <v>85</v>
      </c>
      <c r="M110">
        <v>88</v>
      </c>
      <c r="N110">
        <v>12</v>
      </c>
      <c r="O110" s="11"/>
      <c r="P110" s="12">
        <v>12</v>
      </c>
      <c r="Q110" s="12">
        <v>80.5</v>
      </c>
      <c r="R110" s="12">
        <v>6</v>
      </c>
      <c r="S110" s="12">
        <v>120</v>
      </c>
      <c r="T110" s="9">
        <v>35</v>
      </c>
      <c r="U110" s="9">
        <v>30</v>
      </c>
      <c r="V110" s="9">
        <f t="shared" si="6"/>
        <v>-10</v>
      </c>
      <c r="W110" s="14">
        <v>11</v>
      </c>
      <c r="X110" s="14">
        <v>7</v>
      </c>
      <c r="Y110" s="14">
        <v>17</v>
      </c>
      <c r="Z110" s="18">
        <f t="shared" si="7"/>
        <v>80</v>
      </c>
      <c r="AA110" s="9">
        <f t="shared" si="8"/>
        <v>35</v>
      </c>
    </row>
    <row r="111" spans="4:31" ht="15" hidden="1">
      <c r="D111" s="9">
        <v>11</v>
      </c>
      <c r="E111" s="9">
        <v>8</v>
      </c>
      <c r="F111" s="9">
        <v>1397</v>
      </c>
      <c r="G111">
        <v>11</v>
      </c>
      <c r="H111">
        <v>8</v>
      </c>
      <c r="I111">
        <v>70.5</v>
      </c>
      <c r="J111">
        <v>11</v>
      </c>
      <c r="K111">
        <v>6</v>
      </c>
      <c r="L111">
        <v>90</v>
      </c>
      <c r="M111">
        <v>80</v>
      </c>
      <c r="N111">
        <v>15</v>
      </c>
      <c r="O111" s="11"/>
      <c r="P111" s="12">
        <v>12</v>
      </c>
      <c r="Q111" s="12">
        <v>69</v>
      </c>
      <c r="R111" s="12">
        <v>6</v>
      </c>
      <c r="S111" s="12">
        <v>80</v>
      </c>
      <c r="T111" s="9">
        <v>95</v>
      </c>
      <c r="U111" s="9">
        <v>10</v>
      </c>
      <c r="V111" s="9">
        <f t="shared" si="6"/>
        <v>1.5</v>
      </c>
      <c r="W111" s="14">
        <v>11</v>
      </c>
      <c r="X111" s="14">
        <v>8</v>
      </c>
      <c r="Y111" s="14">
        <v>10</v>
      </c>
      <c r="Z111" s="18">
        <f t="shared" si="7"/>
        <v>60</v>
      </c>
      <c r="AA111" s="9">
        <f t="shared" si="8"/>
        <v>-10</v>
      </c>
    </row>
    <row r="112" spans="4:31" ht="15" hidden="1">
      <c r="D112" s="9">
        <v>11</v>
      </c>
      <c r="E112" s="9">
        <v>9</v>
      </c>
      <c r="F112" s="9">
        <v>1411</v>
      </c>
      <c r="G112">
        <v>11</v>
      </c>
      <c r="H112">
        <v>9</v>
      </c>
      <c r="I112">
        <v>64.5</v>
      </c>
      <c r="J112">
        <v>11</v>
      </c>
      <c r="K112">
        <v>6</v>
      </c>
      <c r="L112">
        <v>90</v>
      </c>
      <c r="M112">
        <v>80</v>
      </c>
      <c r="N112">
        <v>15</v>
      </c>
      <c r="O112" s="11"/>
      <c r="P112" s="12">
        <v>12</v>
      </c>
      <c r="Q112" s="12">
        <v>62.5</v>
      </c>
      <c r="R112" s="12">
        <v>6</v>
      </c>
      <c r="S112" s="12">
        <v>100</v>
      </c>
      <c r="T112" s="9">
        <v>65</v>
      </c>
      <c r="U112" s="9">
        <v>20</v>
      </c>
      <c r="V112" s="9">
        <f t="shared" si="6"/>
        <v>2</v>
      </c>
      <c r="W112" s="14">
        <v>11</v>
      </c>
      <c r="X112" s="14">
        <v>9</v>
      </c>
      <c r="Y112" s="14">
        <v>15</v>
      </c>
      <c r="Z112" s="18">
        <f t="shared" si="7"/>
        <v>60</v>
      </c>
      <c r="AA112" s="9">
        <f t="shared" si="8"/>
        <v>10</v>
      </c>
    </row>
    <row r="113" spans="4:28" ht="15">
      <c r="D113" s="9">
        <v>12</v>
      </c>
      <c r="E113" s="9">
        <v>0</v>
      </c>
      <c r="F113" s="9">
        <v>1394</v>
      </c>
      <c r="G113">
        <v>12</v>
      </c>
      <c r="H113">
        <v>0</v>
      </c>
      <c r="I113">
        <v>76</v>
      </c>
      <c r="J113">
        <v>11</v>
      </c>
      <c r="K113">
        <v>6</v>
      </c>
      <c r="L113">
        <v>100</v>
      </c>
      <c r="M113">
        <v>65</v>
      </c>
      <c r="N113">
        <v>20</v>
      </c>
      <c r="O113" s="11"/>
      <c r="P113" s="12">
        <v>13</v>
      </c>
      <c r="Q113" s="12">
        <v>69</v>
      </c>
      <c r="R113" s="12">
        <v>6</v>
      </c>
      <c r="S113" s="12">
        <v>100</v>
      </c>
      <c r="T113" s="9">
        <v>65</v>
      </c>
      <c r="U113" s="9">
        <v>20</v>
      </c>
      <c r="V113" s="9">
        <f t="shared" si="6"/>
        <v>7</v>
      </c>
      <c r="W113" s="14">
        <v>12</v>
      </c>
      <c r="X113" s="14">
        <v>0</v>
      </c>
      <c r="Y113" s="14">
        <v>10</v>
      </c>
      <c r="Z113" s="18">
        <f t="shared" si="7"/>
        <v>60</v>
      </c>
      <c r="AA113" s="9">
        <f t="shared" si="8"/>
        <v>0</v>
      </c>
      <c r="AB113" s="9">
        <f>SUM(S73:S113)/50</f>
        <v>80.400000000000006</v>
      </c>
    </row>
    <row r="114" spans="4:28" ht="15" hidden="1">
      <c r="D114" s="9">
        <v>12</v>
      </c>
      <c r="E114" s="9">
        <v>1</v>
      </c>
      <c r="F114" s="9">
        <v>1120</v>
      </c>
      <c r="G114">
        <v>12</v>
      </c>
      <c r="H114">
        <v>1</v>
      </c>
      <c r="I114">
        <v>72.5</v>
      </c>
      <c r="J114">
        <v>11</v>
      </c>
      <c r="K114">
        <v>6</v>
      </c>
      <c r="L114">
        <v>105</v>
      </c>
      <c r="M114">
        <v>58</v>
      </c>
      <c r="N114">
        <v>22</v>
      </c>
      <c r="O114" s="11"/>
      <c r="P114" s="12">
        <v>13</v>
      </c>
      <c r="Q114" s="12">
        <v>71</v>
      </c>
      <c r="R114" s="12">
        <v>6</v>
      </c>
      <c r="S114" s="12">
        <v>100</v>
      </c>
      <c r="T114" s="9">
        <v>65</v>
      </c>
      <c r="U114" s="9">
        <v>20</v>
      </c>
      <c r="V114" s="9">
        <f t="shared" si="6"/>
        <v>1.5</v>
      </c>
      <c r="W114" s="14">
        <v>12</v>
      </c>
      <c r="X114" s="14">
        <v>1</v>
      </c>
      <c r="Y114" s="14">
        <v>8</v>
      </c>
      <c r="Z114" s="18">
        <f t="shared" si="7"/>
        <v>70</v>
      </c>
      <c r="AA114" s="9">
        <f t="shared" si="8"/>
        <v>-5</v>
      </c>
    </row>
    <row r="115" spans="4:28" ht="15" hidden="1">
      <c r="D115" s="9">
        <v>12</v>
      </c>
      <c r="E115" s="9">
        <v>2</v>
      </c>
      <c r="F115" s="9">
        <v>1367</v>
      </c>
      <c r="G115">
        <v>12</v>
      </c>
      <c r="H115">
        <v>2</v>
      </c>
      <c r="I115">
        <v>77</v>
      </c>
      <c r="J115">
        <v>11</v>
      </c>
      <c r="K115">
        <v>6</v>
      </c>
      <c r="L115">
        <v>100</v>
      </c>
      <c r="M115">
        <v>65</v>
      </c>
      <c r="N115">
        <v>20</v>
      </c>
      <c r="O115" s="11"/>
      <c r="P115" s="12">
        <v>13</v>
      </c>
      <c r="Q115" s="12">
        <v>73.5</v>
      </c>
      <c r="R115" s="12">
        <v>6</v>
      </c>
      <c r="S115" s="12">
        <v>90</v>
      </c>
      <c r="T115" s="9">
        <v>80</v>
      </c>
      <c r="U115" s="9">
        <v>15</v>
      </c>
      <c r="V115" s="9">
        <f t="shared" si="6"/>
        <v>3.5</v>
      </c>
      <c r="W115" s="14">
        <v>12</v>
      </c>
      <c r="X115" s="14">
        <v>2</v>
      </c>
      <c r="Y115" s="14">
        <v>10</v>
      </c>
      <c r="Z115" s="18">
        <f t="shared" si="7"/>
        <v>70</v>
      </c>
      <c r="AA115" s="9">
        <f t="shared" si="8"/>
        <v>-10</v>
      </c>
    </row>
    <row r="116" spans="4:28" ht="15" hidden="1">
      <c r="D116" s="9">
        <v>12</v>
      </c>
      <c r="E116" s="9">
        <v>3</v>
      </c>
      <c r="F116" s="9">
        <v>1303</v>
      </c>
      <c r="G116">
        <v>12</v>
      </c>
      <c r="H116">
        <v>3</v>
      </c>
      <c r="I116">
        <v>82</v>
      </c>
      <c r="J116">
        <v>11</v>
      </c>
      <c r="K116">
        <v>6</v>
      </c>
      <c r="L116">
        <v>100</v>
      </c>
      <c r="M116">
        <v>65</v>
      </c>
      <c r="N116">
        <v>20</v>
      </c>
      <c r="O116" s="11"/>
      <c r="P116" s="12">
        <v>13</v>
      </c>
      <c r="Q116" s="12">
        <v>66</v>
      </c>
      <c r="R116" s="12">
        <v>6</v>
      </c>
      <c r="S116" s="12">
        <v>80</v>
      </c>
      <c r="T116" s="9">
        <v>95</v>
      </c>
      <c r="U116" s="9">
        <v>10</v>
      </c>
      <c r="V116" s="9">
        <f t="shared" si="6"/>
        <v>16</v>
      </c>
      <c r="W116" s="14">
        <v>12</v>
      </c>
      <c r="X116" s="14">
        <v>3</v>
      </c>
      <c r="Y116" s="14">
        <v>8</v>
      </c>
      <c r="Z116" s="18">
        <f t="shared" si="7"/>
        <v>60</v>
      </c>
      <c r="AA116" s="9">
        <f t="shared" si="8"/>
        <v>-20</v>
      </c>
    </row>
    <row r="117" spans="4:28" ht="15" hidden="1">
      <c r="D117" s="9">
        <v>12</v>
      </c>
      <c r="E117" s="9">
        <v>4</v>
      </c>
      <c r="F117" s="9">
        <v>1419</v>
      </c>
      <c r="G117">
        <v>12</v>
      </c>
      <c r="H117">
        <v>4</v>
      </c>
      <c r="I117">
        <v>65</v>
      </c>
      <c r="J117">
        <v>11</v>
      </c>
      <c r="K117">
        <v>6</v>
      </c>
      <c r="L117">
        <v>80</v>
      </c>
      <c r="M117">
        <v>95</v>
      </c>
      <c r="N117">
        <v>10</v>
      </c>
      <c r="O117" s="11"/>
      <c r="P117" s="12">
        <v>13</v>
      </c>
      <c r="Q117" s="12">
        <v>70.5</v>
      </c>
      <c r="R117" s="12">
        <v>6</v>
      </c>
      <c r="S117" s="12">
        <v>120</v>
      </c>
      <c r="T117" s="9">
        <v>35</v>
      </c>
      <c r="U117" s="9">
        <v>30</v>
      </c>
      <c r="V117" s="9">
        <f t="shared" si="6"/>
        <v>-5.5</v>
      </c>
      <c r="W117" s="14">
        <v>12</v>
      </c>
      <c r="X117" s="14">
        <v>4</v>
      </c>
      <c r="Y117" s="14">
        <v>15</v>
      </c>
      <c r="Z117" s="18">
        <f t="shared" si="7"/>
        <v>70</v>
      </c>
      <c r="AA117" s="9">
        <f t="shared" si="8"/>
        <v>40</v>
      </c>
    </row>
    <row r="118" spans="4:28" ht="15" hidden="1">
      <c r="D118" s="9">
        <v>12</v>
      </c>
      <c r="E118" s="9">
        <v>5</v>
      </c>
      <c r="F118" s="9">
        <v>1482</v>
      </c>
      <c r="G118">
        <v>12</v>
      </c>
      <c r="H118">
        <v>5</v>
      </c>
      <c r="I118">
        <v>71</v>
      </c>
      <c r="J118">
        <v>11</v>
      </c>
      <c r="K118">
        <v>6</v>
      </c>
      <c r="L118">
        <v>110</v>
      </c>
      <c r="M118">
        <v>50</v>
      </c>
      <c r="N118">
        <v>25</v>
      </c>
      <c r="O118" s="11"/>
      <c r="P118" s="12">
        <v>13</v>
      </c>
      <c r="Q118" s="12">
        <v>66</v>
      </c>
      <c r="R118" s="12">
        <v>6</v>
      </c>
      <c r="S118" s="12">
        <v>80</v>
      </c>
      <c r="T118" s="9">
        <v>95</v>
      </c>
      <c r="U118" s="9">
        <v>10</v>
      </c>
      <c r="V118" s="9">
        <f t="shared" si="6"/>
        <v>5</v>
      </c>
      <c r="W118" s="14">
        <v>12</v>
      </c>
      <c r="X118" s="14">
        <v>5</v>
      </c>
      <c r="Y118" s="14">
        <v>14</v>
      </c>
      <c r="Z118" s="18">
        <f t="shared" si="7"/>
        <v>60</v>
      </c>
      <c r="AA118" s="9">
        <f t="shared" si="8"/>
        <v>-30</v>
      </c>
    </row>
    <row r="119" spans="4:28" ht="15" hidden="1">
      <c r="D119" s="9">
        <v>12</v>
      </c>
      <c r="E119" s="9">
        <v>6</v>
      </c>
      <c r="F119" s="9">
        <v>1291</v>
      </c>
      <c r="G119">
        <v>12</v>
      </c>
      <c r="H119">
        <v>6</v>
      </c>
      <c r="I119">
        <v>69</v>
      </c>
      <c r="J119">
        <v>11</v>
      </c>
      <c r="K119">
        <v>6</v>
      </c>
      <c r="L119">
        <v>120</v>
      </c>
      <c r="M119">
        <v>35</v>
      </c>
      <c r="N119">
        <v>30</v>
      </c>
      <c r="O119" s="11"/>
      <c r="P119" s="12">
        <v>13</v>
      </c>
      <c r="Q119" s="12">
        <v>69.5</v>
      </c>
      <c r="R119" s="12">
        <v>6</v>
      </c>
      <c r="S119" s="12">
        <v>110</v>
      </c>
      <c r="T119" s="9">
        <v>50</v>
      </c>
      <c r="U119" s="9">
        <v>25</v>
      </c>
      <c r="V119" s="9">
        <f t="shared" si="6"/>
        <v>-0.5</v>
      </c>
      <c r="W119" s="14">
        <v>12</v>
      </c>
      <c r="X119" s="14">
        <v>6</v>
      </c>
      <c r="Y119" s="14">
        <v>13</v>
      </c>
      <c r="Z119" s="18">
        <f t="shared" si="7"/>
        <v>60</v>
      </c>
      <c r="AA119" s="9">
        <f t="shared" si="8"/>
        <v>-10</v>
      </c>
    </row>
    <row r="120" spans="4:28" ht="15" hidden="1">
      <c r="D120" s="9">
        <v>12</v>
      </c>
      <c r="E120" s="9">
        <v>7</v>
      </c>
      <c r="F120" s="9">
        <v>1378</v>
      </c>
      <c r="G120">
        <v>12</v>
      </c>
      <c r="H120">
        <v>7</v>
      </c>
      <c r="I120">
        <v>76.5</v>
      </c>
      <c r="J120">
        <v>11</v>
      </c>
      <c r="K120">
        <v>6</v>
      </c>
      <c r="L120">
        <v>90</v>
      </c>
      <c r="M120">
        <v>80</v>
      </c>
      <c r="N120">
        <v>15</v>
      </c>
      <c r="O120" s="11"/>
      <c r="P120" s="12">
        <v>13</v>
      </c>
      <c r="Q120" s="12">
        <v>74.5</v>
      </c>
      <c r="R120" s="12">
        <v>6</v>
      </c>
      <c r="S120" s="12">
        <v>120</v>
      </c>
      <c r="T120" s="9">
        <v>35</v>
      </c>
      <c r="U120" s="9">
        <v>30</v>
      </c>
      <c r="V120" s="9">
        <f t="shared" si="6"/>
        <v>2</v>
      </c>
      <c r="W120" s="14">
        <v>12</v>
      </c>
      <c r="X120" s="14">
        <v>7</v>
      </c>
      <c r="Y120" s="14">
        <v>10</v>
      </c>
      <c r="Z120" s="18">
        <f t="shared" si="7"/>
        <v>70</v>
      </c>
      <c r="AA120" s="9">
        <f t="shared" si="8"/>
        <v>30</v>
      </c>
    </row>
    <row r="121" spans="4:28" ht="15" hidden="1">
      <c r="D121" s="9">
        <v>12</v>
      </c>
      <c r="E121" s="9">
        <v>8</v>
      </c>
      <c r="F121" s="9">
        <v>1362</v>
      </c>
      <c r="G121">
        <v>12</v>
      </c>
      <c r="H121">
        <v>8</v>
      </c>
      <c r="I121">
        <v>69</v>
      </c>
      <c r="J121">
        <v>11</v>
      </c>
      <c r="K121">
        <v>6</v>
      </c>
      <c r="L121">
        <v>80</v>
      </c>
      <c r="M121">
        <v>95</v>
      </c>
      <c r="N121">
        <v>10</v>
      </c>
      <c r="O121" s="11"/>
      <c r="P121" s="12">
        <v>13</v>
      </c>
      <c r="Q121" s="12">
        <v>68.5</v>
      </c>
      <c r="R121" s="12">
        <v>6</v>
      </c>
      <c r="S121" s="12">
        <v>110</v>
      </c>
      <c r="T121" s="9">
        <v>50</v>
      </c>
      <c r="U121" s="9">
        <v>25</v>
      </c>
      <c r="V121" s="9">
        <f t="shared" si="6"/>
        <v>0.5</v>
      </c>
      <c r="W121" s="14">
        <v>12</v>
      </c>
      <c r="X121" s="14">
        <v>8</v>
      </c>
      <c r="Y121" s="14">
        <v>17</v>
      </c>
      <c r="Z121" s="18">
        <f t="shared" si="7"/>
        <v>60</v>
      </c>
      <c r="AA121" s="9">
        <f t="shared" si="8"/>
        <v>30</v>
      </c>
    </row>
    <row r="122" spans="4:28" ht="15" hidden="1">
      <c r="D122" s="9">
        <v>12</v>
      </c>
      <c r="E122" s="9">
        <v>9</v>
      </c>
      <c r="F122" s="9">
        <v>1403</v>
      </c>
      <c r="G122">
        <v>12</v>
      </c>
      <c r="H122">
        <v>9</v>
      </c>
      <c r="I122">
        <v>62.5</v>
      </c>
      <c r="J122">
        <v>11</v>
      </c>
      <c r="K122">
        <v>6</v>
      </c>
      <c r="L122">
        <v>110</v>
      </c>
      <c r="M122">
        <v>50</v>
      </c>
      <c r="N122">
        <v>25</v>
      </c>
      <c r="O122" s="11"/>
      <c r="P122" s="12">
        <v>13</v>
      </c>
      <c r="Q122" s="12">
        <v>69</v>
      </c>
      <c r="R122" s="12">
        <v>6</v>
      </c>
      <c r="S122" s="12">
        <v>100</v>
      </c>
      <c r="T122" s="9">
        <v>65</v>
      </c>
      <c r="U122" s="9">
        <v>20</v>
      </c>
      <c r="V122" s="9">
        <f t="shared" si="6"/>
        <v>-6.5</v>
      </c>
      <c r="W122" s="14">
        <v>12</v>
      </c>
      <c r="X122" s="14">
        <v>9</v>
      </c>
      <c r="Y122" s="14">
        <v>14</v>
      </c>
      <c r="Z122" s="18">
        <f t="shared" si="7"/>
        <v>60</v>
      </c>
      <c r="AA122" s="9">
        <f t="shared" si="8"/>
        <v>-10</v>
      </c>
    </row>
    <row r="123" spans="4:28" ht="15">
      <c r="D123" s="9">
        <v>13</v>
      </c>
      <c r="E123" s="9">
        <v>0</v>
      </c>
      <c r="F123" s="9">
        <v>1505</v>
      </c>
      <c r="G123">
        <v>13</v>
      </c>
      <c r="H123">
        <v>0</v>
      </c>
      <c r="I123">
        <v>69</v>
      </c>
      <c r="J123">
        <v>11</v>
      </c>
      <c r="K123">
        <v>6</v>
      </c>
      <c r="L123">
        <v>120</v>
      </c>
      <c r="M123">
        <v>35</v>
      </c>
      <c r="N123">
        <v>30</v>
      </c>
      <c r="O123" s="11"/>
      <c r="P123" s="12">
        <v>14</v>
      </c>
      <c r="Q123" s="12">
        <v>72</v>
      </c>
      <c r="R123" s="12">
        <v>6</v>
      </c>
      <c r="S123" s="12">
        <v>80</v>
      </c>
      <c r="T123" s="9">
        <v>95</v>
      </c>
      <c r="U123" s="9">
        <v>10</v>
      </c>
      <c r="V123" s="9">
        <f t="shared" si="6"/>
        <v>-3</v>
      </c>
      <c r="W123" s="14">
        <v>13</v>
      </c>
      <c r="X123" s="14">
        <v>0</v>
      </c>
      <c r="Y123" s="14">
        <v>15</v>
      </c>
      <c r="Z123" s="18">
        <f t="shared" si="7"/>
        <v>70</v>
      </c>
      <c r="AA123" s="9">
        <f t="shared" si="8"/>
        <v>-40</v>
      </c>
      <c r="AB123" s="9">
        <f>SUM(S83:S123)/50</f>
        <v>81.2</v>
      </c>
    </row>
    <row r="124" spans="4:28" ht="15" hidden="1">
      <c r="D124" s="9">
        <v>13</v>
      </c>
      <c r="E124" s="9">
        <v>1</v>
      </c>
      <c r="F124" s="9">
        <v>1248</v>
      </c>
      <c r="G124">
        <v>13</v>
      </c>
      <c r="H124">
        <v>1</v>
      </c>
      <c r="I124">
        <v>71</v>
      </c>
      <c r="J124">
        <v>11</v>
      </c>
      <c r="K124">
        <v>6</v>
      </c>
      <c r="L124">
        <v>100</v>
      </c>
      <c r="M124">
        <v>65</v>
      </c>
      <c r="N124">
        <v>20</v>
      </c>
      <c r="O124" s="11"/>
      <c r="P124" s="12">
        <v>14</v>
      </c>
      <c r="Q124" s="12">
        <v>69</v>
      </c>
      <c r="R124" s="12">
        <v>6</v>
      </c>
      <c r="S124" s="12">
        <v>100</v>
      </c>
      <c r="T124" s="9">
        <v>65</v>
      </c>
      <c r="U124" s="9">
        <v>20</v>
      </c>
      <c r="V124" s="9">
        <f t="shared" si="6"/>
        <v>2</v>
      </c>
      <c r="W124" s="14">
        <v>13</v>
      </c>
      <c r="X124" s="14">
        <v>1</v>
      </c>
      <c r="Y124" s="14">
        <v>17</v>
      </c>
      <c r="Z124" s="18">
        <f t="shared" si="7"/>
        <v>60</v>
      </c>
      <c r="AA124" s="9">
        <f t="shared" si="8"/>
        <v>0</v>
      </c>
    </row>
    <row r="125" spans="4:28" ht="15" hidden="1">
      <c r="D125" s="9">
        <v>13</v>
      </c>
      <c r="E125" s="9">
        <v>2</v>
      </c>
      <c r="F125" s="9">
        <v>1368</v>
      </c>
      <c r="G125">
        <v>13</v>
      </c>
      <c r="H125">
        <v>2</v>
      </c>
      <c r="I125">
        <v>72.5</v>
      </c>
      <c r="J125">
        <v>11</v>
      </c>
      <c r="K125">
        <v>6</v>
      </c>
      <c r="L125">
        <v>105</v>
      </c>
      <c r="M125">
        <v>58</v>
      </c>
      <c r="N125">
        <v>22</v>
      </c>
      <c r="O125" s="11"/>
      <c r="P125" s="12">
        <v>14</v>
      </c>
      <c r="Q125" s="12">
        <v>71</v>
      </c>
      <c r="R125" s="12">
        <v>6</v>
      </c>
      <c r="S125" s="12">
        <v>120</v>
      </c>
      <c r="T125" s="9">
        <v>35</v>
      </c>
      <c r="U125" s="9">
        <v>30</v>
      </c>
      <c r="V125" s="9">
        <f t="shared" si="6"/>
        <v>1.5</v>
      </c>
      <c r="W125" s="14">
        <v>13</v>
      </c>
      <c r="X125" s="14">
        <v>2</v>
      </c>
      <c r="Y125" s="14">
        <v>15</v>
      </c>
      <c r="Z125" s="18">
        <f t="shared" si="7"/>
        <v>70</v>
      </c>
      <c r="AA125" s="9">
        <f t="shared" si="8"/>
        <v>15</v>
      </c>
    </row>
    <row r="126" spans="4:28" ht="15" hidden="1">
      <c r="D126" s="9">
        <v>13</v>
      </c>
      <c r="E126" s="9">
        <v>3</v>
      </c>
      <c r="F126" s="9">
        <v>1325</v>
      </c>
      <c r="G126">
        <v>13</v>
      </c>
      <c r="H126">
        <v>3</v>
      </c>
      <c r="I126">
        <v>66</v>
      </c>
      <c r="J126">
        <v>11</v>
      </c>
      <c r="K126">
        <v>6</v>
      </c>
      <c r="L126">
        <v>80</v>
      </c>
      <c r="M126">
        <v>95</v>
      </c>
      <c r="N126">
        <v>10</v>
      </c>
      <c r="O126" s="11"/>
      <c r="P126" s="12">
        <v>14</v>
      </c>
      <c r="Q126" s="12">
        <v>74.5</v>
      </c>
      <c r="R126" s="12">
        <v>6</v>
      </c>
      <c r="S126" s="12">
        <v>100</v>
      </c>
      <c r="T126" s="9">
        <v>65</v>
      </c>
      <c r="U126" s="9">
        <v>20</v>
      </c>
      <c r="V126" s="9">
        <f t="shared" si="6"/>
        <v>-8.5</v>
      </c>
      <c r="W126" s="14">
        <v>13</v>
      </c>
      <c r="X126" s="14">
        <v>3</v>
      </c>
      <c r="Y126" s="14">
        <v>17</v>
      </c>
      <c r="Z126" s="18">
        <f t="shared" si="7"/>
        <v>70</v>
      </c>
      <c r="AA126" s="9">
        <f t="shared" si="8"/>
        <v>20</v>
      </c>
    </row>
    <row r="127" spans="4:28" ht="15" hidden="1">
      <c r="D127" s="9">
        <v>13</v>
      </c>
      <c r="E127" s="9">
        <v>4</v>
      </c>
      <c r="F127" s="9">
        <v>1312</v>
      </c>
      <c r="G127">
        <v>13</v>
      </c>
      <c r="H127">
        <v>4</v>
      </c>
      <c r="I127">
        <v>70.5</v>
      </c>
      <c r="J127">
        <v>11</v>
      </c>
      <c r="K127">
        <v>6</v>
      </c>
      <c r="L127">
        <v>115</v>
      </c>
      <c r="M127">
        <v>42</v>
      </c>
      <c r="N127">
        <v>28</v>
      </c>
      <c r="O127" s="11"/>
      <c r="P127" s="12">
        <v>14</v>
      </c>
      <c r="Q127" s="12">
        <v>74</v>
      </c>
      <c r="R127" s="12">
        <v>6</v>
      </c>
      <c r="S127" s="12">
        <v>80</v>
      </c>
      <c r="T127" s="9">
        <v>95</v>
      </c>
      <c r="U127" s="9">
        <v>10</v>
      </c>
      <c r="V127" s="9">
        <f t="shared" si="6"/>
        <v>-3.5</v>
      </c>
      <c r="W127" s="14">
        <v>13</v>
      </c>
      <c r="X127" s="14">
        <v>4</v>
      </c>
      <c r="Y127" s="14">
        <v>10</v>
      </c>
      <c r="Z127" s="18">
        <f t="shared" si="7"/>
        <v>70</v>
      </c>
      <c r="AA127" s="9">
        <f t="shared" si="8"/>
        <v>-35</v>
      </c>
    </row>
    <row r="128" spans="4:28" ht="15" hidden="1">
      <c r="D128" s="9">
        <v>13</v>
      </c>
      <c r="E128" s="9">
        <v>5</v>
      </c>
      <c r="F128" s="9">
        <v>1513</v>
      </c>
      <c r="G128">
        <v>13</v>
      </c>
      <c r="H128">
        <v>5</v>
      </c>
      <c r="I128">
        <v>65.5</v>
      </c>
      <c r="J128">
        <v>11</v>
      </c>
      <c r="K128">
        <v>6</v>
      </c>
      <c r="L128">
        <v>115</v>
      </c>
      <c r="M128">
        <v>42</v>
      </c>
      <c r="N128">
        <v>28</v>
      </c>
      <c r="O128" s="11"/>
      <c r="P128" s="12">
        <v>14</v>
      </c>
      <c r="Q128" s="12">
        <v>73</v>
      </c>
      <c r="R128" s="12">
        <v>6</v>
      </c>
      <c r="S128" s="12">
        <v>80</v>
      </c>
      <c r="T128" s="9">
        <v>95</v>
      </c>
      <c r="U128" s="9">
        <v>10</v>
      </c>
      <c r="V128" s="9">
        <f t="shared" si="6"/>
        <v>-7.5</v>
      </c>
      <c r="W128" s="14">
        <v>13</v>
      </c>
      <c r="X128" s="14">
        <v>5</v>
      </c>
      <c r="Y128" s="14">
        <v>11</v>
      </c>
      <c r="Z128" s="18">
        <f t="shared" si="7"/>
        <v>70</v>
      </c>
      <c r="AA128" s="9">
        <f t="shared" si="8"/>
        <v>-35</v>
      </c>
    </row>
    <row r="129" spans="4:28" ht="15" hidden="1">
      <c r="D129" s="9">
        <v>13</v>
      </c>
      <c r="E129" s="9">
        <v>6</v>
      </c>
      <c r="F129" s="9">
        <v>1217</v>
      </c>
      <c r="G129">
        <v>13</v>
      </c>
      <c r="H129">
        <v>6</v>
      </c>
      <c r="I129">
        <v>67.5</v>
      </c>
      <c r="J129">
        <v>11</v>
      </c>
      <c r="K129">
        <v>6</v>
      </c>
      <c r="L129">
        <v>90</v>
      </c>
      <c r="M129">
        <v>80</v>
      </c>
      <c r="N129">
        <v>15</v>
      </c>
      <c r="O129" s="11"/>
      <c r="P129" s="12">
        <v>14</v>
      </c>
      <c r="Q129" s="12">
        <v>69</v>
      </c>
      <c r="R129" s="12">
        <v>6</v>
      </c>
      <c r="S129" s="12">
        <v>100</v>
      </c>
      <c r="T129" s="9">
        <v>65</v>
      </c>
      <c r="U129" s="9">
        <v>20</v>
      </c>
      <c r="V129" s="9">
        <f t="shared" si="6"/>
        <v>-1.5</v>
      </c>
      <c r="W129" s="14">
        <v>13</v>
      </c>
      <c r="X129" s="14">
        <v>6</v>
      </c>
      <c r="Y129" s="14">
        <v>12</v>
      </c>
      <c r="Z129" s="18">
        <f t="shared" si="7"/>
        <v>60</v>
      </c>
      <c r="AA129" s="9">
        <f t="shared" si="8"/>
        <v>10</v>
      </c>
    </row>
    <row r="130" spans="4:28" ht="15" hidden="1">
      <c r="D130" s="9">
        <v>13</v>
      </c>
      <c r="E130" s="9">
        <v>7</v>
      </c>
      <c r="F130" s="9">
        <v>1458</v>
      </c>
      <c r="G130">
        <v>13</v>
      </c>
      <c r="H130">
        <v>7</v>
      </c>
      <c r="I130">
        <v>73.5</v>
      </c>
      <c r="J130">
        <v>11</v>
      </c>
      <c r="K130">
        <v>6</v>
      </c>
      <c r="L130">
        <v>115</v>
      </c>
      <c r="M130">
        <v>42</v>
      </c>
      <c r="N130">
        <v>28</v>
      </c>
      <c r="P130" s="9">
        <v>14</v>
      </c>
      <c r="Q130" s="9">
        <v>72.5</v>
      </c>
      <c r="R130" s="9">
        <v>6</v>
      </c>
      <c r="S130" s="9">
        <v>80</v>
      </c>
      <c r="T130" s="9">
        <v>95</v>
      </c>
      <c r="U130" s="9">
        <v>10</v>
      </c>
      <c r="V130" s="9">
        <f t="shared" si="6"/>
        <v>1</v>
      </c>
      <c r="W130" s="14">
        <v>13</v>
      </c>
      <c r="X130" s="14">
        <v>7</v>
      </c>
      <c r="Y130" s="14">
        <v>15</v>
      </c>
      <c r="Z130" s="18">
        <f t="shared" si="7"/>
        <v>70</v>
      </c>
      <c r="AA130" s="9">
        <f t="shared" si="8"/>
        <v>-35</v>
      </c>
    </row>
    <row r="131" spans="4:28" ht="15" hidden="1">
      <c r="D131" s="9">
        <v>13</v>
      </c>
      <c r="E131" s="9">
        <v>8</v>
      </c>
      <c r="F131" s="9">
        <v>1378</v>
      </c>
      <c r="G131">
        <v>13</v>
      </c>
      <c r="H131">
        <v>8</v>
      </c>
      <c r="I131">
        <v>66.5</v>
      </c>
      <c r="J131">
        <v>11</v>
      </c>
      <c r="K131">
        <v>6</v>
      </c>
      <c r="L131">
        <v>85</v>
      </c>
      <c r="M131">
        <v>88</v>
      </c>
      <c r="N131">
        <v>12</v>
      </c>
      <c r="P131" s="9">
        <v>14</v>
      </c>
      <c r="Q131" s="9">
        <v>80</v>
      </c>
      <c r="R131" s="9">
        <v>6</v>
      </c>
      <c r="S131" s="9">
        <v>110</v>
      </c>
      <c r="T131" s="9">
        <v>50</v>
      </c>
      <c r="U131" s="9">
        <v>25</v>
      </c>
      <c r="V131" s="9">
        <f t="shared" si="6"/>
        <v>-13.5</v>
      </c>
      <c r="W131" s="14">
        <v>13</v>
      </c>
      <c r="X131" s="14">
        <v>8</v>
      </c>
      <c r="Y131" s="14">
        <v>8</v>
      </c>
      <c r="Z131" s="18">
        <f t="shared" si="7"/>
        <v>80</v>
      </c>
      <c r="AA131" s="9">
        <f t="shared" si="8"/>
        <v>25</v>
      </c>
    </row>
    <row r="132" spans="4:28" ht="15" hidden="1">
      <c r="D132" s="9">
        <v>13</v>
      </c>
      <c r="E132" s="9">
        <v>9</v>
      </c>
      <c r="F132" s="9">
        <v>1366</v>
      </c>
      <c r="G132">
        <v>13</v>
      </c>
      <c r="H132">
        <v>9</v>
      </c>
      <c r="I132">
        <v>69</v>
      </c>
      <c r="J132">
        <v>11</v>
      </c>
      <c r="K132">
        <v>6</v>
      </c>
      <c r="L132">
        <v>100</v>
      </c>
      <c r="M132">
        <v>65</v>
      </c>
      <c r="N132">
        <v>20</v>
      </c>
      <c r="P132" s="9">
        <v>14</v>
      </c>
      <c r="Q132" s="9">
        <v>65.5</v>
      </c>
      <c r="R132" s="9">
        <v>6</v>
      </c>
      <c r="S132" s="9">
        <v>90</v>
      </c>
      <c r="T132" s="9">
        <v>80</v>
      </c>
      <c r="U132" s="9">
        <v>15</v>
      </c>
      <c r="V132" s="9">
        <f t="shared" ref="V132:V195" si="9">I132-Q132</f>
        <v>3.5</v>
      </c>
      <c r="W132" s="14">
        <v>13</v>
      </c>
      <c r="X132" s="14">
        <v>9</v>
      </c>
      <c r="Y132" s="14">
        <v>11</v>
      </c>
      <c r="Z132" s="18">
        <f t="shared" ref="Z132:Z195" si="10">INT(Q132/10)*10</f>
        <v>60</v>
      </c>
      <c r="AA132" s="9">
        <f t="shared" si="8"/>
        <v>-10</v>
      </c>
    </row>
    <row r="133" spans="4:28" ht="15">
      <c r="D133" s="9">
        <v>14</v>
      </c>
      <c r="E133" s="9">
        <v>0</v>
      </c>
      <c r="F133" s="9">
        <v>1422</v>
      </c>
      <c r="G133">
        <v>14</v>
      </c>
      <c r="H133">
        <v>0</v>
      </c>
      <c r="I133">
        <v>69.5</v>
      </c>
      <c r="J133">
        <v>11</v>
      </c>
      <c r="K133">
        <v>6</v>
      </c>
      <c r="L133">
        <v>100</v>
      </c>
      <c r="M133">
        <v>65</v>
      </c>
      <c r="N133">
        <v>20</v>
      </c>
      <c r="P133" s="9">
        <v>15</v>
      </c>
      <c r="Q133" s="9">
        <v>72.5</v>
      </c>
      <c r="R133" s="9">
        <v>6</v>
      </c>
      <c r="S133" s="9">
        <v>80</v>
      </c>
      <c r="T133" s="9">
        <v>95</v>
      </c>
      <c r="U133" s="9">
        <v>10</v>
      </c>
      <c r="V133" s="9">
        <f t="shared" si="9"/>
        <v>-3</v>
      </c>
      <c r="W133" s="14">
        <v>14</v>
      </c>
      <c r="X133" s="14">
        <v>0</v>
      </c>
      <c r="Y133" s="14">
        <v>11</v>
      </c>
      <c r="Z133" s="18">
        <f t="shared" si="10"/>
        <v>70</v>
      </c>
      <c r="AA133" s="9">
        <f t="shared" si="8"/>
        <v>-20</v>
      </c>
      <c r="AB133" s="9">
        <f>SUM(S93:S133)/50</f>
        <v>80.2</v>
      </c>
    </row>
    <row r="134" spans="4:28" ht="15" hidden="1">
      <c r="D134" s="9">
        <v>14</v>
      </c>
      <c r="E134" s="9">
        <v>1</v>
      </c>
      <c r="F134" s="9">
        <v>1233</v>
      </c>
      <c r="G134">
        <v>14</v>
      </c>
      <c r="H134">
        <v>1</v>
      </c>
      <c r="I134">
        <v>69</v>
      </c>
      <c r="J134">
        <v>11</v>
      </c>
      <c r="K134">
        <v>6</v>
      </c>
      <c r="L134">
        <v>95</v>
      </c>
      <c r="M134">
        <v>72</v>
      </c>
      <c r="N134">
        <v>18</v>
      </c>
      <c r="P134" s="9">
        <v>15</v>
      </c>
      <c r="Q134" s="9">
        <v>68</v>
      </c>
      <c r="R134" s="9">
        <v>6</v>
      </c>
      <c r="S134" s="9">
        <v>80</v>
      </c>
      <c r="T134" s="9">
        <v>95</v>
      </c>
      <c r="U134" s="9">
        <v>10</v>
      </c>
      <c r="V134" s="9">
        <f t="shared" si="9"/>
        <v>1</v>
      </c>
      <c r="W134" s="14">
        <v>14</v>
      </c>
      <c r="X134" s="14">
        <v>1</v>
      </c>
      <c r="Y134" s="14">
        <v>8</v>
      </c>
      <c r="Z134" s="18">
        <f t="shared" si="10"/>
        <v>60</v>
      </c>
      <c r="AA134" s="9">
        <f t="shared" si="8"/>
        <v>-15</v>
      </c>
    </row>
    <row r="135" spans="4:28" ht="15" hidden="1">
      <c r="D135" s="9">
        <v>14</v>
      </c>
      <c r="E135" s="9">
        <v>2</v>
      </c>
      <c r="F135" s="9">
        <v>1385</v>
      </c>
      <c r="G135">
        <v>14</v>
      </c>
      <c r="H135">
        <v>2</v>
      </c>
      <c r="I135">
        <v>64.5</v>
      </c>
      <c r="J135">
        <v>11</v>
      </c>
      <c r="K135">
        <v>6</v>
      </c>
      <c r="L135">
        <v>95</v>
      </c>
      <c r="M135">
        <v>72</v>
      </c>
      <c r="N135">
        <v>18</v>
      </c>
      <c r="P135" s="9">
        <v>15</v>
      </c>
      <c r="Q135" s="9">
        <v>64.5</v>
      </c>
      <c r="R135" s="9">
        <v>6</v>
      </c>
      <c r="S135" s="9">
        <v>80</v>
      </c>
      <c r="T135" s="9">
        <v>95</v>
      </c>
      <c r="U135" s="9">
        <v>10</v>
      </c>
      <c r="V135" s="9">
        <f t="shared" si="9"/>
        <v>0</v>
      </c>
      <c r="W135" s="14">
        <v>14</v>
      </c>
      <c r="X135" s="14">
        <v>2</v>
      </c>
      <c r="Y135" s="14">
        <v>10</v>
      </c>
      <c r="Z135" s="18">
        <f t="shared" si="10"/>
        <v>60</v>
      </c>
      <c r="AA135" s="9">
        <f t="shared" si="8"/>
        <v>-15</v>
      </c>
    </row>
    <row r="136" spans="4:28" ht="15" hidden="1">
      <c r="D136" s="9">
        <v>14</v>
      </c>
      <c r="E136" s="9">
        <v>3</v>
      </c>
      <c r="F136" s="9">
        <v>1394</v>
      </c>
      <c r="G136">
        <v>14</v>
      </c>
      <c r="H136">
        <v>3</v>
      </c>
      <c r="I136">
        <v>74.5</v>
      </c>
      <c r="J136">
        <v>11</v>
      </c>
      <c r="K136">
        <v>6</v>
      </c>
      <c r="L136">
        <v>100</v>
      </c>
      <c r="M136">
        <v>65</v>
      </c>
      <c r="N136">
        <v>20</v>
      </c>
      <c r="P136" s="9">
        <v>15</v>
      </c>
      <c r="Q136" s="9">
        <v>76</v>
      </c>
      <c r="R136" s="9">
        <v>6</v>
      </c>
      <c r="S136" s="9">
        <v>110</v>
      </c>
      <c r="T136" s="9">
        <v>50</v>
      </c>
      <c r="U136" s="9">
        <v>25</v>
      </c>
      <c r="V136" s="9">
        <f t="shared" si="9"/>
        <v>-1.5</v>
      </c>
      <c r="W136" s="14">
        <v>14</v>
      </c>
      <c r="X136" s="14">
        <v>3</v>
      </c>
      <c r="Y136" s="14">
        <v>10</v>
      </c>
      <c r="Z136" s="18">
        <f t="shared" si="10"/>
        <v>70</v>
      </c>
      <c r="AA136" s="9">
        <f t="shared" si="8"/>
        <v>10</v>
      </c>
    </row>
    <row r="137" spans="4:28" ht="15" hidden="1">
      <c r="D137" s="9">
        <v>14</v>
      </c>
      <c r="E137" s="9">
        <v>4</v>
      </c>
      <c r="F137" s="9">
        <v>1315</v>
      </c>
      <c r="G137">
        <v>14</v>
      </c>
      <c r="H137">
        <v>4</v>
      </c>
      <c r="I137">
        <v>65</v>
      </c>
      <c r="J137">
        <v>11</v>
      </c>
      <c r="K137">
        <v>6</v>
      </c>
      <c r="L137">
        <v>120</v>
      </c>
      <c r="M137">
        <v>35</v>
      </c>
      <c r="N137">
        <v>30</v>
      </c>
      <c r="P137" s="9">
        <v>15</v>
      </c>
      <c r="Q137" s="9">
        <v>73.5</v>
      </c>
      <c r="R137" s="9">
        <v>6</v>
      </c>
      <c r="S137" s="9">
        <v>120</v>
      </c>
      <c r="T137" s="9">
        <v>35</v>
      </c>
      <c r="U137" s="9">
        <v>30</v>
      </c>
      <c r="V137" s="9">
        <f t="shared" si="9"/>
        <v>-8.5</v>
      </c>
      <c r="W137" s="14">
        <v>14</v>
      </c>
      <c r="X137" s="14">
        <v>4</v>
      </c>
      <c r="Y137" s="14">
        <v>13</v>
      </c>
      <c r="Z137" s="18">
        <f t="shared" si="10"/>
        <v>70</v>
      </c>
      <c r="AA137" s="9">
        <f t="shared" si="8"/>
        <v>0</v>
      </c>
    </row>
    <row r="138" spans="4:28" ht="15" hidden="1">
      <c r="D138" s="9">
        <v>14</v>
      </c>
      <c r="E138" s="9">
        <v>5</v>
      </c>
      <c r="F138" s="9">
        <v>1432</v>
      </c>
      <c r="G138">
        <v>14</v>
      </c>
      <c r="H138">
        <v>5</v>
      </c>
      <c r="I138">
        <v>62.5</v>
      </c>
      <c r="J138">
        <v>11</v>
      </c>
      <c r="K138">
        <v>6</v>
      </c>
      <c r="L138">
        <v>105</v>
      </c>
      <c r="M138">
        <v>58</v>
      </c>
      <c r="N138">
        <v>22</v>
      </c>
      <c r="P138" s="9">
        <v>15</v>
      </c>
      <c r="Q138" s="9">
        <v>67</v>
      </c>
      <c r="R138" s="9">
        <v>6</v>
      </c>
      <c r="S138" s="9">
        <v>90</v>
      </c>
      <c r="T138" s="9">
        <v>80</v>
      </c>
      <c r="U138" s="9">
        <v>15</v>
      </c>
      <c r="V138" s="9">
        <f t="shared" si="9"/>
        <v>-4.5</v>
      </c>
      <c r="W138" s="14">
        <v>14</v>
      </c>
      <c r="X138" s="14">
        <v>5</v>
      </c>
      <c r="Y138" s="14">
        <v>12</v>
      </c>
      <c r="Z138" s="18">
        <f t="shared" si="10"/>
        <v>60</v>
      </c>
      <c r="AA138" s="9">
        <f t="shared" si="8"/>
        <v>-15</v>
      </c>
    </row>
    <row r="139" spans="4:28" ht="15" hidden="1">
      <c r="D139" s="9">
        <v>14</v>
      </c>
      <c r="E139" s="9">
        <v>6</v>
      </c>
      <c r="F139" s="9">
        <v>1216</v>
      </c>
      <c r="G139">
        <v>14</v>
      </c>
      <c r="H139">
        <v>6</v>
      </c>
      <c r="I139">
        <v>69</v>
      </c>
      <c r="J139">
        <v>11</v>
      </c>
      <c r="K139">
        <v>6</v>
      </c>
      <c r="L139">
        <v>115</v>
      </c>
      <c r="M139">
        <v>42</v>
      </c>
      <c r="N139">
        <v>28</v>
      </c>
      <c r="P139" s="9">
        <v>15</v>
      </c>
      <c r="Q139" s="9">
        <v>62</v>
      </c>
      <c r="R139" s="9">
        <v>6</v>
      </c>
      <c r="S139" s="9">
        <v>100</v>
      </c>
      <c r="T139" s="9">
        <v>65</v>
      </c>
      <c r="U139" s="9">
        <v>20</v>
      </c>
      <c r="V139" s="9">
        <f t="shared" si="9"/>
        <v>7</v>
      </c>
      <c r="W139" s="14">
        <v>14</v>
      </c>
      <c r="X139" s="14">
        <v>6</v>
      </c>
      <c r="Y139" s="14">
        <v>12</v>
      </c>
      <c r="Z139" s="18">
        <f t="shared" si="10"/>
        <v>60</v>
      </c>
      <c r="AA139" s="9">
        <f t="shared" si="8"/>
        <v>-15</v>
      </c>
    </row>
    <row r="140" spans="4:28" ht="15" hidden="1">
      <c r="D140" s="9">
        <v>14</v>
      </c>
      <c r="E140" s="9">
        <v>7</v>
      </c>
      <c r="F140" s="9">
        <v>1469</v>
      </c>
      <c r="G140">
        <v>14</v>
      </c>
      <c r="H140">
        <v>7</v>
      </c>
      <c r="I140">
        <v>70</v>
      </c>
      <c r="J140">
        <v>11</v>
      </c>
      <c r="K140">
        <v>6</v>
      </c>
      <c r="L140">
        <v>115</v>
      </c>
      <c r="M140">
        <v>42</v>
      </c>
      <c r="N140">
        <v>28</v>
      </c>
      <c r="P140" s="9">
        <v>15</v>
      </c>
      <c r="Q140" s="9">
        <v>64.5</v>
      </c>
      <c r="R140" s="9">
        <v>6</v>
      </c>
      <c r="S140" s="9">
        <v>120</v>
      </c>
      <c r="T140" s="9">
        <v>35</v>
      </c>
      <c r="U140" s="9">
        <v>30</v>
      </c>
      <c r="V140" s="9">
        <f t="shared" si="9"/>
        <v>5.5</v>
      </c>
      <c r="W140" s="14">
        <v>14</v>
      </c>
      <c r="X140" s="14">
        <v>7</v>
      </c>
      <c r="Y140" s="14">
        <v>7</v>
      </c>
      <c r="Z140" s="18">
        <f t="shared" si="10"/>
        <v>60</v>
      </c>
      <c r="AA140" s="9">
        <f t="shared" si="8"/>
        <v>5</v>
      </c>
    </row>
    <row r="141" spans="4:28" ht="15" hidden="1">
      <c r="D141" s="9">
        <v>14</v>
      </c>
      <c r="E141" s="9">
        <v>8</v>
      </c>
      <c r="F141" s="9">
        <v>1360</v>
      </c>
      <c r="G141">
        <v>14</v>
      </c>
      <c r="H141">
        <v>8</v>
      </c>
      <c r="I141">
        <v>80</v>
      </c>
      <c r="J141">
        <v>11</v>
      </c>
      <c r="K141">
        <v>6</v>
      </c>
      <c r="L141">
        <v>100</v>
      </c>
      <c r="M141">
        <v>65</v>
      </c>
      <c r="N141">
        <v>20</v>
      </c>
      <c r="P141" s="9">
        <v>15</v>
      </c>
      <c r="Q141" s="9">
        <v>64.5</v>
      </c>
      <c r="R141" s="9">
        <v>6</v>
      </c>
      <c r="S141" s="9">
        <v>120</v>
      </c>
      <c r="T141" s="9">
        <v>35</v>
      </c>
      <c r="U141" s="9">
        <v>30</v>
      </c>
      <c r="V141" s="9">
        <f t="shared" si="9"/>
        <v>15.5</v>
      </c>
      <c r="W141" s="14">
        <v>14</v>
      </c>
      <c r="X141" s="14">
        <v>8</v>
      </c>
      <c r="Y141" s="14">
        <v>17</v>
      </c>
      <c r="Z141" s="18">
        <f t="shared" si="10"/>
        <v>60</v>
      </c>
      <c r="AA141" s="9">
        <f t="shared" si="8"/>
        <v>20</v>
      </c>
    </row>
    <row r="142" spans="4:28" ht="15" hidden="1">
      <c r="D142" s="9">
        <v>14</v>
      </c>
      <c r="E142" s="9">
        <v>9</v>
      </c>
      <c r="F142" s="9">
        <v>1366</v>
      </c>
      <c r="G142">
        <v>14</v>
      </c>
      <c r="H142">
        <v>9</v>
      </c>
      <c r="I142">
        <v>65</v>
      </c>
      <c r="J142">
        <v>11</v>
      </c>
      <c r="K142">
        <v>6</v>
      </c>
      <c r="L142">
        <v>120</v>
      </c>
      <c r="M142">
        <v>35</v>
      </c>
      <c r="N142">
        <v>30</v>
      </c>
      <c r="P142" s="9">
        <v>15</v>
      </c>
      <c r="Q142" s="9">
        <v>69</v>
      </c>
      <c r="R142" s="9">
        <v>6</v>
      </c>
      <c r="S142" s="9">
        <v>100</v>
      </c>
      <c r="T142" s="9">
        <v>65</v>
      </c>
      <c r="U142" s="9">
        <v>20</v>
      </c>
      <c r="V142" s="9">
        <f t="shared" si="9"/>
        <v>-4</v>
      </c>
      <c r="W142" s="14">
        <v>14</v>
      </c>
      <c r="X142" s="14">
        <v>9</v>
      </c>
      <c r="Y142" s="14">
        <v>12</v>
      </c>
      <c r="Z142" s="18">
        <f t="shared" si="10"/>
        <v>60</v>
      </c>
      <c r="AA142" s="9">
        <f t="shared" si="8"/>
        <v>-20</v>
      </c>
    </row>
    <row r="143" spans="4:28" ht="15">
      <c r="D143" s="9">
        <v>15</v>
      </c>
      <c r="E143" s="9">
        <v>0</v>
      </c>
      <c r="F143" s="9">
        <v>1470</v>
      </c>
      <c r="G143">
        <v>15</v>
      </c>
      <c r="H143">
        <v>0</v>
      </c>
      <c r="I143">
        <v>72.5</v>
      </c>
      <c r="J143">
        <v>11</v>
      </c>
      <c r="K143">
        <v>6</v>
      </c>
      <c r="L143">
        <v>85</v>
      </c>
      <c r="M143">
        <v>88</v>
      </c>
      <c r="N143">
        <v>12</v>
      </c>
      <c r="P143" s="9">
        <v>16</v>
      </c>
      <c r="Q143" s="9">
        <v>72.5</v>
      </c>
      <c r="R143" s="9">
        <v>6</v>
      </c>
      <c r="S143" s="9">
        <v>110</v>
      </c>
      <c r="T143" s="9">
        <v>50</v>
      </c>
      <c r="U143" s="9">
        <v>25</v>
      </c>
      <c r="V143" s="9">
        <f t="shared" si="9"/>
        <v>0</v>
      </c>
      <c r="W143" s="14">
        <v>15</v>
      </c>
      <c r="X143" s="14">
        <v>0</v>
      </c>
      <c r="Y143" s="14">
        <v>13</v>
      </c>
      <c r="Z143" s="18">
        <f t="shared" si="10"/>
        <v>70</v>
      </c>
      <c r="AA143" s="9">
        <f t="shared" si="8"/>
        <v>25</v>
      </c>
      <c r="AB143" s="9">
        <f>SUM(S103:S143)/50</f>
        <v>80.8</v>
      </c>
    </row>
    <row r="144" spans="4:28" ht="15" hidden="1">
      <c r="D144" s="9">
        <v>15</v>
      </c>
      <c r="E144" s="9">
        <v>1</v>
      </c>
      <c r="F144" s="9">
        <v>1203</v>
      </c>
      <c r="G144">
        <v>15</v>
      </c>
      <c r="H144">
        <v>1</v>
      </c>
      <c r="I144">
        <v>67</v>
      </c>
      <c r="J144">
        <v>11</v>
      </c>
      <c r="K144">
        <v>6</v>
      </c>
      <c r="L144">
        <v>100</v>
      </c>
      <c r="M144">
        <v>65</v>
      </c>
      <c r="N144">
        <v>20</v>
      </c>
      <c r="P144" s="9">
        <v>16</v>
      </c>
      <c r="Q144" s="9">
        <v>64.5</v>
      </c>
      <c r="R144" s="9">
        <v>6</v>
      </c>
      <c r="S144" s="9">
        <v>100</v>
      </c>
      <c r="T144" s="9">
        <v>65</v>
      </c>
      <c r="U144" s="9">
        <v>20</v>
      </c>
      <c r="V144" s="9">
        <f t="shared" si="9"/>
        <v>2.5</v>
      </c>
      <c r="W144" s="14">
        <v>15</v>
      </c>
      <c r="X144" s="14">
        <v>1</v>
      </c>
      <c r="Y144" s="14">
        <v>15</v>
      </c>
      <c r="Z144" s="18">
        <f t="shared" si="10"/>
        <v>60</v>
      </c>
      <c r="AA144" s="9">
        <f t="shared" si="8"/>
        <v>0</v>
      </c>
    </row>
    <row r="145" spans="4:28" ht="15" hidden="1">
      <c r="D145" s="9">
        <v>15</v>
      </c>
      <c r="E145" s="9">
        <v>2</v>
      </c>
      <c r="F145" s="9">
        <v>1372</v>
      </c>
      <c r="G145">
        <v>15</v>
      </c>
      <c r="H145">
        <v>2</v>
      </c>
      <c r="I145">
        <v>63</v>
      </c>
      <c r="J145">
        <v>11</v>
      </c>
      <c r="K145">
        <v>6</v>
      </c>
      <c r="L145">
        <v>105</v>
      </c>
      <c r="M145">
        <v>58</v>
      </c>
      <c r="N145">
        <v>22</v>
      </c>
      <c r="P145" s="9">
        <v>16</v>
      </c>
      <c r="Q145" s="9">
        <v>67.5</v>
      </c>
      <c r="R145" s="9">
        <v>6</v>
      </c>
      <c r="S145" s="9">
        <v>110</v>
      </c>
      <c r="T145" s="9">
        <v>50</v>
      </c>
      <c r="U145" s="9">
        <v>25</v>
      </c>
      <c r="V145" s="9">
        <f t="shared" si="9"/>
        <v>-4.5</v>
      </c>
      <c r="W145" s="14">
        <v>15</v>
      </c>
      <c r="X145" s="14">
        <v>2</v>
      </c>
      <c r="Y145" s="14">
        <v>14</v>
      </c>
      <c r="Z145" s="18">
        <f t="shared" si="10"/>
        <v>60</v>
      </c>
      <c r="AA145" s="9">
        <f t="shared" si="8"/>
        <v>5</v>
      </c>
    </row>
    <row r="146" spans="4:28" ht="15" hidden="1">
      <c r="D146" s="9">
        <v>15</v>
      </c>
      <c r="E146" s="9">
        <v>3</v>
      </c>
      <c r="F146" s="9">
        <v>1404</v>
      </c>
      <c r="G146">
        <v>15</v>
      </c>
      <c r="H146">
        <v>3</v>
      </c>
      <c r="I146">
        <v>76</v>
      </c>
      <c r="J146">
        <v>11</v>
      </c>
      <c r="K146">
        <v>6</v>
      </c>
      <c r="L146">
        <v>105</v>
      </c>
      <c r="M146">
        <v>58</v>
      </c>
      <c r="N146">
        <v>22</v>
      </c>
      <c r="P146" s="9">
        <v>16</v>
      </c>
      <c r="Q146" s="9">
        <v>62.5</v>
      </c>
      <c r="R146" s="9">
        <v>6</v>
      </c>
      <c r="S146" s="9">
        <v>100</v>
      </c>
      <c r="T146" s="9">
        <v>65</v>
      </c>
      <c r="U146" s="9">
        <v>20</v>
      </c>
      <c r="V146" s="9">
        <f t="shared" si="9"/>
        <v>13.5</v>
      </c>
      <c r="W146" s="14">
        <v>15</v>
      </c>
      <c r="X146" s="14">
        <v>3</v>
      </c>
      <c r="Y146" s="14">
        <v>10</v>
      </c>
      <c r="Z146" s="18">
        <f t="shared" si="10"/>
        <v>60</v>
      </c>
      <c r="AA146" s="9">
        <f t="shared" si="8"/>
        <v>-5</v>
      </c>
    </row>
    <row r="147" spans="4:28" ht="15" hidden="1">
      <c r="D147" s="9">
        <v>15</v>
      </c>
      <c r="E147" s="9">
        <v>4</v>
      </c>
      <c r="F147" s="9">
        <v>1304</v>
      </c>
      <c r="G147">
        <v>15</v>
      </c>
      <c r="H147">
        <v>4</v>
      </c>
      <c r="I147">
        <v>71</v>
      </c>
      <c r="J147">
        <v>11</v>
      </c>
      <c r="K147">
        <v>6</v>
      </c>
      <c r="L147">
        <v>95</v>
      </c>
      <c r="M147">
        <v>72</v>
      </c>
      <c r="N147">
        <v>18</v>
      </c>
      <c r="P147" s="9">
        <v>16</v>
      </c>
      <c r="Q147" s="9">
        <v>69.5</v>
      </c>
      <c r="R147" s="9">
        <v>6</v>
      </c>
      <c r="S147" s="9">
        <v>90</v>
      </c>
      <c r="T147" s="9">
        <v>80</v>
      </c>
      <c r="U147" s="9">
        <v>15</v>
      </c>
      <c r="V147" s="9">
        <f t="shared" si="9"/>
        <v>1.5</v>
      </c>
      <c r="W147" s="14">
        <v>15</v>
      </c>
      <c r="X147" s="14">
        <v>4</v>
      </c>
      <c r="Y147" s="14">
        <v>10</v>
      </c>
      <c r="Z147" s="18">
        <f t="shared" si="10"/>
        <v>60</v>
      </c>
      <c r="AA147" s="9">
        <f t="shared" si="8"/>
        <v>-5</v>
      </c>
    </row>
    <row r="148" spans="4:28" ht="15" hidden="1">
      <c r="D148" s="9">
        <v>15</v>
      </c>
      <c r="E148" s="9">
        <v>5</v>
      </c>
      <c r="F148" s="9">
        <v>1450</v>
      </c>
      <c r="G148">
        <v>15</v>
      </c>
      <c r="H148">
        <v>5</v>
      </c>
      <c r="I148">
        <v>67</v>
      </c>
      <c r="J148">
        <v>11</v>
      </c>
      <c r="K148">
        <v>6</v>
      </c>
      <c r="L148">
        <v>80</v>
      </c>
      <c r="M148">
        <v>95</v>
      </c>
      <c r="N148">
        <v>10</v>
      </c>
      <c r="P148" s="9">
        <v>16</v>
      </c>
      <c r="Q148" s="9">
        <v>71</v>
      </c>
      <c r="R148" s="9">
        <v>6</v>
      </c>
      <c r="S148" s="9">
        <v>80</v>
      </c>
      <c r="T148" s="9">
        <v>95</v>
      </c>
      <c r="U148" s="9">
        <v>10</v>
      </c>
      <c r="V148" s="9">
        <f t="shared" si="9"/>
        <v>-4</v>
      </c>
      <c r="W148" s="14">
        <v>15</v>
      </c>
      <c r="X148" s="14">
        <v>5</v>
      </c>
      <c r="Y148" s="14">
        <v>15</v>
      </c>
      <c r="Z148" s="18">
        <f t="shared" si="10"/>
        <v>70</v>
      </c>
      <c r="AA148" s="9">
        <f t="shared" si="8"/>
        <v>0</v>
      </c>
    </row>
    <row r="149" spans="4:28" ht="15" hidden="1">
      <c r="D149" s="9">
        <v>15</v>
      </c>
      <c r="E149" s="9">
        <v>6</v>
      </c>
      <c r="F149" s="9">
        <v>1327</v>
      </c>
      <c r="G149">
        <v>15</v>
      </c>
      <c r="H149">
        <v>6</v>
      </c>
      <c r="I149">
        <v>62</v>
      </c>
      <c r="J149">
        <v>11</v>
      </c>
      <c r="K149">
        <v>6</v>
      </c>
      <c r="L149">
        <v>95</v>
      </c>
      <c r="M149">
        <v>72</v>
      </c>
      <c r="N149">
        <v>18</v>
      </c>
      <c r="P149" s="9">
        <v>16</v>
      </c>
      <c r="Q149" s="9">
        <v>66.5</v>
      </c>
      <c r="R149" s="9">
        <v>6</v>
      </c>
      <c r="S149" s="9">
        <v>100</v>
      </c>
      <c r="T149" s="9">
        <v>65</v>
      </c>
      <c r="U149" s="9">
        <v>20</v>
      </c>
      <c r="V149" s="9">
        <f t="shared" si="9"/>
        <v>-4.5</v>
      </c>
      <c r="W149" s="14">
        <v>15</v>
      </c>
      <c r="X149" s="14">
        <v>6</v>
      </c>
      <c r="Y149" s="14">
        <v>10</v>
      </c>
      <c r="Z149" s="18">
        <f t="shared" si="10"/>
        <v>60</v>
      </c>
      <c r="AA149" s="9">
        <f t="shared" si="8"/>
        <v>5</v>
      </c>
    </row>
    <row r="150" spans="4:28" ht="15" hidden="1">
      <c r="D150" s="9">
        <v>15</v>
      </c>
      <c r="E150" s="9">
        <v>7</v>
      </c>
      <c r="F150" s="9">
        <v>1486</v>
      </c>
      <c r="G150">
        <v>15</v>
      </c>
      <c r="H150">
        <v>7</v>
      </c>
      <c r="I150">
        <v>64</v>
      </c>
      <c r="J150">
        <v>11</v>
      </c>
      <c r="K150">
        <v>6</v>
      </c>
      <c r="L150">
        <v>110</v>
      </c>
      <c r="M150">
        <v>50</v>
      </c>
      <c r="N150">
        <v>25</v>
      </c>
      <c r="P150" s="9">
        <v>16</v>
      </c>
      <c r="Q150" s="9">
        <v>63.5</v>
      </c>
      <c r="R150" s="9">
        <v>6</v>
      </c>
      <c r="S150" s="9">
        <v>90</v>
      </c>
      <c r="T150" s="9">
        <v>80</v>
      </c>
      <c r="U150" s="9">
        <v>15</v>
      </c>
      <c r="V150" s="9">
        <f t="shared" si="9"/>
        <v>0.5</v>
      </c>
      <c r="W150" s="14">
        <v>15</v>
      </c>
      <c r="X150" s="14">
        <v>7</v>
      </c>
      <c r="Y150" s="14">
        <v>18</v>
      </c>
      <c r="Z150" s="18">
        <f t="shared" si="10"/>
        <v>60</v>
      </c>
      <c r="AA150" s="9">
        <f t="shared" si="8"/>
        <v>-20</v>
      </c>
    </row>
    <row r="151" spans="4:28" ht="15" hidden="1">
      <c r="D151" s="9">
        <v>15</v>
      </c>
      <c r="E151" s="9">
        <v>8</v>
      </c>
      <c r="F151" s="9">
        <v>1406</v>
      </c>
      <c r="G151">
        <v>15</v>
      </c>
      <c r="H151">
        <v>8</v>
      </c>
      <c r="I151">
        <v>64</v>
      </c>
      <c r="J151">
        <v>11</v>
      </c>
      <c r="K151">
        <v>6</v>
      </c>
      <c r="L151">
        <v>105</v>
      </c>
      <c r="M151">
        <v>58</v>
      </c>
      <c r="N151">
        <v>22</v>
      </c>
      <c r="P151" s="9">
        <v>16</v>
      </c>
      <c r="Q151" s="9">
        <v>64.5</v>
      </c>
      <c r="R151" s="9">
        <v>6</v>
      </c>
      <c r="S151" s="9">
        <v>100</v>
      </c>
      <c r="T151" s="9">
        <v>65</v>
      </c>
      <c r="U151" s="9">
        <v>20</v>
      </c>
      <c r="V151" s="9">
        <f t="shared" si="9"/>
        <v>-0.5</v>
      </c>
      <c r="W151" s="14">
        <v>15</v>
      </c>
      <c r="X151" s="14">
        <v>8</v>
      </c>
      <c r="Y151" s="14">
        <v>8</v>
      </c>
      <c r="Z151" s="18">
        <f t="shared" si="10"/>
        <v>60</v>
      </c>
      <c r="AA151" s="9">
        <f t="shared" si="8"/>
        <v>-5</v>
      </c>
    </row>
    <row r="152" spans="4:28" ht="15" hidden="1">
      <c r="D152" s="9">
        <v>15</v>
      </c>
      <c r="E152" s="9">
        <v>9</v>
      </c>
      <c r="F152" s="9">
        <v>1354</v>
      </c>
      <c r="G152">
        <v>15</v>
      </c>
      <c r="H152">
        <v>9</v>
      </c>
      <c r="I152">
        <v>69</v>
      </c>
      <c r="J152">
        <v>11</v>
      </c>
      <c r="K152">
        <v>6</v>
      </c>
      <c r="L152">
        <v>80</v>
      </c>
      <c r="M152">
        <v>95</v>
      </c>
      <c r="N152">
        <v>10</v>
      </c>
      <c r="P152" s="9">
        <v>16</v>
      </c>
      <c r="Q152" s="9">
        <v>67.5</v>
      </c>
      <c r="R152" s="9">
        <v>6</v>
      </c>
      <c r="S152" s="9">
        <v>90</v>
      </c>
      <c r="T152" s="9">
        <v>80</v>
      </c>
      <c r="U152" s="9">
        <v>15</v>
      </c>
      <c r="V152" s="9">
        <f t="shared" si="9"/>
        <v>1.5</v>
      </c>
      <c r="W152" s="14">
        <v>15</v>
      </c>
      <c r="X152" s="14">
        <v>9</v>
      </c>
      <c r="Y152" s="14">
        <v>13</v>
      </c>
      <c r="Z152" s="18">
        <f t="shared" si="10"/>
        <v>60</v>
      </c>
      <c r="AA152" s="9">
        <f t="shared" si="8"/>
        <v>10</v>
      </c>
    </row>
    <row r="153" spans="4:28" ht="15">
      <c r="D153" s="9">
        <v>16</v>
      </c>
      <c r="E153" s="9">
        <v>0</v>
      </c>
      <c r="F153" s="9">
        <v>1456</v>
      </c>
      <c r="G153">
        <v>16</v>
      </c>
      <c r="H153">
        <v>0</v>
      </c>
      <c r="I153">
        <v>72.5</v>
      </c>
      <c r="J153">
        <v>11</v>
      </c>
      <c r="K153">
        <v>6</v>
      </c>
      <c r="L153">
        <v>115</v>
      </c>
      <c r="M153">
        <v>42</v>
      </c>
      <c r="N153">
        <v>28</v>
      </c>
      <c r="P153" s="9">
        <v>17</v>
      </c>
      <c r="Q153" s="9">
        <v>81.5</v>
      </c>
      <c r="R153" s="9">
        <v>6</v>
      </c>
      <c r="S153" s="9">
        <v>100</v>
      </c>
      <c r="T153" s="9">
        <v>65</v>
      </c>
      <c r="U153" s="9">
        <v>20</v>
      </c>
      <c r="V153" s="9">
        <f t="shared" si="9"/>
        <v>-9</v>
      </c>
      <c r="W153" s="14">
        <v>16</v>
      </c>
      <c r="X153" s="14">
        <v>0</v>
      </c>
      <c r="Y153" s="14">
        <v>12</v>
      </c>
      <c r="Z153" s="18">
        <f t="shared" si="10"/>
        <v>80</v>
      </c>
      <c r="AA153" s="9">
        <f t="shared" si="8"/>
        <v>-15</v>
      </c>
      <c r="AB153" s="9">
        <f>SUM(S113:S153)/50</f>
        <v>80.400000000000006</v>
      </c>
    </row>
    <row r="154" spans="4:28" ht="15" hidden="1">
      <c r="D154" s="9">
        <v>16</v>
      </c>
      <c r="E154" s="9">
        <v>1</v>
      </c>
      <c r="F154" s="9">
        <v>1214</v>
      </c>
      <c r="G154">
        <v>16</v>
      </c>
      <c r="H154">
        <v>1</v>
      </c>
      <c r="I154">
        <v>64.5</v>
      </c>
      <c r="J154">
        <v>11</v>
      </c>
      <c r="K154">
        <v>6</v>
      </c>
      <c r="L154">
        <v>90</v>
      </c>
      <c r="M154">
        <v>80</v>
      </c>
      <c r="N154">
        <v>15</v>
      </c>
      <c r="P154" s="9">
        <v>17</v>
      </c>
      <c r="Q154" s="9">
        <v>69.5</v>
      </c>
      <c r="R154" s="9">
        <v>6</v>
      </c>
      <c r="S154" s="9">
        <v>110</v>
      </c>
      <c r="T154" s="9">
        <v>50</v>
      </c>
      <c r="U154" s="9">
        <v>25</v>
      </c>
      <c r="V154" s="9">
        <f t="shared" si="9"/>
        <v>-5</v>
      </c>
      <c r="W154" s="14">
        <v>16</v>
      </c>
      <c r="X154" s="14">
        <v>1</v>
      </c>
      <c r="Y154" s="14">
        <v>12</v>
      </c>
      <c r="Z154" s="18">
        <f t="shared" si="10"/>
        <v>60</v>
      </c>
      <c r="AA154" s="9">
        <f t="shared" si="8"/>
        <v>20</v>
      </c>
    </row>
    <row r="155" spans="4:28" ht="15" hidden="1">
      <c r="D155" s="9">
        <v>16</v>
      </c>
      <c r="E155" s="9">
        <v>2</v>
      </c>
      <c r="F155" s="9">
        <v>1491</v>
      </c>
      <c r="G155">
        <v>16</v>
      </c>
      <c r="H155">
        <v>2</v>
      </c>
      <c r="I155">
        <v>67.5</v>
      </c>
      <c r="J155">
        <v>11</v>
      </c>
      <c r="K155">
        <v>6</v>
      </c>
      <c r="L155">
        <v>120</v>
      </c>
      <c r="M155">
        <v>35</v>
      </c>
      <c r="N155">
        <v>30</v>
      </c>
      <c r="P155" s="9">
        <v>17</v>
      </c>
      <c r="Q155" s="9">
        <v>72</v>
      </c>
      <c r="R155" s="9">
        <v>6</v>
      </c>
      <c r="S155" s="9">
        <v>80</v>
      </c>
      <c r="T155" s="9">
        <v>95</v>
      </c>
      <c r="U155" s="9">
        <v>10</v>
      </c>
      <c r="V155" s="9">
        <f t="shared" si="9"/>
        <v>-4.5</v>
      </c>
      <c r="W155" s="14">
        <v>16</v>
      </c>
      <c r="X155" s="14">
        <v>2</v>
      </c>
      <c r="Y155" s="14">
        <v>11</v>
      </c>
      <c r="Z155" s="18">
        <f t="shared" si="10"/>
        <v>70</v>
      </c>
      <c r="AA155" s="9">
        <f t="shared" si="8"/>
        <v>-40</v>
      </c>
    </row>
    <row r="156" spans="4:28" ht="15" hidden="1">
      <c r="D156" s="9">
        <v>16</v>
      </c>
      <c r="E156" s="9">
        <v>3</v>
      </c>
      <c r="F156" s="9">
        <v>1422</v>
      </c>
      <c r="G156">
        <v>16</v>
      </c>
      <c r="H156">
        <v>3</v>
      </c>
      <c r="I156">
        <v>62.5</v>
      </c>
      <c r="J156">
        <v>11</v>
      </c>
      <c r="K156">
        <v>6</v>
      </c>
      <c r="L156">
        <v>115</v>
      </c>
      <c r="M156">
        <v>42</v>
      </c>
      <c r="N156">
        <v>28</v>
      </c>
      <c r="P156" s="9">
        <v>17</v>
      </c>
      <c r="Q156" s="9">
        <v>84.5</v>
      </c>
      <c r="R156" s="9">
        <v>6</v>
      </c>
      <c r="S156" s="9">
        <v>80</v>
      </c>
      <c r="T156" s="9">
        <v>95</v>
      </c>
      <c r="U156" s="9">
        <v>10</v>
      </c>
      <c r="V156" s="9">
        <f t="shared" si="9"/>
        <v>-22</v>
      </c>
      <c r="W156" s="14">
        <v>16</v>
      </c>
      <c r="X156" s="14">
        <v>3</v>
      </c>
      <c r="Y156" s="14">
        <v>14</v>
      </c>
      <c r="Z156" s="18">
        <f t="shared" si="10"/>
        <v>80</v>
      </c>
      <c r="AA156" s="9">
        <f t="shared" si="8"/>
        <v>-35</v>
      </c>
    </row>
    <row r="157" spans="4:28" ht="15" hidden="1">
      <c r="D157" s="9">
        <v>16</v>
      </c>
      <c r="E157" s="9">
        <v>4</v>
      </c>
      <c r="F157" s="9">
        <v>1317</v>
      </c>
      <c r="G157">
        <v>16</v>
      </c>
      <c r="H157">
        <v>4</v>
      </c>
      <c r="I157">
        <v>69.5</v>
      </c>
      <c r="J157">
        <v>11</v>
      </c>
      <c r="K157">
        <v>6</v>
      </c>
      <c r="L157">
        <v>80</v>
      </c>
      <c r="M157">
        <v>95</v>
      </c>
      <c r="N157">
        <v>10</v>
      </c>
      <c r="P157" s="9">
        <v>17</v>
      </c>
      <c r="Q157" s="9">
        <v>66.5</v>
      </c>
      <c r="R157" s="9">
        <v>6</v>
      </c>
      <c r="S157" s="9">
        <v>100</v>
      </c>
      <c r="T157" s="9">
        <v>65</v>
      </c>
      <c r="U157" s="9">
        <v>20</v>
      </c>
      <c r="V157" s="9">
        <f t="shared" si="9"/>
        <v>3</v>
      </c>
      <c r="W157" s="14">
        <v>16</v>
      </c>
      <c r="X157" s="14">
        <v>4</v>
      </c>
      <c r="Y157" s="14">
        <v>16</v>
      </c>
      <c r="Z157" s="18">
        <f t="shared" si="10"/>
        <v>60</v>
      </c>
      <c r="AA157" s="9">
        <f t="shared" si="8"/>
        <v>20</v>
      </c>
    </row>
    <row r="158" spans="4:28" ht="15" hidden="1">
      <c r="D158" s="9">
        <v>16</v>
      </c>
      <c r="E158" s="9">
        <v>5</v>
      </c>
      <c r="F158" s="9">
        <v>1385</v>
      </c>
      <c r="G158">
        <v>16</v>
      </c>
      <c r="H158">
        <v>5</v>
      </c>
      <c r="I158">
        <v>65.5</v>
      </c>
      <c r="J158">
        <v>11</v>
      </c>
      <c r="K158">
        <v>6</v>
      </c>
      <c r="L158">
        <v>90</v>
      </c>
      <c r="M158">
        <v>80</v>
      </c>
      <c r="N158">
        <v>15</v>
      </c>
      <c r="P158" s="9">
        <v>17</v>
      </c>
      <c r="Q158" s="9">
        <v>71.5</v>
      </c>
      <c r="R158" s="9">
        <v>6</v>
      </c>
      <c r="S158" s="9">
        <v>100</v>
      </c>
      <c r="T158" s="9">
        <v>65</v>
      </c>
      <c r="U158" s="9">
        <v>20</v>
      </c>
      <c r="V158" s="9">
        <f t="shared" si="9"/>
        <v>-6</v>
      </c>
      <c r="W158" s="14">
        <v>16</v>
      </c>
      <c r="X158" s="14">
        <v>5</v>
      </c>
      <c r="Y158" s="14">
        <v>11</v>
      </c>
      <c r="Z158" s="18">
        <f t="shared" si="10"/>
        <v>70</v>
      </c>
      <c r="AA158" s="9">
        <f t="shared" si="8"/>
        <v>10</v>
      </c>
    </row>
    <row r="159" spans="4:28" ht="15" hidden="1">
      <c r="D159" s="9">
        <v>16</v>
      </c>
      <c r="E159" s="9">
        <v>6</v>
      </c>
      <c r="F159" s="9">
        <v>1308</v>
      </c>
      <c r="G159">
        <v>16</v>
      </c>
      <c r="H159">
        <v>6</v>
      </c>
      <c r="I159">
        <v>65.5</v>
      </c>
      <c r="J159">
        <v>11</v>
      </c>
      <c r="K159">
        <v>6</v>
      </c>
      <c r="L159">
        <v>95</v>
      </c>
      <c r="M159">
        <v>72</v>
      </c>
      <c r="N159">
        <v>18</v>
      </c>
      <c r="P159" s="9">
        <v>17</v>
      </c>
      <c r="Q159" s="9">
        <v>66</v>
      </c>
      <c r="R159" s="9">
        <v>6</v>
      </c>
      <c r="S159" s="9">
        <v>100</v>
      </c>
      <c r="T159" s="9">
        <v>65</v>
      </c>
      <c r="U159" s="9">
        <v>20</v>
      </c>
      <c r="V159" s="9">
        <f t="shared" si="9"/>
        <v>-0.5</v>
      </c>
      <c r="W159" s="14">
        <v>16</v>
      </c>
      <c r="X159" s="14">
        <v>6</v>
      </c>
      <c r="Y159" s="14">
        <v>18</v>
      </c>
      <c r="Z159" s="18">
        <f t="shared" si="10"/>
        <v>60</v>
      </c>
      <c r="AA159" s="9">
        <f t="shared" si="8"/>
        <v>5</v>
      </c>
    </row>
    <row r="160" spans="4:28" ht="15" hidden="1">
      <c r="D160" s="9">
        <v>16</v>
      </c>
      <c r="E160" s="9">
        <v>7</v>
      </c>
      <c r="F160" s="9">
        <v>1484</v>
      </c>
      <c r="G160">
        <v>16</v>
      </c>
      <c r="H160">
        <v>7</v>
      </c>
      <c r="I160">
        <v>63.5</v>
      </c>
      <c r="J160">
        <v>11</v>
      </c>
      <c r="K160">
        <v>6</v>
      </c>
      <c r="L160">
        <v>85</v>
      </c>
      <c r="M160">
        <v>88</v>
      </c>
      <c r="N160">
        <v>12</v>
      </c>
      <c r="P160" s="9">
        <v>17</v>
      </c>
      <c r="Q160" s="9">
        <v>64</v>
      </c>
      <c r="R160" s="9">
        <v>6</v>
      </c>
      <c r="S160" s="9">
        <v>90</v>
      </c>
      <c r="T160" s="9">
        <v>80</v>
      </c>
      <c r="U160" s="9">
        <v>15</v>
      </c>
      <c r="V160" s="9">
        <f t="shared" si="9"/>
        <v>-0.5</v>
      </c>
      <c r="W160" s="14">
        <v>16</v>
      </c>
      <c r="X160" s="14">
        <v>7</v>
      </c>
      <c r="Y160" s="14">
        <v>10</v>
      </c>
      <c r="Z160" s="18">
        <f t="shared" si="10"/>
        <v>60</v>
      </c>
      <c r="AA160" s="9">
        <f t="shared" si="8"/>
        <v>5</v>
      </c>
    </row>
    <row r="161" spans="4:28" ht="15" hidden="1">
      <c r="D161" s="9">
        <v>16</v>
      </c>
      <c r="E161" s="9">
        <v>8</v>
      </c>
      <c r="F161" s="9">
        <v>1373</v>
      </c>
      <c r="G161">
        <v>16</v>
      </c>
      <c r="H161">
        <v>8</v>
      </c>
      <c r="I161">
        <v>64.5</v>
      </c>
      <c r="J161">
        <v>11</v>
      </c>
      <c r="K161">
        <v>6</v>
      </c>
      <c r="L161">
        <v>100</v>
      </c>
      <c r="M161">
        <v>65</v>
      </c>
      <c r="N161">
        <v>20</v>
      </c>
      <c r="P161" s="9">
        <v>17</v>
      </c>
      <c r="Q161" s="9">
        <v>74.5</v>
      </c>
      <c r="R161" s="9">
        <v>6</v>
      </c>
      <c r="S161" s="9">
        <v>90</v>
      </c>
      <c r="T161" s="9">
        <v>80</v>
      </c>
      <c r="U161" s="9">
        <v>15</v>
      </c>
      <c r="V161" s="9">
        <f t="shared" si="9"/>
        <v>-10</v>
      </c>
      <c r="W161" s="14">
        <v>16</v>
      </c>
      <c r="X161" s="14">
        <v>8</v>
      </c>
      <c r="Y161" s="14">
        <v>16</v>
      </c>
      <c r="Z161" s="18">
        <f t="shared" si="10"/>
        <v>70</v>
      </c>
      <c r="AA161" s="9">
        <f t="shared" si="8"/>
        <v>-10</v>
      </c>
    </row>
    <row r="162" spans="4:28" ht="15" hidden="1">
      <c r="D162" s="9">
        <v>16</v>
      </c>
      <c r="E162" s="9">
        <v>9</v>
      </c>
      <c r="F162" s="9">
        <v>1308</v>
      </c>
      <c r="G162">
        <v>16</v>
      </c>
      <c r="H162">
        <v>9</v>
      </c>
      <c r="I162">
        <v>67</v>
      </c>
      <c r="J162">
        <v>11</v>
      </c>
      <c r="K162">
        <v>6</v>
      </c>
      <c r="L162">
        <v>120</v>
      </c>
      <c r="M162">
        <v>35</v>
      </c>
      <c r="N162">
        <v>30</v>
      </c>
      <c r="P162" s="9">
        <v>17</v>
      </c>
      <c r="Q162" s="9">
        <v>65</v>
      </c>
      <c r="R162" s="9">
        <v>6</v>
      </c>
      <c r="S162" s="9">
        <v>80</v>
      </c>
      <c r="T162" s="9">
        <v>95</v>
      </c>
      <c r="U162" s="9">
        <v>10</v>
      </c>
      <c r="V162" s="9">
        <f t="shared" si="9"/>
        <v>2</v>
      </c>
      <c r="W162" s="14">
        <v>16</v>
      </c>
      <c r="X162" s="14">
        <v>9</v>
      </c>
      <c r="Y162" s="14">
        <v>15</v>
      </c>
      <c r="Z162" s="18">
        <f t="shared" si="10"/>
        <v>60</v>
      </c>
      <c r="AA162" s="9">
        <f t="shared" si="8"/>
        <v>-40</v>
      </c>
    </row>
    <row r="163" spans="4:28" ht="15">
      <c r="D163" s="9">
        <v>17</v>
      </c>
      <c r="E163" s="9">
        <v>0</v>
      </c>
      <c r="F163" s="9">
        <v>1463</v>
      </c>
      <c r="G163">
        <v>17</v>
      </c>
      <c r="H163">
        <v>0</v>
      </c>
      <c r="I163">
        <v>81.5</v>
      </c>
      <c r="J163">
        <v>11</v>
      </c>
      <c r="K163">
        <v>6</v>
      </c>
      <c r="L163">
        <v>120</v>
      </c>
      <c r="M163">
        <v>35</v>
      </c>
      <c r="N163">
        <v>30</v>
      </c>
      <c r="P163" s="9">
        <v>18</v>
      </c>
      <c r="Q163" s="9">
        <v>69.5</v>
      </c>
      <c r="R163" s="9">
        <v>6</v>
      </c>
      <c r="S163" s="9">
        <v>90</v>
      </c>
      <c r="T163" s="9">
        <v>80</v>
      </c>
      <c r="U163" s="9">
        <v>15</v>
      </c>
      <c r="V163" s="9">
        <f t="shared" si="9"/>
        <v>12</v>
      </c>
      <c r="W163" s="14">
        <v>17</v>
      </c>
      <c r="X163" s="14">
        <v>0</v>
      </c>
      <c r="Y163" s="14">
        <v>13</v>
      </c>
      <c r="Z163" s="18">
        <f t="shared" si="10"/>
        <v>60</v>
      </c>
      <c r="AA163" s="9">
        <f t="shared" ref="AA163:AA202" si="11">S163-L163</f>
        <v>-30</v>
      </c>
      <c r="AB163" s="9">
        <f>SUM(S123:S163)/50</f>
        <v>78.599999999999994</v>
      </c>
    </row>
    <row r="164" spans="4:28" ht="15" hidden="1">
      <c r="D164" s="9">
        <v>17</v>
      </c>
      <c r="E164" s="9">
        <v>1</v>
      </c>
      <c r="F164" s="9">
        <v>1250</v>
      </c>
      <c r="G164">
        <v>17</v>
      </c>
      <c r="H164">
        <v>1</v>
      </c>
      <c r="I164">
        <v>69.5</v>
      </c>
      <c r="J164">
        <v>11</v>
      </c>
      <c r="K164">
        <v>6</v>
      </c>
      <c r="L164">
        <v>100</v>
      </c>
      <c r="M164">
        <v>65</v>
      </c>
      <c r="N164">
        <v>20</v>
      </c>
      <c r="P164" s="9">
        <v>18</v>
      </c>
      <c r="Q164" s="9">
        <v>65</v>
      </c>
      <c r="R164" s="9">
        <v>6</v>
      </c>
      <c r="S164" s="9">
        <v>110</v>
      </c>
      <c r="T164" s="9">
        <v>50</v>
      </c>
      <c r="U164" s="9">
        <v>25</v>
      </c>
      <c r="V164" s="9">
        <f t="shared" si="9"/>
        <v>4.5</v>
      </c>
      <c r="W164" s="14">
        <v>17</v>
      </c>
      <c r="X164" s="14">
        <v>1</v>
      </c>
      <c r="Y164" s="14">
        <v>13</v>
      </c>
      <c r="Z164" s="18">
        <f t="shared" si="10"/>
        <v>60</v>
      </c>
      <c r="AA164" s="9">
        <f t="shared" si="11"/>
        <v>10</v>
      </c>
    </row>
    <row r="165" spans="4:28" ht="15" hidden="1">
      <c r="D165" s="9">
        <v>17</v>
      </c>
      <c r="E165" s="9">
        <v>2</v>
      </c>
      <c r="F165" s="9">
        <v>1572</v>
      </c>
      <c r="G165">
        <v>17</v>
      </c>
      <c r="H165">
        <v>2</v>
      </c>
      <c r="I165">
        <v>71</v>
      </c>
      <c r="J165">
        <v>11</v>
      </c>
      <c r="K165">
        <v>6</v>
      </c>
      <c r="L165">
        <v>100</v>
      </c>
      <c r="M165">
        <v>65</v>
      </c>
      <c r="N165">
        <v>20</v>
      </c>
      <c r="P165" s="9">
        <v>18</v>
      </c>
      <c r="Q165" s="9">
        <v>73.5</v>
      </c>
      <c r="R165" s="9">
        <v>6</v>
      </c>
      <c r="S165" s="9">
        <v>80</v>
      </c>
      <c r="T165" s="9">
        <v>95</v>
      </c>
      <c r="U165" s="9">
        <v>10</v>
      </c>
      <c r="V165" s="9">
        <f t="shared" si="9"/>
        <v>-2.5</v>
      </c>
      <c r="W165" s="14">
        <v>17</v>
      </c>
      <c r="X165" s="14">
        <v>2</v>
      </c>
      <c r="Y165" s="14">
        <v>14</v>
      </c>
      <c r="Z165" s="18">
        <f t="shared" si="10"/>
        <v>70</v>
      </c>
      <c r="AA165" s="9">
        <f t="shared" si="11"/>
        <v>-20</v>
      </c>
    </row>
    <row r="166" spans="4:28" ht="15" hidden="1">
      <c r="D166" s="9">
        <v>17</v>
      </c>
      <c r="E166" s="9">
        <v>3</v>
      </c>
      <c r="F166" s="9">
        <v>1427</v>
      </c>
      <c r="G166">
        <v>17</v>
      </c>
      <c r="H166">
        <v>3</v>
      </c>
      <c r="I166">
        <v>83</v>
      </c>
      <c r="J166">
        <v>11</v>
      </c>
      <c r="K166">
        <v>6</v>
      </c>
      <c r="L166">
        <v>95</v>
      </c>
      <c r="M166">
        <v>72</v>
      </c>
      <c r="N166">
        <v>18</v>
      </c>
      <c r="P166" s="9">
        <v>18</v>
      </c>
      <c r="Q166" s="9">
        <v>66</v>
      </c>
      <c r="R166" s="9">
        <v>6</v>
      </c>
      <c r="S166" s="9">
        <v>120</v>
      </c>
      <c r="T166" s="9">
        <v>35</v>
      </c>
      <c r="U166" s="9">
        <v>30</v>
      </c>
      <c r="V166" s="9">
        <f t="shared" si="9"/>
        <v>17</v>
      </c>
      <c r="W166" s="14">
        <v>17</v>
      </c>
      <c r="X166" s="14">
        <v>3</v>
      </c>
      <c r="Y166" s="14">
        <v>11</v>
      </c>
      <c r="Z166" s="18">
        <f t="shared" si="10"/>
        <v>60</v>
      </c>
      <c r="AA166" s="9">
        <f t="shared" si="11"/>
        <v>25</v>
      </c>
    </row>
    <row r="167" spans="4:28" ht="15" hidden="1">
      <c r="D167" s="9">
        <v>17</v>
      </c>
      <c r="E167" s="9">
        <v>4</v>
      </c>
      <c r="F167" s="9">
        <v>1402</v>
      </c>
      <c r="G167">
        <v>17</v>
      </c>
      <c r="H167">
        <v>4</v>
      </c>
      <c r="I167">
        <v>66.5</v>
      </c>
      <c r="J167">
        <v>11</v>
      </c>
      <c r="K167">
        <v>6</v>
      </c>
      <c r="L167">
        <v>100</v>
      </c>
      <c r="M167">
        <v>65</v>
      </c>
      <c r="N167">
        <v>20</v>
      </c>
      <c r="P167" s="9">
        <v>18</v>
      </c>
      <c r="Q167" s="9">
        <v>71.5</v>
      </c>
      <c r="R167" s="9">
        <v>6</v>
      </c>
      <c r="S167" s="9">
        <v>100</v>
      </c>
      <c r="T167" s="9">
        <v>65</v>
      </c>
      <c r="U167" s="9">
        <v>20</v>
      </c>
      <c r="V167" s="9">
        <f t="shared" si="9"/>
        <v>-5</v>
      </c>
      <c r="W167" s="14">
        <v>17</v>
      </c>
      <c r="X167" s="14">
        <v>4</v>
      </c>
      <c r="Y167" s="14">
        <v>9</v>
      </c>
      <c r="Z167" s="18">
        <f t="shared" si="10"/>
        <v>70</v>
      </c>
      <c r="AA167" s="9">
        <f t="shared" si="11"/>
        <v>0</v>
      </c>
    </row>
    <row r="168" spans="4:28" ht="15" hidden="1">
      <c r="D168" s="9">
        <v>17</v>
      </c>
      <c r="E168" s="9">
        <v>5</v>
      </c>
      <c r="F168" s="9">
        <v>1463</v>
      </c>
      <c r="G168">
        <v>17</v>
      </c>
      <c r="H168">
        <v>5</v>
      </c>
      <c r="I168">
        <v>71.5</v>
      </c>
      <c r="J168">
        <v>11</v>
      </c>
      <c r="K168">
        <v>6</v>
      </c>
      <c r="L168">
        <v>85</v>
      </c>
      <c r="M168">
        <v>88</v>
      </c>
      <c r="N168">
        <v>12</v>
      </c>
      <c r="P168" s="9">
        <v>18</v>
      </c>
      <c r="Q168" s="9">
        <v>68.5</v>
      </c>
      <c r="R168" s="9">
        <v>6</v>
      </c>
      <c r="S168" s="9">
        <v>100</v>
      </c>
      <c r="T168" s="9">
        <v>65</v>
      </c>
      <c r="U168" s="9">
        <v>20</v>
      </c>
      <c r="V168" s="9">
        <f t="shared" si="9"/>
        <v>3</v>
      </c>
      <c r="W168" s="14">
        <v>17</v>
      </c>
      <c r="X168" s="14">
        <v>5</v>
      </c>
      <c r="Y168" s="14">
        <v>14</v>
      </c>
      <c r="Z168" s="18">
        <f t="shared" si="10"/>
        <v>60</v>
      </c>
      <c r="AA168" s="9">
        <f t="shared" si="11"/>
        <v>15</v>
      </c>
    </row>
    <row r="169" spans="4:28" ht="15" hidden="1">
      <c r="D169" s="9">
        <v>17</v>
      </c>
      <c r="E169" s="9">
        <v>6</v>
      </c>
      <c r="F169" s="9">
        <v>1414</v>
      </c>
      <c r="G169">
        <v>17</v>
      </c>
      <c r="H169">
        <v>6</v>
      </c>
      <c r="I169">
        <v>66</v>
      </c>
      <c r="J169">
        <v>11</v>
      </c>
      <c r="K169">
        <v>6</v>
      </c>
      <c r="L169">
        <v>110</v>
      </c>
      <c r="M169">
        <v>50</v>
      </c>
      <c r="N169">
        <v>25</v>
      </c>
      <c r="P169" s="9">
        <v>18</v>
      </c>
      <c r="Q169" s="9">
        <v>72</v>
      </c>
      <c r="R169" s="9">
        <v>6</v>
      </c>
      <c r="S169" s="9">
        <v>90</v>
      </c>
      <c r="T169" s="9">
        <v>80</v>
      </c>
      <c r="U169" s="9">
        <v>15</v>
      </c>
      <c r="V169" s="9">
        <f t="shared" si="9"/>
        <v>-6</v>
      </c>
      <c r="W169" s="14">
        <v>17</v>
      </c>
      <c r="X169" s="14">
        <v>6</v>
      </c>
      <c r="Y169" s="14">
        <v>7</v>
      </c>
      <c r="Z169" s="18">
        <f t="shared" si="10"/>
        <v>70</v>
      </c>
      <c r="AA169" s="9">
        <f t="shared" si="11"/>
        <v>-20</v>
      </c>
    </row>
    <row r="170" spans="4:28" ht="15" hidden="1">
      <c r="D170" s="9">
        <v>17</v>
      </c>
      <c r="E170" s="9">
        <v>7</v>
      </c>
      <c r="F170" s="9">
        <v>1483</v>
      </c>
      <c r="G170">
        <v>17</v>
      </c>
      <c r="H170">
        <v>7</v>
      </c>
      <c r="I170">
        <v>64</v>
      </c>
      <c r="J170">
        <v>11</v>
      </c>
      <c r="K170">
        <v>6</v>
      </c>
      <c r="L170">
        <v>100</v>
      </c>
      <c r="M170">
        <v>65</v>
      </c>
      <c r="N170">
        <v>20</v>
      </c>
      <c r="P170" s="9">
        <v>18</v>
      </c>
      <c r="Q170" s="9">
        <v>72</v>
      </c>
      <c r="R170" s="9">
        <v>6</v>
      </c>
      <c r="S170" s="9">
        <v>110</v>
      </c>
      <c r="T170" s="9">
        <v>50</v>
      </c>
      <c r="U170" s="9">
        <v>25</v>
      </c>
      <c r="V170" s="9">
        <f t="shared" si="9"/>
        <v>-8</v>
      </c>
      <c r="W170" s="14">
        <v>17</v>
      </c>
      <c r="X170" s="14">
        <v>7</v>
      </c>
      <c r="Y170" s="14">
        <v>15</v>
      </c>
      <c r="Z170" s="18">
        <f t="shared" si="10"/>
        <v>70</v>
      </c>
      <c r="AA170" s="9">
        <f t="shared" si="11"/>
        <v>10</v>
      </c>
    </row>
    <row r="171" spans="4:28" ht="15" hidden="1">
      <c r="D171" s="9">
        <v>17</v>
      </c>
      <c r="E171" s="9">
        <v>8</v>
      </c>
      <c r="F171" s="9">
        <v>1556</v>
      </c>
      <c r="G171">
        <v>17</v>
      </c>
      <c r="H171">
        <v>8</v>
      </c>
      <c r="I171">
        <v>74.5</v>
      </c>
      <c r="J171">
        <v>11</v>
      </c>
      <c r="K171">
        <v>6</v>
      </c>
      <c r="L171">
        <v>90</v>
      </c>
      <c r="M171">
        <v>80</v>
      </c>
      <c r="N171">
        <v>15</v>
      </c>
      <c r="P171" s="9">
        <v>18</v>
      </c>
      <c r="Q171" s="9">
        <v>69.5</v>
      </c>
      <c r="R171" s="9">
        <v>6</v>
      </c>
      <c r="S171" s="9">
        <v>100</v>
      </c>
      <c r="T171" s="9">
        <v>65</v>
      </c>
      <c r="U171" s="9">
        <v>20</v>
      </c>
      <c r="V171" s="9">
        <f t="shared" si="9"/>
        <v>5</v>
      </c>
      <c r="W171" s="14">
        <v>17</v>
      </c>
      <c r="X171" s="14">
        <v>8</v>
      </c>
      <c r="Y171" s="14">
        <v>9</v>
      </c>
      <c r="Z171" s="18">
        <f t="shared" si="10"/>
        <v>60</v>
      </c>
      <c r="AA171" s="9">
        <f t="shared" si="11"/>
        <v>10</v>
      </c>
    </row>
    <row r="172" spans="4:28" ht="15" hidden="1">
      <c r="D172" s="9">
        <v>17</v>
      </c>
      <c r="E172" s="9">
        <v>9</v>
      </c>
      <c r="F172" s="9">
        <v>1413</v>
      </c>
      <c r="G172">
        <v>17</v>
      </c>
      <c r="H172">
        <v>9</v>
      </c>
      <c r="I172">
        <v>64.5</v>
      </c>
      <c r="J172">
        <v>11</v>
      </c>
      <c r="K172">
        <v>6</v>
      </c>
      <c r="L172">
        <v>100</v>
      </c>
      <c r="M172">
        <v>65</v>
      </c>
      <c r="N172">
        <v>20</v>
      </c>
      <c r="P172" s="9">
        <v>18</v>
      </c>
      <c r="Q172" s="9">
        <v>76.5</v>
      </c>
      <c r="R172" s="9">
        <v>6</v>
      </c>
      <c r="S172" s="9">
        <v>120</v>
      </c>
      <c r="T172" s="9">
        <v>35</v>
      </c>
      <c r="U172" s="9">
        <v>30</v>
      </c>
      <c r="V172" s="9">
        <f t="shared" si="9"/>
        <v>-12</v>
      </c>
      <c r="W172" s="14">
        <v>17</v>
      </c>
      <c r="X172" s="14">
        <v>9</v>
      </c>
      <c r="Y172" s="14">
        <v>10</v>
      </c>
      <c r="Z172" s="18">
        <f t="shared" si="10"/>
        <v>70</v>
      </c>
      <c r="AA172" s="9">
        <f t="shared" si="11"/>
        <v>20</v>
      </c>
    </row>
    <row r="173" spans="4:28" ht="15">
      <c r="D173" s="9">
        <v>18</v>
      </c>
      <c r="E173" s="9">
        <v>0</v>
      </c>
      <c r="F173" s="9">
        <v>1427</v>
      </c>
      <c r="G173">
        <v>18</v>
      </c>
      <c r="H173">
        <v>0</v>
      </c>
      <c r="I173">
        <v>69</v>
      </c>
      <c r="J173">
        <v>11</v>
      </c>
      <c r="K173">
        <v>6</v>
      </c>
      <c r="L173">
        <v>100</v>
      </c>
      <c r="M173">
        <v>65</v>
      </c>
      <c r="N173">
        <v>20</v>
      </c>
      <c r="P173" s="9">
        <v>19</v>
      </c>
      <c r="Q173" s="9">
        <v>77</v>
      </c>
      <c r="R173" s="9">
        <v>6</v>
      </c>
      <c r="S173" s="9">
        <v>100</v>
      </c>
      <c r="T173" s="9">
        <v>65</v>
      </c>
      <c r="U173" s="9">
        <v>20</v>
      </c>
      <c r="V173" s="9">
        <f t="shared" si="9"/>
        <v>-8</v>
      </c>
      <c r="W173" s="14">
        <v>18</v>
      </c>
      <c r="X173" s="14">
        <v>0</v>
      </c>
      <c r="Y173" s="14">
        <v>11</v>
      </c>
      <c r="Z173" s="18">
        <f t="shared" si="10"/>
        <v>70</v>
      </c>
      <c r="AA173" s="9">
        <f t="shared" si="11"/>
        <v>0</v>
      </c>
      <c r="AB173" s="9">
        <f>SUM(S133:S173)/50</f>
        <v>80.400000000000006</v>
      </c>
    </row>
    <row r="174" spans="4:28" ht="15" hidden="1">
      <c r="D174" s="9">
        <v>18</v>
      </c>
      <c r="E174" s="9">
        <v>1</v>
      </c>
      <c r="F174" s="9">
        <v>1266</v>
      </c>
      <c r="G174">
        <v>18</v>
      </c>
      <c r="H174">
        <v>1</v>
      </c>
      <c r="I174">
        <v>64.5</v>
      </c>
      <c r="J174">
        <v>11</v>
      </c>
      <c r="K174">
        <v>6</v>
      </c>
      <c r="L174">
        <v>105</v>
      </c>
      <c r="M174">
        <v>58</v>
      </c>
      <c r="N174">
        <v>22</v>
      </c>
      <c r="P174" s="9">
        <v>19</v>
      </c>
      <c r="Q174" s="9">
        <v>68</v>
      </c>
      <c r="R174" s="9">
        <v>6</v>
      </c>
      <c r="S174" s="9">
        <v>100</v>
      </c>
      <c r="T174" s="9">
        <v>65</v>
      </c>
      <c r="U174" s="9">
        <v>20</v>
      </c>
      <c r="V174" s="9">
        <f t="shared" si="9"/>
        <v>-3.5</v>
      </c>
      <c r="W174" s="14">
        <v>18</v>
      </c>
      <c r="X174" s="14">
        <v>1</v>
      </c>
      <c r="Y174" s="14">
        <v>12</v>
      </c>
      <c r="Z174" s="18">
        <f t="shared" si="10"/>
        <v>60</v>
      </c>
      <c r="AA174" s="9">
        <f t="shared" si="11"/>
        <v>-5</v>
      </c>
    </row>
    <row r="175" spans="4:28" ht="15" hidden="1">
      <c r="D175" s="9">
        <v>18</v>
      </c>
      <c r="E175" s="9">
        <v>2</v>
      </c>
      <c r="F175" s="9">
        <v>1563</v>
      </c>
      <c r="G175">
        <v>18</v>
      </c>
      <c r="H175">
        <v>2</v>
      </c>
      <c r="I175">
        <v>73.5</v>
      </c>
      <c r="J175">
        <v>11</v>
      </c>
      <c r="K175">
        <v>6</v>
      </c>
      <c r="L175">
        <v>85</v>
      </c>
      <c r="M175">
        <v>88</v>
      </c>
      <c r="N175">
        <v>12</v>
      </c>
      <c r="P175" s="9">
        <v>19</v>
      </c>
      <c r="Q175" s="9">
        <v>78</v>
      </c>
      <c r="R175" s="9">
        <v>6</v>
      </c>
      <c r="S175" s="9">
        <v>120</v>
      </c>
      <c r="T175" s="9">
        <v>35</v>
      </c>
      <c r="U175" s="9">
        <v>30</v>
      </c>
      <c r="V175" s="9">
        <f t="shared" si="9"/>
        <v>-4.5</v>
      </c>
      <c r="W175" s="14">
        <v>18</v>
      </c>
      <c r="X175" s="14">
        <v>2</v>
      </c>
      <c r="Y175" s="14">
        <v>13</v>
      </c>
      <c r="Z175" s="18">
        <f t="shared" si="10"/>
        <v>70</v>
      </c>
      <c r="AA175" s="9">
        <f t="shared" si="11"/>
        <v>35</v>
      </c>
    </row>
    <row r="176" spans="4:28" ht="15" hidden="1">
      <c r="D176" s="9">
        <v>18</v>
      </c>
      <c r="E176" s="9">
        <v>3</v>
      </c>
      <c r="F176" s="9">
        <v>1464</v>
      </c>
      <c r="G176">
        <v>18</v>
      </c>
      <c r="H176">
        <v>3</v>
      </c>
      <c r="I176">
        <v>62</v>
      </c>
      <c r="J176">
        <v>11</v>
      </c>
      <c r="K176">
        <v>6</v>
      </c>
      <c r="L176">
        <v>90</v>
      </c>
      <c r="M176">
        <v>80</v>
      </c>
      <c r="N176">
        <v>15</v>
      </c>
      <c r="P176" s="9">
        <v>19</v>
      </c>
      <c r="Q176" s="9">
        <v>67.5</v>
      </c>
      <c r="R176" s="9">
        <v>6</v>
      </c>
      <c r="S176" s="9">
        <v>110</v>
      </c>
      <c r="T176" s="9">
        <v>50</v>
      </c>
      <c r="U176" s="9">
        <v>25</v>
      </c>
      <c r="V176" s="9">
        <f t="shared" si="9"/>
        <v>-5.5</v>
      </c>
      <c r="W176" s="14">
        <v>18</v>
      </c>
      <c r="X176" s="14">
        <v>3</v>
      </c>
      <c r="Y176" s="14">
        <v>12</v>
      </c>
      <c r="Z176" s="18">
        <f t="shared" si="10"/>
        <v>60</v>
      </c>
      <c r="AA176" s="9">
        <f t="shared" si="11"/>
        <v>20</v>
      </c>
    </row>
    <row r="177" spans="4:28" ht="15" hidden="1">
      <c r="D177" s="9">
        <v>18</v>
      </c>
      <c r="E177" s="9">
        <v>4</v>
      </c>
      <c r="F177" s="9">
        <v>1431</v>
      </c>
      <c r="G177">
        <v>18</v>
      </c>
      <c r="H177">
        <v>4</v>
      </c>
      <c r="I177">
        <v>71.5</v>
      </c>
      <c r="J177">
        <v>11</v>
      </c>
      <c r="K177">
        <v>6</v>
      </c>
      <c r="L177">
        <v>100</v>
      </c>
      <c r="M177">
        <v>65</v>
      </c>
      <c r="N177">
        <v>20</v>
      </c>
      <c r="P177" s="9">
        <v>19</v>
      </c>
      <c r="Q177" s="9">
        <v>61.5</v>
      </c>
      <c r="R177" s="9">
        <v>6</v>
      </c>
      <c r="S177" s="9">
        <v>100</v>
      </c>
      <c r="T177" s="9">
        <v>65</v>
      </c>
      <c r="U177" s="9">
        <v>20</v>
      </c>
      <c r="V177" s="9">
        <f t="shared" si="9"/>
        <v>10</v>
      </c>
      <c r="W177" s="14">
        <v>18</v>
      </c>
      <c r="X177" s="14">
        <v>4</v>
      </c>
      <c r="Y177" s="14">
        <v>19</v>
      </c>
      <c r="Z177" s="18">
        <f t="shared" si="10"/>
        <v>60</v>
      </c>
      <c r="AA177" s="9">
        <f t="shared" si="11"/>
        <v>0</v>
      </c>
    </row>
    <row r="178" spans="4:28" ht="15" hidden="1">
      <c r="D178" s="9">
        <v>18</v>
      </c>
      <c r="E178" s="9">
        <v>5</v>
      </c>
      <c r="F178" s="9">
        <v>1419</v>
      </c>
      <c r="G178">
        <v>18</v>
      </c>
      <c r="H178">
        <v>5</v>
      </c>
      <c r="I178">
        <v>68.5</v>
      </c>
      <c r="J178">
        <v>11</v>
      </c>
      <c r="K178">
        <v>6</v>
      </c>
      <c r="L178">
        <v>85</v>
      </c>
      <c r="M178">
        <v>88</v>
      </c>
      <c r="N178">
        <v>12</v>
      </c>
      <c r="P178" s="9">
        <v>19</v>
      </c>
      <c r="Q178" s="9">
        <v>71.5</v>
      </c>
      <c r="R178" s="9">
        <v>6</v>
      </c>
      <c r="S178" s="9">
        <v>100</v>
      </c>
      <c r="T178" s="9">
        <v>65</v>
      </c>
      <c r="U178" s="9">
        <v>20</v>
      </c>
      <c r="V178" s="9">
        <f t="shared" si="9"/>
        <v>-3</v>
      </c>
      <c r="W178" s="14">
        <v>18</v>
      </c>
      <c r="X178" s="14">
        <v>5</v>
      </c>
      <c r="Y178" s="14">
        <v>13</v>
      </c>
      <c r="Z178" s="18">
        <f t="shared" si="10"/>
        <v>70</v>
      </c>
      <c r="AA178" s="9">
        <f t="shared" si="11"/>
        <v>15</v>
      </c>
    </row>
    <row r="179" spans="4:28" ht="15" hidden="1">
      <c r="D179" s="9">
        <v>18</v>
      </c>
      <c r="E179" s="9">
        <v>6</v>
      </c>
      <c r="F179" s="9">
        <v>1406</v>
      </c>
      <c r="G179">
        <v>18</v>
      </c>
      <c r="H179">
        <v>6</v>
      </c>
      <c r="I179">
        <v>72</v>
      </c>
      <c r="J179">
        <v>11</v>
      </c>
      <c r="K179">
        <v>6</v>
      </c>
      <c r="L179">
        <v>80</v>
      </c>
      <c r="M179">
        <v>95</v>
      </c>
      <c r="N179">
        <v>10</v>
      </c>
      <c r="P179" s="9">
        <v>19</v>
      </c>
      <c r="Q179" s="9">
        <v>69</v>
      </c>
      <c r="R179" s="9">
        <v>6</v>
      </c>
      <c r="S179" s="9">
        <v>110</v>
      </c>
      <c r="T179" s="9">
        <v>50</v>
      </c>
      <c r="U179" s="9">
        <v>25</v>
      </c>
      <c r="V179" s="9">
        <f t="shared" si="9"/>
        <v>3</v>
      </c>
      <c r="W179" s="14">
        <v>18</v>
      </c>
      <c r="X179" s="14">
        <v>6</v>
      </c>
      <c r="Y179" s="14">
        <v>12</v>
      </c>
      <c r="Z179" s="18">
        <f t="shared" si="10"/>
        <v>60</v>
      </c>
      <c r="AA179" s="9">
        <f t="shared" si="11"/>
        <v>30</v>
      </c>
    </row>
    <row r="180" spans="4:28" ht="15" hidden="1">
      <c r="D180" s="9">
        <v>18</v>
      </c>
      <c r="E180" s="9">
        <v>7</v>
      </c>
      <c r="F180" s="9">
        <v>1485</v>
      </c>
      <c r="G180">
        <v>18</v>
      </c>
      <c r="H180">
        <v>7</v>
      </c>
      <c r="I180">
        <v>69</v>
      </c>
      <c r="J180">
        <v>11</v>
      </c>
      <c r="K180">
        <v>6</v>
      </c>
      <c r="L180">
        <v>90</v>
      </c>
      <c r="M180">
        <v>80</v>
      </c>
      <c r="N180">
        <v>15</v>
      </c>
      <c r="P180" s="9">
        <v>19</v>
      </c>
      <c r="Q180" s="9">
        <v>66</v>
      </c>
      <c r="R180" s="9">
        <v>6</v>
      </c>
      <c r="S180" s="9">
        <v>100</v>
      </c>
      <c r="T180" s="9">
        <v>65</v>
      </c>
      <c r="U180" s="9">
        <v>20</v>
      </c>
      <c r="V180" s="9">
        <f t="shared" si="9"/>
        <v>3</v>
      </c>
      <c r="W180" s="14">
        <v>18</v>
      </c>
      <c r="X180" s="14">
        <v>7</v>
      </c>
      <c r="Y180" s="14">
        <v>11</v>
      </c>
      <c r="Z180" s="18">
        <f t="shared" si="10"/>
        <v>60</v>
      </c>
      <c r="AA180" s="9">
        <f t="shared" si="11"/>
        <v>10</v>
      </c>
    </row>
    <row r="181" spans="4:28" ht="15" hidden="1">
      <c r="D181" s="9">
        <v>18</v>
      </c>
      <c r="E181" s="9">
        <v>8</v>
      </c>
      <c r="F181" s="9">
        <v>1559</v>
      </c>
      <c r="G181">
        <v>18</v>
      </c>
      <c r="H181">
        <v>8</v>
      </c>
      <c r="I181">
        <v>69.5</v>
      </c>
      <c r="J181">
        <v>11</v>
      </c>
      <c r="K181">
        <v>6</v>
      </c>
      <c r="L181">
        <v>100</v>
      </c>
      <c r="M181">
        <v>65</v>
      </c>
      <c r="N181">
        <v>20</v>
      </c>
      <c r="P181" s="9">
        <v>19</v>
      </c>
      <c r="Q181" s="9">
        <v>68</v>
      </c>
      <c r="R181" s="9">
        <v>6</v>
      </c>
      <c r="S181" s="9">
        <v>80</v>
      </c>
      <c r="T181" s="9">
        <v>95</v>
      </c>
      <c r="U181" s="9">
        <v>10</v>
      </c>
      <c r="V181" s="9">
        <f t="shared" si="9"/>
        <v>1.5</v>
      </c>
      <c r="W181" s="14">
        <v>18</v>
      </c>
      <c r="X181" s="14">
        <v>8</v>
      </c>
      <c r="Y181" s="14">
        <v>13</v>
      </c>
      <c r="Z181" s="18">
        <f t="shared" si="10"/>
        <v>60</v>
      </c>
      <c r="AA181" s="9">
        <f t="shared" si="11"/>
        <v>-20</v>
      </c>
    </row>
    <row r="182" spans="4:28" ht="15" hidden="1">
      <c r="D182" s="9">
        <v>18</v>
      </c>
      <c r="E182" s="9">
        <v>9</v>
      </c>
      <c r="F182" s="9">
        <v>1349</v>
      </c>
      <c r="G182">
        <v>18</v>
      </c>
      <c r="H182">
        <v>9</v>
      </c>
      <c r="I182">
        <v>76</v>
      </c>
      <c r="J182">
        <v>11</v>
      </c>
      <c r="K182">
        <v>6</v>
      </c>
      <c r="L182">
        <v>95</v>
      </c>
      <c r="M182">
        <v>72</v>
      </c>
      <c r="N182">
        <v>18</v>
      </c>
      <c r="P182" s="9">
        <v>19</v>
      </c>
      <c r="Q182" s="9">
        <v>69.5</v>
      </c>
      <c r="R182" s="9">
        <v>6</v>
      </c>
      <c r="S182" s="9">
        <v>90</v>
      </c>
      <c r="T182" s="9">
        <v>80</v>
      </c>
      <c r="U182" s="9">
        <v>15</v>
      </c>
      <c r="V182" s="9">
        <f t="shared" si="9"/>
        <v>6.5</v>
      </c>
      <c r="W182" s="14">
        <v>18</v>
      </c>
      <c r="X182" s="14">
        <v>9</v>
      </c>
      <c r="Y182" s="14">
        <v>19</v>
      </c>
      <c r="Z182" s="18">
        <f t="shared" si="10"/>
        <v>60</v>
      </c>
      <c r="AA182" s="9">
        <f t="shared" si="11"/>
        <v>-5</v>
      </c>
    </row>
    <row r="183" spans="4:28" ht="15">
      <c r="D183" s="9">
        <v>19</v>
      </c>
      <c r="E183" s="9">
        <v>0</v>
      </c>
      <c r="F183" s="9">
        <v>1454</v>
      </c>
      <c r="G183">
        <v>19</v>
      </c>
      <c r="H183">
        <v>0</v>
      </c>
      <c r="I183">
        <v>77</v>
      </c>
      <c r="J183">
        <v>11</v>
      </c>
      <c r="K183">
        <v>6</v>
      </c>
      <c r="L183">
        <v>90</v>
      </c>
      <c r="M183">
        <v>80</v>
      </c>
      <c r="N183">
        <v>15</v>
      </c>
      <c r="P183" s="9">
        <v>20</v>
      </c>
      <c r="Q183" s="9">
        <v>72.5</v>
      </c>
      <c r="R183" s="9">
        <v>6</v>
      </c>
      <c r="S183" s="9">
        <v>80</v>
      </c>
      <c r="T183" s="9">
        <v>95</v>
      </c>
      <c r="U183" s="9">
        <v>10</v>
      </c>
      <c r="V183" s="9">
        <f t="shared" si="9"/>
        <v>4.5</v>
      </c>
      <c r="W183" s="14">
        <v>19</v>
      </c>
      <c r="X183" s="14">
        <v>0</v>
      </c>
      <c r="Y183" s="14">
        <v>12</v>
      </c>
      <c r="Z183" s="18">
        <f t="shared" si="10"/>
        <v>70</v>
      </c>
      <c r="AA183" s="9">
        <f t="shared" si="11"/>
        <v>-10</v>
      </c>
      <c r="AB183" s="9">
        <f>SUM(S143:S183)/50</f>
        <v>80.2</v>
      </c>
    </row>
    <row r="184" spans="4:28" ht="15" hidden="1">
      <c r="D184" s="9">
        <v>19</v>
      </c>
      <c r="E184" s="9">
        <v>1</v>
      </c>
      <c r="F184" s="9">
        <v>1294</v>
      </c>
      <c r="G184">
        <v>19</v>
      </c>
      <c r="H184">
        <v>1</v>
      </c>
      <c r="I184">
        <v>68</v>
      </c>
      <c r="J184">
        <v>11</v>
      </c>
      <c r="K184">
        <v>6</v>
      </c>
      <c r="L184">
        <v>95</v>
      </c>
      <c r="M184">
        <v>72</v>
      </c>
      <c r="N184">
        <v>18</v>
      </c>
      <c r="P184" s="9">
        <v>20</v>
      </c>
      <c r="Q184" s="9">
        <v>63.5</v>
      </c>
      <c r="R184" s="9">
        <v>6</v>
      </c>
      <c r="S184" s="9">
        <v>100</v>
      </c>
      <c r="T184" s="9">
        <v>65</v>
      </c>
      <c r="U184" s="9">
        <v>20</v>
      </c>
      <c r="V184" s="9">
        <f t="shared" si="9"/>
        <v>4.5</v>
      </c>
      <c r="W184" s="14">
        <v>19</v>
      </c>
      <c r="X184" s="14">
        <v>1</v>
      </c>
      <c r="Y184" s="14">
        <v>11</v>
      </c>
      <c r="Z184" s="18">
        <f t="shared" si="10"/>
        <v>60</v>
      </c>
      <c r="AA184" s="9">
        <f t="shared" si="11"/>
        <v>5</v>
      </c>
    </row>
    <row r="185" spans="4:28" ht="15" hidden="1">
      <c r="D185" s="9">
        <v>19</v>
      </c>
      <c r="E185" s="9">
        <v>2</v>
      </c>
      <c r="F185" s="9">
        <v>1553</v>
      </c>
      <c r="G185">
        <v>19</v>
      </c>
      <c r="H185">
        <v>2</v>
      </c>
      <c r="I185">
        <v>78</v>
      </c>
      <c r="J185">
        <v>11</v>
      </c>
      <c r="K185">
        <v>6</v>
      </c>
      <c r="L185">
        <v>120</v>
      </c>
      <c r="M185">
        <v>35</v>
      </c>
      <c r="N185">
        <v>30</v>
      </c>
      <c r="P185" s="9">
        <v>20</v>
      </c>
      <c r="Q185" s="9">
        <v>78</v>
      </c>
      <c r="R185" s="9">
        <v>6</v>
      </c>
      <c r="S185" s="9">
        <v>110</v>
      </c>
      <c r="T185" s="9">
        <v>50</v>
      </c>
      <c r="U185" s="9">
        <v>25</v>
      </c>
      <c r="V185" s="9">
        <f t="shared" si="9"/>
        <v>0</v>
      </c>
      <c r="W185" s="14">
        <v>19</v>
      </c>
      <c r="X185" s="14">
        <v>2</v>
      </c>
      <c r="Y185" s="14">
        <v>10</v>
      </c>
      <c r="Z185" s="18">
        <f t="shared" si="10"/>
        <v>70</v>
      </c>
      <c r="AA185" s="9">
        <f t="shared" si="11"/>
        <v>-10</v>
      </c>
    </row>
    <row r="186" spans="4:28" ht="15" hidden="1">
      <c r="D186" s="9">
        <v>19</v>
      </c>
      <c r="E186" s="9">
        <v>3</v>
      </c>
      <c r="F186" s="9">
        <v>1417</v>
      </c>
      <c r="G186">
        <v>19</v>
      </c>
      <c r="H186">
        <v>3</v>
      </c>
      <c r="I186">
        <v>66.5</v>
      </c>
      <c r="J186">
        <v>11</v>
      </c>
      <c r="K186">
        <v>6</v>
      </c>
      <c r="L186">
        <v>100</v>
      </c>
      <c r="M186">
        <v>65</v>
      </c>
      <c r="N186">
        <v>20</v>
      </c>
      <c r="P186" s="9">
        <v>20</v>
      </c>
      <c r="Q186" s="9">
        <v>74.5</v>
      </c>
      <c r="R186" s="9">
        <v>6</v>
      </c>
      <c r="S186" s="9">
        <v>120</v>
      </c>
      <c r="T186" s="9">
        <v>35</v>
      </c>
      <c r="U186" s="9">
        <v>30</v>
      </c>
      <c r="V186" s="9">
        <f t="shared" si="9"/>
        <v>-8</v>
      </c>
      <c r="W186" s="14">
        <v>19</v>
      </c>
      <c r="X186" s="14">
        <v>3</v>
      </c>
      <c r="Y186" s="14">
        <v>11</v>
      </c>
      <c r="Z186" s="18">
        <f t="shared" si="10"/>
        <v>70</v>
      </c>
      <c r="AA186" s="9">
        <f t="shared" si="11"/>
        <v>20</v>
      </c>
    </row>
    <row r="187" spans="4:28" ht="15" hidden="1">
      <c r="D187" s="9">
        <v>19</v>
      </c>
      <c r="E187" s="9">
        <v>4</v>
      </c>
      <c r="F187" s="9">
        <v>1421</v>
      </c>
      <c r="G187">
        <v>19</v>
      </c>
      <c r="H187">
        <v>4</v>
      </c>
      <c r="I187">
        <v>61.5</v>
      </c>
      <c r="J187">
        <v>10</v>
      </c>
      <c r="K187">
        <v>6</v>
      </c>
      <c r="L187">
        <v>115</v>
      </c>
      <c r="M187">
        <v>42</v>
      </c>
      <c r="N187">
        <v>28</v>
      </c>
      <c r="P187" s="9">
        <v>20</v>
      </c>
      <c r="Q187" s="9">
        <v>71.5</v>
      </c>
      <c r="R187" s="9">
        <v>6</v>
      </c>
      <c r="S187" s="9">
        <v>90</v>
      </c>
      <c r="T187" s="9">
        <v>80</v>
      </c>
      <c r="U187" s="9">
        <v>15</v>
      </c>
      <c r="V187" s="9">
        <f t="shared" si="9"/>
        <v>-10</v>
      </c>
      <c r="W187" s="14">
        <v>19</v>
      </c>
      <c r="X187" s="14">
        <v>4</v>
      </c>
      <c r="Y187" s="14">
        <v>7</v>
      </c>
      <c r="Z187" s="18">
        <f t="shared" si="10"/>
        <v>70</v>
      </c>
      <c r="AA187" s="9">
        <f t="shared" si="11"/>
        <v>-25</v>
      </c>
    </row>
    <row r="188" spans="4:28" ht="15" hidden="1">
      <c r="D188" s="9">
        <v>19</v>
      </c>
      <c r="E188" s="9">
        <v>5</v>
      </c>
      <c r="F188" s="9">
        <v>1526</v>
      </c>
      <c r="G188">
        <v>19</v>
      </c>
      <c r="H188">
        <v>5</v>
      </c>
      <c r="I188">
        <v>71.5</v>
      </c>
      <c r="J188">
        <v>11</v>
      </c>
      <c r="K188">
        <v>6</v>
      </c>
      <c r="L188">
        <v>120</v>
      </c>
      <c r="M188">
        <v>35</v>
      </c>
      <c r="N188">
        <v>30</v>
      </c>
      <c r="P188" s="9">
        <v>20</v>
      </c>
      <c r="Q188" s="9">
        <v>74.5</v>
      </c>
      <c r="R188" s="9">
        <v>6</v>
      </c>
      <c r="S188" s="9">
        <v>100</v>
      </c>
      <c r="T188" s="9">
        <v>65</v>
      </c>
      <c r="U188" s="9">
        <v>20</v>
      </c>
      <c r="V188" s="9">
        <f t="shared" si="9"/>
        <v>-3</v>
      </c>
      <c r="W188" s="14">
        <v>19</v>
      </c>
      <c r="X188" s="14">
        <v>5</v>
      </c>
      <c r="Y188" s="14">
        <v>13</v>
      </c>
      <c r="Z188" s="18">
        <f t="shared" si="10"/>
        <v>70</v>
      </c>
      <c r="AA188" s="9">
        <f t="shared" si="11"/>
        <v>-20</v>
      </c>
    </row>
    <row r="189" spans="4:28" ht="15" hidden="1">
      <c r="D189" s="9">
        <v>19</v>
      </c>
      <c r="E189" s="9">
        <v>6</v>
      </c>
      <c r="F189" s="9">
        <v>1347</v>
      </c>
      <c r="G189">
        <v>19</v>
      </c>
      <c r="H189">
        <v>6</v>
      </c>
      <c r="I189">
        <v>69</v>
      </c>
      <c r="J189">
        <v>11</v>
      </c>
      <c r="K189">
        <v>6</v>
      </c>
      <c r="L189">
        <v>100</v>
      </c>
      <c r="M189">
        <v>65</v>
      </c>
      <c r="N189">
        <v>20</v>
      </c>
      <c r="P189" s="9">
        <v>20</v>
      </c>
      <c r="Q189" s="9">
        <v>71</v>
      </c>
      <c r="R189" s="9">
        <v>6</v>
      </c>
      <c r="S189" s="9">
        <v>100</v>
      </c>
      <c r="T189" s="9">
        <v>65</v>
      </c>
      <c r="U189" s="9">
        <v>20</v>
      </c>
      <c r="V189" s="9">
        <f t="shared" si="9"/>
        <v>-2</v>
      </c>
      <c r="W189" s="14">
        <v>19</v>
      </c>
      <c r="X189" s="14">
        <v>6</v>
      </c>
      <c r="Y189" s="14">
        <v>14</v>
      </c>
      <c r="Z189" s="18">
        <f t="shared" si="10"/>
        <v>70</v>
      </c>
      <c r="AA189" s="9">
        <f t="shared" si="11"/>
        <v>0</v>
      </c>
    </row>
    <row r="190" spans="4:28" ht="15" hidden="1">
      <c r="D190" s="9">
        <v>19</v>
      </c>
      <c r="E190" s="9">
        <v>7</v>
      </c>
      <c r="F190" s="9">
        <v>1472</v>
      </c>
      <c r="G190">
        <v>19</v>
      </c>
      <c r="H190">
        <v>7</v>
      </c>
      <c r="I190">
        <v>66</v>
      </c>
      <c r="J190">
        <v>11</v>
      </c>
      <c r="K190">
        <v>6</v>
      </c>
      <c r="L190">
        <v>115</v>
      </c>
      <c r="M190">
        <v>42</v>
      </c>
      <c r="N190">
        <v>28</v>
      </c>
      <c r="P190" s="9">
        <v>20</v>
      </c>
      <c r="Q190" s="9">
        <v>68.5</v>
      </c>
      <c r="R190" s="9">
        <v>6</v>
      </c>
      <c r="S190" s="9">
        <v>80</v>
      </c>
      <c r="T190" s="9">
        <v>95</v>
      </c>
      <c r="U190" s="9">
        <v>10</v>
      </c>
      <c r="V190" s="9">
        <f t="shared" si="9"/>
        <v>-2.5</v>
      </c>
      <c r="W190" s="14">
        <v>19</v>
      </c>
      <c r="X190" s="14">
        <v>7</v>
      </c>
      <c r="Y190" s="14">
        <v>15</v>
      </c>
      <c r="Z190" s="18">
        <f t="shared" si="10"/>
        <v>60</v>
      </c>
      <c r="AA190" s="9">
        <f t="shared" si="11"/>
        <v>-35</v>
      </c>
    </row>
    <row r="191" spans="4:28" ht="15" hidden="1">
      <c r="D191" s="9">
        <v>19</v>
      </c>
      <c r="E191" s="9">
        <v>8</v>
      </c>
      <c r="F191" s="9">
        <v>1550</v>
      </c>
      <c r="G191">
        <v>19</v>
      </c>
      <c r="H191">
        <v>8</v>
      </c>
      <c r="I191">
        <v>68</v>
      </c>
      <c r="J191">
        <v>11</v>
      </c>
      <c r="K191">
        <v>6</v>
      </c>
      <c r="L191">
        <v>80</v>
      </c>
      <c r="M191">
        <v>95</v>
      </c>
      <c r="N191">
        <v>10</v>
      </c>
      <c r="P191" s="9">
        <v>20</v>
      </c>
      <c r="Q191" s="9">
        <v>68.5</v>
      </c>
      <c r="R191" s="9">
        <v>6</v>
      </c>
      <c r="S191" s="9">
        <v>100</v>
      </c>
      <c r="T191" s="9">
        <v>65</v>
      </c>
      <c r="U191" s="9">
        <v>20</v>
      </c>
      <c r="V191" s="9">
        <f t="shared" si="9"/>
        <v>-0.5</v>
      </c>
      <c r="W191" s="14">
        <v>19</v>
      </c>
      <c r="X191" s="14">
        <v>8</v>
      </c>
      <c r="Y191" s="14">
        <v>15</v>
      </c>
      <c r="Z191" s="18">
        <f t="shared" si="10"/>
        <v>60</v>
      </c>
      <c r="AA191" s="9">
        <f t="shared" si="11"/>
        <v>20</v>
      </c>
    </row>
    <row r="192" spans="4:28" ht="15" hidden="1">
      <c r="D192" s="9">
        <v>19</v>
      </c>
      <c r="E192" s="9">
        <v>9</v>
      </c>
      <c r="F192" s="9">
        <v>1375</v>
      </c>
      <c r="G192">
        <v>19</v>
      </c>
      <c r="H192">
        <v>9</v>
      </c>
      <c r="I192">
        <v>69.5</v>
      </c>
      <c r="J192">
        <v>11</v>
      </c>
      <c r="K192">
        <v>6</v>
      </c>
      <c r="L192">
        <v>90</v>
      </c>
      <c r="M192">
        <v>80</v>
      </c>
      <c r="N192">
        <v>15</v>
      </c>
      <c r="P192" s="9">
        <v>20</v>
      </c>
      <c r="Q192" s="9">
        <v>74</v>
      </c>
      <c r="R192" s="9">
        <v>6</v>
      </c>
      <c r="S192" s="9">
        <v>110</v>
      </c>
      <c r="T192" s="9">
        <v>50</v>
      </c>
      <c r="U192" s="9">
        <v>25</v>
      </c>
      <c r="V192" s="9">
        <f t="shared" si="9"/>
        <v>-4.5</v>
      </c>
      <c r="W192" s="14">
        <v>19</v>
      </c>
      <c r="X192" s="14">
        <v>9</v>
      </c>
      <c r="Y192" s="14">
        <v>7</v>
      </c>
      <c r="Z192" s="18">
        <f t="shared" si="10"/>
        <v>70</v>
      </c>
      <c r="AA192" s="9">
        <f t="shared" si="11"/>
        <v>20</v>
      </c>
    </row>
    <row r="193" spans="4:28" ht="15">
      <c r="D193" s="9">
        <v>20</v>
      </c>
      <c r="E193" s="9">
        <v>0</v>
      </c>
      <c r="F193" s="9">
        <v>1492</v>
      </c>
      <c r="G193">
        <v>20</v>
      </c>
      <c r="H193">
        <v>0</v>
      </c>
      <c r="I193">
        <v>72.5</v>
      </c>
      <c r="J193">
        <v>11</v>
      </c>
      <c r="K193">
        <v>6</v>
      </c>
      <c r="L193">
        <v>80</v>
      </c>
      <c r="M193">
        <v>95</v>
      </c>
      <c r="N193">
        <v>10</v>
      </c>
      <c r="P193" s="9">
        <v>21</v>
      </c>
      <c r="Q193" s="9">
        <v>66.5</v>
      </c>
      <c r="R193" s="9">
        <v>6</v>
      </c>
      <c r="S193" s="9">
        <v>110</v>
      </c>
      <c r="T193" s="9">
        <v>50</v>
      </c>
      <c r="U193" s="9">
        <v>25</v>
      </c>
      <c r="V193" s="9">
        <f t="shared" si="9"/>
        <v>6</v>
      </c>
      <c r="W193" s="14">
        <v>20</v>
      </c>
      <c r="X193" s="14">
        <v>0</v>
      </c>
      <c r="Y193" s="14">
        <v>13</v>
      </c>
      <c r="Z193" s="18">
        <f t="shared" si="10"/>
        <v>60</v>
      </c>
      <c r="AA193" s="9">
        <f t="shared" si="11"/>
        <v>30</v>
      </c>
      <c r="AB193" s="9">
        <f>SUM(S153:S193)/50</f>
        <v>81.2</v>
      </c>
    </row>
    <row r="194" spans="4:28" ht="15" hidden="1">
      <c r="D194" s="9">
        <v>20</v>
      </c>
      <c r="E194" s="9">
        <v>1</v>
      </c>
      <c r="F194" s="9">
        <v>1278</v>
      </c>
      <c r="G194">
        <v>20</v>
      </c>
      <c r="H194">
        <v>1</v>
      </c>
      <c r="I194">
        <v>63.5</v>
      </c>
      <c r="J194">
        <v>10</v>
      </c>
      <c r="K194">
        <v>6</v>
      </c>
      <c r="L194">
        <v>110</v>
      </c>
      <c r="M194">
        <v>50</v>
      </c>
      <c r="N194">
        <v>25</v>
      </c>
      <c r="P194" s="9">
        <v>21</v>
      </c>
      <c r="Q194" s="9">
        <v>69.5</v>
      </c>
      <c r="R194" s="9">
        <v>6</v>
      </c>
      <c r="S194" s="9">
        <v>100</v>
      </c>
      <c r="T194" s="9">
        <v>65</v>
      </c>
      <c r="U194" s="9">
        <v>20</v>
      </c>
      <c r="V194" s="9">
        <f t="shared" si="9"/>
        <v>-6</v>
      </c>
      <c r="W194" s="14">
        <v>20</v>
      </c>
      <c r="X194" s="14">
        <v>1</v>
      </c>
      <c r="Y194" s="14">
        <v>12</v>
      </c>
      <c r="Z194" s="18">
        <f t="shared" si="10"/>
        <v>60</v>
      </c>
      <c r="AA194" s="9">
        <f t="shared" si="11"/>
        <v>-10</v>
      </c>
    </row>
    <row r="195" spans="4:28" ht="15" hidden="1">
      <c r="D195" s="9">
        <v>20</v>
      </c>
      <c r="E195" s="9">
        <v>2</v>
      </c>
      <c r="F195" s="9">
        <v>1541</v>
      </c>
      <c r="G195">
        <v>20</v>
      </c>
      <c r="H195">
        <v>2</v>
      </c>
      <c r="I195">
        <v>78</v>
      </c>
      <c r="J195">
        <v>11</v>
      </c>
      <c r="K195">
        <v>6</v>
      </c>
      <c r="L195">
        <v>100</v>
      </c>
      <c r="M195">
        <v>65</v>
      </c>
      <c r="N195">
        <v>20</v>
      </c>
      <c r="P195" s="9">
        <v>21</v>
      </c>
      <c r="Q195" s="9">
        <v>66.5</v>
      </c>
      <c r="R195" s="9">
        <v>6</v>
      </c>
      <c r="S195" s="9">
        <v>90</v>
      </c>
      <c r="T195" s="9">
        <v>80</v>
      </c>
      <c r="U195" s="9">
        <v>15</v>
      </c>
      <c r="V195" s="9">
        <f t="shared" si="9"/>
        <v>11.5</v>
      </c>
      <c r="W195" s="14">
        <v>20</v>
      </c>
      <c r="X195" s="14">
        <v>2</v>
      </c>
      <c r="Y195" s="14">
        <v>15</v>
      </c>
      <c r="Z195" s="18">
        <f t="shared" si="10"/>
        <v>60</v>
      </c>
      <c r="AA195" s="9">
        <f t="shared" si="11"/>
        <v>-10</v>
      </c>
    </row>
    <row r="196" spans="4:28" ht="15" hidden="1">
      <c r="D196" s="9">
        <v>20</v>
      </c>
      <c r="E196" s="9">
        <v>3</v>
      </c>
      <c r="F196" s="9">
        <v>1361</v>
      </c>
      <c r="G196">
        <v>20</v>
      </c>
      <c r="H196">
        <v>3</v>
      </c>
      <c r="I196">
        <v>74</v>
      </c>
      <c r="J196">
        <v>11</v>
      </c>
      <c r="K196">
        <v>6</v>
      </c>
      <c r="L196">
        <v>105</v>
      </c>
      <c r="M196">
        <v>58</v>
      </c>
      <c r="N196">
        <v>22</v>
      </c>
      <c r="P196" s="9">
        <v>21</v>
      </c>
      <c r="Q196" s="9">
        <v>60.5</v>
      </c>
      <c r="R196" s="9">
        <v>6</v>
      </c>
      <c r="S196" s="9">
        <v>110</v>
      </c>
      <c r="T196" s="9">
        <v>50</v>
      </c>
      <c r="U196" s="9">
        <v>25</v>
      </c>
      <c r="V196" s="9">
        <f t="shared" ref="V196:V202" si="12">I196-Q196</f>
        <v>13.5</v>
      </c>
      <c r="W196" s="14">
        <v>20</v>
      </c>
      <c r="X196" s="14">
        <v>3</v>
      </c>
      <c r="Y196" s="14">
        <v>14</v>
      </c>
      <c r="Z196" s="18">
        <f t="shared" ref="Z196:Z212" si="13">INT(Q196/10)*10</f>
        <v>60</v>
      </c>
      <c r="AA196" s="9">
        <f t="shared" si="11"/>
        <v>5</v>
      </c>
    </row>
    <row r="197" spans="4:28" ht="15" hidden="1">
      <c r="D197" s="9">
        <v>20</v>
      </c>
      <c r="E197" s="9">
        <v>4</v>
      </c>
      <c r="F197" s="9">
        <v>1473</v>
      </c>
      <c r="G197">
        <v>20</v>
      </c>
      <c r="H197">
        <v>4</v>
      </c>
      <c r="I197">
        <v>71.5</v>
      </c>
      <c r="J197">
        <v>11</v>
      </c>
      <c r="K197">
        <v>6</v>
      </c>
      <c r="L197">
        <v>105</v>
      </c>
      <c r="M197">
        <v>58</v>
      </c>
      <c r="N197">
        <v>22</v>
      </c>
      <c r="P197" s="9">
        <v>21</v>
      </c>
      <c r="Q197" s="9">
        <v>67</v>
      </c>
      <c r="R197" s="9">
        <v>6</v>
      </c>
      <c r="S197" s="9">
        <v>80</v>
      </c>
      <c r="T197" s="9">
        <v>95</v>
      </c>
      <c r="U197" s="9">
        <v>10</v>
      </c>
      <c r="V197" s="9">
        <f t="shared" si="12"/>
        <v>4.5</v>
      </c>
      <c r="W197" s="14">
        <v>20</v>
      </c>
      <c r="X197" s="14">
        <v>4</v>
      </c>
      <c r="Y197" s="14">
        <v>18</v>
      </c>
      <c r="Z197" s="18">
        <f t="shared" si="13"/>
        <v>60</v>
      </c>
      <c r="AA197" s="9">
        <f t="shared" si="11"/>
        <v>-25</v>
      </c>
    </row>
    <row r="198" spans="4:28" ht="15" hidden="1">
      <c r="D198" s="9">
        <v>20</v>
      </c>
      <c r="E198" s="9">
        <v>5</v>
      </c>
      <c r="F198" s="9">
        <v>1413</v>
      </c>
      <c r="G198">
        <v>20</v>
      </c>
      <c r="H198">
        <v>5</v>
      </c>
      <c r="I198">
        <v>74.5</v>
      </c>
      <c r="J198">
        <v>11</v>
      </c>
      <c r="K198">
        <v>6</v>
      </c>
      <c r="L198">
        <v>115</v>
      </c>
      <c r="M198">
        <v>42</v>
      </c>
      <c r="N198">
        <v>28</v>
      </c>
      <c r="P198" s="9">
        <v>21</v>
      </c>
      <c r="Q198" s="9">
        <v>69</v>
      </c>
      <c r="R198" s="9">
        <v>6</v>
      </c>
      <c r="S198" s="9">
        <v>120</v>
      </c>
      <c r="T198" s="9">
        <v>35</v>
      </c>
      <c r="U198" s="9">
        <v>30</v>
      </c>
      <c r="V198" s="9">
        <f t="shared" si="12"/>
        <v>5.5</v>
      </c>
      <c r="W198" s="14">
        <v>20</v>
      </c>
      <c r="X198" s="14">
        <v>5</v>
      </c>
      <c r="Y198" s="14">
        <v>11</v>
      </c>
      <c r="Z198" s="18">
        <f t="shared" si="13"/>
        <v>60</v>
      </c>
      <c r="AA198" s="9">
        <f t="shared" si="11"/>
        <v>5</v>
      </c>
    </row>
    <row r="199" spans="4:28" ht="15" hidden="1">
      <c r="D199" s="9">
        <v>20</v>
      </c>
      <c r="E199" s="9">
        <v>6</v>
      </c>
      <c r="F199" s="9">
        <v>1320</v>
      </c>
      <c r="G199">
        <v>20</v>
      </c>
      <c r="H199">
        <v>6</v>
      </c>
      <c r="I199">
        <v>71</v>
      </c>
      <c r="J199">
        <v>11</v>
      </c>
      <c r="K199">
        <v>6</v>
      </c>
      <c r="L199">
        <v>110</v>
      </c>
      <c r="M199">
        <v>50</v>
      </c>
      <c r="N199">
        <v>25</v>
      </c>
      <c r="P199" s="9">
        <v>21</v>
      </c>
      <c r="Q199" s="9">
        <v>76.5</v>
      </c>
      <c r="R199" s="9">
        <v>6</v>
      </c>
      <c r="S199" s="9">
        <v>80</v>
      </c>
      <c r="T199" s="9">
        <v>95</v>
      </c>
      <c r="U199" s="9">
        <v>10</v>
      </c>
      <c r="V199" s="9">
        <f t="shared" si="12"/>
        <v>-5.5</v>
      </c>
      <c r="W199" s="14">
        <v>20</v>
      </c>
      <c r="X199" s="14">
        <v>6</v>
      </c>
      <c r="Y199" s="14">
        <v>11</v>
      </c>
      <c r="Z199" s="18">
        <f t="shared" si="13"/>
        <v>70</v>
      </c>
      <c r="AA199" s="9">
        <f t="shared" si="11"/>
        <v>-30</v>
      </c>
    </row>
    <row r="200" spans="4:28" ht="15" hidden="1">
      <c r="D200" s="9">
        <v>20</v>
      </c>
      <c r="E200" s="9">
        <v>7</v>
      </c>
      <c r="F200" s="9">
        <v>1448</v>
      </c>
      <c r="G200">
        <v>20</v>
      </c>
      <c r="H200">
        <v>7</v>
      </c>
      <c r="I200">
        <v>68.5</v>
      </c>
      <c r="J200">
        <v>11</v>
      </c>
      <c r="K200">
        <v>6</v>
      </c>
      <c r="L200">
        <v>90</v>
      </c>
      <c r="M200">
        <v>80</v>
      </c>
      <c r="N200">
        <v>15</v>
      </c>
      <c r="P200" s="9">
        <v>21</v>
      </c>
      <c r="Q200" s="9">
        <v>67</v>
      </c>
      <c r="R200" s="9">
        <v>6</v>
      </c>
      <c r="S200" s="9">
        <v>110</v>
      </c>
      <c r="T200" s="9">
        <v>50</v>
      </c>
      <c r="U200" s="9">
        <v>25</v>
      </c>
      <c r="V200" s="9">
        <f t="shared" si="12"/>
        <v>1.5</v>
      </c>
      <c r="W200" s="14">
        <v>20</v>
      </c>
      <c r="X200" s="14">
        <v>7</v>
      </c>
      <c r="Y200" s="14">
        <v>10</v>
      </c>
      <c r="Z200" s="18">
        <f t="shared" si="13"/>
        <v>60</v>
      </c>
      <c r="AA200" s="9">
        <f t="shared" si="11"/>
        <v>20</v>
      </c>
    </row>
    <row r="201" spans="4:28" ht="15" hidden="1">
      <c r="D201" s="9">
        <v>20</v>
      </c>
      <c r="E201" s="9">
        <v>8</v>
      </c>
      <c r="F201" s="9">
        <v>1555</v>
      </c>
      <c r="G201">
        <v>20</v>
      </c>
      <c r="H201">
        <v>8</v>
      </c>
      <c r="I201">
        <v>67.5</v>
      </c>
      <c r="J201">
        <v>11</v>
      </c>
      <c r="K201">
        <v>6</v>
      </c>
      <c r="L201">
        <v>85</v>
      </c>
      <c r="M201">
        <v>88</v>
      </c>
      <c r="N201">
        <v>12</v>
      </c>
      <c r="P201" s="9">
        <v>21</v>
      </c>
      <c r="Q201" s="9">
        <v>70.5</v>
      </c>
      <c r="R201" s="9">
        <v>6</v>
      </c>
      <c r="S201" s="9">
        <v>110</v>
      </c>
      <c r="T201" s="9">
        <v>50</v>
      </c>
      <c r="U201" s="9">
        <v>25</v>
      </c>
      <c r="V201" s="9">
        <f t="shared" si="12"/>
        <v>-3</v>
      </c>
      <c r="W201" s="14">
        <v>20</v>
      </c>
      <c r="X201" s="14">
        <v>8</v>
      </c>
      <c r="Y201" s="14">
        <v>8</v>
      </c>
      <c r="Z201" s="18">
        <f t="shared" si="13"/>
        <v>70</v>
      </c>
      <c r="AA201" s="9">
        <f t="shared" si="11"/>
        <v>25</v>
      </c>
    </row>
    <row r="202" spans="4:28" ht="15" hidden="1">
      <c r="D202" s="9">
        <v>20</v>
      </c>
      <c r="E202" s="9">
        <v>9</v>
      </c>
      <c r="F202" s="9">
        <v>1395</v>
      </c>
      <c r="G202">
        <v>20</v>
      </c>
      <c r="H202">
        <v>9</v>
      </c>
      <c r="I202">
        <v>73</v>
      </c>
      <c r="J202">
        <v>11</v>
      </c>
      <c r="K202">
        <v>6</v>
      </c>
      <c r="L202">
        <v>80</v>
      </c>
      <c r="M202">
        <v>95</v>
      </c>
      <c r="N202">
        <v>10</v>
      </c>
      <c r="P202" s="9">
        <v>21</v>
      </c>
      <c r="Q202" s="9">
        <v>70</v>
      </c>
      <c r="R202" s="9">
        <v>6</v>
      </c>
      <c r="S202" s="9">
        <v>120</v>
      </c>
      <c r="T202" s="9">
        <v>35</v>
      </c>
      <c r="U202" s="9">
        <v>30</v>
      </c>
      <c r="V202" s="9">
        <f t="shared" si="12"/>
        <v>3</v>
      </c>
      <c r="W202" s="14">
        <v>20</v>
      </c>
      <c r="X202" s="14">
        <v>9</v>
      </c>
      <c r="Y202" s="14">
        <v>18</v>
      </c>
      <c r="Z202" s="18">
        <f t="shared" si="13"/>
        <v>70</v>
      </c>
      <c r="AA202" s="9">
        <f t="shared" si="11"/>
        <v>40</v>
      </c>
    </row>
    <row r="203" spans="4:28" ht="15">
      <c r="D203" s="9">
        <v>21</v>
      </c>
      <c r="E203" s="9">
        <v>0</v>
      </c>
      <c r="F203" s="9">
        <v>1453</v>
      </c>
      <c r="G203">
        <v>21</v>
      </c>
      <c r="H203">
        <v>0</v>
      </c>
      <c r="I203">
        <v>66.5</v>
      </c>
      <c r="J203">
        <v>11</v>
      </c>
      <c r="K203">
        <v>6</v>
      </c>
      <c r="L203">
        <v>105</v>
      </c>
      <c r="M203">
        <v>58</v>
      </c>
      <c r="N203">
        <v>22</v>
      </c>
      <c r="P203" s="9">
        <v>22</v>
      </c>
      <c r="Q203" s="9">
        <v>0</v>
      </c>
      <c r="R203" s="9">
        <v>6</v>
      </c>
      <c r="S203" s="9">
        <v>100</v>
      </c>
      <c r="T203" s="9">
        <v>65</v>
      </c>
      <c r="U203" s="9">
        <v>20</v>
      </c>
      <c r="V203" s="9">
        <f t="shared" ref="V203:V212" si="14">I203-Q203</f>
        <v>66.5</v>
      </c>
      <c r="W203" s="14">
        <v>20</v>
      </c>
      <c r="X203" s="14">
        <v>9</v>
      </c>
      <c r="Y203" s="14">
        <v>18</v>
      </c>
      <c r="Z203" s="18">
        <f t="shared" si="13"/>
        <v>0</v>
      </c>
      <c r="AA203" s="9">
        <f t="shared" ref="AA203:AA212" si="15">S203-L203</f>
        <v>-5</v>
      </c>
      <c r="AB203" s="9">
        <f>SUM(S163:S203)/50</f>
        <v>83</v>
      </c>
    </row>
    <row r="204" spans="4:28" ht="15" hidden="1">
      <c r="D204" s="9">
        <v>21</v>
      </c>
      <c r="E204" s="9">
        <v>1</v>
      </c>
      <c r="F204" s="9">
        <v>1346</v>
      </c>
      <c r="G204">
        <v>21</v>
      </c>
      <c r="H204">
        <v>1</v>
      </c>
      <c r="I204">
        <v>69.5</v>
      </c>
      <c r="J204">
        <v>11</v>
      </c>
      <c r="K204">
        <v>6</v>
      </c>
      <c r="L204">
        <v>100</v>
      </c>
      <c r="M204">
        <v>65</v>
      </c>
      <c r="N204">
        <v>20</v>
      </c>
      <c r="P204" s="9">
        <v>22</v>
      </c>
      <c r="Q204" s="9">
        <v>0</v>
      </c>
      <c r="R204" s="9">
        <v>6</v>
      </c>
      <c r="S204" s="9">
        <v>100</v>
      </c>
      <c r="T204" s="9">
        <v>65</v>
      </c>
      <c r="U204" s="9">
        <v>20</v>
      </c>
      <c r="V204" s="9">
        <f t="shared" si="14"/>
        <v>69.5</v>
      </c>
      <c r="W204" s="14">
        <v>20</v>
      </c>
      <c r="X204" s="14">
        <v>9</v>
      </c>
      <c r="Y204" s="14">
        <v>18</v>
      </c>
      <c r="Z204" s="18">
        <f t="shared" si="13"/>
        <v>0</v>
      </c>
      <c r="AA204" s="9">
        <f t="shared" si="15"/>
        <v>0</v>
      </c>
    </row>
    <row r="205" spans="4:28" ht="15" hidden="1">
      <c r="D205" s="9">
        <v>21</v>
      </c>
      <c r="E205" s="9">
        <v>2</v>
      </c>
      <c r="F205" s="9">
        <v>1550</v>
      </c>
      <c r="G205">
        <v>21</v>
      </c>
      <c r="H205">
        <v>2</v>
      </c>
      <c r="I205">
        <v>66.5</v>
      </c>
      <c r="J205">
        <v>11</v>
      </c>
      <c r="K205">
        <v>6</v>
      </c>
      <c r="L205">
        <v>90</v>
      </c>
      <c r="M205">
        <v>80</v>
      </c>
      <c r="N205">
        <v>15</v>
      </c>
      <c r="P205" s="9">
        <v>22</v>
      </c>
      <c r="Q205" s="9">
        <v>0</v>
      </c>
      <c r="R205" s="9">
        <v>6</v>
      </c>
      <c r="S205" s="9">
        <v>100</v>
      </c>
      <c r="T205" s="9">
        <v>65</v>
      </c>
      <c r="U205" s="9">
        <v>20</v>
      </c>
      <c r="V205" s="9">
        <f t="shared" si="14"/>
        <v>66.5</v>
      </c>
      <c r="W205" s="14">
        <v>20</v>
      </c>
      <c r="X205" s="14">
        <v>9</v>
      </c>
      <c r="Y205" s="14">
        <v>18</v>
      </c>
      <c r="Z205" s="18">
        <f t="shared" si="13"/>
        <v>0</v>
      </c>
      <c r="AA205" s="9">
        <f t="shared" si="15"/>
        <v>10</v>
      </c>
    </row>
    <row r="206" spans="4:28" ht="15" hidden="1">
      <c r="D206" s="9">
        <v>21</v>
      </c>
      <c r="E206" s="9">
        <v>3</v>
      </c>
      <c r="F206" s="9">
        <v>1306</v>
      </c>
      <c r="G206">
        <v>21</v>
      </c>
      <c r="H206">
        <v>3</v>
      </c>
      <c r="I206">
        <v>60.5</v>
      </c>
      <c r="J206">
        <v>10</v>
      </c>
      <c r="K206">
        <v>6</v>
      </c>
      <c r="L206">
        <v>120</v>
      </c>
      <c r="M206">
        <v>35</v>
      </c>
      <c r="N206">
        <v>30</v>
      </c>
      <c r="P206" s="9">
        <v>22</v>
      </c>
      <c r="Q206" s="9">
        <v>0</v>
      </c>
      <c r="R206" s="9">
        <v>6</v>
      </c>
      <c r="S206" s="9">
        <v>100</v>
      </c>
      <c r="T206" s="9">
        <v>65</v>
      </c>
      <c r="U206" s="9">
        <v>20</v>
      </c>
      <c r="V206" s="9">
        <f t="shared" si="14"/>
        <v>60.5</v>
      </c>
      <c r="W206" s="14">
        <v>20</v>
      </c>
      <c r="X206" s="14">
        <v>9</v>
      </c>
      <c r="Y206" s="14">
        <v>18</v>
      </c>
      <c r="Z206" s="18">
        <f t="shared" si="13"/>
        <v>0</v>
      </c>
      <c r="AA206" s="9">
        <f t="shared" si="15"/>
        <v>-20</v>
      </c>
    </row>
    <row r="207" spans="4:28" ht="15" hidden="1">
      <c r="D207" s="9">
        <v>21</v>
      </c>
      <c r="E207" s="9">
        <v>4</v>
      </c>
      <c r="F207" s="9">
        <v>1483</v>
      </c>
      <c r="G207">
        <v>21</v>
      </c>
      <c r="H207">
        <v>4</v>
      </c>
      <c r="I207">
        <v>65</v>
      </c>
      <c r="J207">
        <v>11</v>
      </c>
      <c r="K207">
        <v>6</v>
      </c>
      <c r="L207">
        <v>95</v>
      </c>
      <c r="M207">
        <v>72</v>
      </c>
      <c r="N207">
        <v>18</v>
      </c>
      <c r="P207" s="9">
        <v>22</v>
      </c>
      <c r="Q207" s="9">
        <v>0</v>
      </c>
      <c r="R207" s="9">
        <v>6</v>
      </c>
      <c r="S207" s="9">
        <v>100</v>
      </c>
      <c r="T207" s="9">
        <v>65</v>
      </c>
      <c r="U207" s="9">
        <v>20</v>
      </c>
      <c r="V207" s="9">
        <f t="shared" si="14"/>
        <v>65</v>
      </c>
      <c r="W207" s="14">
        <v>20</v>
      </c>
      <c r="X207" s="14">
        <v>9</v>
      </c>
      <c r="Y207" s="14">
        <v>18</v>
      </c>
      <c r="Z207" s="18">
        <f t="shared" si="13"/>
        <v>0</v>
      </c>
      <c r="AA207" s="9">
        <f t="shared" si="15"/>
        <v>5</v>
      </c>
    </row>
    <row r="208" spans="4:28" ht="15" hidden="1">
      <c r="D208" s="9">
        <v>21</v>
      </c>
      <c r="E208" s="9">
        <v>5</v>
      </c>
      <c r="F208" s="9">
        <v>1393</v>
      </c>
      <c r="G208">
        <v>21</v>
      </c>
      <c r="H208">
        <v>5</v>
      </c>
      <c r="I208">
        <v>68</v>
      </c>
      <c r="J208">
        <v>11</v>
      </c>
      <c r="K208">
        <v>6</v>
      </c>
      <c r="L208">
        <v>110</v>
      </c>
      <c r="M208">
        <v>50</v>
      </c>
      <c r="N208">
        <v>25</v>
      </c>
      <c r="P208" s="9">
        <v>22</v>
      </c>
      <c r="Q208" s="9">
        <v>0</v>
      </c>
      <c r="R208" s="9">
        <v>6</v>
      </c>
      <c r="S208" s="9">
        <v>100</v>
      </c>
      <c r="T208" s="9">
        <v>65</v>
      </c>
      <c r="U208" s="9">
        <v>20</v>
      </c>
      <c r="V208" s="9">
        <f t="shared" si="14"/>
        <v>68</v>
      </c>
      <c r="W208" s="14">
        <v>20</v>
      </c>
      <c r="X208" s="14">
        <v>9</v>
      </c>
      <c r="Y208" s="14">
        <v>18</v>
      </c>
      <c r="Z208" s="18">
        <f t="shared" si="13"/>
        <v>0</v>
      </c>
      <c r="AA208" s="9">
        <f t="shared" si="15"/>
        <v>-10</v>
      </c>
    </row>
    <row r="209" spans="4:27" ht="15" hidden="1">
      <c r="D209" s="9">
        <v>21</v>
      </c>
      <c r="E209" s="9">
        <v>6</v>
      </c>
      <c r="F209" s="9">
        <v>1335</v>
      </c>
      <c r="G209">
        <v>21</v>
      </c>
      <c r="H209">
        <v>6</v>
      </c>
      <c r="I209">
        <v>74.5</v>
      </c>
      <c r="J209">
        <v>11</v>
      </c>
      <c r="K209">
        <v>6</v>
      </c>
      <c r="L209">
        <v>100</v>
      </c>
      <c r="M209">
        <v>65</v>
      </c>
      <c r="N209">
        <v>20</v>
      </c>
      <c r="P209" s="9">
        <v>22</v>
      </c>
      <c r="Q209" s="9">
        <v>0</v>
      </c>
      <c r="R209" s="9">
        <v>6</v>
      </c>
      <c r="S209" s="9">
        <v>100</v>
      </c>
      <c r="T209" s="9">
        <v>65</v>
      </c>
      <c r="U209" s="9">
        <v>20</v>
      </c>
      <c r="V209" s="9">
        <f t="shared" si="14"/>
        <v>74.5</v>
      </c>
      <c r="W209" s="14">
        <v>20</v>
      </c>
      <c r="X209" s="14">
        <v>9</v>
      </c>
      <c r="Y209" s="14">
        <v>18</v>
      </c>
      <c r="Z209" s="18">
        <f t="shared" si="13"/>
        <v>0</v>
      </c>
      <c r="AA209" s="9">
        <f t="shared" si="15"/>
        <v>0</v>
      </c>
    </row>
    <row r="210" spans="4:27" ht="15" hidden="1">
      <c r="D210" s="9">
        <v>21</v>
      </c>
      <c r="E210" s="9">
        <v>7</v>
      </c>
      <c r="F210" s="9">
        <v>1446</v>
      </c>
      <c r="G210">
        <v>21</v>
      </c>
      <c r="H210">
        <v>7</v>
      </c>
      <c r="I210">
        <v>62</v>
      </c>
      <c r="J210">
        <v>11</v>
      </c>
      <c r="K210">
        <v>6</v>
      </c>
      <c r="L210">
        <v>100</v>
      </c>
      <c r="M210">
        <v>65</v>
      </c>
      <c r="N210">
        <v>20</v>
      </c>
      <c r="P210" s="9">
        <v>22</v>
      </c>
      <c r="Q210" s="9">
        <v>0</v>
      </c>
      <c r="R210" s="9">
        <v>6</v>
      </c>
      <c r="S210" s="9">
        <v>100</v>
      </c>
      <c r="T210" s="9">
        <v>65</v>
      </c>
      <c r="U210" s="9">
        <v>20</v>
      </c>
      <c r="V210" s="9">
        <f t="shared" si="14"/>
        <v>62</v>
      </c>
      <c r="W210" s="14">
        <v>20</v>
      </c>
      <c r="X210" s="14">
        <v>9</v>
      </c>
      <c r="Y210" s="14">
        <v>18</v>
      </c>
      <c r="Z210" s="18">
        <f t="shared" si="13"/>
        <v>0</v>
      </c>
      <c r="AA210" s="9">
        <f t="shared" si="15"/>
        <v>0</v>
      </c>
    </row>
    <row r="211" spans="4:27" ht="15" hidden="1">
      <c r="D211" s="9">
        <v>21</v>
      </c>
      <c r="E211" s="9">
        <v>8</v>
      </c>
      <c r="F211" s="9">
        <v>1529</v>
      </c>
      <c r="G211">
        <v>21</v>
      </c>
      <c r="H211">
        <v>8</v>
      </c>
      <c r="I211">
        <v>70.5</v>
      </c>
      <c r="J211">
        <v>11</v>
      </c>
      <c r="K211">
        <v>6</v>
      </c>
      <c r="L211">
        <v>120</v>
      </c>
      <c r="M211">
        <v>35</v>
      </c>
      <c r="N211">
        <v>30</v>
      </c>
      <c r="P211" s="9">
        <v>22</v>
      </c>
      <c r="Q211" s="9">
        <v>0</v>
      </c>
      <c r="R211" s="9">
        <v>6</v>
      </c>
      <c r="S211" s="9">
        <v>100</v>
      </c>
      <c r="T211" s="9">
        <v>65</v>
      </c>
      <c r="U211" s="9">
        <v>20</v>
      </c>
      <c r="V211" s="9">
        <f t="shared" si="14"/>
        <v>70.5</v>
      </c>
      <c r="W211" s="14">
        <v>20</v>
      </c>
      <c r="X211" s="14">
        <v>9</v>
      </c>
      <c r="Y211" s="14">
        <v>18</v>
      </c>
      <c r="Z211" s="18">
        <f t="shared" si="13"/>
        <v>0</v>
      </c>
      <c r="AA211" s="9">
        <f t="shared" si="15"/>
        <v>-20</v>
      </c>
    </row>
    <row r="212" spans="4:27" ht="15" hidden="1">
      <c r="D212" s="9">
        <v>21</v>
      </c>
      <c r="E212" s="9">
        <v>9</v>
      </c>
      <c r="F212" s="9">
        <v>1406</v>
      </c>
      <c r="G212">
        <v>21</v>
      </c>
      <c r="H212">
        <v>9</v>
      </c>
      <c r="I212">
        <v>68.5</v>
      </c>
      <c r="J212">
        <v>11</v>
      </c>
      <c r="K212">
        <v>6</v>
      </c>
      <c r="L212">
        <v>90</v>
      </c>
      <c r="M212">
        <v>80</v>
      </c>
      <c r="N212">
        <v>15</v>
      </c>
      <c r="P212" s="9">
        <v>22</v>
      </c>
      <c r="Q212" s="9">
        <v>0</v>
      </c>
      <c r="R212" s="9">
        <v>6</v>
      </c>
      <c r="S212" s="9">
        <v>100</v>
      </c>
      <c r="T212" s="9">
        <v>65</v>
      </c>
      <c r="U212" s="9">
        <v>20</v>
      </c>
      <c r="V212" s="9">
        <f t="shared" si="14"/>
        <v>68.5</v>
      </c>
      <c r="W212" s="14">
        <v>20</v>
      </c>
      <c r="X212" s="14">
        <v>9</v>
      </c>
      <c r="Y212" s="14">
        <v>18</v>
      </c>
      <c r="Z212" s="18">
        <f t="shared" si="13"/>
        <v>0</v>
      </c>
      <c r="AA212" s="9">
        <f t="shared" si="15"/>
        <v>10</v>
      </c>
    </row>
    <row r="213" spans="4:27" hidden="1">
      <c r="D213" s="9">
        <v>22</v>
      </c>
      <c r="E213" s="9">
        <v>0</v>
      </c>
      <c r="F213" s="9">
        <v>1457</v>
      </c>
    </row>
    <row r="214" spans="4:27" hidden="1">
      <c r="D214" s="9">
        <v>22</v>
      </c>
      <c r="E214" s="9">
        <v>1</v>
      </c>
      <c r="F214" s="9">
        <v>1297</v>
      </c>
    </row>
    <row r="215" spans="4:27" hidden="1">
      <c r="D215" s="9">
        <v>22</v>
      </c>
      <c r="E215" s="9">
        <v>2</v>
      </c>
      <c r="F215" s="9">
        <v>1472</v>
      </c>
    </row>
    <row r="216" spans="4:27" hidden="1">
      <c r="D216" s="9">
        <v>22</v>
      </c>
      <c r="E216" s="9">
        <v>3</v>
      </c>
      <c r="F216" s="9">
        <v>1329</v>
      </c>
    </row>
    <row r="217" spans="4:27" hidden="1">
      <c r="D217" s="9">
        <v>22</v>
      </c>
      <c r="E217" s="9">
        <v>4</v>
      </c>
      <c r="F217" s="9">
        <v>1454</v>
      </c>
    </row>
    <row r="218" spans="4:27" hidden="1">
      <c r="D218" s="9">
        <v>22</v>
      </c>
      <c r="E218" s="9">
        <v>5</v>
      </c>
      <c r="F218" s="9">
        <v>1405</v>
      </c>
    </row>
    <row r="219" spans="4:27" hidden="1">
      <c r="D219" s="9">
        <v>22</v>
      </c>
      <c r="E219" s="9">
        <v>6</v>
      </c>
      <c r="F219" s="9">
        <v>1374</v>
      </c>
    </row>
    <row r="220" spans="4:27" hidden="1">
      <c r="D220" s="9">
        <v>22</v>
      </c>
      <c r="E220" s="9">
        <v>7</v>
      </c>
      <c r="F220" s="9">
        <v>1433</v>
      </c>
    </row>
    <row r="221" spans="4:27" hidden="1">
      <c r="D221" s="9">
        <v>22</v>
      </c>
      <c r="E221" s="9">
        <v>8</v>
      </c>
      <c r="F221" s="9">
        <v>1556</v>
      </c>
    </row>
    <row r="222" spans="4:27" hidden="1">
      <c r="D222" s="9">
        <v>22</v>
      </c>
      <c r="E222" s="9">
        <v>9</v>
      </c>
      <c r="F222" s="9">
        <v>1402</v>
      </c>
    </row>
  </sheetData>
  <autoFilter ref="D2:AA222" xr:uid="{D1CC32F3-8853-4263-BDD3-DCC3902F99A8}">
    <filterColumn colId="4">
      <filters>
        <filter val="0"/>
      </filters>
    </filterColumn>
  </autoFilter>
  <pageMargins left="0.7" right="0.7" top="0.75" bottom="0.75" header="0.3" footer="0.3"/>
  <headerFooter>
    <oddFooter>&amp;L_x000D_&amp;1#&amp;"Aptos"&amp;7&amp;K000000 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B704-1AC2-44A9-8ECF-590AFFE771FD}">
  <sheetPr codeName="Sheet7"/>
  <dimension ref="A2:S53"/>
  <sheetViews>
    <sheetView tabSelected="1" workbookViewId="0">
      <selection activeCell="G17" sqref="G17"/>
    </sheetView>
  </sheetViews>
  <sheetFormatPr defaultRowHeight="14.25"/>
  <cols>
    <col min="3" max="3" width="18.125" bestFit="1" customWidth="1"/>
    <col min="4" max="4" width="14.75" bestFit="1" customWidth="1"/>
    <col min="5" max="5" width="11" bestFit="1" customWidth="1"/>
    <col min="15" max="15" width="13.875" bestFit="1" customWidth="1"/>
    <col min="16" max="16" width="12.75" bestFit="1" customWidth="1"/>
    <col min="19" max="19" width="14.875" customWidth="1"/>
    <col min="21" max="21" width="15" bestFit="1" customWidth="1"/>
    <col min="22" max="22" width="12.75" bestFit="1" customWidth="1"/>
  </cols>
  <sheetData>
    <row r="2" spans="1:19">
      <c r="B2" t="s">
        <v>1156</v>
      </c>
    </row>
    <row r="3" spans="1:19">
      <c r="B3" t="s">
        <v>17</v>
      </c>
      <c r="C3" t="s">
        <v>1157</v>
      </c>
      <c r="D3" t="s">
        <v>5</v>
      </c>
      <c r="E3">
        <v>159</v>
      </c>
      <c r="F3">
        <v>76</v>
      </c>
      <c r="G3">
        <v>29</v>
      </c>
      <c r="H3">
        <v>9</v>
      </c>
      <c r="I3">
        <v>8</v>
      </c>
      <c r="J3">
        <v>30</v>
      </c>
      <c r="K3">
        <v>1</v>
      </c>
      <c r="L3">
        <v>0</v>
      </c>
    </row>
    <row r="4" spans="1:19">
      <c r="B4" t="s">
        <v>15</v>
      </c>
      <c r="C4" t="s">
        <v>1158</v>
      </c>
      <c r="D4" t="s">
        <v>2</v>
      </c>
      <c r="E4">
        <v>143</v>
      </c>
      <c r="F4">
        <v>90</v>
      </c>
      <c r="G4">
        <v>24</v>
      </c>
      <c r="H4">
        <v>11</v>
      </c>
      <c r="I4">
        <v>8</v>
      </c>
      <c r="J4">
        <v>0</v>
      </c>
      <c r="K4">
        <v>1</v>
      </c>
      <c r="L4">
        <v>0</v>
      </c>
    </row>
    <row r="5" spans="1:19">
      <c r="B5" t="s">
        <v>17</v>
      </c>
      <c r="C5" t="s">
        <v>1159</v>
      </c>
      <c r="D5" t="s">
        <v>7</v>
      </c>
      <c r="E5">
        <v>137</v>
      </c>
      <c r="F5">
        <v>82</v>
      </c>
      <c r="G5">
        <v>0</v>
      </c>
      <c r="H5">
        <v>10</v>
      </c>
      <c r="I5">
        <v>9</v>
      </c>
      <c r="J5">
        <v>32</v>
      </c>
      <c r="K5">
        <v>1</v>
      </c>
      <c r="L5">
        <v>0</v>
      </c>
    </row>
    <row r="6" spans="1:19">
      <c r="B6" t="s">
        <v>16</v>
      </c>
      <c r="C6" t="s">
        <v>1160</v>
      </c>
      <c r="D6" t="s">
        <v>5</v>
      </c>
      <c r="E6">
        <v>125</v>
      </c>
      <c r="F6">
        <v>67</v>
      </c>
      <c r="G6">
        <v>32</v>
      </c>
      <c r="H6">
        <v>1</v>
      </c>
      <c r="I6">
        <v>8</v>
      </c>
      <c r="J6">
        <v>10</v>
      </c>
      <c r="K6">
        <v>1</v>
      </c>
      <c r="L6">
        <v>0</v>
      </c>
    </row>
    <row r="7" spans="1:19">
      <c r="B7" t="s">
        <v>14</v>
      </c>
      <c r="C7" t="s">
        <v>1161</v>
      </c>
      <c r="D7" t="s">
        <v>4</v>
      </c>
      <c r="E7">
        <v>124</v>
      </c>
      <c r="F7">
        <v>67</v>
      </c>
      <c r="G7">
        <v>40</v>
      </c>
      <c r="H7">
        <v>0</v>
      </c>
      <c r="I7">
        <v>9</v>
      </c>
      <c r="J7">
        <v>0</v>
      </c>
      <c r="K7">
        <v>1</v>
      </c>
      <c r="L7">
        <v>0</v>
      </c>
    </row>
    <row r="8" spans="1:19">
      <c r="B8" t="s">
        <v>16</v>
      </c>
      <c r="C8" t="s">
        <v>1162</v>
      </c>
      <c r="D8" t="s">
        <v>4</v>
      </c>
      <c r="E8">
        <v>124</v>
      </c>
      <c r="F8">
        <v>72</v>
      </c>
      <c r="G8">
        <v>22</v>
      </c>
      <c r="H8">
        <v>3</v>
      </c>
      <c r="I8">
        <v>9</v>
      </c>
      <c r="J8">
        <v>10</v>
      </c>
      <c r="K8">
        <v>1</v>
      </c>
      <c r="L8">
        <v>0</v>
      </c>
    </row>
    <row r="9" spans="1:19">
      <c r="B9" t="s">
        <v>17</v>
      </c>
      <c r="C9" t="s">
        <v>1163</v>
      </c>
      <c r="D9" t="s">
        <v>10</v>
      </c>
      <c r="E9">
        <v>122</v>
      </c>
      <c r="F9">
        <v>60</v>
      </c>
      <c r="G9">
        <v>13</v>
      </c>
      <c r="H9">
        <v>6</v>
      </c>
      <c r="I9">
        <v>7</v>
      </c>
      <c r="J9">
        <v>30</v>
      </c>
      <c r="K9">
        <v>1</v>
      </c>
      <c r="L9">
        <v>0</v>
      </c>
    </row>
    <row r="10" spans="1:19">
      <c r="B10" t="s">
        <v>17</v>
      </c>
      <c r="C10" t="s">
        <v>1164</v>
      </c>
      <c r="D10" t="s">
        <v>3</v>
      </c>
      <c r="E10">
        <v>122</v>
      </c>
      <c r="F10">
        <v>56</v>
      </c>
      <c r="G10">
        <v>26</v>
      </c>
      <c r="H10">
        <v>0</v>
      </c>
      <c r="I10">
        <v>5</v>
      </c>
      <c r="J10">
        <v>30</v>
      </c>
      <c r="K10">
        <v>1</v>
      </c>
      <c r="L10">
        <v>0</v>
      </c>
    </row>
    <row r="11" spans="1:19">
      <c r="A11" t="s">
        <v>125</v>
      </c>
      <c r="B11" t="s">
        <v>15</v>
      </c>
      <c r="C11" t="s">
        <v>1165</v>
      </c>
      <c r="D11" t="s">
        <v>5</v>
      </c>
      <c r="E11">
        <v>111</v>
      </c>
      <c r="F11">
        <v>68</v>
      </c>
      <c r="G11">
        <v>24</v>
      </c>
      <c r="H11">
        <v>3</v>
      </c>
      <c r="I11">
        <v>9</v>
      </c>
      <c r="J11">
        <v>0</v>
      </c>
      <c r="K11">
        <v>1</v>
      </c>
      <c r="L11">
        <v>0</v>
      </c>
    </row>
    <row r="12" spans="1:19">
      <c r="A12" t="s">
        <v>125</v>
      </c>
      <c r="B12" t="s">
        <v>16</v>
      </c>
      <c r="C12" t="s">
        <v>1166</v>
      </c>
      <c r="D12" t="s">
        <v>6</v>
      </c>
      <c r="E12">
        <v>106</v>
      </c>
      <c r="F12">
        <v>54</v>
      </c>
      <c r="G12">
        <v>30</v>
      </c>
      <c r="H12">
        <v>0</v>
      </c>
      <c r="I12">
        <v>7</v>
      </c>
      <c r="J12">
        <v>10</v>
      </c>
      <c r="K12">
        <v>1</v>
      </c>
      <c r="L12">
        <v>0</v>
      </c>
    </row>
    <row r="13" spans="1:19">
      <c r="B13" t="s">
        <v>17</v>
      </c>
      <c r="C13" t="s">
        <v>1167</v>
      </c>
      <c r="D13" t="s">
        <v>13</v>
      </c>
      <c r="E13">
        <v>102</v>
      </c>
      <c r="F13">
        <v>45</v>
      </c>
      <c r="G13">
        <v>21</v>
      </c>
      <c r="H13">
        <v>0</v>
      </c>
      <c r="I13">
        <v>6</v>
      </c>
      <c r="J13">
        <v>30</v>
      </c>
      <c r="K13">
        <v>1</v>
      </c>
      <c r="L13">
        <v>0</v>
      </c>
    </row>
    <row r="14" spans="1:19">
      <c r="B14" t="s">
        <v>14</v>
      </c>
      <c r="C14" t="s">
        <v>1168</v>
      </c>
      <c r="D14" t="s">
        <v>10</v>
      </c>
      <c r="E14">
        <v>101</v>
      </c>
      <c r="F14">
        <v>58</v>
      </c>
      <c r="G14">
        <v>28</v>
      </c>
      <c r="H14">
        <v>0</v>
      </c>
      <c r="I14">
        <v>9</v>
      </c>
      <c r="J14">
        <v>0</v>
      </c>
      <c r="K14">
        <v>1</v>
      </c>
      <c r="L14">
        <v>0</v>
      </c>
    </row>
    <row r="15" spans="1:19">
      <c r="B15" t="s">
        <v>16</v>
      </c>
      <c r="C15" t="s">
        <v>1169</v>
      </c>
      <c r="D15" t="s">
        <v>2</v>
      </c>
      <c r="E15">
        <v>95</v>
      </c>
      <c r="F15">
        <v>40</v>
      </c>
      <c r="G15">
        <v>32</v>
      </c>
      <c r="H15">
        <v>0</v>
      </c>
      <c r="I15">
        <v>3</v>
      </c>
      <c r="J15">
        <v>10</v>
      </c>
      <c r="K15">
        <v>1</v>
      </c>
      <c r="L15">
        <v>0</v>
      </c>
      <c r="S15" s="7"/>
    </row>
    <row r="16" spans="1:19">
      <c r="B16" t="s">
        <v>16</v>
      </c>
      <c r="C16" t="s">
        <v>1170</v>
      </c>
      <c r="D16" t="s">
        <v>7</v>
      </c>
      <c r="E16">
        <v>85</v>
      </c>
      <c r="F16">
        <v>58</v>
      </c>
      <c r="G16">
        <v>4</v>
      </c>
      <c r="H16">
        <v>0</v>
      </c>
      <c r="I16">
        <v>9</v>
      </c>
      <c r="J16">
        <v>10</v>
      </c>
      <c r="K16">
        <v>1</v>
      </c>
      <c r="L16">
        <v>0</v>
      </c>
    </row>
    <row r="17" spans="2:12">
      <c r="B17" t="s">
        <v>16</v>
      </c>
      <c r="C17" t="s">
        <v>1172</v>
      </c>
      <c r="D17" t="s">
        <v>12</v>
      </c>
      <c r="E17">
        <v>77</v>
      </c>
      <c r="F17">
        <v>49</v>
      </c>
      <c r="G17">
        <v>9</v>
      </c>
      <c r="H17">
        <v>0</v>
      </c>
      <c r="I17">
        <v>7</v>
      </c>
      <c r="J17">
        <v>10</v>
      </c>
      <c r="K17">
        <v>1</v>
      </c>
      <c r="L17">
        <v>0</v>
      </c>
    </row>
    <row r="18" spans="2:12">
      <c r="B18" t="s">
        <v>15</v>
      </c>
      <c r="C18" t="s">
        <v>1173</v>
      </c>
      <c r="D18" t="s">
        <v>10</v>
      </c>
      <c r="E18">
        <v>76</v>
      </c>
      <c r="F18">
        <v>40</v>
      </c>
      <c r="G18">
        <v>21</v>
      </c>
      <c r="H18">
        <v>0</v>
      </c>
      <c r="I18">
        <v>9</v>
      </c>
      <c r="J18">
        <v>0</v>
      </c>
      <c r="K18">
        <v>1</v>
      </c>
      <c r="L18">
        <v>0</v>
      </c>
    </row>
    <row r="19" spans="2:12">
      <c r="B19" t="s">
        <v>15</v>
      </c>
      <c r="C19" t="s">
        <v>1174</v>
      </c>
      <c r="D19" t="s">
        <v>9</v>
      </c>
      <c r="E19">
        <v>74</v>
      </c>
      <c r="F19">
        <v>49</v>
      </c>
      <c r="G19">
        <v>13</v>
      </c>
      <c r="H19">
        <v>0</v>
      </c>
      <c r="I19">
        <v>5</v>
      </c>
      <c r="J19">
        <v>0</v>
      </c>
      <c r="K19">
        <v>1</v>
      </c>
      <c r="L19">
        <v>0</v>
      </c>
    </row>
    <row r="20" spans="2:12">
      <c r="B20" t="s">
        <v>16</v>
      </c>
      <c r="C20" t="s">
        <v>1175</v>
      </c>
      <c r="D20" t="s">
        <v>1176</v>
      </c>
      <c r="E20">
        <v>72</v>
      </c>
      <c r="F20">
        <v>28</v>
      </c>
      <c r="G20">
        <v>31</v>
      </c>
      <c r="H20">
        <v>0</v>
      </c>
      <c r="I20">
        <v>3</v>
      </c>
      <c r="J20">
        <v>10</v>
      </c>
      <c r="K20">
        <v>1</v>
      </c>
      <c r="L20">
        <v>0</v>
      </c>
    </row>
    <row r="21" spans="2:12">
      <c r="B21" t="s">
        <v>16</v>
      </c>
      <c r="C21" t="s">
        <v>1171</v>
      </c>
      <c r="D21" t="s">
        <v>10</v>
      </c>
      <c r="E21">
        <v>68</v>
      </c>
      <c r="F21">
        <v>28</v>
      </c>
      <c r="G21">
        <v>30</v>
      </c>
      <c r="H21">
        <v>0</v>
      </c>
      <c r="I21">
        <v>4</v>
      </c>
      <c r="J21">
        <v>10</v>
      </c>
      <c r="K21">
        <v>0.86799999999999999</v>
      </c>
      <c r="L21">
        <v>0</v>
      </c>
    </row>
    <row r="22" spans="2:12">
      <c r="B22" t="s">
        <v>15</v>
      </c>
      <c r="C22" t="s">
        <v>1177</v>
      </c>
      <c r="D22" t="s">
        <v>7</v>
      </c>
      <c r="E22">
        <v>56</v>
      </c>
      <c r="F22">
        <v>45</v>
      </c>
      <c r="G22">
        <v>0</v>
      </c>
      <c r="H22">
        <v>0</v>
      </c>
      <c r="I22">
        <v>7</v>
      </c>
      <c r="J22">
        <v>0</v>
      </c>
      <c r="K22">
        <v>1</v>
      </c>
      <c r="L22">
        <v>0</v>
      </c>
    </row>
    <row r="23" spans="2:12">
      <c r="B23" t="s">
        <v>15</v>
      </c>
      <c r="C23" t="s">
        <v>1178</v>
      </c>
      <c r="D23" t="s">
        <v>11</v>
      </c>
      <c r="E23">
        <v>43</v>
      </c>
      <c r="F23">
        <v>36</v>
      </c>
      <c r="G23">
        <v>0</v>
      </c>
      <c r="H23">
        <v>0</v>
      </c>
      <c r="I23">
        <v>7</v>
      </c>
      <c r="J23">
        <v>0</v>
      </c>
      <c r="K23">
        <v>1</v>
      </c>
      <c r="L23">
        <v>0</v>
      </c>
    </row>
    <row r="24" spans="2:12">
      <c r="B24" t="s">
        <v>17</v>
      </c>
      <c r="C24" t="s">
        <v>1179</v>
      </c>
      <c r="D24" t="s">
        <v>8</v>
      </c>
      <c r="E24">
        <v>18</v>
      </c>
      <c r="F24">
        <v>25</v>
      </c>
      <c r="G24">
        <v>2</v>
      </c>
      <c r="H24">
        <v>0</v>
      </c>
      <c r="I24">
        <v>1</v>
      </c>
      <c r="J24">
        <v>0</v>
      </c>
      <c r="K24">
        <v>0.59750000000000003</v>
      </c>
      <c r="L24">
        <v>0</v>
      </c>
    </row>
    <row r="25" spans="2:12">
      <c r="B25" t="s">
        <v>15</v>
      </c>
      <c r="C25" t="s">
        <v>1180</v>
      </c>
      <c r="D25" t="s">
        <v>9</v>
      </c>
      <c r="E25">
        <v>17</v>
      </c>
      <c r="F25">
        <v>0</v>
      </c>
      <c r="G25">
        <v>13</v>
      </c>
      <c r="H25">
        <v>0</v>
      </c>
      <c r="I25">
        <v>0</v>
      </c>
      <c r="J25">
        <v>0</v>
      </c>
      <c r="K25">
        <v>0.85799999999999998</v>
      </c>
      <c r="L25">
        <v>0</v>
      </c>
    </row>
    <row r="26" spans="2:12">
      <c r="B26" t="s">
        <v>14</v>
      </c>
      <c r="C26" t="s">
        <v>1181</v>
      </c>
      <c r="D26" t="s">
        <v>10</v>
      </c>
      <c r="E26">
        <v>11</v>
      </c>
      <c r="F26">
        <v>0</v>
      </c>
      <c r="G26">
        <v>28</v>
      </c>
      <c r="H26">
        <v>0</v>
      </c>
      <c r="I26">
        <v>0</v>
      </c>
      <c r="J26">
        <v>0</v>
      </c>
      <c r="K26">
        <v>0.32800000000000001</v>
      </c>
      <c r="L26">
        <v>0</v>
      </c>
    </row>
    <row r="27" spans="2:12">
      <c r="B27" t="s">
        <v>15</v>
      </c>
      <c r="C27" t="s">
        <v>1182</v>
      </c>
      <c r="D27" t="s">
        <v>11</v>
      </c>
      <c r="E27">
        <v>2</v>
      </c>
      <c r="F27">
        <v>23</v>
      </c>
      <c r="G27">
        <v>0</v>
      </c>
      <c r="H27">
        <v>0</v>
      </c>
      <c r="I27">
        <v>1</v>
      </c>
      <c r="J27">
        <v>0</v>
      </c>
      <c r="K27">
        <v>0.1</v>
      </c>
      <c r="L27">
        <v>0</v>
      </c>
    </row>
    <row r="28" spans="2:12">
      <c r="B28" t="s">
        <v>1183</v>
      </c>
    </row>
    <row r="29" spans="2:12">
      <c r="B29">
        <v>0</v>
      </c>
      <c r="C29" t="s">
        <v>14</v>
      </c>
      <c r="D29" t="s">
        <v>1181</v>
      </c>
      <c r="E29" t="s">
        <v>10</v>
      </c>
      <c r="F29">
        <v>0</v>
      </c>
    </row>
    <row r="30" spans="2:12">
      <c r="B30">
        <v>0</v>
      </c>
      <c r="C30" t="s">
        <v>15</v>
      </c>
      <c r="D30" t="s">
        <v>1180</v>
      </c>
      <c r="E30" t="s">
        <v>9</v>
      </c>
      <c r="F30">
        <v>0</v>
      </c>
    </row>
    <row r="31" spans="2:12">
      <c r="B31">
        <v>0</v>
      </c>
      <c r="C31" t="s">
        <v>15</v>
      </c>
      <c r="D31" t="s">
        <v>1182</v>
      </c>
      <c r="E31" t="s">
        <v>11</v>
      </c>
      <c r="F31">
        <v>0</v>
      </c>
    </row>
    <row r="32" spans="2:12">
      <c r="B32">
        <v>0</v>
      </c>
      <c r="C32" t="s">
        <v>17</v>
      </c>
      <c r="D32" t="s">
        <v>1179</v>
      </c>
      <c r="E32" t="s">
        <v>8</v>
      </c>
      <c r="F32">
        <v>0</v>
      </c>
      <c r="G32">
        <v>55</v>
      </c>
    </row>
    <row r="33" spans="2:8">
      <c r="B33">
        <v>1</v>
      </c>
      <c r="C33" t="s">
        <v>14</v>
      </c>
      <c r="D33" t="s">
        <v>1161</v>
      </c>
      <c r="E33" t="s">
        <v>4</v>
      </c>
      <c r="F33">
        <v>1</v>
      </c>
      <c r="G33">
        <v>60</v>
      </c>
    </row>
    <row r="34" spans="2:8">
      <c r="B34">
        <v>1</v>
      </c>
      <c r="C34" t="s">
        <v>15</v>
      </c>
      <c r="D34" t="s">
        <v>1158</v>
      </c>
      <c r="E34" t="s">
        <v>2</v>
      </c>
      <c r="F34">
        <v>1</v>
      </c>
      <c r="G34">
        <v>80</v>
      </c>
    </row>
    <row r="35" spans="2:8">
      <c r="B35">
        <v>1</v>
      </c>
      <c r="C35" t="s">
        <v>15</v>
      </c>
      <c r="D35" t="s">
        <v>1165</v>
      </c>
      <c r="E35" t="s">
        <v>5</v>
      </c>
      <c r="F35">
        <v>1</v>
      </c>
      <c r="G35">
        <v>135</v>
      </c>
    </row>
    <row r="36" spans="2:8">
      <c r="B36">
        <v>1</v>
      </c>
      <c r="C36" t="s">
        <v>15</v>
      </c>
      <c r="D36" t="s">
        <v>1173</v>
      </c>
      <c r="E36" t="s">
        <v>10</v>
      </c>
      <c r="F36">
        <v>1</v>
      </c>
      <c r="G36">
        <v>70</v>
      </c>
    </row>
    <row r="37" spans="2:8">
      <c r="B37">
        <v>1</v>
      </c>
      <c r="C37" t="s">
        <v>16</v>
      </c>
      <c r="D37" t="s">
        <v>1160</v>
      </c>
      <c r="E37" t="s">
        <v>5</v>
      </c>
      <c r="F37">
        <v>1</v>
      </c>
      <c r="G37">
        <v>65</v>
      </c>
      <c r="H37" t="s">
        <v>125</v>
      </c>
    </row>
    <row r="38" spans="2:8">
      <c r="B38">
        <v>1</v>
      </c>
      <c r="C38" t="s">
        <v>16</v>
      </c>
      <c r="D38" t="s">
        <v>1169</v>
      </c>
      <c r="E38" t="s">
        <v>2</v>
      </c>
      <c r="F38">
        <v>1</v>
      </c>
      <c r="G38">
        <v>60</v>
      </c>
      <c r="H38" t="s">
        <v>125</v>
      </c>
    </row>
    <row r="39" spans="2:8">
      <c r="B39">
        <v>1</v>
      </c>
      <c r="C39" t="s">
        <v>16</v>
      </c>
      <c r="D39" t="s">
        <v>1162</v>
      </c>
      <c r="E39" t="s">
        <v>4</v>
      </c>
      <c r="F39">
        <v>1</v>
      </c>
      <c r="G39">
        <v>55</v>
      </c>
    </row>
    <row r="40" spans="2:8">
      <c r="B40">
        <v>1</v>
      </c>
      <c r="C40" t="s">
        <v>16</v>
      </c>
      <c r="D40" t="s">
        <v>1166</v>
      </c>
      <c r="E40" t="s">
        <v>6</v>
      </c>
      <c r="F40">
        <v>1</v>
      </c>
      <c r="G40">
        <v>55</v>
      </c>
    </row>
    <row r="41" spans="2:8">
      <c r="B41">
        <v>1</v>
      </c>
      <c r="C41" t="s">
        <v>17</v>
      </c>
      <c r="D41" t="s">
        <v>1157</v>
      </c>
      <c r="E41" t="s">
        <v>5</v>
      </c>
      <c r="F41">
        <v>1</v>
      </c>
      <c r="G41">
        <v>60</v>
      </c>
    </row>
    <row r="42" spans="2:8">
      <c r="B42">
        <v>1</v>
      </c>
      <c r="C42" t="s">
        <v>17</v>
      </c>
      <c r="D42" t="s">
        <v>1163</v>
      </c>
      <c r="E42" t="s">
        <v>10</v>
      </c>
      <c r="F42">
        <v>0</v>
      </c>
    </row>
    <row r="43" spans="2:8">
      <c r="B43">
        <v>1</v>
      </c>
      <c r="C43" t="s">
        <v>17</v>
      </c>
      <c r="D43" t="s">
        <v>1159</v>
      </c>
      <c r="E43" t="s">
        <v>7</v>
      </c>
      <c r="F43">
        <v>1</v>
      </c>
      <c r="G43">
        <v>65</v>
      </c>
    </row>
    <row r="44" spans="2:8">
      <c r="B44">
        <v>2</v>
      </c>
      <c r="C44" t="s">
        <v>14</v>
      </c>
      <c r="D44" t="s">
        <v>1168</v>
      </c>
      <c r="E44" t="s">
        <v>10</v>
      </c>
      <c r="F44">
        <v>0</v>
      </c>
      <c r="G44">
        <v>60</v>
      </c>
    </row>
    <row r="45" spans="2:8">
      <c r="B45">
        <v>2</v>
      </c>
      <c r="C45" t="s">
        <v>17</v>
      </c>
      <c r="D45" t="s">
        <v>1164</v>
      </c>
      <c r="E45" t="s">
        <v>3</v>
      </c>
      <c r="F45">
        <v>0</v>
      </c>
    </row>
    <row r="46" spans="2:8">
      <c r="B46">
        <v>2</v>
      </c>
      <c r="C46" t="s">
        <v>17</v>
      </c>
      <c r="D46" t="s">
        <v>1167</v>
      </c>
      <c r="E46" t="s">
        <v>13</v>
      </c>
      <c r="F46">
        <v>0</v>
      </c>
    </row>
    <row r="47" spans="2:8">
      <c r="B47">
        <v>2</v>
      </c>
      <c r="C47" t="s">
        <v>16</v>
      </c>
      <c r="D47" t="s">
        <v>1170</v>
      </c>
      <c r="E47" t="s">
        <v>7</v>
      </c>
      <c r="F47">
        <v>1</v>
      </c>
      <c r="G47">
        <v>65</v>
      </c>
    </row>
    <row r="48" spans="2:8">
      <c r="B48">
        <v>2</v>
      </c>
      <c r="C48" t="s">
        <v>16</v>
      </c>
      <c r="D48" t="s">
        <v>1172</v>
      </c>
      <c r="E48" t="s">
        <v>12</v>
      </c>
      <c r="F48">
        <v>0</v>
      </c>
      <c r="G48">
        <v>95</v>
      </c>
    </row>
    <row r="49" spans="2:7">
      <c r="B49">
        <v>2</v>
      </c>
      <c r="C49" t="s">
        <v>16</v>
      </c>
      <c r="D49" t="s">
        <v>1175</v>
      </c>
      <c r="E49" t="s">
        <v>1176</v>
      </c>
      <c r="F49">
        <v>0</v>
      </c>
      <c r="G49">
        <v>60</v>
      </c>
    </row>
    <row r="50" spans="2:7">
      <c r="B50">
        <v>2</v>
      </c>
      <c r="C50" t="s">
        <v>16</v>
      </c>
      <c r="D50" t="s">
        <v>1171</v>
      </c>
      <c r="E50" t="s">
        <v>10</v>
      </c>
      <c r="F50">
        <v>0</v>
      </c>
      <c r="G50">
        <v>60</v>
      </c>
    </row>
    <row r="51" spans="2:7">
      <c r="B51">
        <v>2</v>
      </c>
      <c r="C51" t="s">
        <v>15</v>
      </c>
      <c r="D51" t="s">
        <v>1174</v>
      </c>
      <c r="E51" t="s">
        <v>9</v>
      </c>
      <c r="F51">
        <v>0</v>
      </c>
      <c r="G51">
        <v>65</v>
      </c>
    </row>
    <row r="52" spans="2:7">
      <c r="B52">
        <v>2</v>
      </c>
      <c r="C52" t="s">
        <v>15</v>
      </c>
      <c r="D52" t="s">
        <v>1177</v>
      </c>
      <c r="E52" t="s">
        <v>7</v>
      </c>
      <c r="F52">
        <v>0</v>
      </c>
      <c r="G52">
        <v>60</v>
      </c>
    </row>
    <row r="53" spans="2:7">
      <c r="B53">
        <v>2</v>
      </c>
      <c r="C53" t="s">
        <v>15</v>
      </c>
      <c r="D53" t="s">
        <v>1178</v>
      </c>
      <c r="E53" t="s">
        <v>11</v>
      </c>
      <c r="F53">
        <v>0</v>
      </c>
      <c r="G53">
        <v>40</v>
      </c>
    </row>
  </sheetData>
  <sortState ref="B20:P44">
    <sortCondition descending="1" ref="F20:F44"/>
  </sortState>
  <phoneticPr fontId="6" type="noConversion"/>
  <pageMargins left="0.7" right="0.7" top="0.75" bottom="0.75" header="0.3" footer="0.3"/>
  <headerFooter>
    <oddFooter>&amp;L_x000D_&amp;1#&amp;"Aptos"&amp;7&amp;K000000 C2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1407-0E5B-4604-9F5C-B52E4FF790D4}">
  <sheetPr codeName="Sheet8"/>
  <dimension ref="B1:N45"/>
  <sheetViews>
    <sheetView workbookViewId="0">
      <selection activeCell="P10" sqref="P10"/>
    </sheetView>
  </sheetViews>
  <sheetFormatPr defaultRowHeight="14.25"/>
  <sheetData>
    <row r="1" spans="2:13">
      <c r="B1" t="s">
        <v>42</v>
      </c>
      <c r="E1" t="s">
        <v>42</v>
      </c>
      <c r="H1" t="s">
        <v>42</v>
      </c>
      <c r="K1" t="s">
        <v>42</v>
      </c>
    </row>
    <row r="2" spans="2:13">
      <c r="B2">
        <v>75.5</v>
      </c>
      <c r="C2">
        <v>75</v>
      </c>
      <c r="D2">
        <v>11</v>
      </c>
      <c r="E2">
        <v>75.5</v>
      </c>
      <c r="F2">
        <v>75</v>
      </c>
      <c r="G2">
        <v>11</v>
      </c>
      <c r="H2">
        <v>75.5</v>
      </c>
      <c r="I2">
        <v>75</v>
      </c>
      <c r="J2">
        <v>11</v>
      </c>
      <c r="K2">
        <v>75.5</v>
      </c>
      <c r="L2">
        <v>75</v>
      </c>
      <c r="M2">
        <v>11</v>
      </c>
    </row>
    <row r="3" spans="2:13">
      <c r="B3" t="s">
        <v>43</v>
      </c>
      <c r="E3" t="s">
        <v>43</v>
      </c>
      <c r="H3" t="s">
        <v>43</v>
      </c>
      <c r="K3" t="s">
        <v>43</v>
      </c>
    </row>
    <row r="4" spans="2:13">
      <c r="B4">
        <v>62.5</v>
      </c>
      <c r="C4">
        <v>66</v>
      </c>
      <c r="D4">
        <v>11</v>
      </c>
      <c r="E4">
        <v>62.5</v>
      </c>
      <c r="F4">
        <v>66</v>
      </c>
      <c r="G4">
        <v>11</v>
      </c>
      <c r="H4">
        <v>62.5</v>
      </c>
      <c r="I4">
        <v>66</v>
      </c>
      <c r="J4">
        <v>11</v>
      </c>
      <c r="K4">
        <v>62.5</v>
      </c>
      <c r="L4">
        <v>66</v>
      </c>
      <c r="M4">
        <v>11</v>
      </c>
    </row>
    <row r="5" spans="2:13">
      <c r="B5" t="s">
        <v>44</v>
      </c>
      <c r="E5" t="s">
        <v>44</v>
      </c>
      <c r="H5" t="s">
        <v>44</v>
      </c>
      <c r="K5" t="s">
        <v>44</v>
      </c>
    </row>
    <row r="6" spans="2:13">
      <c r="B6">
        <v>84</v>
      </c>
      <c r="C6">
        <v>85.5</v>
      </c>
      <c r="D6">
        <v>11</v>
      </c>
      <c r="E6">
        <v>84</v>
      </c>
      <c r="F6">
        <v>85.5</v>
      </c>
      <c r="G6">
        <v>11</v>
      </c>
      <c r="H6">
        <v>84</v>
      </c>
      <c r="I6">
        <v>85.5</v>
      </c>
      <c r="J6">
        <v>11</v>
      </c>
      <c r="K6">
        <v>84</v>
      </c>
      <c r="L6">
        <v>85.5</v>
      </c>
      <c r="M6">
        <v>11</v>
      </c>
    </row>
    <row r="7" spans="2:13">
      <c r="B7" t="s">
        <v>45</v>
      </c>
      <c r="E7" t="s">
        <v>45</v>
      </c>
      <c r="H7" t="s">
        <v>45</v>
      </c>
      <c r="K7" t="s">
        <v>45</v>
      </c>
    </row>
    <row r="8" spans="2:13">
      <c r="B8">
        <v>61</v>
      </c>
      <c r="C8">
        <v>61.5</v>
      </c>
      <c r="D8">
        <v>11</v>
      </c>
      <c r="E8">
        <v>61</v>
      </c>
      <c r="F8">
        <v>61.5</v>
      </c>
      <c r="G8">
        <v>11</v>
      </c>
      <c r="H8">
        <v>61</v>
      </c>
      <c r="I8">
        <v>61.5</v>
      </c>
      <c r="J8">
        <v>11</v>
      </c>
      <c r="K8">
        <v>61</v>
      </c>
      <c r="L8">
        <v>61.5</v>
      </c>
      <c r="M8">
        <v>11</v>
      </c>
    </row>
    <row r="9" spans="2:13">
      <c r="B9" t="s">
        <v>46</v>
      </c>
      <c r="E9" t="s">
        <v>46</v>
      </c>
      <c r="H9" t="s">
        <v>46</v>
      </c>
      <c r="K9" t="s">
        <v>46</v>
      </c>
    </row>
    <row r="10" spans="2:13">
      <c r="B10">
        <v>66.5</v>
      </c>
      <c r="C10">
        <v>71</v>
      </c>
      <c r="D10">
        <v>11</v>
      </c>
      <c r="E10">
        <v>66.5</v>
      </c>
      <c r="F10">
        <v>71</v>
      </c>
      <c r="G10">
        <v>11</v>
      </c>
      <c r="H10">
        <v>66.5</v>
      </c>
      <c r="I10">
        <v>71</v>
      </c>
      <c r="J10">
        <v>11</v>
      </c>
      <c r="K10">
        <v>66.5</v>
      </c>
      <c r="L10">
        <v>71</v>
      </c>
      <c r="M10">
        <v>11</v>
      </c>
    </row>
    <row r="11" spans="2:13">
      <c r="B11" t="s">
        <v>90</v>
      </c>
      <c r="E11" t="s">
        <v>90</v>
      </c>
      <c r="H11" t="s">
        <v>90</v>
      </c>
      <c r="K11" t="s">
        <v>90</v>
      </c>
    </row>
    <row r="12" spans="2:13">
      <c r="B12">
        <v>74</v>
      </c>
      <c r="C12">
        <v>75.5</v>
      </c>
      <c r="D12">
        <v>11</v>
      </c>
      <c r="E12">
        <v>74</v>
      </c>
      <c r="F12">
        <v>75.5</v>
      </c>
      <c r="G12">
        <v>11</v>
      </c>
      <c r="H12">
        <v>74</v>
      </c>
      <c r="I12">
        <v>75.5</v>
      </c>
      <c r="J12">
        <v>11</v>
      </c>
      <c r="K12">
        <v>74</v>
      </c>
      <c r="L12">
        <v>75.5</v>
      </c>
      <c r="M12">
        <v>11</v>
      </c>
    </row>
    <row r="13" spans="2:13">
      <c r="B13" t="s">
        <v>95</v>
      </c>
      <c r="E13" t="s">
        <v>95</v>
      </c>
      <c r="H13" t="s">
        <v>95</v>
      </c>
      <c r="K13" t="s">
        <v>95</v>
      </c>
    </row>
    <row r="14" spans="2:13">
      <c r="B14">
        <v>64</v>
      </c>
      <c r="C14">
        <v>61.5</v>
      </c>
      <c r="D14">
        <v>11</v>
      </c>
      <c r="E14">
        <v>64</v>
      </c>
      <c r="F14">
        <v>61.5</v>
      </c>
      <c r="G14">
        <v>11</v>
      </c>
      <c r="H14">
        <v>64</v>
      </c>
      <c r="I14">
        <v>61.5</v>
      </c>
      <c r="J14">
        <v>11</v>
      </c>
      <c r="K14">
        <v>64</v>
      </c>
      <c r="L14">
        <v>61.5</v>
      </c>
      <c r="M14">
        <v>11</v>
      </c>
    </row>
    <row r="15" spans="2:13">
      <c r="B15" t="s">
        <v>124</v>
      </c>
      <c r="E15" t="s">
        <v>124</v>
      </c>
      <c r="H15" t="s">
        <v>124</v>
      </c>
      <c r="K15" t="s">
        <v>124</v>
      </c>
    </row>
    <row r="16" spans="2:13">
      <c r="B16">
        <v>86</v>
      </c>
      <c r="C16">
        <v>82</v>
      </c>
      <c r="D16">
        <v>11</v>
      </c>
      <c r="E16">
        <v>86</v>
      </c>
      <c r="F16">
        <v>82</v>
      </c>
      <c r="G16">
        <v>11</v>
      </c>
      <c r="H16">
        <v>86</v>
      </c>
      <c r="I16">
        <v>82</v>
      </c>
      <c r="J16">
        <v>11</v>
      </c>
      <c r="K16">
        <v>86</v>
      </c>
      <c r="L16">
        <v>82</v>
      </c>
      <c r="M16">
        <v>11</v>
      </c>
    </row>
    <row r="45" spans="2:14">
      <c r="B45">
        <f>SUM(B1:B44)</f>
        <v>573.5</v>
      </c>
      <c r="E45">
        <f>SUM(E1:E44)</f>
        <v>573.5</v>
      </c>
      <c r="H45">
        <f>SUM(H1:H44)</f>
        <v>573.5</v>
      </c>
      <c r="K45">
        <f>SUM(K1:K44)</f>
        <v>573.5</v>
      </c>
      <c r="N45">
        <f>SUM(N1:N44)</f>
        <v>0</v>
      </c>
    </row>
  </sheetData>
  <pageMargins left="0.7" right="0.7" top="0.75" bottom="0.75" header="0.3" footer="0.3"/>
  <headerFooter>
    <oddFooter>&amp;L_x000D_&amp;1#&amp;"Aptos"&amp;7&amp;K000000 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4634B-DBA0-4B75-BD8A-780883F38EDD}">
  <sheetPr codeName="Foglio1"/>
  <dimension ref="A2:AG423"/>
  <sheetViews>
    <sheetView topLeftCell="A37" workbookViewId="0">
      <selection activeCell="E12" sqref="E12"/>
    </sheetView>
  </sheetViews>
  <sheetFormatPr defaultRowHeight="14.25"/>
  <cols>
    <col min="1" max="1" width="17.75" bestFit="1" customWidth="1"/>
    <col min="2" max="2" width="18.75" bestFit="1" customWidth="1"/>
    <col min="3" max="3" width="2.875" bestFit="1" customWidth="1"/>
    <col min="4" max="4" width="3.875" bestFit="1" customWidth="1"/>
    <col min="5" max="5" width="17.75" bestFit="1" customWidth="1"/>
  </cols>
  <sheetData>
    <row r="2" spans="1:33">
      <c r="A2" t="s">
        <v>185</v>
      </c>
      <c r="B2" t="s">
        <v>126</v>
      </c>
    </row>
    <row r="3" spans="1:33">
      <c r="A3" t="s">
        <v>137</v>
      </c>
      <c r="B3" t="s">
        <v>137</v>
      </c>
      <c r="C3" s="23"/>
      <c r="D3" s="26"/>
      <c r="E3" s="26"/>
      <c r="F3" t="b">
        <f>A3=B3</f>
        <v>1</v>
      </c>
      <c r="H3" s="12"/>
    </row>
    <row r="4" spans="1:33">
      <c r="A4" s="9" t="s">
        <v>138</v>
      </c>
      <c r="B4" t="s">
        <v>138</v>
      </c>
      <c r="C4" s="23"/>
      <c r="D4" s="26"/>
      <c r="E4" s="26"/>
      <c r="F4" t="b">
        <f t="shared" ref="F4:F67" si="0">A4=B4</f>
        <v>1</v>
      </c>
      <c r="H4" s="12"/>
      <c r="M4">
        <v>1</v>
      </c>
      <c r="N4">
        <v>3</v>
      </c>
      <c r="O4">
        <v>0</v>
      </c>
      <c r="P4">
        <v>15</v>
      </c>
      <c r="Q4">
        <v>6</v>
      </c>
      <c r="R4">
        <v>6</v>
      </c>
      <c r="S4">
        <v>5</v>
      </c>
      <c r="T4">
        <v>20</v>
      </c>
      <c r="U4">
        <v>80</v>
      </c>
      <c r="V4">
        <v>70</v>
      </c>
      <c r="W4">
        <v>30</v>
      </c>
      <c r="X4" t="e">
        <f>#REF!=N4</f>
        <v>#REF!</v>
      </c>
      <c r="Y4" t="b">
        <f>B4=O4</f>
        <v>0</v>
      </c>
      <c r="Z4" t="b">
        <f>C4=P4</f>
        <v>0</v>
      </c>
      <c r="AA4" t="b">
        <f t="shared" ref="AA4:AF4" si="1">F4=Q4</f>
        <v>0</v>
      </c>
      <c r="AB4" t="b">
        <f t="shared" si="1"/>
        <v>0</v>
      </c>
      <c r="AC4" t="b">
        <f t="shared" si="1"/>
        <v>0</v>
      </c>
      <c r="AD4" t="b">
        <f t="shared" si="1"/>
        <v>0</v>
      </c>
      <c r="AE4" t="b">
        <f t="shared" si="1"/>
        <v>0</v>
      </c>
      <c r="AF4" t="b">
        <f t="shared" si="1"/>
        <v>0</v>
      </c>
      <c r="AG4" t="b">
        <f>L4=W4</f>
        <v>0</v>
      </c>
    </row>
    <row r="5" spans="1:33">
      <c r="A5" t="s">
        <v>139</v>
      </c>
      <c r="B5" t="s">
        <v>139</v>
      </c>
      <c r="C5" s="22"/>
      <c r="F5" t="b">
        <f t="shared" si="0"/>
        <v>1</v>
      </c>
      <c r="H5" s="9"/>
      <c r="M5">
        <v>1</v>
      </c>
      <c r="N5">
        <v>3</v>
      </c>
      <c r="O5">
        <v>0</v>
      </c>
      <c r="P5">
        <v>15</v>
      </c>
      <c r="Q5">
        <v>6</v>
      </c>
      <c r="R5">
        <v>6</v>
      </c>
      <c r="S5">
        <v>5</v>
      </c>
      <c r="T5">
        <v>20</v>
      </c>
      <c r="U5">
        <v>80</v>
      </c>
      <c r="V5">
        <v>70</v>
      </c>
      <c r="W5">
        <v>30</v>
      </c>
      <c r="X5" t="e">
        <f>#REF!=N5</f>
        <v>#REF!</v>
      </c>
      <c r="Y5" t="b">
        <f t="shared" ref="Y5:Y24" si="2">B5=O5</f>
        <v>0</v>
      </c>
      <c r="Z5" t="b">
        <f t="shared" ref="Z5:Z24" si="3">C5=P5</f>
        <v>0</v>
      </c>
      <c r="AA5" t="b">
        <f t="shared" ref="AA5:AA24" si="4">F5=Q5</f>
        <v>0</v>
      </c>
      <c r="AB5" t="b">
        <f t="shared" ref="AB5:AB24" si="5">G5=R5</f>
        <v>0</v>
      </c>
      <c r="AC5" t="b">
        <f t="shared" ref="AC5:AC24" si="6">H5=S5</f>
        <v>0</v>
      </c>
      <c r="AD5" t="b">
        <f t="shared" ref="AD5:AD24" si="7">I5=T5</f>
        <v>0</v>
      </c>
      <c r="AE5" t="b">
        <f t="shared" ref="AE5:AE24" si="8">J5=U5</f>
        <v>0</v>
      </c>
      <c r="AF5" t="b">
        <f t="shared" ref="AF5:AF24" si="9">K5=V5</f>
        <v>0</v>
      </c>
      <c r="AG5" t="b">
        <f t="shared" ref="AG5:AG24" si="10">L5=W5</f>
        <v>0</v>
      </c>
    </row>
    <row r="6" spans="1:33">
      <c r="A6" t="s">
        <v>140</v>
      </c>
      <c r="B6" t="s">
        <v>140</v>
      </c>
      <c r="C6" s="12"/>
      <c r="D6" s="24"/>
      <c r="E6" s="24"/>
      <c r="F6" t="b">
        <f t="shared" si="0"/>
        <v>1</v>
      </c>
      <c r="H6" s="9"/>
      <c r="M6">
        <v>1</v>
      </c>
      <c r="N6">
        <v>3</v>
      </c>
      <c r="O6">
        <v>0</v>
      </c>
      <c r="P6">
        <v>15</v>
      </c>
      <c r="Q6">
        <v>6</v>
      </c>
      <c r="R6">
        <v>6</v>
      </c>
      <c r="S6">
        <v>5</v>
      </c>
      <c r="T6">
        <v>20</v>
      </c>
      <c r="U6">
        <v>80</v>
      </c>
      <c r="V6">
        <v>70</v>
      </c>
      <c r="W6">
        <v>30</v>
      </c>
      <c r="X6" t="e">
        <f>#REF!=N6</f>
        <v>#REF!</v>
      </c>
      <c r="Y6" t="b">
        <f t="shared" si="2"/>
        <v>0</v>
      </c>
      <c r="Z6" t="b">
        <f t="shared" si="3"/>
        <v>0</v>
      </c>
      <c r="AA6" t="b">
        <f t="shared" si="4"/>
        <v>0</v>
      </c>
      <c r="AB6" t="b">
        <f t="shared" si="5"/>
        <v>0</v>
      </c>
      <c r="AC6" t="b">
        <f t="shared" si="6"/>
        <v>0</v>
      </c>
      <c r="AD6" t="b">
        <f t="shared" si="7"/>
        <v>0</v>
      </c>
      <c r="AE6" t="b">
        <f t="shared" si="8"/>
        <v>0</v>
      </c>
      <c r="AF6" t="b">
        <f t="shared" si="9"/>
        <v>0</v>
      </c>
      <c r="AG6" t="b">
        <f t="shared" si="10"/>
        <v>0</v>
      </c>
    </row>
    <row r="7" spans="1:33">
      <c r="A7" t="s">
        <v>141</v>
      </c>
      <c r="B7" t="s">
        <v>141</v>
      </c>
      <c r="C7" s="22"/>
      <c r="F7" t="b">
        <f t="shared" si="0"/>
        <v>1</v>
      </c>
      <c r="M7">
        <v>1</v>
      </c>
      <c r="N7">
        <v>3</v>
      </c>
      <c r="O7">
        <v>0</v>
      </c>
      <c r="P7">
        <v>15</v>
      </c>
      <c r="Q7">
        <v>6</v>
      </c>
      <c r="R7">
        <v>6</v>
      </c>
      <c r="S7">
        <v>5</v>
      </c>
      <c r="T7">
        <v>20</v>
      </c>
      <c r="U7">
        <v>80</v>
      </c>
      <c r="V7">
        <v>70</v>
      </c>
      <c r="W7">
        <v>30</v>
      </c>
      <c r="X7" t="e">
        <f>#REF!=N7</f>
        <v>#REF!</v>
      </c>
      <c r="Y7" t="b">
        <f t="shared" si="2"/>
        <v>0</v>
      </c>
      <c r="Z7" t="b">
        <f t="shared" si="3"/>
        <v>0</v>
      </c>
      <c r="AA7" t="b">
        <f t="shared" si="4"/>
        <v>0</v>
      </c>
      <c r="AB7" t="b">
        <f t="shared" si="5"/>
        <v>0</v>
      </c>
      <c r="AC7" t="b">
        <f t="shared" si="6"/>
        <v>0</v>
      </c>
      <c r="AD7" t="b">
        <f t="shared" si="7"/>
        <v>0</v>
      </c>
      <c r="AE7" t="b">
        <f t="shared" si="8"/>
        <v>0</v>
      </c>
      <c r="AF7" t="b">
        <f t="shared" si="9"/>
        <v>0</v>
      </c>
      <c r="AG7" t="b">
        <f t="shared" si="10"/>
        <v>0</v>
      </c>
    </row>
    <row r="8" spans="1:33">
      <c r="A8" t="s">
        <v>161</v>
      </c>
      <c r="B8" t="s">
        <v>161</v>
      </c>
      <c r="C8" s="22"/>
      <c r="F8" t="b">
        <f t="shared" si="0"/>
        <v>1</v>
      </c>
      <c r="M8">
        <v>1</v>
      </c>
      <c r="N8">
        <v>3</v>
      </c>
      <c r="O8">
        <v>0</v>
      </c>
      <c r="P8">
        <v>15</v>
      </c>
      <c r="Q8">
        <v>6</v>
      </c>
      <c r="R8">
        <v>6</v>
      </c>
      <c r="S8">
        <v>5</v>
      </c>
      <c r="T8">
        <v>20</v>
      </c>
      <c r="U8">
        <v>80</v>
      </c>
      <c r="V8">
        <v>70</v>
      </c>
      <c r="W8">
        <v>30</v>
      </c>
      <c r="X8" t="e">
        <f>#REF!=N8</f>
        <v>#REF!</v>
      </c>
      <c r="Y8" t="b">
        <f t="shared" si="2"/>
        <v>0</v>
      </c>
      <c r="Z8" t="b">
        <f t="shared" si="3"/>
        <v>0</v>
      </c>
      <c r="AA8" t="b">
        <f t="shared" si="4"/>
        <v>0</v>
      </c>
      <c r="AB8" t="b">
        <f t="shared" si="5"/>
        <v>0</v>
      </c>
      <c r="AC8" t="b">
        <f t="shared" si="6"/>
        <v>0</v>
      </c>
      <c r="AD8" t="b">
        <f t="shared" si="7"/>
        <v>0</v>
      </c>
      <c r="AE8" t="b">
        <f t="shared" si="8"/>
        <v>0</v>
      </c>
      <c r="AF8" t="b">
        <f t="shared" si="9"/>
        <v>0</v>
      </c>
      <c r="AG8" t="b">
        <f t="shared" si="10"/>
        <v>0</v>
      </c>
    </row>
    <row r="9" spans="1:33">
      <c r="A9" t="s">
        <v>162</v>
      </c>
      <c r="B9" t="s">
        <v>162</v>
      </c>
      <c r="C9" s="22"/>
      <c r="F9" t="b">
        <f t="shared" si="0"/>
        <v>1</v>
      </c>
      <c r="M9">
        <v>1</v>
      </c>
      <c r="N9">
        <v>3</v>
      </c>
      <c r="O9">
        <v>0</v>
      </c>
      <c r="P9">
        <v>15</v>
      </c>
      <c r="Q9">
        <v>6</v>
      </c>
      <c r="R9">
        <v>6</v>
      </c>
      <c r="S9">
        <v>5</v>
      </c>
      <c r="T9">
        <v>20</v>
      </c>
      <c r="U9">
        <v>80</v>
      </c>
      <c r="V9">
        <v>70</v>
      </c>
      <c r="W9">
        <v>30</v>
      </c>
      <c r="X9" t="e">
        <f>#REF!=N9</f>
        <v>#REF!</v>
      </c>
      <c r="Y9" t="b">
        <f t="shared" si="2"/>
        <v>0</v>
      </c>
      <c r="Z9" t="b">
        <f t="shared" si="3"/>
        <v>0</v>
      </c>
      <c r="AA9" t="b">
        <f t="shared" si="4"/>
        <v>0</v>
      </c>
      <c r="AB9" t="b">
        <f t="shared" si="5"/>
        <v>0</v>
      </c>
      <c r="AC9" t="b">
        <f t="shared" si="6"/>
        <v>0</v>
      </c>
      <c r="AD9" t="b">
        <f t="shared" si="7"/>
        <v>0</v>
      </c>
      <c r="AE9" t="b">
        <f t="shared" si="8"/>
        <v>0</v>
      </c>
      <c r="AF9" t="b">
        <f t="shared" si="9"/>
        <v>0</v>
      </c>
      <c r="AG9" t="b">
        <f t="shared" si="10"/>
        <v>0</v>
      </c>
    </row>
    <row r="10" spans="1:33">
      <c r="A10" t="s">
        <v>163</v>
      </c>
      <c r="B10" t="s">
        <v>163</v>
      </c>
      <c r="C10" s="22"/>
      <c r="F10" t="b">
        <f t="shared" si="0"/>
        <v>1</v>
      </c>
      <c r="M10">
        <v>1</v>
      </c>
      <c r="N10">
        <v>3</v>
      </c>
      <c r="O10">
        <v>0</v>
      </c>
      <c r="P10">
        <v>15</v>
      </c>
      <c r="Q10">
        <v>6</v>
      </c>
      <c r="R10">
        <v>6</v>
      </c>
      <c r="S10">
        <v>5</v>
      </c>
      <c r="T10">
        <v>20</v>
      </c>
      <c r="U10">
        <v>80</v>
      </c>
      <c r="V10">
        <v>70</v>
      </c>
      <c r="W10">
        <v>30</v>
      </c>
      <c r="X10" t="e">
        <f>#REF!=N10</f>
        <v>#REF!</v>
      </c>
      <c r="Y10" t="b">
        <f t="shared" si="2"/>
        <v>0</v>
      </c>
      <c r="Z10" t="b">
        <f t="shared" si="3"/>
        <v>0</v>
      </c>
      <c r="AA10" t="b">
        <f t="shared" si="4"/>
        <v>0</v>
      </c>
      <c r="AB10" t="b">
        <f t="shared" si="5"/>
        <v>0</v>
      </c>
      <c r="AC10" t="b">
        <f t="shared" si="6"/>
        <v>0</v>
      </c>
      <c r="AD10" t="b">
        <f t="shared" si="7"/>
        <v>0</v>
      </c>
      <c r="AE10" t="b">
        <f t="shared" si="8"/>
        <v>0</v>
      </c>
      <c r="AF10" t="b">
        <f t="shared" si="9"/>
        <v>0</v>
      </c>
      <c r="AG10" t="b">
        <f t="shared" si="10"/>
        <v>0</v>
      </c>
    </row>
    <row r="11" spans="1:33">
      <c r="A11" t="s">
        <v>164</v>
      </c>
      <c r="B11" t="s">
        <v>164</v>
      </c>
      <c r="C11" s="12"/>
      <c r="D11" s="24"/>
      <c r="E11" s="24"/>
      <c r="F11" t="b">
        <f t="shared" si="0"/>
        <v>1</v>
      </c>
      <c r="M11">
        <v>1</v>
      </c>
      <c r="N11">
        <v>3</v>
      </c>
      <c r="O11">
        <v>0</v>
      </c>
      <c r="P11">
        <v>15</v>
      </c>
      <c r="Q11">
        <v>6</v>
      </c>
      <c r="R11">
        <v>6</v>
      </c>
      <c r="S11">
        <v>5</v>
      </c>
      <c r="T11">
        <v>20</v>
      </c>
      <c r="U11">
        <v>80</v>
      </c>
      <c r="V11">
        <v>70</v>
      </c>
      <c r="W11">
        <v>30</v>
      </c>
      <c r="X11" t="e">
        <f>#REF!=N11</f>
        <v>#REF!</v>
      </c>
      <c r="Y11" t="b">
        <f t="shared" si="2"/>
        <v>0</v>
      </c>
      <c r="Z11" t="b">
        <f t="shared" si="3"/>
        <v>0</v>
      </c>
      <c r="AA11" t="b">
        <f t="shared" si="4"/>
        <v>0</v>
      </c>
      <c r="AB11" t="b">
        <f t="shared" si="5"/>
        <v>0</v>
      </c>
      <c r="AC11" t="b">
        <f t="shared" si="6"/>
        <v>0</v>
      </c>
      <c r="AD11" t="b">
        <f t="shared" si="7"/>
        <v>0</v>
      </c>
      <c r="AE11" t="b">
        <f t="shared" si="8"/>
        <v>0</v>
      </c>
      <c r="AF11" t="b">
        <f t="shared" si="9"/>
        <v>0</v>
      </c>
      <c r="AG11" t="b">
        <f t="shared" si="10"/>
        <v>0</v>
      </c>
    </row>
    <row r="12" spans="1:33">
      <c r="A12" s="9" t="s">
        <v>165</v>
      </c>
      <c r="B12" t="s">
        <v>165</v>
      </c>
      <c r="C12" s="22"/>
      <c r="F12" t="b">
        <f t="shared" si="0"/>
        <v>1</v>
      </c>
      <c r="M12">
        <v>1</v>
      </c>
      <c r="N12">
        <v>3</v>
      </c>
      <c r="O12">
        <v>0</v>
      </c>
      <c r="P12">
        <v>15</v>
      </c>
      <c r="Q12">
        <v>6</v>
      </c>
      <c r="R12">
        <v>6</v>
      </c>
      <c r="S12">
        <v>5</v>
      </c>
      <c r="T12">
        <v>20</v>
      </c>
      <c r="U12">
        <v>80</v>
      </c>
      <c r="V12">
        <v>70</v>
      </c>
      <c r="W12">
        <v>30</v>
      </c>
      <c r="X12" t="e">
        <f>#REF!=N12</f>
        <v>#REF!</v>
      </c>
      <c r="Y12" t="b">
        <f t="shared" si="2"/>
        <v>0</v>
      </c>
      <c r="Z12" t="b">
        <f t="shared" si="3"/>
        <v>0</v>
      </c>
      <c r="AA12" t="b">
        <f t="shared" si="4"/>
        <v>0</v>
      </c>
      <c r="AB12" t="b">
        <f t="shared" si="5"/>
        <v>0</v>
      </c>
      <c r="AC12" t="b">
        <f t="shared" si="6"/>
        <v>0</v>
      </c>
      <c r="AD12" t="b">
        <f t="shared" si="7"/>
        <v>0</v>
      </c>
      <c r="AE12" t="b">
        <f t="shared" si="8"/>
        <v>0</v>
      </c>
      <c r="AF12" t="b">
        <f t="shared" si="9"/>
        <v>0</v>
      </c>
      <c r="AG12" t="b">
        <f t="shared" si="10"/>
        <v>0</v>
      </c>
    </row>
    <row r="13" spans="1:33">
      <c r="A13" t="s">
        <v>142</v>
      </c>
      <c r="B13" t="s">
        <v>142</v>
      </c>
      <c r="C13" s="12"/>
      <c r="D13" s="24"/>
      <c r="E13" s="24"/>
      <c r="F13" t="b">
        <f t="shared" si="0"/>
        <v>1</v>
      </c>
      <c r="M13">
        <v>1</v>
      </c>
      <c r="N13">
        <v>3</v>
      </c>
      <c r="O13">
        <v>0</v>
      </c>
      <c r="P13">
        <v>15</v>
      </c>
      <c r="Q13">
        <v>6</v>
      </c>
      <c r="R13">
        <v>6</v>
      </c>
      <c r="S13">
        <v>5</v>
      </c>
      <c r="T13">
        <v>20</v>
      </c>
      <c r="U13">
        <v>80</v>
      </c>
      <c r="V13">
        <v>70</v>
      </c>
      <c r="W13">
        <v>30</v>
      </c>
      <c r="X13" t="e">
        <f>#REF!=N13</f>
        <v>#REF!</v>
      </c>
      <c r="Y13" t="b">
        <f t="shared" si="2"/>
        <v>0</v>
      </c>
      <c r="Z13" t="b">
        <f t="shared" si="3"/>
        <v>0</v>
      </c>
      <c r="AA13" t="b">
        <f t="shared" si="4"/>
        <v>0</v>
      </c>
      <c r="AB13" t="b">
        <f t="shared" si="5"/>
        <v>0</v>
      </c>
      <c r="AC13" t="b">
        <f t="shared" si="6"/>
        <v>0</v>
      </c>
      <c r="AD13" t="b">
        <f t="shared" si="7"/>
        <v>0</v>
      </c>
      <c r="AE13" t="b">
        <f t="shared" si="8"/>
        <v>0</v>
      </c>
      <c r="AF13" t="b">
        <f t="shared" si="9"/>
        <v>0</v>
      </c>
      <c r="AG13" t="b">
        <f t="shared" si="10"/>
        <v>0</v>
      </c>
    </row>
    <row r="14" spans="1:33">
      <c r="A14" t="s">
        <v>143</v>
      </c>
      <c r="B14" t="s">
        <v>143</v>
      </c>
      <c r="C14" s="22"/>
      <c r="F14" t="b">
        <f t="shared" si="0"/>
        <v>1</v>
      </c>
      <c r="M14">
        <v>1</v>
      </c>
      <c r="N14">
        <v>3</v>
      </c>
      <c r="O14">
        <v>0</v>
      </c>
      <c r="P14">
        <v>15</v>
      </c>
      <c r="Q14">
        <v>6</v>
      </c>
      <c r="R14">
        <v>6</v>
      </c>
      <c r="S14">
        <v>5</v>
      </c>
      <c r="T14">
        <v>20</v>
      </c>
      <c r="U14">
        <v>80</v>
      </c>
      <c r="V14">
        <v>70</v>
      </c>
      <c r="W14">
        <v>30</v>
      </c>
      <c r="X14" t="e">
        <f>#REF!=N14</f>
        <v>#REF!</v>
      </c>
      <c r="Y14" t="b">
        <f t="shared" si="2"/>
        <v>0</v>
      </c>
      <c r="Z14" t="b">
        <f t="shared" si="3"/>
        <v>0</v>
      </c>
      <c r="AA14" t="b">
        <f t="shared" si="4"/>
        <v>0</v>
      </c>
      <c r="AB14" t="b">
        <f t="shared" si="5"/>
        <v>0</v>
      </c>
      <c r="AC14" t="b">
        <f t="shared" si="6"/>
        <v>0</v>
      </c>
      <c r="AD14" t="b">
        <f t="shared" si="7"/>
        <v>0</v>
      </c>
      <c r="AE14" t="b">
        <f t="shared" si="8"/>
        <v>0</v>
      </c>
      <c r="AF14" t="b">
        <f t="shared" si="9"/>
        <v>0</v>
      </c>
      <c r="AG14" t="b">
        <f t="shared" si="10"/>
        <v>0</v>
      </c>
    </row>
    <row r="15" spans="1:33">
      <c r="A15" t="s">
        <v>144</v>
      </c>
      <c r="B15" t="s">
        <v>144</v>
      </c>
      <c r="C15" s="22"/>
      <c r="F15" t="b">
        <f t="shared" si="0"/>
        <v>1</v>
      </c>
      <c r="M15">
        <v>1</v>
      </c>
      <c r="N15">
        <v>3</v>
      </c>
      <c r="O15">
        <v>0</v>
      </c>
      <c r="P15">
        <v>15</v>
      </c>
      <c r="Q15">
        <v>6</v>
      </c>
      <c r="R15">
        <v>6</v>
      </c>
      <c r="S15">
        <v>5</v>
      </c>
      <c r="T15">
        <v>20</v>
      </c>
      <c r="U15">
        <v>80</v>
      </c>
      <c r="V15">
        <v>70</v>
      </c>
      <c r="W15">
        <v>30</v>
      </c>
      <c r="X15" t="e">
        <f>#REF!=N15</f>
        <v>#REF!</v>
      </c>
      <c r="Y15" t="b">
        <f t="shared" si="2"/>
        <v>0</v>
      </c>
      <c r="Z15" t="b">
        <f t="shared" si="3"/>
        <v>0</v>
      </c>
      <c r="AA15" t="b">
        <f t="shared" si="4"/>
        <v>0</v>
      </c>
      <c r="AB15" t="b">
        <f t="shared" si="5"/>
        <v>0</v>
      </c>
      <c r="AC15" t="b">
        <f t="shared" si="6"/>
        <v>0</v>
      </c>
      <c r="AD15" t="b">
        <f t="shared" si="7"/>
        <v>0</v>
      </c>
      <c r="AE15" t="b">
        <f t="shared" si="8"/>
        <v>0</v>
      </c>
      <c r="AF15" t="b">
        <f t="shared" si="9"/>
        <v>0</v>
      </c>
      <c r="AG15" t="b">
        <f t="shared" si="10"/>
        <v>0</v>
      </c>
    </row>
    <row r="16" spans="1:33">
      <c r="A16" t="s">
        <v>145</v>
      </c>
      <c r="B16" t="s">
        <v>145</v>
      </c>
      <c r="C16" s="25"/>
      <c r="D16" s="25"/>
      <c r="E16" s="25"/>
      <c r="F16" t="b">
        <f t="shared" si="0"/>
        <v>1</v>
      </c>
      <c r="M16">
        <v>1</v>
      </c>
      <c r="N16">
        <v>3</v>
      </c>
      <c r="O16">
        <v>0</v>
      </c>
      <c r="P16">
        <v>15</v>
      </c>
      <c r="Q16">
        <v>6</v>
      </c>
      <c r="R16">
        <v>6</v>
      </c>
      <c r="S16">
        <v>5</v>
      </c>
      <c r="T16">
        <v>20</v>
      </c>
      <c r="U16">
        <v>80</v>
      </c>
      <c r="V16">
        <v>70</v>
      </c>
      <c r="W16">
        <v>30</v>
      </c>
      <c r="X16" t="e">
        <f>#REF!=N16</f>
        <v>#REF!</v>
      </c>
      <c r="Y16" t="b">
        <f t="shared" si="2"/>
        <v>0</v>
      </c>
      <c r="Z16" t="b">
        <f t="shared" si="3"/>
        <v>0</v>
      </c>
      <c r="AA16" t="b">
        <f t="shared" si="4"/>
        <v>0</v>
      </c>
      <c r="AB16" t="b">
        <f t="shared" si="5"/>
        <v>0</v>
      </c>
      <c r="AC16" t="b">
        <f t="shared" si="6"/>
        <v>0</v>
      </c>
      <c r="AD16" t="b">
        <f t="shared" si="7"/>
        <v>0</v>
      </c>
      <c r="AE16" t="b">
        <f t="shared" si="8"/>
        <v>0</v>
      </c>
      <c r="AF16" t="b">
        <f t="shared" si="9"/>
        <v>0</v>
      </c>
      <c r="AG16" t="b">
        <f t="shared" si="10"/>
        <v>0</v>
      </c>
    </row>
    <row r="17" spans="1:33">
      <c r="A17" s="9" t="s">
        <v>146</v>
      </c>
      <c r="B17" t="s">
        <v>146</v>
      </c>
      <c r="F17" t="b">
        <f t="shared" si="0"/>
        <v>1</v>
      </c>
      <c r="M17">
        <v>1</v>
      </c>
      <c r="N17">
        <v>3</v>
      </c>
      <c r="O17">
        <v>0</v>
      </c>
      <c r="P17">
        <v>15</v>
      </c>
      <c r="Q17">
        <v>6</v>
      </c>
      <c r="R17">
        <v>6</v>
      </c>
      <c r="S17">
        <v>5</v>
      </c>
      <c r="T17">
        <v>20</v>
      </c>
      <c r="U17">
        <v>80</v>
      </c>
      <c r="V17">
        <v>70</v>
      </c>
      <c r="W17">
        <v>30</v>
      </c>
      <c r="X17" t="e">
        <f>#REF!=N17</f>
        <v>#REF!</v>
      </c>
      <c r="Y17" t="b">
        <f t="shared" si="2"/>
        <v>0</v>
      </c>
      <c r="Z17" t="b">
        <f t="shared" si="3"/>
        <v>0</v>
      </c>
      <c r="AA17" t="b">
        <f t="shared" si="4"/>
        <v>0</v>
      </c>
      <c r="AB17" t="b">
        <f t="shared" si="5"/>
        <v>0</v>
      </c>
      <c r="AC17" t="b">
        <f t="shared" si="6"/>
        <v>0</v>
      </c>
      <c r="AD17" t="b">
        <f t="shared" si="7"/>
        <v>0</v>
      </c>
      <c r="AE17" t="b">
        <f t="shared" si="8"/>
        <v>0</v>
      </c>
      <c r="AF17" t="b">
        <f t="shared" si="9"/>
        <v>0</v>
      </c>
      <c r="AG17" t="b">
        <f t="shared" si="10"/>
        <v>0</v>
      </c>
    </row>
    <row r="18" spans="1:33">
      <c r="A18" t="s">
        <v>166</v>
      </c>
      <c r="B18" t="s">
        <v>166</v>
      </c>
      <c r="F18" t="b">
        <f t="shared" si="0"/>
        <v>1</v>
      </c>
      <c r="M18">
        <v>1</v>
      </c>
      <c r="N18">
        <v>3</v>
      </c>
      <c r="O18">
        <v>0</v>
      </c>
      <c r="P18">
        <v>15</v>
      </c>
      <c r="Q18">
        <v>6</v>
      </c>
      <c r="R18">
        <v>6</v>
      </c>
      <c r="S18">
        <v>5</v>
      </c>
      <c r="T18">
        <v>20</v>
      </c>
      <c r="U18">
        <v>80</v>
      </c>
      <c r="V18">
        <v>70</v>
      </c>
      <c r="W18">
        <v>30</v>
      </c>
      <c r="X18" t="e">
        <f>#REF!=N18</f>
        <v>#REF!</v>
      </c>
      <c r="Y18" t="b">
        <f t="shared" si="2"/>
        <v>0</v>
      </c>
      <c r="Z18" t="b">
        <f t="shared" si="3"/>
        <v>0</v>
      </c>
      <c r="AA18" t="b">
        <f t="shared" si="4"/>
        <v>0</v>
      </c>
      <c r="AB18" t="b">
        <f t="shared" si="5"/>
        <v>0</v>
      </c>
      <c r="AC18" t="b">
        <f t="shared" si="6"/>
        <v>0</v>
      </c>
      <c r="AD18" t="b">
        <f t="shared" si="7"/>
        <v>0</v>
      </c>
      <c r="AE18" t="b">
        <f t="shared" si="8"/>
        <v>0</v>
      </c>
      <c r="AF18" t="b">
        <f t="shared" si="9"/>
        <v>0</v>
      </c>
      <c r="AG18" t="b">
        <f t="shared" si="10"/>
        <v>0</v>
      </c>
    </row>
    <row r="19" spans="1:33">
      <c r="A19" t="s">
        <v>167</v>
      </c>
      <c r="B19" t="s">
        <v>167</v>
      </c>
      <c r="F19" t="b">
        <f t="shared" si="0"/>
        <v>1</v>
      </c>
      <c r="M19">
        <v>1</v>
      </c>
      <c r="N19">
        <v>3</v>
      </c>
      <c r="O19">
        <v>0</v>
      </c>
      <c r="P19">
        <v>15</v>
      </c>
      <c r="Q19">
        <v>6</v>
      </c>
      <c r="R19">
        <v>6</v>
      </c>
      <c r="S19">
        <v>5</v>
      </c>
      <c r="T19">
        <v>20</v>
      </c>
      <c r="U19">
        <v>80</v>
      </c>
      <c r="V19">
        <v>70</v>
      </c>
      <c r="W19">
        <v>30</v>
      </c>
      <c r="X19" t="e">
        <f>#REF!=N19</f>
        <v>#REF!</v>
      </c>
      <c r="Y19" t="b">
        <f t="shared" si="2"/>
        <v>0</v>
      </c>
      <c r="Z19" t="b">
        <f t="shared" si="3"/>
        <v>0</v>
      </c>
      <c r="AA19" t="b">
        <f t="shared" si="4"/>
        <v>0</v>
      </c>
      <c r="AB19" t="b">
        <f t="shared" si="5"/>
        <v>0</v>
      </c>
      <c r="AC19" t="b">
        <f t="shared" si="6"/>
        <v>0</v>
      </c>
      <c r="AD19" t="b">
        <f t="shared" si="7"/>
        <v>0</v>
      </c>
      <c r="AE19" t="b">
        <f t="shared" si="8"/>
        <v>0</v>
      </c>
      <c r="AF19" t="b">
        <f t="shared" si="9"/>
        <v>0</v>
      </c>
      <c r="AG19" t="b">
        <f t="shared" si="10"/>
        <v>0</v>
      </c>
    </row>
    <row r="20" spans="1:33">
      <c r="A20" t="s">
        <v>168</v>
      </c>
      <c r="B20" t="s">
        <v>168</v>
      </c>
      <c r="F20" t="b">
        <f t="shared" si="0"/>
        <v>1</v>
      </c>
      <c r="M20">
        <v>1</v>
      </c>
      <c r="N20">
        <v>3</v>
      </c>
      <c r="O20">
        <v>0</v>
      </c>
      <c r="P20">
        <v>15</v>
      </c>
      <c r="Q20">
        <v>6</v>
      </c>
      <c r="R20">
        <v>6</v>
      </c>
      <c r="S20">
        <v>5</v>
      </c>
      <c r="T20">
        <v>20</v>
      </c>
      <c r="U20">
        <v>80</v>
      </c>
      <c r="V20">
        <v>70</v>
      </c>
      <c r="W20">
        <v>30</v>
      </c>
      <c r="X20" t="e">
        <f>#REF!=N20</f>
        <v>#REF!</v>
      </c>
      <c r="Y20" t="b">
        <f t="shared" si="2"/>
        <v>0</v>
      </c>
      <c r="Z20" t="b">
        <f t="shared" si="3"/>
        <v>0</v>
      </c>
      <c r="AA20" t="b">
        <f t="shared" si="4"/>
        <v>0</v>
      </c>
      <c r="AB20" t="b">
        <f t="shared" si="5"/>
        <v>0</v>
      </c>
      <c r="AC20" t="b">
        <f t="shared" si="6"/>
        <v>0</v>
      </c>
      <c r="AD20" t="b">
        <f t="shared" si="7"/>
        <v>0</v>
      </c>
      <c r="AE20" t="b">
        <f t="shared" si="8"/>
        <v>0</v>
      </c>
      <c r="AF20" t="b">
        <f t="shared" si="9"/>
        <v>0</v>
      </c>
      <c r="AG20" t="b">
        <f t="shared" si="10"/>
        <v>0</v>
      </c>
    </row>
    <row r="21" spans="1:33">
      <c r="A21" s="9" t="s">
        <v>169</v>
      </c>
      <c r="B21" t="s">
        <v>169</v>
      </c>
      <c r="F21" t="b">
        <f t="shared" si="0"/>
        <v>1</v>
      </c>
      <c r="M21">
        <v>1</v>
      </c>
      <c r="N21">
        <v>3</v>
      </c>
      <c r="O21">
        <v>0</v>
      </c>
      <c r="P21">
        <v>15</v>
      </c>
      <c r="Q21">
        <v>6</v>
      </c>
      <c r="R21">
        <v>6</v>
      </c>
      <c r="S21">
        <v>5</v>
      </c>
      <c r="T21">
        <v>20</v>
      </c>
      <c r="U21">
        <v>80</v>
      </c>
      <c r="V21">
        <v>70</v>
      </c>
      <c r="W21">
        <v>30</v>
      </c>
      <c r="X21" t="e">
        <f>#REF!=N21</f>
        <v>#REF!</v>
      </c>
      <c r="Y21" t="b">
        <f t="shared" si="2"/>
        <v>0</v>
      </c>
      <c r="Z21" t="b">
        <f t="shared" si="3"/>
        <v>0</v>
      </c>
      <c r="AA21" t="b">
        <f t="shared" si="4"/>
        <v>0</v>
      </c>
      <c r="AB21" t="b">
        <f t="shared" si="5"/>
        <v>0</v>
      </c>
      <c r="AC21" t="b">
        <f t="shared" si="6"/>
        <v>0</v>
      </c>
      <c r="AD21" t="b">
        <f t="shared" si="7"/>
        <v>0</v>
      </c>
      <c r="AE21" t="b">
        <f t="shared" si="8"/>
        <v>0</v>
      </c>
      <c r="AF21" t="b">
        <f t="shared" si="9"/>
        <v>0</v>
      </c>
      <c r="AG21" t="b">
        <f t="shared" si="10"/>
        <v>0</v>
      </c>
    </row>
    <row r="22" spans="1:33">
      <c r="A22" t="s">
        <v>170</v>
      </c>
      <c r="B22" t="s">
        <v>170</v>
      </c>
      <c r="C22" s="25"/>
      <c r="F22" t="b">
        <f t="shared" si="0"/>
        <v>1</v>
      </c>
      <c r="M22">
        <v>1</v>
      </c>
      <c r="N22">
        <v>3</v>
      </c>
      <c r="O22">
        <v>0</v>
      </c>
      <c r="P22">
        <v>15</v>
      </c>
      <c r="Q22">
        <v>6</v>
      </c>
      <c r="R22">
        <v>6</v>
      </c>
      <c r="S22">
        <v>5</v>
      </c>
      <c r="T22">
        <v>20</v>
      </c>
      <c r="U22">
        <v>80</v>
      </c>
      <c r="V22">
        <v>70</v>
      </c>
      <c r="W22">
        <v>30</v>
      </c>
      <c r="X22" t="e">
        <f>#REF!=N22</f>
        <v>#REF!</v>
      </c>
      <c r="Y22" t="b">
        <f t="shared" si="2"/>
        <v>0</v>
      </c>
      <c r="Z22" t="b">
        <f t="shared" si="3"/>
        <v>0</v>
      </c>
      <c r="AA22" t="b">
        <f t="shared" si="4"/>
        <v>0</v>
      </c>
      <c r="AB22" t="b">
        <f t="shared" si="5"/>
        <v>0</v>
      </c>
      <c r="AC22" t="b">
        <f t="shared" si="6"/>
        <v>0</v>
      </c>
      <c r="AD22" t="b">
        <f t="shared" si="7"/>
        <v>0</v>
      </c>
      <c r="AE22" t="b">
        <f t="shared" si="8"/>
        <v>0</v>
      </c>
      <c r="AF22" t="b">
        <f t="shared" si="9"/>
        <v>0</v>
      </c>
      <c r="AG22" t="b">
        <f t="shared" si="10"/>
        <v>0</v>
      </c>
    </row>
    <row r="23" spans="1:33">
      <c r="A23" t="s">
        <v>176</v>
      </c>
      <c r="B23" t="s">
        <v>176</v>
      </c>
      <c r="C23" s="26"/>
      <c r="D23" s="26"/>
      <c r="E23" s="26"/>
      <c r="F23" t="b">
        <f t="shared" si="0"/>
        <v>1</v>
      </c>
      <c r="M23">
        <v>1</v>
      </c>
      <c r="N23">
        <v>3</v>
      </c>
      <c r="O23">
        <v>0</v>
      </c>
      <c r="P23">
        <v>15</v>
      </c>
      <c r="Q23">
        <v>6</v>
      </c>
      <c r="R23">
        <v>6</v>
      </c>
      <c r="S23">
        <v>5</v>
      </c>
      <c r="T23">
        <v>20</v>
      </c>
      <c r="U23">
        <v>80</v>
      </c>
      <c r="V23">
        <v>70</v>
      </c>
      <c r="W23">
        <v>30</v>
      </c>
      <c r="X23" t="e">
        <f>#REF!=N23</f>
        <v>#REF!</v>
      </c>
      <c r="Y23" t="b">
        <f t="shared" si="2"/>
        <v>0</v>
      </c>
      <c r="Z23" t="b">
        <f t="shared" si="3"/>
        <v>0</v>
      </c>
      <c r="AA23" t="b">
        <f t="shared" si="4"/>
        <v>0</v>
      </c>
      <c r="AB23" t="b">
        <f t="shared" si="5"/>
        <v>0</v>
      </c>
      <c r="AC23" t="b">
        <f t="shared" si="6"/>
        <v>0</v>
      </c>
      <c r="AD23" t="b">
        <f t="shared" si="7"/>
        <v>0</v>
      </c>
      <c r="AE23" t="b">
        <f t="shared" si="8"/>
        <v>0</v>
      </c>
      <c r="AF23" t="b">
        <f t="shared" si="9"/>
        <v>0</v>
      </c>
      <c r="AG23" t="b">
        <f t="shared" si="10"/>
        <v>0</v>
      </c>
    </row>
    <row r="24" spans="1:33">
      <c r="A24" t="s">
        <v>177</v>
      </c>
      <c r="B24" t="s">
        <v>177</v>
      </c>
      <c r="F24" t="b">
        <f t="shared" si="0"/>
        <v>1</v>
      </c>
      <c r="M24">
        <v>1</v>
      </c>
      <c r="N24">
        <v>3</v>
      </c>
      <c r="O24">
        <v>0</v>
      </c>
      <c r="P24">
        <v>15</v>
      </c>
      <c r="Q24">
        <v>6</v>
      </c>
      <c r="R24">
        <v>6</v>
      </c>
      <c r="S24">
        <v>5</v>
      </c>
      <c r="T24">
        <v>20</v>
      </c>
      <c r="U24">
        <v>80</v>
      </c>
      <c r="V24">
        <v>70</v>
      </c>
      <c r="W24">
        <v>30</v>
      </c>
      <c r="X24" t="e">
        <f>#REF!=N24</f>
        <v>#REF!</v>
      </c>
      <c r="Y24" t="b">
        <f t="shared" si="2"/>
        <v>0</v>
      </c>
      <c r="Z24" t="b">
        <f t="shared" si="3"/>
        <v>0</v>
      </c>
      <c r="AA24" t="b">
        <f t="shared" si="4"/>
        <v>0</v>
      </c>
      <c r="AB24" t="b">
        <f t="shared" si="5"/>
        <v>0</v>
      </c>
      <c r="AC24" t="b">
        <f t="shared" si="6"/>
        <v>0</v>
      </c>
      <c r="AD24" t="b">
        <f t="shared" si="7"/>
        <v>0</v>
      </c>
      <c r="AE24" t="b">
        <f t="shared" si="8"/>
        <v>0</v>
      </c>
      <c r="AF24" t="b">
        <f t="shared" si="9"/>
        <v>0</v>
      </c>
      <c r="AG24" t="b">
        <f t="shared" si="10"/>
        <v>0</v>
      </c>
    </row>
    <row r="25" spans="1:33">
      <c r="A25" t="s">
        <v>178</v>
      </c>
      <c r="B25" t="s">
        <v>178</v>
      </c>
      <c r="F25" t="b">
        <f t="shared" si="0"/>
        <v>1</v>
      </c>
      <c r="M25">
        <v>2</v>
      </c>
      <c r="N25">
        <v>20</v>
      </c>
      <c r="O25">
        <v>10</v>
      </c>
      <c r="P25">
        <v>4</v>
      </c>
      <c r="Q25">
        <v>5</v>
      </c>
      <c r="R25">
        <v>30</v>
      </c>
      <c r="S25">
        <v>120</v>
      </c>
      <c r="T25">
        <v>85</v>
      </c>
      <c r="U25">
        <v>30</v>
      </c>
    </row>
    <row r="26" spans="1:33">
      <c r="A26" t="s">
        <v>179</v>
      </c>
      <c r="B26" t="s">
        <v>179</v>
      </c>
      <c r="C26" s="24"/>
      <c r="D26" s="24"/>
      <c r="E26" s="24"/>
      <c r="F26" t="b">
        <f t="shared" si="0"/>
        <v>1</v>
      </c>
      <c r="M26">
        <v>2</v>
      </c>
      <c r="N26">
        <v>20</v>
      </c>
      <c r="O26">
        <v>10</v>
      </c>
      <c r="P26">
        <v>4</v>
      </c>
      <c r="Q26">
        <v>5</v>
      </c>
      <c r="R26">
        <v>30</v>
      </c>
      <c r="S26">
        <v>100</v>
      </c>
      <c r="T26">
        <v>85</v>
      </c>
      <c r="U26">
        <v>30</v>
      </c>
    </row>
    <row r="27" spans="1:33">
      <c r="A27" t="s">
        <v>147</v>
      </c>
      <c r="B27" t="s">
        <v>147</v>
      </c>
      <c r="F27" t="b">
        <f t="shared" si="0"/>
        <v>1</v>
      </c>
      <c r="M27">
        <v>2</v>
      </c>
      <c r="N27">
        <v>20</v>
      </c>
      <c r="O27">
        <v>10</v>
      </c>
      <c r="P27">
        <v>4</v>
      </c>
      <c r="Q27">
        <v>5</v>
      </c>
      <c r="R27">
        <v>30</v>
      </c>
      <c r="S27">
        <v>120</v>
      </c>
      <c r="T27">
        <v>70</v>
      </c>
      <c r="U27">
        <v>30</v>
      </c>
    </row>
    <row r="28" spans="1:33">
      <c r="A28" t="s">
        <v>148</v>
      </c>
      <c r="B28" t="s">
        <v>148</v>
      </c>
      <c r="F28" t="b">
        <f t="shared" si="0"/>
        <v>1</v>
      </c>
      <c r="M28">
        <v>2</v>
      </c>
      <c r="N28">
        <v>20</v>
      </c>
      <c r="O28">
        <v>10</v>
      </c>
      <c r="P28">
        <v>4</v>
      </c>
      <c r="Q28">
        <v>5</v>
      </c>
      <c r="R28">
        <v>30</v>
      </c>
      <c r="S28">
        <v>110</v>
      </c>
      <c r="T28">
        <v>70</v>
      </c>
      <c r="U28">
        <v>30</v>
      </c>
    </row>
    <row r="29" spans="1:33">
      <c r="A29" s="9" t="s">
        <v>149</v>
      </c>
      <c r="B29" t="s">
        <v>149</v>
      </c>
      <c r="F29" t="b">
        <f t="shared" si="0"/>
        <v>1</v>
      </c>
      <c r="M29">
        <v>2</v>
      </c>
      <c r="N29">
        <v>20</v>
      </c>
      <c r="O29">
        <v>10</v>
      </c>
      <c r="P29">
        <v>4</v>
      </c>
      <c r="Q29">
        <v>5</v>
      </c>
      <c r="R29">
        <v>30</v>
      </c>
      <c r="S29">
        <v>80</v>
      </c>
      <c r="T29">
        <v>70</v>
      </c>
      <c r="U29">
        <v>20</v>
      </c>
    </row>
    <row r="30" spans="1:33">
      <c r="A30" t="s">
        <v>150</v>
      </c>
      <c r="B30" t="s">
        <v>150</v>
      </c>
      <c r="F30" t="b">
        <f t="shared" si="0"/>
        <v>1</v>
      </c>
      <c r="M30">
        <v>2</v>
      </c>
      <c r="N30">
        <v>20</v>
      </c>
      <c r="O30">
        <v>10</v>
      </c>
      <c r="P30">
        <v>4</v>
      </c>
      <c r="Q30">
        <v>5</v>
      </c>
      <c r="R30">
        <v>30</v>
      </c>
      <c r="S30">
        <v>90</v>
      </c>
      <c r="T30">
        <v>55</v>
      </c>
      <c r="U30">
        <v>30</v>
      </c>
    </row>
    <row r="31" spans="1:33">
      <c r="A31" t="s">
        <v>151</v>
      </c>
      <c r="B31" t="s">
        <v>151</v>
      </c>
      <c r="F31" t="b">
        <f t="shared" si="0"/>
        <v>1</v>
      </c>
      <c r="M31">
        <v>2</v>
      </c>
      <c r="N31">
        <v>20</v>
      </c>
      <c r="O31">
        <v>10</v>
      </c>
      <c r="P31">
        <v>4</v>
      </c>
      <c r="Q31">
        <v>5</v>
      </c>
      <c r="R31">
        <v>30</v>
      </c>
      <c r="S31">
        <v>100</v>
      </c>
      <c r="T31">
        <v>40</v>
      </c>
      <c r="U31">
        <v>25</v>
      </c>
    </row>
    <row r="32" spans="1:33">
      <c r="A32" s="9" t="s">
        <v>171</v>
      </c>
      <c r="B32" t="s">
        <v>171</v>
      </c>
      <c r="F32" t="b">
        <f t="shared" si="0"/>
        <v>1</v>
      </c>
      <c r="M32">
        <v>2</v>
      </c>
      <c r="N32">
        <v>20</v>
      </c>
      <c r="O32">
        <v>10</v>
      </c>
      <c r="P32">
        <v>4</v>
      </c>
      <c r="Q32">
        <v>5</v>
      </c>
      <c r="R32">
        <v>30</v>
      </c>
      <c r="S32">
        <v>120</v>
      </c>
      <c r="T32">
        <v>25</v>
      </c>
      <c r="U32">
        <v>30</v>
      </c>
    </row>
    <row r="33" spans="1:21">
      <c r="A33" t="s">
        <v>172</v>
      </c>
      <c r="B33" t="s">
        <v>172</v>
      </c>
      <c r="C33" s="26"/>
      <c r="D33" s="26"/>
      <c r="E33" s="26"/>
      <c r="F33" t="b">
        <f t="shared" si="0"/>
        <v>1</v>
      </c>
      <c r="M33">
        <v>2</v>
      </c>
      <c r="N33">
        <v>20</v>
      </c>
      <c r="O33">
        <v>10</v>
      </c>
      <c r="P33">
        <v>4</v>
      </c>
      <c r="Q33">
        <v>5</v>
      </c>
      <c r="R33">
        <v>30</v>
      </c>
      <c r="S33">
        <v>90</v>
      </c>
      <c r="T33">
        <v>25</v>
      </c>
      <c r="U33">
        <v>30</v>
      </c>
    </row>
    <row r="34" spans="1:21">
      <c r="A34" s="9" t="s">
        <v>173</v>
      </c>
      <c r="B34" t="s">
        <v>173</v>
      </c>
      <c r="F34" t="b">
        <f t="shared" si="0"/>
        <v>1</v>
      </c>
      <c r="M34">
        <v>3</v>
      </c>
      <c r="N34">
        <v>20</v>
      </c>
      <c r="O34">
        <v>10</v>
      </c>
      <c r="P34">
        <v>7</v>
      </c>
      <c r="Q34">
        <v>5</v>
      </c>
      <c r="R34">
        <v>30</v>
      </c>
      <c r="S34">
        <v>120</v>
      </c>
      <c r="T34">
        <v>85</v>
      </c>
      <c r="U34">
        <v>25</v>
      </c>
    </row>
    <row r="35" spans="1:21">
      <c r="A35" t="s">
        <v>174</v>
      </c>
      <c r="B35" t="s">
        <v>174</v>
      </c>
      <c r="F35" t="b">
        <f t="shared" si="0"/>
        <v>1</v>
      </c>
      <c r="M35">
        <v>3</v>
      </c>
      <c r="N35">
        <v>20</v>
      </c>
      <c r="O35">
        <v>10</v>
      </c>
      <c r="P35">
        <v>7</v>
      </c>
      <c r="Q35">
        <v>5</v>
      </c>
      <c r="R35">
        <v>30</v>
      </c>
      <c r="S35">
        <v>90</v>
      </c>
      <c r="T35">
        <v>85</v>
      </c>
      <c r="U35">
        <v>25</v>
      </c>
    </row>
    <row r="36" spans="1:21">
      <c r="A36" s="9" t="s">
        <v>175</v>
      </c>
      <c r="B36" t="s">
        <v>175</v>
      </c>
      <c r="F36" t="b">
        <f t="shared" si="0"/>
        <v>1</v>
      </c>
      <c r="M36">
        <v>3</v>
      </c>
      <c r="N36">
        <v>20</v>
      </c>
      <c r="O36">
        <v>10</v>
      </c>
      <c r="P36">
        <v>7</v>
      </c>
      <c r="Q36">
        <v>5</v>
      </c>
      <c r="R36">
        <v>30</v>
      </c>
      <c r="S36">
        <v>110</v>
      </c>
      <c r="T36">
        <v>70</v>
      </c>
      <c r="U36">
        <v>10</v>
      </c>
    </row>
    <row r="37" spans="1:21">
      <c r="A37" t="s">
        <v>180</v>
      </c>
      <c r="B37" t="s">
        <v>180</v>
      </c>
      <c r="F37" t="b">
        <f t="shared" si="0"/>
        <v>1</v>
      </c>
      <c r="M37">
        <v>3</v>
      </c>
      <c r="N37">
        <v>20</v>
      </c>
      <c r="O37">
        <v>10</v>
      </c>
      <c r="P37">
        <v>7</v>
      </c>
      <c r="Q37">
        <v>5</v>
      </c>
      <c r="R37">
        <v>30</v>
      </c>
      <c r="S37">
        <v>120</v>
      </c>
      <c r="T37">
        <v>55</v>
      </c>
      <c r="U37">
        <v>10</v>
      </c>
    </row>
    <row r="38" spans="1:21">
      <c r="A38" s="9" t="s">
        <v>181</v>
      </c>
      <c r="B38" t="s">
        <v>181</v>
      </c>
      <c r="F38" t="b">
        <f t="shared" si="0"/>
        <v>1</v>
      </c>
      <c r="M38">
        <v>3</v>
      </c>
      <c r="N38">
        <v>20</v>
      </c>
      <c r="O38">
        <v>10</v>
      </c>
      <c r="P38">
        <v>7</v>
      </c>
      <c r="Q38">
        <v>5</v>
      </c>
      <c r="R38">
        <v>30</v>
      </c>
      <c r="S38">
        <v>100</v>
      </c>
      <c r="T38">
        <v>55</v>
      </c>
      <c r="U38">
        <v>15</v>
      </c>
    </row>
    <row r="39" spans="1:21">
      <c r="A39" t="s">
        <v>182</v>
      </c>
      <c r="B39" t="s">
        <v>182</v>
      </c>
      <c r="F39" t="b">
        <f t="shared" si="0"/>
        <v>1</v>
      </c>
      <c r="M39">
        <v>3</v>
      </c>
      <c r="N39">
        <v>20</v>
      </c>
      <c r="O39">
        <v>10</v>
      </c>
      <c r="P39">
        <v>7</v>
      </c>
      <c r="Q39">
        <v>5</v>
      </c>
      <c r="R39">
        <v>30</v>
      </c>
      <c r="S39">
        <v>120</v>
      </c>
      <c r="T39">
        <v>40</v>
      </c>
      <c r="U39">
        <v>25</v>
      </c>
    </row>
    <row r="40" spans="1:21">
      <c r="A40" t="s">
        <v>183</v>
      </c>
      <c r="B40" t="s">
        <v>183</v>
      </c>
      <c r="F40" t="b">
        <f t="shared" si="0"/>
        <v>1</v>
      </c>
      <c r="M40">
        <v>3</v>
      </c>
      <c r="N40">
        <v>20</v>
      </c>
      <c r="O40">
        <v>10</v>
      </c>
      <c r="P40">
        <v>7</v>
      </c>
      <c r="Q40">
        <v>5</v>
      </c>
      <c r="R40">
        <v>30</v>
      </c>
      <c r="S40">
        <v>90</v>
      </c>
      <c r="T40">
        <v>40</v>
      </c>
      <c r="U40">
        <v>15</v>
      </c>
    </row>
    <row r="41" spans="1:21">
      <c r="A41" t="s">
        <v>184</v>
      </c>
      <c r="B41" t="s">
        <v>184</v>
      </c>
      <c r="F41" t="b">
        <f t="shared" si="0"/>
        <v>1</v>
      </c>
      <c r="M41">
        <v>3</v>
      </c>
      <c r="N41">
        <v>20</v>
      </c>
      <c r="O41">
        <v>10</v>
      </c>
      <c r="P41">
        <v>7</v>
      </c>
      <c r="Q41">
        <v>5</v>
      </c>
      <c r="R41">
        <v>30</v>
      </c>
      <c r="S41">
        <v>110</v>
      </c>
      <c r="T41">
        <v>25</v>
      </c>
      <c r="U41">
        <v>30</v>
      </c>
    </row>
    <row r="42" spans="1:21">
      <c r="A42" t="s">
        <v>127</v>
      </c>
      <c r="B42" t="s">
        <v>127</v>
      </c>
      <c r="F42" t="b">
        <f t="shared" si="0"/>
        <v>1</v>
      </c>
      <c r="M42">
        <v>3</v>
      </c>
      <c r="N42">
        <v>20</v>
      </c>
      <c r="O42">
        <v>10</v>
      </c>
      <c r="P42">
        <v>7</v>
      </c>
      <c r="Q42">
        <v>5</v>
      </c>
      <c r="R42">
        <v>30</v>
      </c>
      <c r="S42">
        <v>100</v>
      </c>
      <c r="T42">
        <v>25</v>
      </c>
      <c r="U42">
        <v>25</v>
      </c>
    </row>
    <row r="43" spans="1:21">
      <c r="A43" t="s">
        <v>128</v>
      </c>
      <c r="B43" t="s">
        <v>128</v>
      </c>
      <c r="C43" s="26"/>
      <c r="D43" s="26"/>
      <c r="E43" s="26"/>
      <c r="F43" t="b">
        <f t="shared" si="0"/>
        <v>1</v>
      </c>
      <c r="M43">
        <v>3</v>
      </c>
      <c r="N43">
        <v>20</v>
      </c>
      <c r="O43">
        <v>10</v>
      </c>
      <c r="P43">
        <v>7</v>
      </c>
      <c r="Q43">
        <v>5</v>
      </c>
      <c r="R43">
        <v>30</v>
      </c>
      <c r="S43">
        <v>80</v>
      </c>
      <c r="T43">
        <v>25</v>
      </c>
      <c r="U43">
        <v>10</v>
      </c>
    </row>
    <row r="44" spans="1:21">
      <c r="A44" t="s">
        <v>129</v>
      </c>
      <c r="B44" t="s">
        <v>129</v>
      </c>
      <c r="F44" t="b">
        <f t="shared" si="0"/>
        <v>1</v>
      </c>
      <c r="M44">
        <v>3</v>
      </c>
      <c r="N44">
        <v>20</v>
      </c>
      <c r="O44">
        <v>10</v>
      </c>
      <c r="P44">
        <v>7</v>
      </c>
      <c r="Q44">
        <v>5</v>
      </c>
      <c r="R44">
        <v>20</v>
      </c>
      <c r="S44">
        <v>100</v>
      </c>
      <c r="T44">
        <v>85</v>
      </c>
      <c r="U44">
        <v>25</v>
      </c>
    </row>
    <row r="45" spans="1:21">
      <c r="A45" t="s">
        <v>130</v>
      </c>
      <c r="B45" t="s">
        <v>130</v>
      </c>
      <c r="F45" t="b">
        <f t="shared" si="0"/>
        <v>1</v>
      </c>
      <c r="M45">
        <v>3</v>
      </c>
      <c r="N45">
        <v>20</v>
      </c>
      <c r="O45">
        <v>10</v>
      </c>
      <c r="P45">
        <v>7</v>
      </c>
      <c r="Q45">
        <v>5</v>
      </c>
      <c r="R45">
        <v>20</v>
      </c>
      <c r="S45">
        <v>120</v>
      </c>
      <c r="T45">
        <v>70</v>
      </c>
      <c r="U45">
        <v>30</v>
      </c>
    </row>
    <row r="46" spans="1:21">
      <c r="A46" s="9" t="s">
        <v>131</v>
      </c>
      <c r="B46" t="s">
        <v>131</v>
      </c>
      <c r="F46" t="b">
        <f t="shared" si="0"/>
        <v>1</v>
      </c>
      <c r="M46">
        <v>3</v>
      </c>
      <c r="N46">
        <v>20</v>
      </c>
      <c r="O46">
        <v>10</v>
      </c>
      <c r="P46">
        <v>7</v>
      </c>
      <c r="Q46">
        <v>5</v>
      </c>
      <c r="R46">
        <v>20</v>
      </c>
      <c r="S46">
        <v>100</v>
      </c>
      <c r="T46">
        <v>70</v>
      </c>
      <c r="U46">
        <v>15</v>
      </c>
    </row>
    <row r="47" spans="1:21">
      <c r="A47" t="s">
        <v>152</v>
      </c>
      <c r="B47" t="s">
        <v>152</v>
      </c>
      <c r="F47" t="b">
        <f t="shared" si="0"/>
        <v>1</v>
      </c>
      <c r="M47">
        <v>3</v>
      </c>
      <c r="N47">
        <v>20</v>
      </c>
      <c r="O47">
        <v>10</v>
      </c>
      <c r="P47">
        <v>7</v>
      </c>
      <c r="Q47">
        <v>5</v>
      </c>
      <c r="R47">
        <v>20</v>
      </c>
      <c r="S47">
        <v>120</v>
      </c>
      <c r="T47">
        <v>55</v>
      </c>
      <c r="U47">
        <v>20</v>
      </c>
    </row>
    <row r="48" spans="1:21">
      <c r="A48" t="s">
        <v>153</v>
      </c>
      <c r="B48" t="s">
        <v>153</v>
      </c>
      <c r="F48" t="b">
        <f t="shared" si="0"/>
        <v>1</v>
      </c>
      <c r="M48">
        <v>3</v>
      </c>
      <c r="N48">
        <v>20</v>
      </c>
      <c r="O48">
        <v>10</v>
      </c>
      <c r="P48">
        <v>7</v>
      </c>
      <c r="Q48">
        <v>5</v>
      </c>
      <c r="R48">
        <v>20</v>
      </c>
      <c r="S48">
        <v>110</v>
      </c>
      <c r="T48">
        <v>55</v>
      </c>
      <c r="U48">
        <v>25</v>
      </c>
    </row>
    <row r="49" spans="1:21">
      <c r="A49" t="s">
        <v>154</v>
      </c>
      <c r="B49" t="s">
        <v>154</v>
      </c>
      <c r="F49" t="b">
        <f t="shared" si="0"/>
        <v>1</v>
      </c>
      <c r="M49">
        <v>3</v>
      </c>
      <c r="N49">
        <v>20</v>
      </c>
      <c r="O49">
        <v>10</v>
      </c>
      <c r="P49">
        <v>7</v>
      </c>
      <c r="Q49">
        <v>5</v>
      </c>
      <c r="R49">
        <v>20</v>
      </c>
      <c r="S49">
        <v>90</v>
      </c>
      <c r="T49">
        <v>55</v>
      </c>
      <c r="U49">
        <v>20</v>
      </c>
    </row>
    <row r="50" spans="1:21">
      <c r="A50" t="s">
        <v>155</v>
      </c>
      <c r="B50" t="s">
        <v>155</v>
      </c>
      <c r="F50" t="b">
        <f t="shared" si="0"/>
        <v>1</v>
      </c>
      <c r="M50">
        <v>3</v>
      </c>
      <c r="N50">
        <v>20</v>
      </c>
      <c r="O50">
        <v>10</v>
      </c>
      <c r="P50">
        <v>7</v>
      </c>
      <c r="Q50">
        <v>5</v>
      </c>
      <c r="R50">
        <v>20</v>
      </c>
      <c r="S50">
        <v>110</v>
      </c>
      <c r="T50">
        <v>40</v>
      </c>
      <c r="U50">
        <v>15</v>
      </c>
    </row>
    <row r="51" spans="1:21">
      <c r="A51" s="9" t="s">
        <v>132</v>
      </c>
      <c r="B51" t="s">
        <v>132</v>
      </c>
      <c r="F51" t="b">
        <f t="shared" si="0"/>
        <v>1</v>
      </c>
      <c r="M51">
        <v>3</v>
      </c>
      <c r="N51">
        <v>20</v>
      </c>
      <c r="O51">
        <v>10</v>
      </c>
      <c r="P51">
        <v>7</v>
      </c>
      <c r="Q51">
        <v>5</v>
      </c>
      <c r="R51">
        <v>20</v>
      </c>
      <c r="S51">
        <v>100</v>
      </c>
      <c r="T51">
        <v>40</v>
      </c>
      <c r="U51">
        <v>20</v>
      </c>
    </row>
    <row r="52" spans="1:21">
      <c r="A52" t="s">
        <v>133</v>
      </c>
      <c r="B52" t="s">
        <v>133</v>
      </c>
      <c r="F52" t="b">
        <f t="shared" si="0"/>
        <v>1</v>
      </c>
      <c r="M52">
        <v>3</v>
      </c>
      <c r="N52">
        <v>20</v>
      </c>
      <c r="O52">
        <v>10</v>
      </c>
      <c r="P52">
        <v>7</v>
      </c>
      <c r="Q52">
        <v>5</v>
      </c>
      <c r="R52">
        <v>20</v>
      </c>
      <c r="S52">
        <v>120</v>
      </c>
      <c r="T52">
        <v>25</v>
      </c>
      <c r="U52">
        <v>15</v>
      </c>
    </row>
    <row r="53" spans="1:21">
      <c r="A53" t="s">
        <v>134</v>
      </c>
      <c r="B53" t="s">
        <v>134</v>
      </c>
      <c r="C53" s="25"/>
      <c r="D53" s="25"/>
      <c r="E53" s="25"/>
      <c r="F53" t="b">
        <f t="shared" si="0"/>
        <v>1</v>
      </c>
      <c r="M53">
        <v>3</v>
      </c>
      <c r="N53">
        <v>20</v>
      </c>
      <c r="O53">
        <v>10</v>
      </c>
      <c r="P53">
        <v>7</v>
      </c>
      <c r="Q53">
        <v>5</v>
      </c>
      <c r="R53">
        <v>20</v>
      </c>
      <c r="S53">
        <v>110</v>
      </c>
      <c r="T53">
        <v>25</v>
      </c>
      <c r="U53">
        <v>30</v>
      </c>
    </row>
    <row r="54" spans="1:21">
      <c r="A54" t="s">
        <v>135</v>
      </c>
      <c r="B54" t="s">
        <v>135</v>
      </c>
      <c r="C54" s="24"/>
      <c r="D54" s="24"/>
      <c r="E54" s="24"/>
      <c r="F54" t="b">
        <f t="shared" si="0"/>
        <v>1</v>
      </c>
      <c r="M54">
        <v>3</v>
      </c>
      <c r="N54">
        <v>20</v>
      </c>
      <c r="O54">
        <v>10</v>
      </c>
      <c r="P54">
        <v>7</v>
      </c>
      <c r="Q54">
        <v>5</v>
      </c>
      <c r="R54">
        <v>20</v>
      </c>
      <c r="S54">
        <v>80</v>
      </c>
      <c r="T54">
        <v>25</v>
      </c>
      <c r="U54">
        <v>15</v>
      </c>
    </row>
    <row r="55" spans="1:21">
      <c r="A55" t="s">
        <v>136</v>
      </c>
      <c r="B55" t="s">
        <v>136</v>
      </c>
      <c r="F55" t="b">
        <f t="shared" si="0"/>
        <v>1</v>
      </c>
      <c r="M55">
        <v>3</v>
      </c>
      <c r="N55">
        <v>20</v>
      </c>
      <c r="O55">
        <v>10</v>
      </c>
      <c r="P55">
        <v>4</v>
      </c>
      <c r="Q55">
        <v>5</v>
      </c>
      <c r="R55">
        <v>30</v>
      </c>
      <c r="S55">
        <v>120</v>
      </c>
      <c r="T55">
        <v>85</v>
      </c>
      <c r="U55">
        <v>30</v>
      </c>
    </row>
    <row r="56" spans="1:21">
      <c r="A56" t="s">
        <v>156</v>
      </c>
      <c r="B56" t="s">
        <v>156</v>
      </c>
      <c r="F56" t="b">
        <f t="shared" si="0"/>
        <v>1</v>
      </c>
      <c r="M56">
        <v>3</v>
      </c>
      <c r="N56">
        <v>20</v>
      </c>
      <c r="O56">
        <v>10</v>
      </c>
      <c r="P56">
        <v>4</v>
      </c>
      <c r="Q56">
        <v>5</v>
      </c>
      <c r="R56">
        <v>30</v>
      </c>
      <c r="S56">
        <v>100</v>
      </c>
      <c r="T56">
        <v>85</v>
      </c>
      <c r="U56">
        <v>30</v>
      </c>
    </row>
    <row r="57" spans="1:21">
      <c r="A57" t="s">
        <v>157</v>
      </c>
      <c r="B57" t="s">
        <v>157</v>
      </c>
      <c r="F57" t="b">
        <f t="shared" si="0"/>
        <v>1</v>
      </c>
      <c r="M57">
        <v>3</v>
      </c>
      <c r="N57">
        <v>20</v>
      </c>
      <c r="O57">
        <v>10</v>
      </c>
      <c r="P57">
        <v>4</v>
      </c>
      <c r="Q57">
        <v>5</v>
      </c>
      <c r="R57">
        <v>30</v>
      </c>
      <c r="S57">
        <v>120</v>
      </c>
      <c r="T57">
        <v>70</v>
      </c>
      <c r="U57">
        <v>30</v>
      </c>
    </row>
    <row r="58" spans="1:21">
      <c r="A58" s="9" t="s">
        <v>158</v>
      </c>
      <c r="B58" t="s">
        <v>158</v>
      </c>
      <c r="F58" t="b">
        <f t="shared" si="0"/>
        <v>1</v>
      </c>
      <c r="M58">
        <v>3</v>
      </c>
      <c r="N58">
        <v>20</v>
      </c>
      <c r="O58">
        <v>10</v>
      </c>
      <c r="P58">
        <v>4</v>
      </c>
      <c r="Q58">
        <v>5</v>
      </c>
      <c r="R58">
        <v>30</v>
      </c>
      <c r="S58">
        <v>110</v>
      </c>
      <c r="T58">
        <v>70</v>
      </c>
      <c r="U58">
        <v>30</v>
      </c>
    </row>
    <row r="59" spans="1:21">
      <c r="A59" s="9" t="s">
        <v>159</v>
      </c>
      <c r="B59" t="s">
        <v>159</v>
      </c>
      <c r="C59" s="25"/>
      <c r="D59" s="25"/>
      <c r="E59" s="25"/>
      <c r="F59" t="b">
        <f t="shared" si="0"/>
        <v>1</v>
      </c>
      <c r="M59">
        <v>3</v>
      </c>
      <c r="N59">
        <v>20</v>
      </c>
      <c r="O59">
        <v>10</v>
      </c>
      <c r="P59">
        <v>4</v>
      </c>
      <c r="Q59">
        <v>5</v>
      </c>
      <c r="R59">
        <v>30</v>
      </c>
      <c r="S59">
        <v>80</v>
      </c>
      <c r="T59">
        <v>70</v>
      </c>
      <c r="U59">
        <v>20</v>
      </c>
    </row>
    <row r="60" spans="1:21">
      <c r="A60" t="s">
        <v>160</v>
      </c>
      <c r="B60" t="s">
        <v>160</v>
      </c>
      <c r="F60" t="b">
        <f t="shared" si="0"/>
        <v>1</v>
      </c>
      <c r="M60">
        <v>3</v>
      </c>
      <c r="N60">
        <v>20</v>
      </c>
      <c r="O60">
        <v>10</v>
      </c>
      <c r="P60">
        <v>4</v>
      </c>
      <c r="Q60">
        <v>5</v>
      </c>
      <c r="R60">
        <v>30</v>
      </c>
      <c r="S60">
        <v>90</v>
      </c>
      <c r="T60">
        <v>55</v>
      </c>
      <c r="U60">
        <v>30</v>
      </c>
    </row>
    <row r="61" spans="1:21">
      <c r="C61" s="25"/>
      <c r="D61" s="25"/>
      <c r="E61" s="25"/>
      <c r="F61" t="b">
        <f t="shared" si="0"/>
        <v>1</v>
      </c>
      <c r="M61">
        <v>3</v>
      </c>
      <c r="N61">
        <v>20</v>
      </c>
      <c r="O61">
        <v>10</v>
      </c>
      <c r="P61">
        <v>4</v>
      </c>
      <c r="Q61">
        <v>5</v>
      </c>
      <c r="R61">
        <v>30</v>
      </c>
      <c r="S61">
        <v>100</v>
      </c>
      <c r="T61">
        <v>40</v>
      </c>
      <c r="U61">
        <v>25</v>
      </c>
    </row>
    <row r="62" spans="1:21">
      <c r="F62" t="b">
        <f t="shared" si="0"/>
        <v>1</v>
      </c>
      <c r="M62">
        <v>3</v>
      </c>
      <c r="N62">
        <v>20</v>
      </c>
      <c r="O62">
        <v>10</v>
      </c>
      <c r="P62">
        <v>4</v>
      </c>
      <c r="Q62">
        <v>5</v>
      </c>
      <c r="R62">
        <v>30</v>
      </c>
      <c r="S62">
        <v>120</v>
      </c>
      <c r="T62">
        <v>25</v>
      </c>
      <c r="U62">
        <v>30</v>
      </c>
    </row>
    <row r="63" spans="1:21">
      <c r="C63" s="26"/>
      <c r="D63" s="9"/>
      <c r="E63" s="9"/>
      <c r="F63" t="b">
        <f t="shared" si="0"/>
        <v>1</v>
      </c>
      <c r="M63">
        <v>3</v>
      </c>
      <c r="N63">
        <v>20</v>
      </c>
      <c r="O63">
        <v>10</v>
      </c>
      <c r="P63">
        <v>4</v>
      </c>
      <c r="Q63">
        <v>5</v>
      </c>
      <c r="R63">
        <v>30</v>
      </c>
      <c r="S63">
        <v>90</v>
      </c>
      <c r="T63">
        <v>25</v>
      </c>
      <c r="U63">
        <v>30</v>
      </c>
    </row>
    <row r="64" spans="1:21">
      <c r="F64" t="b">
        <f t="shared" si="0"/>
        <v>1</v>
      </c>
      <c r="M64">
        <v>4</v>
      </c>
      <c r="N64">
        <v>20</v>
      </c>
      <c r="O64">
        <v>10</v>
      </c>
      <c r="P64">
        <v>7</v>
      </c>
      <c r="Q64">
        <v>5</v>
      </c>
      <c r="R64">
        <v>30</v>
      </c>
      <c r="S64">
        <v>90</v>
      </c>
      <c r="T64">
        <v>85</v>
      </c>
      <c r="U64">
        <v>25</v>
      </c>
    </row>
    <row r="65" spans="1:21">
      <c r="F65" t="b">
        <f t="shared" si="0"/>
        <v>1</v>
      </c>
      <c r="M65">
        <v>4</v>
      </c>
      <c r="N65">
        <v>20</v>
      </c>
      <c r="O65">
        <v>10</v>
      </c>
      <c r="P65">
        <v>7</v>
      </c>
      <c r="Q65">
        <v>5</v>
      </c>
      <c r="R65">
        <v>30</v>
      </c>
      <c r="S65">
        <v>120</v>
      </c>
      <c r="T65">
        <v>55</v>
      </c>
      <c r="U65">
        <v>10</v>
      </c>
    </row>
    <row r="66" spans="1:21">
      <c r="C66" s="26"/>
      <c r="D66" s="9"/>
      <c r="E66" s="9"/>
      <c r="F66" t="b">
        <f t="shared" si="0"/>
        <v>1</v>
      </c>
      <c r="M66">
        <v>4</v>
      </c>
      <c r="N66">
        <v>20</v>
      </c>
      <c r="O66">
        <v>10</v>
      </c>
      <c r="P66">
        <v>7</v>
      </c>
      <c r="Q66">
        <v>5</v>
      </c>
      <c r="R66">
        <v>30</v>
      </c>
      <c r="S66">
        <v>120</v>
      </c>
      <c r="T66">
        <v>40</v>
      </c>
      <c r="U66">
        <v>25</v>
      </c>
    </row>
    <row r="67" spans="1:21">
      <c r="F67" t="b">
        <f t="shared" si="0"/>
        <v>1</v>
      </c>
      <c r="M67">
        <v>4</v>
      </c>
      <c r="N67">
        <v>20</v>
      </c>
      <c r="O67">
        <v>10</v>
      </c>
      <c r="P67">
        <v>7</v>
      </c>
      <c r="Q67">
        <v>5</v>
      </c>
      <c r="R67">
        <v>30</v>
      </c>
      <c r="S67">
        <v>110</v>
      </c>
      <c r="T67">
        <v>25</v>
      </c>
      <c r="U67">
        <v>30</v>
      </c>
    </row>
    <row r="68" spans="1:21">
      <c r="F68" t="b">
        <f t="shared" ref="F68:F127" si="11">A68=B68</f>
        <v>1</v>
      </c>
      <c r="M68">
        <v>4</v>
      </c>
      <c r="N68">
        <v>20</v>
      </c>
      <c r="O68">
        <v>10</v>
      </c>
      <c r="P68">
        <v>7</v>
      </c>
      <c r="Q68">
        <v>5</v>
      </c>
      <c r="R68">
        <v>30</v>
      </c>
      <c r="S68">
        <v>100</v>
      </c>
      <c r="T68">
        <v>25</v>
      </c>
      <c r="U68">
        <v>25</v>
      </c>
    </row>
    <row r="69" spans="1:21">
      <c r="F69" t="b">
        <f t="shared" si="11"/>
        <v>1</v>
      </c>
      <c r="M69">
        <v>4</v>
      </c>
      <c r="N69">
        <v>20</v>
      </c>
      <c r="O69">
        <v>10</v>
      </c>
      <c r="P69">
        <v>7</v>
      </c>
      <c r="Q69">
        <v>5</v>
      </c>
      <c r="R69">
        <v>20</v>
      </c>
      <c r="S69">
        <v>120</v>
      </c>
      <c r="T69">
        <v>55</v>
      </c>
      <c r="U69">
        <v>20</v>
      </c>
    </row>
    <row r="70" spans="1:21">
      <c r="F70" t="b">
        <f t="shared" si="11"/>
        <v>1</v>
      </c>
      <c r="M70">
        <v>4</v>
      </c>
      <c r="N70">
        <v>20</v>
      </c>
      <c r="O70">
        <v>10</v>
      </c>
      <c r="P70">
        <v>7</v>
      </c>
      <c r="Q70">
        <v>5</v>
      </c>
      <c r="R70">
        <v>20</v>
      </c>
      <c r="S70">
        <v>110</v>
      </c>
      <c r="T70">
        <v>40</v>
      </c>
      <c r="U70">
        <v>15</v>
      </c>
    </row>
    <row r="71" spans="1:21">
      <c r="F71" t="b">
        <f t="shared" si="11"/>
        <v>1</v>
      </c>
      <c r="M71">
        <v>4</v>
      </c>
      <c r="N71">
        <v>20</v>
      </c>
      <c r="O71">
        <v>10</v>
      </c>
      <c r="P71">
        <v>7</v>
      </c>
      <c r="Q71">
        <v>5</v>
      </c>
      <c r="R71">
        <v>20</v>
      </c>
      <c r="S71">
        <v>100</v>
      </c>
      <c r="T71">
        <v>40</v>
      </c>
      <c r="U71">
        <v>20</v>
      </c>
    </row>
    <row r="72" spans="1:21">
      <c r="F72" t="b">
        <f t="shared" si="11"/>
        <v>1</v>
      </c>
      <c r="M72">
        <v>4</v>
      </c>
      <c r="N72">
        <v>20</v>
      </c>
      <c r="O72">
        <v>10</v>
      </c>
      <c r="P72">
        <v>7</v>
      </c>
      <c r="Q72">
        <v>5</v>
      </c>
      <c r="R72">
        <v>20</v>
      </c>
      <c r="S72">
        <v>120</v>
      </c>
      <c r="T72">
        <v>25</v>
      </c>
      <c r="U72">
        <v>15</v>
      </c>
    </row>
    <row r="73" spans="1:21">
      <c r="C73" s="25"/>
      <c r="D73" s="25"/>
      <c r="E73" s="25"/>
      <c r="F73" t="b">
        <f t="shared" si="11"/>
        <v>1</v>
      </c>
      <c r="M73">
        <v>4</v>
      </c>
      <c r="N73">
        <v>20</v>
      </c>
      <c r="O73">
        <v>10</v>
      </c>
      <c r="P73">
        <v>7</v>
      </c>
      <c r="Q73">
        <v>5</v>
      </c>
      <c r="R73">
        <v>20</v>
      </c>
      <c r="S73">
        <v>110</v>
      </c>
      <c r="T73">
        <v>25</v>
      </c>
      <c r="U73">
        <v>30</v>
      </c>
    </row>
    <row r="74" spans="1:21">
      <c r="F74" t="b">
        <f t="shared" si="11"/>
        <v>1</v>
      </c>
      <c r="M74">
        <v>4</v>
      </c>
      <c r="N74">
        <v>20</v>
      </c>
      <c r="O74">
        <v>10</v>
      </c>
      <c r="P74">
        <v>4</v>
      </c>
      <c r="Q74">
        <v>5</v>
      </c>
      <c r="R74">
        <v>30</v>
      </c>
      <c r="S74">
        <v>100</v>
      </c>
      <c r="T74">
        <v>40</v>
      </c>
      <c r="U74">
        <v>25</v>
      </c>
    </row>
    <row r="75" spans="1:21">
      <c r="C75" s="25"/>
      <c r="D75" s="25"/>
      <c r="E75" s="25"/>
      <c r="F75" t="b">
        <f t="shared" si="11"/>
        <v>1</v>
      </c>
      <c r="M75">
        <v>4</v>
      </c>
      <c r="N75">
        <v>20</v>
      </c>
      <c r="O75">
        <v>10</v>
      </c>
      <c r="P75">
        <v>4</v>
      </c>
      <c r="Q75">
        <v>5</v>
      </c>
      <c r="R75">
        <v>30</v>
      </c>
      <c r="S75">
        <v>120</v>
      </c>
      <c r="T75">
        <v>25</v>
      </c>
      <c r="U75">
        <v>30</v>
      </c>
    </row>
    <row r="76" spans="1:21">
      <c r="F76" t="b">
        <f t="shared" si="11"/>
        <v>1</v>
      </c>
      <c r="M76">
        <v>4</v>
      </c>
      <c r="N76">
        <v>20</v>
      </c>
      <c r="O76">
        <v>10</v>
      </c>
      <c r="P76">
        <v>4</v>
      </c>
      <c r="Q76">
        <v>5</v>
      </c>
      <c r="R76">
        <v>20</v>
      </c>
      <c r="S76">
        <v>90</v>
      </c>
      <c r="T76">
        <v>85</v>
      </c>
      <c r="U76">
        <v>30</v>
      </c>
    </row>
    <row r="77" spans="1:21">
      <c r="F77" t="b">
        <f t="shared" si="11"/>
        <v>1</v>
      </c>
      <c r="M77">
        <v>4</v>
      </c>
      <c r="N77">
        <v>20</v>
      </c>
      <c r="O77">
        <v>10</v>
      </c>
      <c r="P77">
        <v>4</v>
      </c>
      <c r="Q77">
        <v>5</v>
      </c>
      <c r="R77">
        <v>20</v>
      </c>
      <c r="S77">
        <v>120</v>
      </c>
      <c r="T77">
        <v>55</v>
      </c>
      <c r="U77">
        <v>30</v>
      </c>
    </row>
    <row r="78" spans="1:21">
      <c r="A78" s="9"/>
      <c r="C78" s="24"/>
      <c r="D78" s="24"/>
      <c r="E78" s="24"/>
      <c r="F78" t="b">
        <f t="shared" si="11"/>
        <v>1</v>
      </c>
      <c r="M78">
        <v>4</v>
      </c>
      <c r="N78">
        <v>20</v>
      </c>
      <c r="O78">
        <v>10</v>
      </c>
      <c r="P78">
        <v>4</v>
      </c>
      <c r="Q78">
        <v>5</v>
      </c>
      <c r="R78">
        <v>20</v>
      </c>
      <c r="S78">
        <v>110</v>
      </c>
      <c r="T78">
        <v>25</v>
      </c>
      <c r="U78">
        <v>15</v>
      </c>
    </row>
    <row r="79" spans="1:21">
      <c r="C79" s="26"/>
      <c r="D79" s="26"/>
      <c r="E79" s="26"/>
      <c r="F79" t="b">
        <f t="shared" si="11"/>
        <v>1</v>
      </c>
      <c r="M79">
        <v>4</v>
      </c>
      <c r="N79">
        <v>20</v>
      </c>
      <c r="O79">
        <v>5</v>
      </c>
      <c r="P79">
        <v>7</v>
      </c>
      <c r="Q79">
        <v>5</v>
      </c>
      <c r="R79">
        <v>30</v>
      </c>
      <c r="S79">
        <v>120</v>
      </c>
      <c r="T79">
        <v>55</v>
      </c>
      <c r="U79">
        <v>15</v>
      </c>
    </row>
    <row r="80" spans="1:21">
      <c r="F80" t="b">
        <f t="shared" si="11"/>
        <v>1</v>
      </c>
      <c r="M80">
        <v>4</v>
      </c>
      <c r="N80">
        <v>20</v>
      </c>
      <c r="O80">
        <v>5</v>
      </c>
      <c r="P80">
        <v>7</v>
      </c>
      <c r="Q80">
        <v>5</v>
      </c>
      <c r="R80">
        <v>30</v>
      </c>
      <c r="S80">
        <v>120</v>
      </c>
      <c r="T80">
        <v>25</v>
      </c>
      <c r="U80">
        <v>25</v>
      </c>
    </row>
    <row r="81" spans="1:21">
      <c r="A81" s="9"/>
      <c r="F81" t="b">
        <f t="shared" si="11"/>
        <v>1</v>
      </c>
      <c r="M81">
        <v>4</v>
      </c>
      <c r="N81">
        <v>20</v>
      </c>
      <c r="O81">
        <v>5</v>
      </c>
      <c r="P81">
        <v>7</v>
      </c>
      <c r="Q81">
        <v>5</v>
      </c>
      <c r="R81">
        <v>20</v>
      </c>
      <c r="S81">
        <v>120</v>
      </c>
      <c r="T81">
        <v>55</v>
      </c>
      <c r="U81">
        <v>15</v>
      </c>
    </row>
    <row r="82" spans="1:21">
      <c r="A82" s="9"/>
      <c r="F82" t="b">
        <f t="shared" si="11"/>
        <v>1</v>
      </c>
      <c r="M82">
        <v>4</v>
      </c>
      <c r="N82">
        <v>20</v>
      </c>
      <c r="O82">
        <v>5</v>
      </c>
      <c r="P82">
        <v>7</v>
      </c>
      <c r="Q82">
        <v>5</v>
      </c>
      <c r="R82">
        <v>20</v>
      </c>
      <c r="S82">
        <v>120</v>
      </c>
      <c r="T82">
        <v>40</v>
      </c>
      <c r="U82">
        <v>15</v>
      </c>
    </row>
    <row r="83" spans="1:21">
      <c r="F83" t="b">
        <f t="shared" si="11"/>
        <v>1</v>
      </c>
      <c r="M83">
        <v>4</v>
      </c>
      <c r="N83">
        <v>20</v>
      </c>
      <c r="O83">
        <v>5</v>
      </c>
      <c r="P83">
        <v>7</v>
      </c>
      <c r="Q83">
        <v>5</v>
      </c>
      <c r="R83">
        <v>20</v>
      </c>
      <c r="S83">
        <v>120</v>
      </c>
      <c r="T83">
        <v>25</v>
      </c>
      <c r="U83">
        <v>15</v>
      </c>
    </row>
    <row r="84" spans="1:21">
      <c r="F84" t="b">
        <f t="shared" si="11"/>
        <v>1</v>
      </c>
      <c r="M84">
        <v>4</v>
      </c>
      <c r="N84">
        <v>20</v>
      </c>
      <c r="O84">
        <v>5</v>
      </c>
      <c r="P84">
        <v>4</v>
      </c>
      <c r="Q84">
        <v>5</v>
      </c>
      <c r="R84">
        <v>30</v>
      </c>
      <c r="S84">
        <v>120</v>
      </c>
      <c r="T84">
        <v>25</v>
      </c>
      <c r="U84">
        <v>15</v>
      </c>
    </row>
    <row r="85" spans="1:21">
      <c r="F85" t="b">
        <f t="shared" si="11"/>
        <v>1</v>
      </c>
      <c r="M85">
        <v>4</v>
      </c>
      <c r="N85">
        <v>20</v>
      </c>
      <c r="O85">
        <v>5</v>
      </c>
      <c r="P85">
        <v>4</v>
      </c>
      <c r="Q85">
        <v>5</v>
      </c>
      <c r="R85">
        <v>30</v>
      </c>
      <c r="S85">
        <v>100</v>
      </c>
      <c r="T85">
        <v>25</v>
      </c>
      <c r="U85">
        <v>15</v>
      </c>
    </row>
    <row r="86" spans="1:21">
      <c r="F86" t="b">
        <f t="shared" si="11"/>
        <v>1</v>
      </c>
      <c r="M86">
        <v>4</v>
      </c>
      <c r="N86">
        <v>20</v>
      </c>
      <c r="O86">
        <v>5</v>
      </c>
      <c r="P86">
        <v>4</v>
      </c>
      <c r="Q86">
        <v>5</v>
      </c>
      <c r="R86">
        <v>20</v>
      </c>
      <c r="S86">
        <v>90</v>
      </c>
      <c r="T86">
        <v>85</v>
      </c>
      <c r="U86">
        <v>10</v>
      </c>
    </row>
    <row r="87" spans="1:21">
      <c r="F87" t="b">
        <f t="shared" si="11"/>
        <v>1</v>
      </c>
      <c r="M87">
        <v>4</v>
      </c>
      <c r="N87">
        <v>20</v>
      </c>
      <c r="O87">
        <v>5</v>
      </c>
      <c r="P87">
        <v>4</v>
      </c>
      <c r="Q87">
        <v>5</v>
      </c>
      <c r="R87">
        <v>20</v>
      </c>
      <c r="S87">
        <v>120</v>
      </c>
      <c r="T87">
        <v>40</v>
      </c>
      <c r="U87">
        <v>15</v>
      </c>
    </row>
    <row r="88" spans="1:21">
      <c r="C88" s="24"/>
      <c r="D88" s="24"/>
      <c r="E88" s="24"/>
      <c r="F88" t="b">
        <f t="shared" si="11"/>
        <v>1</v>
      </c>
      <c r="M88">
        <v>4</v>
      </c>
      <c r="N88">
        <v>20</v>
      </c>
      <c r="O88">
        <v>5</v>
      </c>
      <c r="P88">
        <v>4</v>
      </c>
      <c r="Q88">
        <v>5</v>
      </c>
      <c r="R88">
        <v>20</v>
      </c>
      <c r="S88">
        <v>110</v>
      </c>
      <c r="T88">
        <v>25</v>
      </c>
      <c r="U88">
        <v>10</v>
      </c>
    </row>
    <row r="89" spans="1:21">
      <c r="F89" t="b">
        <f t="shared" si="11"/>
        <v>1</v>
      </c>
      <c r="M89">
        <v>4</v>
      </c>
      <c r="N89">
        <v>20</v>
      </c>
      <c r="O89">
        <v>10</v>
      </c>
      <c r="P89">
        <v>7</v>
      </c>
      <c r="Q89">
        <v>5</v>
      </c>
      <c r="R89">
        <v>30</v>
      </c>
      <c r="S89">
        <v>80</v>
      </c>
      <c r="T89">
        <v>85</v>
      </c>
      <c r="U89">
        <v>25</v>
      </c>
    </row>
    <row r="90" spans="1:21">
      <c r="F90" t="b">
        <f t="shared" si="11"/>
        <v>1</v>
      </c>
      <c r="M90">
        <v>4</v>
      </c>
      <c r="N90">
        <v>20</v>
      </c>
      <c r="O90">
        <v>10</v>
      </c>
      <c r="P90">
        <v>7</v>
      </c>
      <c r="Q90">
        <v>5</v>
      </c>
      <c r="R90">
        <v>30</v>
      </c>
      <c r="S90">
        <v>110</v>
      </c>
      <c r="T90">
        <v>40</v>
      </c>
      <c r="U90">
        <v>10</v>
      </c>
    </row>
    <row r="91" spans="1:21">
      <c r="F91" t="b">
        <f t="shared" si="11"/>
        <v>1</v>
      </c>
      <c r="M91">
        <v>4</v>
      </c>
      <c r="N91">
        <v>20</v>
      </c>
      <c r="O91">
        <v>10</v>
      </c>
      <c r="P91">
        <v>7</v>
      </c>
      <c r="Q91">
        <v>5</v>
      </c>
      <c r="R91">
        <v>30</v>
      </c>
      <c r="S91">
        <v>120</v>
      </c>
      <c r="T91">
        <v>25</v>
      </c>
      <c r="U91">
        <v>25</v>
      </c>
    </row>
    <row r="92" spans="1:21">
      <c r="F92" t="b">
        <f t="shared" si="11"/>
        <v>1</v>
      </c>
      <c r="M92">
        <v>4</v>
      </c>
      <c r="N92">
        <v>20</v>
      </c>
      <c r="O92">
        <v>10</v>
      </c>
      <c r="P92">
        <v>7</v>
      </c>
      <c r="Q92">
        <v>5</v>
      </c>
      <c r="R92">
        <v>20</v>
      </c>
      <c r="S92">
        <v>80</v>
      </c>
      <c r="T92">
        <v>85</v>
      </c>
      <c r="U92">
        <v>15</v>
      </c>
    </row>
    <row r="93" spans="1:21">
      <c r="F93" t="b">
        <f t="shared" si="11"/>
        <v>1</v>
      </c>
      <c r="M93">
        <v>4</v>
      </c>
      <c r="N93">
        <v>20</v>
      </c>
      <c r="O93">
        <v>10</v>
      </c>
      <c r="P93">
        <v>7</v>
      </c>
      <c r="Q93">
        <v>5</v>
      </c>
      <c r="R93">
        <v>20</v>
      </c>
      <c r="S93">
        <v>110</v>
      </c>
      <c r="T93">
        <v>40</v>
      </c>
      <c r="U93">
        <v>30</v>
      </c>
    </row>
    <row r="94" spans="1:21">
      <c r="F94" t="b">
        <f t="shared" si="11"/>
        <v>1</v>
      </c>
      <c r="M94">
        <v>5</v>
      </c>
      <c r="N94">
        <v>20</v>
      </c>
      <c r="O94">
        <v>10</v>
      </c>
      <c r="P94">
        <v>4</v>
      </c>
      <c r="Q94">
        <v>5</v>
      </c>
      <c r="R94">
        <v>30</v>
      </c>
      <c r="S94">
        <v>120</v>
      </c>
      <c r="T94">
        <v>25</v>
      </c>
      <c r="U94">
        <v>30</v>
      </c>
    </row>
    <row r="95" spans="1:21">
      <c r="F95" t="b">
        <f t="shared" si="11"/>
        <v>1</v>
      </c>
      <c r="M95">
        <v>5</v>
      </c>
      <c r="N95">
        <v>20</v>
      </c>
      <c r="O95">
        <v>5</v>
      </c>
      <c r="P95">
        <v>7</v>
      </c>
      <c r="Q95">
        <v>5</v>
      </c>
      <c r="R95">
        <v>30</v>
      </c>
      <c r="S95">
        <v>120</v>
      </c>
      <c r="T95">
        <v>25</v>
      </c>
      <c r="U95">
        <v>25</v>
      </c>
    </row>
    <row r="96" spans="1:21">
      <c r="F96" t="b">
        <f t="shared" si="11"/>
        <v>1</v>
      </c>
      <c r="M96">
        <v>5</v>
      </c>
      <c r="N96">
        <v>20</v>
      </c>
      <c r="O96">
        <v>5</v>
      </c>
      <c r="P96">
        <v>7</v>
      </c>
      <c r="Q96">
        <v>5</v>
      </c>
      <c r="R96">
        <v>20</v>
      </c>
      <c r="S96">
        <v>120</v>
      </c>
      <c r="T96">
        <v>25</v>
      </c>
      <c r="U96">
        <v>15</v>
      </c>
    </row>
    <row r="97" spans="1:21">
      <c r="F97" t="b">
        <f t="shared" si="11"/>
        <v>1</v>
      </c>
      <c r="M97">
        <v>5</v>
      </c>
      <c r="N97">
        <v>20</v>
      </c>
      <c r="O97">
        <v>5</v>
      </c>
      <c r="P97">
        <v>4</v>
      </c>
      <c r="Q97">
        <v>5</v>
      </c>
      <c r="R97">
        <v>30</v>
      </c>
      <c r="S97">
        <v>120</v>
      </c>
      <c r="T97">
        <v>25</v>
      </c>
      <c r="U97">
        <v>15</v>
      </c>
    </row>
    <row r="98" spans="1:21">
      <c r="C98" s="24"/>
      <c r="D98" s="24"/>
      <c r="E98" s="24"/>
      <c r="F98" t="b">
        <f t="shared" si="11"/>
        <v>1</v>
      </c>
      <c r="M98">
        <v>5</v>
      </c>
      <c r="N98">
        <v>20</v>
      </c>
      <c r="O98">
        <v>10</v>
      </c>
      <c r="P98">
        <v>7</v>
      </c>
      <c r="Q98">
        <v>5</v>
      </c>
      <c r="R98">
        <v>30</v>
      </c>
      <c r="S98">
        <v>120</v>
      </c>
      <c r="T98">
        <v>25</v>
      </c>
      <c r="U98">
        <v>25</v>
      </c>
    </row>
    <row r="99" spans="1:21">
      <c r="F99" t="b">
        <f t="shared" si="11"/>
        <v>1</v>
      </c>
      <c r="M99">
        <v>5</v>
      </c>
      <c r="N99">
        <v>20</v>
      </c>
      <c r="O99">
        <v>10</v>
      </c>
      <c r="P99">
        <v>4</v>
      </c>
      <c r="Q99">
        <v>5</v>
      </c>
      <c r="R99">
        <v>20</v>
      </c>
      <c r="S99">
        <v>120</v>
      </c>
      <c r="T99">
        <v>25</v>
      </c>
      <c r="U99">
        <v>25</v>
      </c>
    </row>
    <row r="100" spans="1:21">
      <c r="F100" t="b">
        <f t="shared" si="11"/>
        <v>1</v>
      </c>
      <c r="M100">
        <v>5</v>
      </c>
      <c r="N100">
        <v>20</v>
      </c>
      <c r="O100">
        <v>5</v>
      </c>
      <c r="P100">
        <v>4</v>
      </c>
      <c r="Q100">
        <v>5</v>
      </c>
      <c r="R100">
        <v>30</v>
      </c>
      <c r="S100">
        <v>120</v>
      </c>
      <c r="T100">
        <v>25</v>
      </c>
      <c r="U100">
        <v>30</v>
      </c>
    </row>
    <row r="101" spans="1:21">
      <c r="C101" s="24"/>
      <c r="D101" s="24"/>
      <c r="E101" s="24"/>
      <c r="F101" t="b">
        <f t="shared" si="11"/>
        <v>1</v>
      </c>
      <c r="M101">
        <v>5</v>
      </c>
      <c r="N101">
        <v>20</v>
      </c>
      <c r="O101">
        <v>5</v>
      </c>
      <c r="P101">
        <v>4</v>
      </c>
      <c r="Q101">
        <v>5</v>
      </c>
      <c r="R101">
        <v>20</v>
      </c>
      <c r="S101">
        <v>120</v>
      </c>
      <c r="T101">
        <v>25</v>
      </c>
      <c r="U101">
        <v>20</v>
      </c>
    </row>
    <row r="102" spans="1:21">
      <c r="F102" t="b">
        <f t="shared" si="11"/>
        <v>1</v>
      </c>
      <c r="M102">
        <v>5</v>
      </c>
      <c r="N102">
        <v>10</v>
      </c>
      <c r="O102">
        <v>10</v>
      </c>
      <c r="P102">
        <v>7</v>
      </c>
      <c r="Q102">
        <v>5</v>
      </c>
      <c r="R102">
        <v>30</v>
      </c>
      <c r="S102">
        <v>80</v>
      </c>
      <c r="T102">
        <v>85</v>
      </c>
      <c r="U102">
        <v>10</v>
      </c>
    </row>
    <row r="103" spans="1:21">
      <c r="F103" t="b">
        <f t="shared" si="11"/>
        <v>1</v>
      </c>
      <c r="M103">
        <v>5</v>
      </c>
      <c r="N103">
        <v>20</v>
      </c>
      <c r="O103">
        <v>5</v>
      </c>
      <c r="P103">
        <v>7</v>
      </c>
      <c r="Q103">
        <v>5</v>
      </c>
      <c r="R103">
        <v>20</v>
      </c>
      <c r="S103">
        <v>120</v>
      </c>
      <c r="T103">
        <v>25</v>
      </c>
      <c r="U103">
        <v>25</v>
      </c>
    </row>
    <row r="104" spans="1:21">
      <c r="A104" s="9"/>
      <c r="F104" t="b">
        <f t="shared" si="11"/>
        <v>1</v>
      </c>
      <c r="M104">
        <v>5</v>
      </c>
      <c r="N104">
        <v>20</v>
      </c>
      <c r="O104">
        <v>5</v>
      </c>
      <c r="P104">
        <v>4</v>
      </c>
      <c r="Q104">
        <v>5</v>
      </c>
      <c r="R104">
        <v>30</v>
      </c>
      <c r="S104">
        <v>120</v>
      </c>
      <c r="T104">
        <v>25</v>
      </c>
      <c r="U104">
        <v>20</v>
      </c>
    </row>
    <row r="105" spans="1:21">
      <c r="F105" t="b">
        <f t="shared" si="11"/>
        <v>1</v>
      </c>
      <c r="M105">
        <v>5</v>
      </c>
      <c r="N105">
        <v>10</v>
      </c>
      <c r="O105">
        <v>10</v>
      </c>
      <c r="P105">
        <v>7</v>
      </c>
      <c r="Q105">
        <v>5</v>
      </c>
      <c r="R105">
        <v>30</v>
      </c>
      <c r="S105">
        <v>80</v>
      </c>
      <c r="T105">
        <v>85</v>
      </c>
      <c r="U105">
        <v>20</v>
      </c>
    </row>
    <row r="106" spans="1:21">
      <c r="A106" s="9"/>
      <c r="F106" t="b">
        <f t="shared" si="11"/>
        <v>1</v>
      </c>
      <c r="M106">
        <v>5</v>
      </c>
      <c r="N106">
        <v>20</v>
      </c>
      <c r="O106">
        <v>5</v>
      </c>
      <c r="P106">
        <v>7</v>
      </c>
      <c r="Q106">
        <v>5</v>
      </c>
      <c r="R106">
        <v>20</v>
      </c>
      <c r="S106">
        <v>120</v>
      </c>
      <c r="T106">
        <v>25</v>
      </c>
      <c r="U106">
        <v>10</v>
      </c>
    </row>
    <row r="107" spans="1:21">
      <c r="A107" s="9"/>
      <c r="F107" t="b">
        <f t="shared" si="11"/>
        <v>1</v>
      </c>
      <c r="M107">
        <v>5</v>
      </c>
      <c r="N107">
        <v>20</v>
      </c>
      <c r="O107">
        <v>5</v>
      </c>
      <c r="P107">
        <v>4</v>
      </c>
      <c r="Q107">
        <v>5</v>
      </c>
      <c r="R107">
        <v>20</v>
      </c>
      <c r="S107">
        <v>120</v>
      </c>
      <c r="T107">
        <v>25</v>
      </c>
      <c r="U107">
        <v>10</v>
      </c>
    </row>
    <row r="108" spans="1:21">
      <c r="A108" s="9"/>
      <c r="C108" s="24"/>
      <c r="D108" s="24"/>
      <c r="E108" s="24"/>
      <c r="F108" t="b">
        <f t="shared" si="11"/>
        <v>1</v>
      </c>
      <c r="M108">
        <v>5</v>
      </c>
      <c r="N108">
        <v>10</v>
      </c>
      <c r="O108">
        <v>10</v>
      </c>
      <c r="P108">
        <v>7</v>
      </c>
      <c r="Q108">
        <v>5</v>
      </c>
      <c r="R108">
        <v>20</v>
      </c>
      <c r="S108">
        <v>80</v>
      </c>
      <c r="T108">
        <v>85</v>
      </c>
      <c r="U108">
        <v>10</v>
      </c>
    </row>
    <row r="109" spans="1:21">
      <c r="C109" s="25"/>
      <c r="D109" s="25"/>
      <c r="E109" s="25"/>
      <c r="F109" t="b">
        <f t="shared" si="11"/>
        <v>1</v>
      </c>
      <c r="M109">
        <v>5</v>
      </c>
      <c r="N109">
        <v>10</v>
      </c>
      <c r="O109">
        <v>10</v>
      </c>
      <c r="P109">
        <v>4</v>
      </c>
      <c r="Q109">
        <v>5</v>
      </c>
      <c r="R109">
        <v>20</v>
      </c>
      <c r="S109">
        <v>80</v>
      </c>
      <c r="T109">
        <v>85</v>
      </c>
      <c r="U109">
        <v>10</v>
      </c>
    </row>
    <row r="110" spans="1:21">
      <c r="A110" s="9"/>
      <c r="F110" t="b">
        <f t="shared" si="11"/>
        <v>1</v>
      </c>
      <c r="M110">
        <v>5</v>
      </c>
      <c r="N110">
        <v>10</v>
      </c>
      <c r="O110">
        <v>5</v>
      </c>
      <c r="P110">
        <v>7</v>
      </c>
      <c r="Q110">
        <v>5</v>
      </c>
      <c r="R110">
        <v>20</v>
      </c>
      <c r="S110">
        <v>80</v>
      </c>
      <c r="T110">
        <v>85</v>
      </c>
      <c r="U110">
        <v>10</v>
      </c>
    </row>
    <row r="111" spans="1:21">
      <c r="F111" t="b">
        <f t="shared" si="11"/>
        <v>1</v>
      </c>
      <c r="M111">
        <v>5</v>
      </c>
      <c r="N111">
        <v>10</v>
      </c>
      <c r="O111">
        <v>5</v>
      </c>
      <c r="P111">
        <v>4</v>
      </c>
      <c r="Q111">
        <v>5</v>
      </c>
      <c r="R111">
        <v>20</v>
      </c>
      <c r="S111">
        <v>80</v>
      </c>
      <c r="T111">
        <v>85</v>
      </c>
      <c r="U111">
        <v>10</v>
      </c>
    </row>
    <row r="112" spans="1:21">
      <c r="F112" t="b">
        <f t="shared" si="11"/>
        <v>1</v>
      </c>
      <c r="M112">
        <v>5</v>
      </c>
      <c r="N112">
        <v>20</v>
      </c>
      <c r="O112">
        <v>5</v>
      </c>
      <c r="P112">
        <v>7</v>
      </c>
      <c r="Q112">
        <v>5</v>
      </c>
      <c r="R112">
        <v>30</v>
      </c>
      <c r="S112">
        <v>120</v>
      </c>
      <c r="T112">
        <v>25</v>
      </c>
      <c r="U112">
        <v>15</v>
      </c>
    </row>
    <row r="113" spans="3:21">
      <c r="F113" t="b">
        <f t="shared" si="11"/>
        <v>1</v>
      </c>
      <c r="M113">
        <v>5</v>
      </c>
      <c r="N113">
        <v>20</v>
      </c>
      <c r="O113">
        <v>5</v>
      </c>
      <c r="P113">
        <v>7</v>
      </c>
      <c r="Q113">
        <v>5</v>
      </c>
      <c r="R113">
        <v>20</v>
      </c>
      <c r="S113">
        <v>120</v>
      </c>
      <c r="T113">
        <v>25</v>
      </c>
      <c r="U113">
        <v>20</v>
      </c>
    </row>
    <row r="114" spans="3:21">
      <c r="F114" t="b">
        <f t="shared" si="11"/>
        <v>1</v>
      </c>
      <c r="M114">
        <v>5</v>
      </c>
      <c r="N114">
        <v>20</v>
      </c>
      <c r="O114">
        <v>10</v>
      </c>
      <c r="P114">
        <v>4</v>
      </c>
      <c r="Q114">
        <v>5</v>
      </c>
      <c r="R114">
        <v>20</v>
      </c>
      <c r="S114">
        <v>120</v>
      </c>
      <c r="T114">
        <v>25</v>
      </c>
      <c r="U114">
        <v>20</v>
      </c>
    </row>
    <row r="115" spans="3:21">
      <c r="F115" t="b">
        <f t="shared" si="11"/>
        <v>1</v>
      </c>
      <c r="M115">
        <v>5</v>
      </c>
      <c r="N115">
        <v>20</v>
      </c>
      <c r="O115">
        <v>5</v>
      </c>
      <c r="P115">
        <v>7</v>
      </c>
      <c r="Q115">
        <v>5</v>
      </c>
      <c r="R115">
        <v>30</v>
      </c>
      <c r="S115">
        <v>110</v>
      </c>
      <c r="T115">
        <v>25</v>
      </c>
      <c r="U115">
        <v>20</v>
      </c>
    </row>
    <row r="116" spans="3:21">
      <c r="C116" s="24"/>
      <c r="D116" s="24"/>
      <c r="E116" s="24"/>
      <c r="F116" t="b">
        <f t="shared" si="11"/>
        <v>1</v>
      </c>
      <c r="M116">
        <v>5</v>
      </c>
      <c r="N116">
        <v>20</v>
      </c>
      <c r="O116">
        <v>5</v>
      </c>
      <c r="P116">
        <v>7</v>
      </c>
      <c r="Q116">
        <v>5</v>
      </c>
      <c r="R116">
        <v>20</v>
      </c>
      <c r="S116">
        <v>110</v>
      </c>
      <c r="T116">
        <v>25</v>
      </c>
      <c r="U116">
        <v>20</v>
      </c>
    </row>
    <row r="117" spans="3:21">
      <c r="C117" s="24"/>
      <c r="D117" s="24"/>
      <c r="E117" s="24"/>
      <c r="F117" t="b">
        <f t="shared" si="11"/>
        <v>1</v>
      </c>
      <c r="M117">
        <v>5</v>
      </c>
      <c r="N117">
        <v>10</v>
      </c>
      <c r="O117">
        <v>10</v>
      </c>
      <c r="P117">
        <v>4</v>
      </c>
      <c r="Q117">
        <v>5</v>
      </c>
      <c r="R117">
        <v>30</v>
      </c>
      <c r="S117">
        <v>80</v>
      </c>
      <c r="T117">
        <v>85</v>
      </c>
      <c r="U117">
        <v>20</v>
      </c>
    </row>
    <row r="118" spans="3:21">
      <c r="C118" s="25"/>
      <c r="F118" t="b">
        <f t="shared" si="11"/>
        <v>1</v>
      </c>
      <c r="M118">
        <v>5</v>
      </c>
      <c r="N118">
        <v>20</v>
      </c>
      <c r="O118">
        <v>10</v>
      </c>
      <c r="P118">
        <v>7</v>
      </c>
      <c r="Q118">
        <v>5</v>
      </c>
      <c r="R118">
        <v>30</v>
      </c>
      <c r="S118">
        <v>120</v>
      </c>
      <c r="T118">
        <v>25</v>
      </c>
      <c r="U118">
        <v>30</v>
      </c>
    </row>
    <row r="119" spans="3:21">
      <c r="F119" t="b">
        <f t="shared" si="11"/>
        <v>1</v>
      </c>
      <c r="M119">
        <v>5</v>
      </c>
      <c r="N119">
        <v>20</v>
      </c>
      <c r="O119">
        <v>10</v>
      </c>
      <c r="P119">
        <v>7</v>
      </c>
      <c r="Q119">
        <v>5</v>
      </c>
      <c r="R119">
        <v>20</v>
      </c>
      <c r="S119">
        <v>120</v>
      </c>
      <c r="T119">
        <v>25</v>
      </c>
      <c r="U119">
        <v>25</v>
      </c>
    </row>
    <row r="120" spans="3:21">
      <c r="C120" s="24"/>
      <c r="D120" s="24"/>
      <c r="E120" s="24"/>
      <c r="F120" t="b">
        <f t="shared" si="11"/>
        <v>1</v>
      </c>
      <c r="M120">
        <v>5</v>
      </c>
      <c r="N120">
        <v>20</v>
      </c>
      <c r="O120">
        <v>5</v>
      </c>
      <c r="P120">
        <v>7</v>
      </c>
      <c r="Q120">
        <v>5</v>
      </c>
      <c r="R120">
        <v>30</v>
      </c>
      <c r="S120">
        <v>120</v>
      </c>
      <c r="T120">
        <v>25</v>
      </c>
      <c r="U120">
        <v>10</v>
      </c>
    </row>
    <row r="121" spans="3:21">
      <c r="F121" t="b">
        <f t="shared" si="11"/>
        <v>1</v>
      </c>
      <c r="M121">
        <v>5</v>
      </c>
      <c r="N121">
        <v>10</v>
      </c>
      <c r="O121">
        <v>5</v>
      </c>
      <c r="P121">
        <v>7</v>
      </c>
      <c r="Q121">
        <v>5</v>
      </c>
      <c r="R121">
        <v>30</v>
      </c>
      <c r="S121">
        <v>80</v>
      </c>
      <c r="T121">
        <v>85</v>
      </c>
      <c r="U121">
        <v>10</v>
      </c>
    </row>
    <row r="122" spans="3:21">
      <c r="F122" t="b">
        <f t="shared" si="11"/>
        <v>1</v>
      </c>
      <c r="M122">
        <v>5</v>
      </c>
      <c r="N122">
        <v>10</v>
      </c>
      <c r="O122">
        <v>5</v>
      </c>
      <c r="P122">
        <v>4</v>
      </c>
      <c r="Q122">
        <v>5</v>
      </c>
      <c r="R122">
        <v>30</v>
      </c>
      <c r="S122">
        <v>80</v>
      </c>
      <c r="T122">
        <v>85</v>
      </c>
      <c r="U122">
        <v>10</v>
      </c>
    </row>
    <row r="123" spans="3:21">
      <c r="F123" t="b">
        <f t="shared" si="11"/>
        <v>1</v>
      </c>
      <c r="M123">
        <v>5</v>
      </c>
      <c r="N123">
        <v>20</v>
      </c>
      <c r="O123">
        <v>5</v>
      </c>
      <c r="P123">
        <v>7</v>
      </c>
      <c r="Q123">
        <v>5</v>
      </c>
      <c r="R123">
        <v>20</v>
      </c>
      <c r="S123">
        <v>120</v>
      </c>
      <c r="T123">
        <v>25</v>
      </c>
      <c r="U123">
        <v>30</v>
      </c>
    </row>
    <row r="124" spans="3:21">
      <c r="F124" t="b">
        <f t="shared" si="11"/>
        <v>1</v>
      </c>
      <c r="M124">
        <v>6</v>
      </c>
      <c r="N124">
        <v>20</v>
      </c>
      <c r="O124">
        <v>10</v>
      </c>
      <c r="P124">
        <v>4</v>
      </c>
      <c r="Q124">
        <v>5</v>
      </c>
      <c r="R124">
        <v>30</v>
      </c>
      <c r="S124">
        <v>120</v>
      </c>
      <c r="T124">
        <v>25</v>
      </c>
      <c r="U124">
        <v>30</v>
      </c>
    </row>
    <row r="125" spans="3:21">
      <c r="F125" t="b">
        <f t="shared" si="11"/>
        <v>1</v>
      </c>
      <c r="M125">
        <v>6</v>
      </c>
      <c r="N125">
        <v>20</v>
      </c>
      <c r="O125">
        <v>5</v>
      </c>
      <c r="P125">
        <v>7</v>
      </c>
      <c r="Q125">
        <v>5</v>
      </c>
      <c r="R125">
        <v>30</v>
      </c>
      <c r="S125">
        <v>120</v>
      </c>
      <c r="T125">
        <v>25</v>
      </c>
      <c r="U125">
        <v>25</v>
      </c>
    </row>
    <row r="126" spans="3:21">
      <c r="F126" t="b">
        <f t="shared" si="11"/>
        <v>1</v>
      </c>
      <c r="M126">
        <v>6</v>
      </c>
      <c r="N126">
        <v>20</v>
      </c>
      <c r="O126">
        <v>5</v>
      </c>
      <c r="P126">
        <v>7</v>
      </c>
      <c r="Q126">
        <v>5</v>
      </c>
      <c r="R126">
        <v>20</v>
      </c>
      <c r="S126">
        <v>120</v>
      </c>
      <c r="T126">
        <v>25</v>
      </c>
      <c r="U126">
        <v>15</v>
      </c>
    </row>
    <row r="127" spans="3:21">
      <c r="F127" t="b">
        <f t="shared" si="11"/>
        <v>1</v>
      </c>
      <c r="M127">
        <v>6</v>
      </c>
      <c r="N127">
        <v>20</v>
      </c>
      <c r="O127">
        <v>5</v>
      </c>
      <c r="P127">
        <v>4</v>
      </c>
      <c r="Q127">
        <v>5</v>
      </c>
      <c r="R127">
        <v>30</v>
      </c>
      <c r="S127">
        <v>120</v>
      </c>
      <c r="T127">
        <v>25</v>
      </c>
      <c r="U127">
        <v>15</v>
      </c>
    </row>
    <row r="128" spans="3:21">
      <c r="M128">
        <v>6</v>
      </c>
      <c r="N128">
        <v>20</v>
      </c>
      <c r="O128">
        <v>10</v>
      </c>
      <c r="P128">
        <v>7</v>
      </c>
      <c r="Q128">
        <v>5</v>
      </c>
      <c r="R128">
        <v>30</v>
      </c>
      <c r="S128">
        <v>120</v>
      </c>
      <c r="T128">
        <v>25</v>
      </c>
      <c r="U128">
        <v>25</v>
      </c>
    </row>
    <row r="129" spans="13:21">
      <c r="M129">
        <v>6</v>
      </c>
      <c r="N129">
        <v>20</v>
      </c>
      <c r="O129">
        <v>10</v>
      </c>
      <c r="P129">
        <v>4</v>
      </c>
      <c r="Q129">
        <v>5</v>
      </c>
      <c r="R129">
        <v>20</v>
      </c>
      <c r="S129">
        <v>120</v>
      </c>
      <c r="T129">
        <v>25</v>
      </c>
      <c r="U129">
        <v>25</v>
      </c>
    </row>
    <row r="130" spans="13:21">
      <c r="M130">
        <v>6</v>
      </c>
      <c r="N130">
        <v>20</v>
      </c>
      <c r="O130">
        <v>5</v>
      </c>
      <c r="P130">
        <v>4</v>
      </c>
      <c r="Q130">
        <v>5</v>
      </c>
      <c r="R130">
        <v>30</v>
      </c>
      <c r="S130">
        <v>120</v>
      </c>
      <c r="T130">
        <v>25</v>
      </c>
      <c r="U130">
        <v>30</v>
      </c>
    </row>
    <row r="131" spans="13:21">
      <c r="M131">
        <v>6</v>
      </c>
      <c r="N131">
        <v>20</v>
      </c>
      <c r="O131">
        <v>5</v>
      </c>
      <c r="P131">
        <v>4</v>
      </c>
      <c r="Q131">
        <v>5</v>
      </c>
      <c r="R131">
        <v>20</v>
      </c>
      <c r="S131">
        <v>120</v>
      </c>
      <c r="T131">
        <v>25</v>
      </c>
      <c r="U131">
        <v>20</v>
      </c>
    </row>
    <row r="132" spans="13:21">
      <c r="M132">
        <v>6</v>
      </c>
      <c r="N132">
        <v>10</v>
      </c>
      <c r="O132">
        <v>10</v>
      </c>
      <c r="P132">
        <v>7</v>
      </c>
      <c r="Q132">
        <v>5</v>
      </c>
      <c r="R132">
        <v>30</v>
      </c>
      <c r="S132">
        <v>80</v>
      </c>
      <c r="T132">
        <v>85</v>
      </c>
      <c r="U132">
        <v>10</v>
      </c>
    </row>
    <row r="133" spans="13:21">
      <c r="M133">
        <v>6</v>
      </c>
      <c r="N133">
        <v>20</v>
      </c>
      <c r="O133">
        <v>5</v>
      </c>
      <c r="P133">
        <v>7</v>
      </c>
      <c r="Q133">
        <v>5</v>
      </c>
      <c r="R133">
        <v>20</v>
      </c>
      <c r="S133">
        <v>120</v>
      </c>
      <c r="T133">
        <v>25</v>
      </c>
      <c r="U133">
        <v>25</v>
      </c>
    </row>
    <row r="134" spans="13:21">
      <c r="M134">
        <v>6</v>
      </c>
      <c r="N134">
        <v>20</v>
      </c>
      <c r="O134">
        <v>5</v>
      </c>
      <c r="P134">
        <v>4</v>
      </c>
      <c r="Q134">
        <v>5</v>
      </c>
      <c r="R134">
        <v>30</v>
      </c>
      <c r="S134">
        <v>120</v>
      </c>
      <c r="T134">
        <v>25</v>
      </c>
      <c r="U134">
        <v>20</v>
      </c>
    </row>
    <row r="135" spans="13:21">
      <c r="M135">
        <v>6</v>
      </c>
      <c r="N135">
        <v>10</v>
      </c>
      <c r="O135">
        <v>10</v>
      </c>
      <c r="P135">
        <v>7</v>
      </c>
      <c r="Q135">
        <v>5</v>
      </c>
      <c r="R135">
        <v>30</v>
      </c>
      <c r="S135">
        <v>80</v>
      </c>
      <c r="T135">
        <v>85</v>
      </c>
      <c r="U135">
        <v>20</v>
      </c>
    </row>
    <row r="136" spans="13:21">
      <c r="M136">
        <v>6</v>
      </c>
      <c r="N136">
        <v>20</v>
      </c>
      <c r="O136">
        <v>5</v>
      </c>
      <c r="P136">
        <v>7</v>
      </c>
      <c r="Q136">
        <v>5</v>
      </c>
      <c r="R136">
        <v>20</v>
      </c>
      <c r="S136">
        <v>120</v>
      </c>
      <c r="T136">
        <v>25</v>
      </c>
      <c r="U136">
        <v>10</v>
      </c>
    </row>
    <row r="137" spans="13:21">
      <c r="M137">
        <v>6</v>
      </c>
      <c r="N137">
        <v>20</v>
      </c>
      <c r="O137">
        <v>5</v>
      </c>
      <c r="P137">
        <v>4</v>
      </c>
      <c r="Q137">
        <v>5</v>
      </c>
      <c r="R137">
        <v>20</v>
      </c>
      <c r="S137">
        <v>120</v>
      </c>
      <c r="T137">
        <v>25</v>
      </c>
      <c r="U137">
        <v>10</v>
      </c>
    </row>
    <row r="138" spans="13:21">
      <c r="M138">
        <v>6</v>
      </c>
      <c r="N138">
        <v>10</v>
      </c>
      <c r="O138">
        <v>10</v>
      </c>
      <c r="P138">
        <v>7</v>
      </c>
      <c r="Q138">
        <v>5</v>
      </c>
      <c r="R138">
        <v>20</v>
      </c>
      <c r="S138">
        <v>80</v>
      </c>
      <c r="T138">
        <v>85</v>
      </c>
      <c r="U138">
        <v>10</v>
      </c>
    </row>
    <row r="139" spans="13:21">
      <c r="M139">
        <v>6</v>
      </c>
      <c r="N139">
        <v>10</v>
      </c>
      <c r="O139">
        <v>10</v>
      </c>
      <c r="P139">
        <v>4</v>
      </c>
      <c r="Q139">
        <v>5</v>
      </c>
      <c r="R139">
        <v>20</v>
      </c>
      <c r="S139">
        <v>80</v>
      </c>
      <c r="T139">
        <v>85</v>
      </c>
      <c r="U139">
        <v>10</v>
      </c>
    </row>
    <row r="140" spans="13:21">
      <c r="M140">
        <v>6</v>
      </c>
      <c r="N140">
        <v>10</v>
      </c>
      <c r="O140">
        <v>5</v>
      </c>
      <c r="P140">
        <v>7</v>
      </c>
      <c r="Q140">
        <v>5</v>
      </c>
      <c r="R140">
        <v>20</v>
      </c>
      <c r="S140">
        <v>80</v>
      </c>
      <c r="T140">
        <v>85</v>
      </c>
      <c r="U140">
        <v>10</v>
      </c>
    </row>
    <row r="141" spans="13:21">
      <c r="M141">
        <v>6</v>
      </c>
      <c r="N141">
        <v>10</v>
      </c>
      <c r="O141">
        <v>5</v>
      </c>
      <c r="P141">
        <v>4</v>
      </c>
      <c r="Q141">
        <v>5</v>
      </c>
      <c r="R141">
        <v>20</v>
      </c>
      <c r="S141">
        <v>80</v>
      </c>
      <c r="T141">
        <v>85</v>
      </c>
      <c r="U141">
        <v>10</v>
      </c>
    </row>
    <row r="142" spans="13:21">
      <c r="M142">
        <v>6</v>
      </c>
      <c r="N142">
        <v>20</v>
      </c>
      <c r="O142">
        <v>5</v>
      </c>
      <c r="P142">
        <v>7</v>
      </c>
      <c r="Q142">
        <v>5</v>
      </c>
      <c r="R142">
        <v>30</v>
      </c>
      <c r="S142">
        <v>120</v>
      </c>
      <c r="T142">
        <v>25</v>
      </c>
      <c r="U142">
        <v>15</v>
      </c>
    </row>
    <row r="143" spans="13:21">
      <c r="M143">
        <v>6</v>
      </c>
      <c r="N143">
        <v>20</v>
      </c>
      <c r="O143">
        <v>5</v>
      </c>
      <c r="P143">
        <v>7</v>
      </c>
      <c r="Q143">
        <v>5</v>
      </c>
      <c r="R143">
        <v>20</v>
      </c>
      <c r="S143">
        <v>120</v>
      </c>
      <c r="T143">
        <v>25</v>
      </c>
      <c r="U143">
        <v>20</v>
      </c>
    </row>
    <row r="144" spans="13:21">
      <c r="M144">
        <v>6</v>
      </c>
      <c r="N144">
        <v>20</v>
      </c>
      <c r="O144">
        <v>10</v>
      </c>
      <c r="P144">
        <v>4</v>
      </c>
      <c r="Q144">
        <v>5</v>
      </c>
      <c r="R144">
        <v>20</v>
      </c>
      <c r="S144">
        <v>120</v>
      </c>
      <c r="T144">
        <v>25</v>
      </c>
      <c r="U144">
        <v>20</v>
      </c>
    </row>
    <row r="145" spans="13:21">
      <c r="M145">
        <v>6</v>
      </c>
      <c r="N145">
        <v>20</v>
      </c>
      <c r="O145">
        <v>5</v>
      </c>
      <c r="P145">
        <v>7</v>
      </c>
      <c r="Q145">
        <v>5</v>
      </c>
      <c r="R145">
        <v>30</v>
      </c>
      <c r="S145">
        <v>110</v>
      </c>
      <c r="T145">
        <v>25</v>
      </c>
      <c r="U145">
        <v>20</v>
      </c>
    </row>
    <row r="146" spans="13:21">
      <c r="M146">
        <v>6</v>
      </c>
      <c r="N146">
        <v>20</v>
      </c>
      <c r="O146">
        <v>5</v>
      </c>
      <c r="P146">
        <v>7</v>
      </c>
      <c r="Q146">
        <v>5</v>
      </c>
      <c r="R146">
        <v>20</v>
      </c>
      <c r="S146">
        <v>110</v>
      </c>
      <c r="T146">
        <v>25</v>
      </c>
      <c r="U146">
        <v>20</v>
      </c>
    </row>
    <row r="147" spans="13:21">
      <c r="M147">
        <v>6</v>
      </c>
      <c r="N147">
        <v>10</v>
      </c>
      <c r="O147">
        <v>10</v>
      </c>
      <c r="P147">
        <v>4</v>
      </c>
      <c r="Q147">
        <v>5</v>
      </c>
      <c r="R147">
        <v>30</v>
      </c>
      <c r="S147">
        <v>80</v>
      </c>
      <c r="T147">
        <v>85</v>
      </c>
      <c r="U147">
        <v>20</v>
      </c>
    </row>
    <row r="148" spans="13:21">
      <c r="M148">
        <v>6</v>
      </c>
      <c r="N148">
        <v>20</v>
      </c>
      <c r="O148">
        <v>10</v>
      </c>
      <c r="P148">
        <v>7</v>
      </c>
      <c r="Q148">
        <v>5</v>
      </c>
      <c r="R148">
        <v>30</v>
      </c>
      <c r="S148">
        <v>120</v>
      </c>
      <c r="T148">
        <v>25</v>
      </c>
      <c r="U148">
        <v>30</v>
      </c>
    </row>
    <row r="149" spans="13:21">
      <c r="M149">
        <v>6</v>
      </c>
      <c r="N149">
        <v>20</v>
      </c>
      <c r="O149">
        <v>10</v>
      </c>
      <c r="P149">
        <v>7</v>
      </c>
      <c r="Q149">
        <v>5</v>
      </c>
      <c r="R149">
        <v>20</v>
      </c>
      <c r="S149">
        <v>120</v>
      </c>
      <c r="T149">
        <v>25</v>
      </c>
      <c r="U149">
        <v>25</v>
      </c>
    </row>
    <row r="150" spans="13:21">
      <c r="M150">
        <v>6</v>
      </c>
      <c r="N150">
        <v>20</v>
      </c>
      <c r="O150">
        <v>5</v>
      </c>
      <c r="P150">
        <v>7</v>
      </c>
      <c r="Q150">
        <v>5</v>
      </c>
      <c r="R150">
        <v>30</v>
      </c>
      <c r="S150">
        <v>120</v>
      </c>
      <c r="T150">
        <v>25</v>
      </c>
      <c r="U150">
        <v>10</v>
      </c>
    </row>
    <row r="151" spans="13:21">
      <c r="M151">
        <v>6</v>
      </c>
      <c r="N151">
        <v>10</v>
      </c>
      <c r="O151">
        <v>5</v>
      </c>
      <c r="P151">
        <v>7</v>
      </c>
      <c r="Q151">
        <v>5</v>
      </c>
      <c r="R151">
        <v>30</v>
      </c>
      <c r="S151">
        <v>80</v>
      </c>
      <c r="T151">
        <v>85</v>
      </c>
      <c r="U151">
        <v>10</v>
      </c>
    </row>
    <row r="152" spans="13:21">
      <c r="M152">
        <v>6</v>
      </c>
      <c r="N152">
        <v>10</v>
      </c>
      <c r="O152">
        <v>5</v>
      </c>
      <c r="P152">
        <v>4</v>
      </c>
      <c r="Q152">
        <v>5</v>
      </c>
      <c r="R152">
        <v>30</v>
      </c>
      <c r="S152">
        <v>80</v>
      </c>
      <c r="T152">
        <v>85</v>
      </c>
      <c r="U152">
        <v>10</v>
      </c>
    </row>
    <row r="153" spans="13:21">
      <c r="M153">
        <v>6</v>
      </c>
      <c r="N153">
        <v>20</v>
      </c>
      <c r="O153">
        <v>5</v>
      </c>
      <c r="P153">
        <v>7</v>
      </c>
      <c r="Q153">
        <v>5</v>
      </c>
      <c r="R153">
        <v>20</v>
      </c>
      <c r="S153">
        <v>120</v>
      </c>
      <c r="T153">
        <v>25</v>
      </c>
      <c r="U153">
        <v>30</v>
      </c>
    </row>
    <row r="154" spans="13:21">
      <c r="M154">
        <v>7</v>
      </c>
      <c r="N154">
        <v>20</v>
      </c>
      <c r="O154">
        <v>5</v>
      </c>
      <c r="P154">
        <v>4</v>
      </c>
      <c r="Q154">
        <v>5</v>
      </c>
      <c r="R154">
        <v>30</v>
      </c>
      <c r="S154">
        <v>120</v>
      </c>
      <c r="T154">
        <v>25</v>
      </c>
      <c r="U154">
        <v>30</v>
      </c>
    </row>
    <row r="155" spans="13:21">
      <c r="M155">
        <v>7</v>
      </c>
      <c r="N155">
        <v>20</v>
      </c>
      <c r="O155">
        <v>5</v>
      </c>
      <c r="P155">
        <v>7</v>
      </c>
      <c r="Q155">
        <v>5</v>
      </c>
      <c r="R155">
        <v>20</v>
      </c>
      <c r="S155">
        <v>120</v>
      </c>
      <c r="T155">
        <v>25</v>
      </c>
      <c r="U155">
        <v>30</v>
      </c>
    </row>
    <row r="156" spans="13:21">
      <c r="M156">
        <v>7</v>
      </c>
      <c r="N156">
        <v>20</v>
      </c>
      <c r="O156">
        <v>5</v>
      </c>
      <c r="P156">
        <v>7</v>
      </c>
      <c r="Q156">
        <v>5</v>
      </c>
      <c r="R156">
        <v>30</v>
      </c>
      <c r="S156">
        <v>120</v>
      </c>
      <c r="T156">
        <v>25</v>
      </c>
      <c r="U156">
        <v>30</v>
      </c>
    </row>
    <row r="157" spans="13:21">
      <c r="M157">
        <v>7</v>
      </c>
      <c r="N157">
        <v>20</v>
      </c>
      <c r="O157">
        <v>5</v>
      </c>
      <c r="P157">
        <v>4</v>
      </c>
      <c r="Q157">
        <v>5</v>
      </c>
      <c r="R157">
        <v>20</v>
      </c>
      <c r="S157">
        <v>120</v>
      </c>
      <c r="T157">
        <v>25</v>
      </c>
      <c r="U157">
        <v>30</v>
      </c>
    </row>
    <row r="158" spans="13:21">
      <c r="M158">
        <v>7</v>
      </c>
      <c r="N158">
        <v>20</v>
      </c>
      <c r="O158">
        <v>5</v>
      </c>
      <c r="P158">
        <v>4</v>
      </c>
      <c r="Q158">
        <v>5</v>
      </c>
      <c r="R158">
        <v>30</v>
      </c>
      <c r="S158">
        <v>120</v>
      </c>
      <c r="T158">
        <v>25</v>
      </c>
      <c r="U158">
        <v>30</v>
      </c>
    </row>
    <row r="159" spans="13:21">
      <c r="M159">
        <v>7</v>
      </c>
      <c r="N159">
        <v>20</v>
      </c>
      <c r="O159">
        <v>5</v>
      </c>
      <c r="P159">
        <v>7</v>
      </c>
      <c r="Q159">
        <v>5</v>
      </c>
      <c r="R159">
        <v>20</v>
      </c>
      <c r="S159">
        <v>120</v>
      </c>
      <c r="T159">
        <v>25</v>
      </c>
      <c r="U159">
        <v>30</v>
      </c>
    </row>
    <row r="160" spans="13:21">
      <c r="M160">
        <v>7</v>
      </c>
      <c r="N160">
        <v>20</v>
      </c>
      <c r="O160">
        <v>5</v>
      </c>
      <c r="P160">
        <v>7</v>
      </c>
      <c r="Q160">
        <v>5</v>
      </c>
      <c r="R160">
        <v>30</v>
      </c>
      <c r="S160">
        <v>120</v>
      </c>
      <c r="T160">
        <v>25</v>
      </c>
      <c r="U160">
        <v>30</v>
      </c>
    </row>
    <row r="161" spans="13:21">
      <c r="M161">
        <v>7</v>
      </c>
      <c r="N161">
        <v>20</v>
      </c>
      <c r="O161">
        <v>5</v>
      </c>
      <c r="P161">
        <v>4</v>
      </c>
      <c r="Q161">
        <v>5</v>
      </c>
      <c r="R161">
        <v>20</v>
      </c>
      <c r="S161">
        <v>120</v>
      </c>
      <c r="T161">
        <v>25</v>
      </c>
      <c r="U161">
        <v>30</v>
      </c>
    </row>
    <row r="162" spans="13:21">
      <c r="M162">
        <v>8</v>
      </c>
      <c r="N162">
        <v>20</v>
      </c>
      <c r="O162">
        <v>5</v>
      </c>
      <c r="P162">
        <v>4</v>
      </c>
      <c r="Q162">
        <v>5</v>
      </c>
      <c r="R162">
        <v>30</v>
      </c>
      <c r="S162">
        <v>120</v>
      </c>
      <c r="T162">
        <v>25</v>
      </c>
      <c r="U162">
        <v>30</v>
      </c>
    </row>
    <row r="163" spans="13:21">
      <c r="M163">
        <v>8</v>
      </c>
      <c r="N163">
        <v>20</v>
      </c>
      <c r="O163">
        <v>5</v>
      </c>
      <c r="P163">
        <v>7</v>
      </c>
      <c r="Q163">
        <v>5</v>
      </c>
      <c r="R163">
        <v>20</v>
      </c>
      <c r="S163">
        <v>120</v>
      </c>
      <c r="T163">
        <v>25</v>
      </c>
      <c r="U163">
        <v>30</v>
      </c>
    </row>
    <row r="164" spans="13:21">
      <c r="M164">
        <v>8</v>
      </c>
      <c r="N164">
        <v>20</v>
      </c>
      <c r="O164">
        <v>5</v>
      </c>
      <c r="P164">
        <v>7</v>
      </c>
      <c r="Q164">
        <v>5</v>
      </c>
      <c r="R164">
        <v>30</v>
      </c>
      <c r="S164">
        <v>120</v>
      </c>
      <c r="T164">
        <v>25</v>
      </c>
      <c r="U164">
        <v>30</v>
      </c>
    </row>
    <row r="165" spans="13:21">
      <c r="M165">
        <v>8</v>
      </c>
      <c r="N165">
        <v>20</v>
      </c>
      <c r="O165">
        <v>5</v>
      </c>
      <c r="P165">
        <v>4</v>
      </c>
      <c r="Q165">
        <v>5</v>
      </c>
      <c r="R165">
        <v>20</v>
      </c>
      <c r="S165">
        <v>120</v>
      </c>
      <c r="T165">
        <v>25</v>
      </c>
      <c r="U165">
        <v>30</v>
      </c>
    </row>
    <row r="166" spans="13:21">
      <c r="M166">
        <v>8</v>
      </c>
      <c r="N166">
        <v>20</v>
      </c>
      <c r="O166">
        <v>5</v>
      </c>
      <c r="P166">
        <v>4</v>
      </c>
      <c r="Q166">
        <v>5</v>
      </c>
      <c r="R166">
        <v>30</v>
      </c>
      <c r="S166">
        <v>120</v>
      </c>
      <c r="T166">
        <v>25</v>
      </c>
      <c r="U166">
        <v>30</v>
      </c>
    </row>
    <row r="167" spans="13:21">
      <c r="M167">
        <v>8</v>
      </c>
      <c r="N167">
        <v>20</v>
      </c>
      <c r="O167">
        <v>5</v>
      </c>
      <c r="P167">
        <v>7</v>
      </c>
      <c r="Q167">
        <v>5</v>
      </c>
      <c r="R167">
        <v>20</v>
      </c>
      <c r="S167">
        <v>120</v>
      </c>
      <c r="T167">
        <v>25</v>
      </c>
      <c r="U167">
        <v>30</v>
      </c>
    </row>
    <row r="168" spans="13:21">
      <c r="M168">
        <v>8</v>
      </c>
      <c r="N168">
        <v>20</v>
      </c>
      <c r="O168">
        <v>5</v>
      </c>
      <c r="P168">
        <v>7</v>
      </c>
      <c r="Q168">
        <v>5</v>
      </c>
      <c r="R168">
        <v>30</v>
      </c>
      <c r="S168">
        <v>120</v>
      </c>
      <c r="T168">
        <v>25</v>
      </c>
      <c r="U168">
        <v>30</v>
      </c>
    </row>
    <row r="169" spans="13:21">
      <c r="M169">
        <v>8</v>
      </c>
      <c r="N169">
        <v>20</v>
      </c>
      <c r="O169">
        <v>5</v>
      </c>
      <c r="P169">
        <v>4</v>
      </c>
      <c r="Q169">
        <v>5</v>
      </c>
      <c r="R169">
        <v>20</v>
      </c>
      <c r="S169">
        <v>120</v>
      </c>
      <c r="T169">
        <v>25</v>
      </c>
      <c r="U169">
        <v>30</v>
      </c>
    </row>
    <row r="170" spans="13:21">
      <c r="M170">
        <v>9</v>
      </c>
      <c r="N170">
        <v>20</v>
      </c>
      <c r="O170">
        <v>5</v>
      </c>
      <c r="P170">
        <v>4</v>
      </c>
      <c r="Q170">
        <v>5</v>
      </c>
      <c r="R170">
        <v>30</v>
      </c>
      <c r="S170">
        <v>120</v>
      </c>
      <c r="T170">
        <v>25</v>
      </c>
      <c r="U170">
        <v>30</v>
      </c>
    </row>
    <row r="171" spans="13:21">
      <c r="M171">
        <v>9</v>
      </c>
      <c r="N171">
        <v>10</v>
      </c>
      <c r="O171">
        <v>5</v>
      </c>
      <c r="P171">
        <v>7</v>
      </c>
      <c r="Q171">
        <v>5</v>
      </c>
      <c r="R171">
        <v>20</v>
      </c>
      <c r="S171">
        <v>80</v>
      </c>
      <c r="T171">
        <v>85</v>
      </c>
      <c r="U171">
        <v>10</v>
      </c>
    </row>
    <row r="172" spans="13:21">
      <c r="M172">
        <v>9</v>
      </c>
      <c r="N172">
        <v>10</v>
      </c>
      <c r="O172">
        <v>5</v>
      </c>
      <c r="P172">
        <v>4</v>
      </c>
      <c r="Q172">
        <v>5</v>
      </c>
      <c r="R172">
        <v>20</v>
      </c>
      <c r="S172">
        <v>80</v>
      </c>
      <c r="T172">
        <v>85</v>
      </c>
      <c r="U172">
        <v>10</v>
      </c>
    </row>
    <row r="173" spans="13:21">
      <c r="M173">
        <v>9</v>
      </c>
      <c r="N173">
        <v>10</v>
      </c>
      <c r="O173">
        <v>5</v>
      </c>
      <c r="P173">
        <v>7</v>
      </c>
      <c r="Q173">
        <v>5</v>
      </c>
      <c r="R173">
        <v>30</v>
      </c>
      <c r="S173">
        <v>80</v>
      </c>
      <c r="T173">
        <v>85</v>
      </c>
      <c r="U173">
        <v>10</v>
      </c>
    </row>
    <row r="174" spans="13:21">
      <c r="M174">
        <v>9</v>
      </c>
      <c r="N174">
        <v>10</v>
      </c>
      <c r="O174">
        <v>5</v>
      </c>
      <c r="P174">
        <v>4</v>
      </c>
      <c r="Q174">
        <v>5</v>
      </c>
      <c r="R174">
        <v>30</v>
      </c>
      <c r="S174">
        <v>80</v>
      </c>
      <c r="T174">
        <v>85</v>
      </c>
      <c r="U174">
        <v>10</v>
      </c>
    </row>
    <row r="175" spans="13:21">
      <c r="M175">
        <v>9</v>
      </c>
      <c r="N175">
        <v>20</v>
      </c>
      <c r="O175">
        <v>5</v>
      </c>
      <c r="P175">
        <v>7</v>
      </c>
      <c r="Q175">
        <v>5</v>
      </c>
      <c r="R175">
        <v>20</v>
      </c>
      <c r="S175">
        <v>120</v>
      </c>
      <c r="T175">
        <v>25</v>
      </c>
      <c r="U175">
        <v>30</v>
      </c>
    </row>
    <row r="176" spans="13:21">
      <c r="M176">
        <v>9</v>
      </c>
      <c r="N176">
        <v>20</v>
      </c>
      <c r="O176">
        <v>5</v>
      </c>
      <c r="P176">
        <v>7</v>
      </c>
      <c r="Q176">
        <v>5</v>
      </c>
      <c r="R176">
        <v>30</v>
      </c>
      <c r="S176">
        <v>120</v>
      </c>
      <c r="T176">
        <v>25</v>
      </c>
      <c r="U176">
        <v>30</v>
      </c>
    </row>
    <row r="177" spans="13:21">
      <c r="M177">
        <v>9</v>
      </c>
      <c r="N177">
        <v>20</v>
      </c>
      <c r="O177">
        <v>5</v>
      </c>
      <c r="P177">
        <v>4</v>
      </c>
      <c r="Q177">
        <v>5</v>
      </c>
      <c r="R177">
        <v>20</v>
      </c>
      <c r="S177">
        <v>120</v>
      </c>
      <c r="T177">
        <v>25</v>
      </c>
      <c r="U177">
        <v>30</v>
      </c>
    </row>
    <row r="178" spans="13:21">
      <c r="M178">
        <v>9</v>
      </c>
      <c r="N178">
        <v>20</v>
      </c>
      <c r="O178">
        <v>5</v>
      </c>
      <c r="P178">
        <v>4</v>
      </c>
      <c r="Q178">
        <v>5</v>
      </c>
      <c r="R178">
        <v>30</v>
      </c>
      <c r="S178">
        <v>120</v>
      </c>
      <c r="T178">
        <v>25</v>
      </c>
      <c r="U178">
        <v>30</v>
      </c>
    </row>
    <row r="179" spans="13:21">
      <c r="M179">
        <v>9</v>
      </c>
      <c r="N179">
        <v>10</v>
      </c>
      <c r="O179">
        <v>5</v>
      </c>
      <c r="P179">
        <v>7</v>
      </c>
      <c r="Q179">
        <v>5</v>
      </c>
      <c r="R179">
        <v>20</v>
      </c>
      <c r="S179">
        <v>80</v>
      </c>
      <c r="T179">
        <v>85</v>
      </c>
      <c r="U179">
        <v>10</v>
      </c>
    </row>
    <row r="180" spans="13:21">
      <c r="M180">
        <v>9</v>
      </c>
      <c r="N180">
        <v>10</v>
      </c>
      <c r="O180">
        <v>5</v>
      </c>
      <c r="P180">
        <v>4</v>
      </c>
      <c r="Q180">
        <v>5</v>
      </c>
      <c r="R180">
        <v>20</v>
      </c>
      <c r="S180">
        <v>80</v>
      </c>
      <c r="T180">
        <v>85</v>
      </c>
      <c r="U180">
        <v>10</v>
      </c>
    </row>
    <row r="181" spans="13:21">
      <c r="M181">
        <v>9</v>
      </c>
      <c r="N181">
        <v>10</v>
      </c>
      <c r="O181">
        <v>5</v>
      </c>
      <c r="P181">
        <v>7</v>
      </c>
      <c r="Q181">
        <v>5</v>
      </c>
      <c r="R181">
        <v>30</v>
      </c>
      <c r="S181">
        <v>80</v>
      </c>
      <c r="T181">
        <v>85</v>
      </c>
      <c r="U181">
        <v>10</v>
      </c>
    </row>
    <row r="182" spans="13:21">
      <c r="M182">
        <v>9</v>
      </c>
      <c r="N182">
        <v>10</v>
      </c>
      <c r="O182">
        <v>5</v>
      </c>
      <c r="P182">
        <v>4</v>
      </c>
      <c r="Q182">
        <v>5</v>
      </c>
      <c r="R182">
        <v>30</v>
      </c>
      <c r="S182">
        <v>80</v>
      </c>
      <c r="T182">
        <v>85</v>
      </c>
      <c r="U182">
        <v>10</v>
      </c>
    </row>
    <row r="183" spans="13:21">
      <c r="M183">
        <v>9</v>
      </c>
      <c r="N183">
        <v>20</v>
      </c>
      <c r="O183">
        <v>5</v>
      </c>
      <c r="P183">
        <v>7</v>
      </c>
      <c r="Q183">
        <v>5</v>
      </c>
      <c r="R183">
        <v>20</v>
      </c>
      <c r="S183">
        <v>120</v>
      </c>
      <c r="T183">
        <v>25</v>
      </c>
      <c r="U183">
        <v>30</v>
      </c>
    </row>
    <row r="184" spans="13:21">
      <c r="M184">
        <v>9</v>
      </c>
      <c r="N184">
        <v>20</v>
      </c>
      <c r="O184">
        <v>5</v>
      </c>
      <c r="P184">
        <v>7</v>
      </c>
      <c r="Q184">
        <v>5</v>
      </c>
      <c r="R184">
        <v>30</v>
      </c>
      <c r="S184">
        <v>120</v>
      </c>
      <c r="T184">
        <v>25</v>
      </c>
      <c r="U184">
        <v>30</v>
      </c>
    </row>
    <row r="185" spans="13:21">
      <c r="M185">
        <v>9</v>
      </c>
      <c r="N185">
        <v>20</v>
      </c>
      <c r="O185">
        <v>5</v>
      </c>
      <c r="P185">
        <v>4</v>
      </c>
      <c r="Q185">
        <v>5</v>
      </c>
      <c r="R185">
        <v>20</v>
      </c>
      <c r="S185">
        <v>120</v>
      </c>
      <c r="T185">
        <v>25</v>
      </c>
      <c r="U185">
        <v>30</v>
      </c>
    </row>
    <row r="186" spans="13:21">
      <c r="M186">
        <v>10</v>
      </c>
      <c r="N186">
        <v>20</v>
      </c>
      <c r="O186">
        <v>5</v>
      </c>
      <c r="P186">
        <v>7</v>
      </c>
      <c r="Q186">
        <v>5</v>
      </c>
      <c r="R186">
        <v>30</v>
      </c>
      <c r="S186">
        <v>80</v>
      </c>
      <c r="T186">
        <v>85</v>
      </c>
      <c r="U186">
        <v>20</v>
      </c>
    </row>
    <row r="187" spans="13:21">
      <c r="M187">
        <v>10</v>
      </c>
      <c r="N187">
        <v>20</v>
      </c>
      <c r="O187">
        <v>5</v>
      </c>
      <c r="P187">
        <v>4</v>
      </c>
      <c r="Q187">
        <v>5</v>
      </c>
      <c r="R187">
        <v>30</v>
      </c>
      <c r="S187">
        <v>120</v>
      </c>
      <c r="T187">
        <v>25</v>
      </c>
      <c r="U187">
        <v>30</v>
      </c>
    </row>
    <row r="188" spans="13:21">
      <c r="M188">
        <v>10</v>
      </c>
      <c r="N188">
        <v>10</v>
      </c>
      <c r="O188">
        <v>5</v>
      </c>
      <c r="P188">
        <v>7</v>
      </c>
      <c r="Q188">
        <v>5</v>
      </c>
      <c r="R188">
        <v>30</v>
      </c>
      <c r="S188">
        <v>80</v>
      </c>
      <c r="T188">
        <v>85</v>
      </c>
      <c r="U188">
        <v>20</v>
      </c>
    </row>
    <row r="189" spans="13:21">
      <c r="M189">
        <v>10</v>
      </c>
      <c r="N189">
        <v>10</v>
      </c>
      <c r="O189">
        <v>5</v>
      </c>
      <c r="P189">
        <v>4</v>
      </c>
      <c r="Q189">
        <v>5</v>
      </c>
      <c r="R189">
        <v>30</v>
      </c>
      <c r="S189">
        <v>90</v>
      </c>
      <c r="T189">
        <v>85</v>
      </c>
      <c r="U189">
        <v>20</v>
      </c>
    </row>
    <row r="190" spans="13:21">
      <c r="M190">
        <v>10</v>
      </c>
      <c r="N190">
        <v>20</v>
      </c>
      <c r="O190">
        <v>5</v>
      </c>
      <c r="P190">
        <v>4</v>
      </c>
      <c r="Q190">
        <v>5</v>
      </c>
      <c r="R190">
        <v>20</v>
      </c>
      <c r="S190">
        <v>80</v>
      </c>
      <c r="T190">
        <v>85</v>
      </c>
      <c r="U190">
        <v>20</v>
      </c>
    </row>
    <row r="191" spans="13:21">
      <c r="M191">
        <v>10</v>
      </c>
      <c r="N191">
        <v>10</v>
      </c>
      <c r="O191">
        <v>5</v>
      </c>
      <c r="P191">
        <v>7</v>
      </c>
      <c r="Q191">
        <v>5</v>
      </c>
      <c r="R191">
        <v>20</v>
      </c>
      <c r="S191">
        <v>80</v>
      </c>
      <c r="T191">
        <v>85</v>
      </c>
      <c r="U191">
        <v>25</v>
      </c>
    </row>
    <row r="192" spans="13:21">
      <c r="M192">
        <v>10</v>
      </c>
      <c r="N192">
        <v>10</v>
      </c>
      <c r="O192">
        <v>5</v>
      </c>
      <c r="P192">
        <v>4</v>
      </c>
      <c r="Q192">
        <v>5</v>
      </c>
      <c r="R192">
        <v>30</v>
      </c>
      <c r="S192">
        <v>80</v>
      </c>
      <c r="T192">
        <v>85</v>
      </c>
      <c r="U192">
        <v>20</v>
      </c>
    </row>
    <row r="193" spans="13:21">
      <c r="M193">
        <v>10</v>
      </c>
      <c r="N193">
        <v>10</v>
      </c>
      <c r="O193">
        <v>5</v>
      </c>
      <c r="P193">
        <v>4</v>
      </c>
      <c r="Q193">
        <v>5</v>
      </c>
      <c r="R193">
        <v>20</v>
      </c>
      <c r="S193">
        <v>90</v>
      </c>
      <c r="T193">
        <v>85</v>
      </c>
      <c r="U193">
        <v>20</v>
      </c>
    </row>
    <row r="194" spans="13:21">
      <c r="M194">
        <v>10</v>
      </c>
      <c r="N194">
        <v>10</v>
      </c>
      <c r="O194">
        <v>5</v>
      </c>
      <c r="P194">
        <v>7</v>
      </c>
      <c r="Q194">
        <v>5</v>
      </c>
      <c r="R194">
        <v>20</v>
      </c>
      <c r="S194">
        <v>80</v>
      </c>
      <c r="T194">
        <v>85</v>
      </c>
      <c r="U194">
        <v>10</v>
      </c>
    </row>
    <row r="195" spans="13:21">
      <c r="M195">
        <v>10</v>
      </c>
      <c r="N195">
        <v>10</v>
      </c>
      <c r="O195">
        <v>5</v>
      </c>
      <c r="P195">
        <v>4</v>
      </c>
      <c r="Q195">
        <v>5</v>
      </c>
      <c r="R195">
        <v>20</v>
      </c>
      <c r="S195">
        <v>80</v>
      </c>
      <c r="T195">
        <v>85</v>
      </c>
      <c r="U195">
        <v>10</v>
      </c>
    </row>
    <row r="196" spans="13:21">
      <c r="M196">
        <v>10</v>
      </c>
      <c r="N196">
        <v>10</v>
      </c>
      <c r="O196">
        <v>5</v>
      </c>
      <c r="P196">
        <v>4</v>
      </c>
      <c r="Q196">
        <v>5</v>
      </c>
      <c r="R196">
        <v>20</v>
      </c>
      <c r="S196">
        <v>80</v>
      </c>
      <c r="T196">
        <v>85</v>
      </c>
      <c r="U196">
        <v>25</v>
      </c>
    </row>
    <row r="197" spans="13:21">
      <c r="M197">
        <v>10</v>
      </c>
      <c r="N197">
        <v>20</v>
      </c>
      <c r="O197">
        <v>5</v>
      </c>
      <c r="P197">
        <v>7</v>
      </c>
      <c r="Q197">
        <v>5</v>
      </c>
      <c r="R197">
        <v>20</v>
      </c>
      <c r="S197">
        <v>90</v>
      </c>
      <c r="T197">
        <v>85</v>
      </c>
      <c r="U197">
        <v>15</v>
      </c>
    </row>
    <row r="198" spans="13:21">
      <c r="M198">
        <v>10</v>
      </c>
      <c r="N198">
        <v>10</v>
      </c>
      <c r="O198">
        <v>5</v>
      </c>
      <c r="P198">
        <v>7</v>
      </c>
      <c r="Q198">
        <v>5</v>
      </c>
      <c r="R198">
        <v>20</v>
      </c>
      <c r="S198">
        <v>80</v>
      </c>
      <c r="T198">
        <v>85</v>
      </c>
      <c r="U198">
        <v>30</v>
      </c>
    </row>
    <row r="199" spans="13:21">
      <c r="M199">
        <v>10</v>
      </c>
      <c r="N199">
        <v>10</v>
      </c>
      <c r="O199">
        <v>5</v>
      </c>
      <c r="P199">
        <v>7</v>
      </c>
      <c r="Q199">
        <v>5</v>
      </c>
      <c r="R199">
        <v>30</v>
      </c>
      <c r="S199">
        <v>80</v>
      </c>
      <c r="T199">
        <v>85</v>
      </c>
      <c r="U199">
        <v>30</v>
      </c>
    </row>
    <row r="200" spans="13:21">
      <c r="M200">
        <v>10</v>
      </c>
      <c r="N200">
        <v>10</v>
      </c>
      <c r="O200">
        <v>5</v>
      </c>
      <c r="P200">
        <v>7</v>
      </c>
      <c r="Q200">
        <v>5</v>
      </c>
      <c r="R200">
        <v>30</v>
      </c>
      <c r="S200">
        <v>80</v>
      </c>
      <c r="T200">
        <v>85</v>
      </c>
      <c r="U200">
        <v>10</v>
      </c>
    </row>
    <row r="201" spans="13:21">
      <c r="M201">
        <v>10</v>
      </c>
      <c r="N201">
        <v>10</v>
      </c>
      <c r="O201">
        <v>5</v>
      </c>
      <c r="P201">
        <v>4</v>
      </c>
      <c r="Q201">
        <v>5</v>
      </c>
      <c r="R201">
        <v>30</v>
      </c>
      <c r="S201">
        <v>80</v>
      </c>
      <c r="T201">
        <v>85</v>
      </c>
      <c r="U201">
        <v>10</v>
      </c>
    </row>
    <row r="202" spans="13:21">
      <c r="M202">
        <v>10</v>
      </c>
      <c r="N202">
        <v>20</v>
      </c>
      <c r="O202">
        <v>5</v>
      </c>
      <c r="P202">
        <v>7</v>
      </c>
      <c r="Q202">
        <v>5</v>
      </c>
      <c r="R202">
        <v>20</v>
      </c>
      <c r="S202">
        <v>120</v>
      </c>
      <c r="T202">
        <v>25</v>
      </c>
      <c r="U202">
        <v>30</v>
      </c>
    </row>
    <row r="203" spans="13:21">
      <c r="M203">
        <v>10</v>
      </c>
      <c r="N203">
        <v>20</v>
      </c>
      <c r="O203">
        <v>5</v>
      </c>
      <c r="P203">
        <v>4</v>
      </c>
      <c r="Q203">
        <v>5</v>
      </c>
      <c r="R203">
        <v>30</v>
      </c>
      <c r="S203">
        <v>80</v>
      </c>
      <c r="T203">
        <v>85</v>
      </c>
      <c r="U203">
        <v>20</v>
      </c>
    </row>
    <row r="204" spans="13:21">
      <c r="M204">
        <v>10</v>
      </c>
      <c r="N204">
        <v>10</v>
      </c>
      <c r="O204">
        <v>5</v>
      </c>
      <c r="P204">
        <v>7</v>
      </c>
      <c r="Q204">
        <v>5</v>
      </c>
      <c r="R204">
        <v>30</v>
      </c>
      <c r="S204">
        <v>80</v>
      </c>
      <c r="T204">
        <v>85</v>
      </c>
      <c r="U204">
        <v>25</v>
      </c>
    </row>
    <row r="205" spans="13:21">
      <c r="M205">
        <v>10</v>
      </c>
      <c r="N205">
        <v>10</v>
      </c>
      <c r="O205">
        <v>5</v>
      </c>
      <c r="P205">
        <v>7</v>
      </c>
      <c r="Q205">
        <v>5</v>
      </c>
      <c r="R205">
        <v>20</v>
      </c>
      <c r="S205">
        <v>90</v>
      </c>
      <c r="T205">
        <v>85</v>
      </c>
      <c r="U205">
        <v>20</v>
      </c>
    </row>
    <row r="206" spans="13:21">
      <c r="M206">
        <v>10</v>
      </c>
      <c r="N206">
        <v>10</v>
      </c>
      <c r="O206">
        <v>5</v>
      </c>
      <c r="P206">
        <v>4</v>
      </c>
      <c r="Q206">
        <v>5</v>
      </c>
      <c r="R206">
        <v>20</v>
      </c>
      <c r="S206">
        <v>80</v>
      </c>
      <c r="T206">
        <v>85</v>
      </c>
      <c r="U206">
        <v>20</v>
      </c>
    </row>
    <row r="207" spans="13:21">
      <c r="M207">
        <v>10</v>
      </c>
      <c r="N207">
        <v>20</v>
      </c>
      <c r="O207">
        <v>5</v>
      </c>
      <c r="P207">
        <v>7</v>
      </c>
      <c r="Q207">
        <v>5</v>
      </c>
      <c r="R207">
        <v>30</v>
      </c>
      <c r="S207">
        <v>120</v>
      </c>
      <c r="T207">
        <v>25</v>
      </c>
      <c r="U207">
        <v>30</v>
      </c>
    </row>
    <row r="208" spans="13:21">
      <c r="M208">
        <v>10</v>
      </c>
      <c r="N208">
        <v>10</v>
      </c>
      <c r="O208">
        <v>5</v>
      </c>
      <c r="P208">
        <v>7</v>
      </c>
      <c r="Q208">
        <v>5</v>
      </c>
      <c r="R208">
        <v>30</v>
      </c>
      <c r="S208">
        <v>90</v>
      </c>
      <c r="T208">
        <v>85</v>
      </c>
      <c r="U208">
        <v>20</v>
      </c>
    </row>
    <row r="209" spans="13:21">
      <c r="M209">
        <v>10</v>
      </c>
      <c r="N209">
        <v>20</v>
      </c>
      <c r="O209">
        <v>5</v>
      </c>
      <c r="P209">
        <v>7</v>
      </c>
      <c r="Q209">
        <v>5</v>
      </c>
      <c r="R209">
        <v>30</v>
      </c>
      <c r="S209">
        <v>90</v>
      </c>
      <c r="T209">
        <v>85</v>
      </c>
      <c r="U209">
        <v>15</v>
      </c>
    </row>
    <row r="210" spans="13:21">
      <c r="M210">
        <v>10</v>
      </c>
      <c r="N210">
        <v>20</v>
      </c>
      <c r="O210">
        <v>5</v>
      </c>
      <c r="P210">
        <v>7</v>
      </c>
      <c r="Q210">
        <v>5</v>
      </c>
      <c r="R210">
        <v>20</v>
      </c>
      <c r="S210">
        <v>80</v>
      </c>
      <c r="T210">
        <v>85</v>
      </c>
      <c r="U210">
        <v>20</v>
      </c>
    </row>
    <row r="211" spans="13:21">
      <c r="M211">
        <v>10</v>
      </c>
      <c r="N211">
        <v>10</v>
      </c>
      <c r="O211">
        <v>5</v>
      </c>
      <c r="P211">
        <v>7</v>
      </c>
      <c r="Q211">
        <v>5</v>
      </c>
      <c r="R211">
        <v>20</v>
      </c>
      <c r="S211">
        <v>80</v>
      </c>
      <c r="T211">
        <v>85</v>
      </c>
      <c r="U211">
        <v>20</v>
      </c>
    </row>
    <row r="212" spans="13:21">
      <c r="M212">
        <v>10</v>
      </c>
      <c r="N212">
        <v>10</v>
      </c>
      <c r="O212">
        <v>5</v>
      </c>
      <c r="P212">
        <v>4</v>
      </c>
      <c r="Q212">
        <v>5</v>
      </c>
      <c r="R212">
        <v>30</v>
      </c>
      <c r="S212">
        <v>80</v>
      </c>
      <c r="T212">
        <v>85</v>
      </c>
      <c r="U212">
        <v>25</v>
      </c>
    </row>
    <row r="213" spans="13:21">
      <c r="M213">
        <v>10</v>
      </c>
      <c r="N213">
        <v>20</v>
      </c>
      <c r="O213">
        <v>5</v>
      </c>
      <c r="P213">
        <v>4</v>
      </c>
      <c r="Q213">
        <v>5</v>
      </c>
      <c r="R213">
        <v>20</v>
      </c>
      <c r="S213">
        <v>120</v>
      </c>
      <c r="T213">
        <v>25</v>
      </c>
      <c r="U213">
        <v>30</v>
      </c>
    </row>
    <row r="214" spans="13:21">
      <c r="M214">
        <v>10</v>
      </c>
      <c r="N214">
        <v>10</v>
      </c>
      <c r="O214">
        <v>5</v>
      </c>
      <c r="P214">
        <v>4</v>
      </c>
      <c r="Q214">
        <v>5</v>
      </c>
      <c r="R214">
        <v>30</v>
      </c>
      <c r="S214">
        <v>80</v>
      </c>
      <c r="T214">
        <v>85</v>
      </c>
      <c r="U214">
        <v>30</v>
      </c>
    </row>
    <row r="215" spans="13:21">
      <c r="M215">
        <v>10</v>
      </c>
      <c r="N215">
        <v>10</v>
      </c>
      <c r="O215">
        <v>5</v>
      </c>
      <c r="P215">
        <v>4</v>
      </c>
      <c r="Q215">
        <v>5</v>
      </c>
      <c r="R215">
        <v>20</v>
      </c>
      <c r="S215">
        <v>80</v>
      </c>
      <c r="T215">
        <v>85</v>
      </c>
      <c r="U215">
        <v>30</v>
      </c>
    </row>
    <row r="216" spans="13:21">
      <c r="M216">
        <v>11</v>
      </c>
      <c r="N216">
        <v>10</v>
      </c>
      <c r="O216">
        <v>5</v>
      </c>
      <c r="P216">
        <v>4</v>
      </c>
      <c r="Q216">
        <v>5</v>
      </c>
      <c r="R216">
        <v>30</v>
      </c>
      <c r="S216">
        <v>90</v>
      </c>
      <c r="T216">
        <v>85</v>
      </c>
      <c r="U216">
        <v>20</v>
      </c>
    </row>
    <row r="217" spans="13:21">
      <c r="M217">
        <v>11</v>
      </c>
      <c r="N217">
        <v>10</v>
      </c>
      <c r="O217">
        <v>5</v>
      </c>
      <c r="P217">
        <v>7</v>
      </c>
      <c r="Q217">
        <v>5</v>
      </c>
      <c r="R217">
        <v>20</v>
      </c>
      <c r="S217">
        <v>80</v>
      </c>
      <c r="T217">
        <v>85</v>
      </c>
      <c r="U217">
        <v>25</v>
      </c>
    </row>
    <row r="218" spans="13:21">
      <c r="M218">
        <v>11</v>
      </c>
      <c r="N218">
        <v>10</v>
      </c>
      <c r="O218">
        <v>5</v>
      </c>
      <c r="P218">
        <v>4</v>
      </c>
      <c r="Q218">
        <v>5</v>
      </c>
      <c r="R218">
        <v>20</v>
      </c>
      <c r="S218">
        <v>90</v>
      </c>
      <c r="T218">
        <v>85</v>
      </c>
      <c r="U218">
        <v>20</v>
      </c>
    </row>
    <row r="219" spans="13:21">
      <c r="M219">
        <v>11</v>
      </c>
      <c r="N219">
        <v>10</v>
      </c>
      <c r="O219">
        <v>5</v>
      </c>
      <c r="P219">
        <v>4</v>
      </c>
      <c r="Q219">
        <v>5</v>
      </c>
      <c r="R219">
        <v>20</v>
      </c>
      <c r="S219">
        <v>80</v>
      </c>
      <c r="T219">
        <v>85</v>
      </c>
      <c r="U219">
        <v>25</v>
      </c>
    </row>
    <row r="220" spans="13:21">
      <c r="M220">
        <v>11</v>
      </c>
      <c r="N220">
        <v>10</v>
      </c>
      <c r="O220">
        <v>5</v>
      </c>
      <c r="P220">
        <v>7</v>
      </c>
      <c r="Q220">
        <v>5</v>
      </c>
      <c r="R220">
        <v>20</v>
      </c>
      <c r="S220">
        <v>80</v>
      </c>
      <c r="T220">
        <v>85</v>
      </c>
      <c r="U220">
        <v>30</v>
      </c>
    </row>
    <row r="221" spans="13:21">
      <c r="M221">
        <v>11</v>
      </c>
      <c r="N221">
        <v>10</v>
      </c>
      <c r="O221">
        <v>5</v>
      </c>
      <c r="P221">
        <v>7</v>
      </c>
      <c r="Q221">
        <v>5</v>
      </c>
      <c r="R221">
        <v>30</v>
      </c>
      <c r="S221">
        <v>80</v>
      </c>
      <c r="T221">
        <v>85</v>
      </c>
      <c r="U221">
        <v>30</v>
      </c>
    </row>
    <row r="222" spans="13:21">
      <c r="M222">
        <v>11</v>
      </c>
      <c r="N222">
        <v>10</v>
      </c>
      <c r="O222">
        <v>5</v>
      </c>
      <c r="P222">
        <v>7</v>
      </c>
      <c r="Q222">
        <v>5</v>
      </c>
      <c r="R222">
        <v>30</v>
      </c>
      <c r="S222">
        <v>80</v>
      </c>
      <c r="T222">
        <v>85</v>
      </c>
      <c r="U222">
        <v>25</v>
      </c>
    </row>
    <row r="223" spans="13:21">
      <c r="M223">
        <v>11</v>
      </c>
      <c r="N223">
        <v>10</v>
      </c>
      <c r="O223">
        <v>5</v>
      </c>
      <c r="P223">
        <v>7</v>
      </c>
      <c r="Q223">
        <v>5</v>
      </c>
      <c r="R223">
        <v>20</v>
      </c>
      <c r="S223">
        <v>90</v>
      </c>
      <c r="T223">
        <v>85</v>
      </c>
      <c r="U223">
        <v>20</v>
      </c>
    </row>
    <row r="224" spans="13:21">
      <c r="M224">
        <v>11</v>
      </c>
      <c r="N224">
        <v>10</v>
      </c>
      <c r="O224">
        <v>5</v>
      </c>
      <c r="P224">
        <v>7</v>
      </c>
      <c r="Q224">
        <v>5</v>
      </c>
      <c r="R224">
        <v>30</v>
      </c>
      <c r="S224">
        <v>90</v>
      </c>
      <c r="T224">
        <v>85</v>
      </c>
      <c r="U224">
        <v>20</v>
      </c>
    </row>
    <row r="225" spans="13:21">
      <c r="M225">
        <v>11</v>
      </c>
      <c r="N225">
        <v>10</v>
      </c>
      <c r="O225">
        <v>5</v>
      </c>
      <c r="P225">
        <v>4</v>
      </c>
      <c r="Q225">
        <v>5</v>
      </c>
      <c r="R225">
        <v>30</v>
      </c>
      <c r="S225">
        <v>80</v>
      </c>
      <c r="T225">
        <v>85</v>
      </c>
      <c r="U225">
        <v>25</v>
      </c>
    </row>
    <row r="226" spans="13:21">
      <c r="M226">
        <v>11</v>
      </c>
      <c r="N226">
        <v>10</v>
      </c>
      <c r="O226">
        <v>5</v>
      </c>
      <c r="P226">
        <v>4</v>
      </c>
      <c r="Q226">
        <v>5</v>
      </c>
      <c r="R226">
        <v>30</v>
      </c>
      <c r="S226">
        <v>80</v>
      </c>
      <c r="T226">
        <v>85</v>
      </c>
      <c r="U226">
        <v>30</v>
      </c>
    </row>
    <row r="227" spans="13:21">
      <c r="M227">
        <v>11</v>
      </c>
      <c r="N227">
        <v>10</v>
      </c>
      <c r="O227">
        <v>5</v>
      </c>
      <c r="P227">
        <v>4</v>
      </c>
      <c r="Q227">
        <v>5</v>
      </c>
      <c r="R227">
        <v>20</v>
      </c>
      <c r="S227">
        <v>80</v>
      </c>
      <c r="T227">
        <v>85</v>
      </c>
      <c r="U227">
        <v>30</v>
      </c>
    </row>
    <row r="228" spans="13:21">
      <c r="M228">
        <v>11</v>
      </c>
      <c r="N228">
        <v>10</v>
      </c>
      <c r="O228">
        <v>5</v>
      </c>
      <c r="P228">
        <v>4</v>
      </c>
      <c r="Q228">
        <v>5</v>
      </c>
      <c r="R228">
        <v>30</v>
      </c>
      <c r="S228">
        <v>90</v>
      </c>
      <c r="T228">
        <v>85</v>
      </c>
      <c r="U228">
        <v>20</v>
      </c>
    </row>
    <row r="229" spans="13:21">
      <c r="M229">
        <v>11</v>
      </c>
      <c r="N229">
        <v>10</v>
      </c>
      <c r="O229">
        <v>5</v>
      </c>
      <c r="P229">
        <v>7</v>
      </c>
      <c r="Q229">
        <v>5</v>
      </c>
      <c r="R229">
        <v>20</v>
      </c>
      <c r="S229">
        <v>80</v>
      </c>
      <c r="T229">
        <v>85</v>
      </c>
      <c r="U229">
        <v>25</v>
      </c>
    </row>
    <row r="230" spans="13:21">
      <c r="M230">
        <v>11</v>
      </c>
      <c r="N230">
        <v>10</v>
      </c>
      <c r="O230">
        <v>5</v>
      </c>
      <c r="P230">
        <v>4</v>
      </c>
      <c r="Q230">
        <v>5</v>
      </c>
      <c r="R230">
        <v>20</v>
      </c>
      <c r="S230">
        <v>90</v>
      </c>
      <c r="T230">
        <v>85</v>
      </c>
      <c r="U230">
        <v>20</v>
      </c>
    </row>
    <row r="231" spans="13:21">
      <c r="M231">
        <v>11</v>
      </c>
      <c r="N231">
        <v>10</v>
      </c>
      <c r="O231">
        <v>5</v>
      </c>
      <c r="P231">
        <v>4</v>
      </c>
      <c r="Q231">
        <v>5</v>
      </c>
      <c r="R231">
        <v>20</v>
      </c>
      <c r="S231">
        <v>80</v>
      </c>
      <c r="T231">
        <v>85</v>
      </c>
      <c r="U231">
        <v>25</v>
      </c>
    </row>
    <row r="232" spans="13:21">
      <c r="M232">
        <v>11</v>
      </c>
      <c r="N232">
        <v>10</v>
      </c>
      <c r="O232">
        <v>5</v>
      </c>
      <c r="P232">
        <v>7</v>
      </c>
      <c r="Q232">
        <v>5</v>
      </c>
      <c r="R232">
        <v>20</v>
      </c>
      <c r="S232">
        <v>80</v>
      </c>
      <c r="T232">
        <v>85</v>
      </c>
      <c r="U232">
        <v>30</v>
      </c>
    </row>
    <row r="233" spans="13:21">
      <c r="M233">
        <v>11</v>
      </c>
      <c r="N233">
        <v>10</v>
      </c>
      <c r="O233">
        <v>5</v>
      </c>
      <c r="P233">
        <v>7</v>
      </c>
      <c r="Q233">
        <v>5</v>
      </c>
      <c r="R233">
        <v>30</v>
      </c>
      <c r="S233">
        <v>80</v>
      </c>
      <c r="T233">
        <v>85</v>
      </c>
      <c r="U233">
        <v>30</v>
      </c>
    </row>
    <row r="234" spans="13:21">
      <c r="M234">
        <v>11</v>
      </c>
      <c r="N234">
        <v>10</v>
      </c>
      <c r="O234">
        <v>5</v>
      </c>
      <c r="P234">
        <v>7</v>
      </c>
      <c r="Q234">
        <v>5</v>
      </c>
      <c r="R234">
        <v>30</v>
      </c>
      <c r="S234">
        <v>80</v>
      </c>
      <c r="T234">
        <v>85</v>
      </c>
      <c r="U234">
        <v>25</v>
      </c>
    </row>
    <row r="235" spans="13:21">
      <c r="M235">
        <v>11</v>
      </c>
      <c r="N235">
        <v>10</v>
      </c>
      <c r="O235">
        <v>5</v>
      </c>
      <c r="P235">
        <v>7</v>
      </c>
      <c r="Q235">
        <v>5</v>
      </c>
      <c r="R235">
        <v>20</v>
      </c>
      <c r="S235">
        <v>90</v>
      </c>
      <c r="T235">
        <v>85</v>
      </c>
      <c r="U235">
        <v>20</v>
      </c>
    </row>
    <row r="236" spans="13:21">
      <c r="M236">
        <v>11</v>
      </c>
      <c r="N236">
        <v>10</v>
      </c>
      <c r="O236">
        <v>5</v>
      </c>
      <c r="P236">
        <v>7</v>
      </c>
      <c r="Q236">
        <v>5</v>
      </c>
      <c r="R236">
        <v>30</v>
      </c>
      <c r="S236">
        <v>90</v>
      </c>
      <c r="T236">
        <v>85</v>
      </c>
      <c r="U236">
        <v>20</v>
      </c>
    </row>
    <row r="237" spans="13:21">
      <c r="M237">
        <v>11</v>
      </c>
      <c r="N237">
        <v>10</v>
      </c>
      <c r="O237">
        <v>5</v>
      </c>
      <c r="P237">
        <v>4</v>
      </c>
      <c r="Q237">
        <v>5</v>
      </c>
      <c r="R237">
        <v>30</v>
      </c>
      <c r="S237">
        <v>80</v>
      </c>
      <c r="T237">
        <v>85</v>
      </c>
      <c r="U237">
        <v>25</v>
      </c>
    </row>
    <row r="238" spans="13:21">
      <c r="M238">
        <v>11</v>
      </c>
      <c r="N238">
        <v>10</v>
      </c>
      <c r="O238">
        <v>5</v>
      </c>
      <c r="P238">
        <v>4</v>
      </c>
      <c r="Q238">
        <v>5</v>
      </c>
      <c r="R238">
        <v>30</v>
      </c>
      <c r="S238">
        <v>80</v>
      </c>
      <c r="T238">
        <v>85</v>
      </c>
      <c r="U238">
        <v>30</v>
      </c>
    </row>
    <row r="239" spans="13:21">
      <c r="M239">
        <v>11</v>
      </c>
      <c r="N239">
        <v>10</v>
      </c>
      <c r="O239">
        <v>5</v>
      </c>
      <c r="P239">
        <v>4</v>
      </c>
      <c r="Q239">
        <v>5</v>
      </c>
      <c r="R239">
        <v>20</v>
      </c>
      <c r="S239">
        <v>80</v>
      </c>
      <c r="T239">
        <v>85</v>
      </c>
      <c r="U239">
        <v>30</v>
      </c>
    </row>
    <row r="240" spans="13:21">
      <c r="M240">
        <v>12</v>
      </c>
      <c r="N240">
        <v>10</v>
      </c>
      <c r="O240">
        <v>5</v>
      </c>
      <c r="P240">
        <v>4</v>
      </c>
      <c r="Q240">
        <v>5</v>
      </c>
      <c r="R240">
        <v>30</v>
      </c>
      <c r="S240">
        <v>90</v>
      </c>
      <c r="T240">
        <v>85</v>
      </c>
      <c r="U240">
        <v>20</v>
      </c>
    </row>
    <row r="241" spans="13:21">
      <c r="M241">
        <v>12</v>
      </c>
      <c r="N241">
        <v>10</v>
      </c>
      <c r="O241">
        <v>5</v>
      </c>
      <c r="P241">
        <v>7</v>
      </c>
      <c r="Q241">
        <v>5</v>
      </c>
      <c r="R241">
        <v>20</v>
      </c>
      <c r="S241">
        <v>80</v>
      </c>
      <c r="T241">
        <v>85</v>
      </c>
      <c r="U241">
        <v>25</v>
      </c>
    </row>
    <row r="242" spans="13:21">
      <c r="M242">
        <v>12</v>
      </c>
      <c r="N242">
        <v>10</v>
      </c>
      <c r="O242">
        <v>5</v>
      </c>
      <c r="P242">
        <v>4</v>
      </c>
      <c r="Q242">
        <v>5</v>
      </c>
      <c r="R242">
        <v>20</v>
      </c>
      <c r="S242">
        <v>90</v>
      </c>
      <c r="T242">
        <v>85</v>
      </c>
      <c r="U242">
        <v>20</v>
      </c>
    </row>
    <row r="243" spans="13:21">
      <c r="M243">
        <v>12</v>
      </c>
      <c r="N243">
        <v>10</v>
      </c>
      <c r="O243">
        <v>5</v>
      </c>
      <c r="P243">
        <v>4</v>
      </c>
      <c r="Q243">
        <v>5</v>
      </c>
      <c r="R243">
        <v>20</v>
      </c>
      <c r="S243">
        <v>80</v>
      </c>
      <c r="T243">
        <v>85</v>
      </c>
      <c r="U243">
        <v>25</v>
      </c>
    </row>
    <row r="244" spans="13:21">
      <c r="M244">
        <v>12</v>
      </c>
      <c r="N244">
        <v>10</v>
      </c>
      <c r="O244">
        <v>5</v>
      </c>
      <c r="P244">
        <v>7</v>
      </c>
      <c r="Q244">
        <v>5</v>
      </c>
      <c r="R244">
        <v>20</v>
      </c>
      <c r="S244">
        <v>80</v>
      </c>
      <c r="T244">
        <v>85</v>
      </c>
      <c r="U244">
        <v>30</v>
      </c>
    </row>
    <row r="245" spans="13:21">
      <c r="M245">
        <v>12</v>
      </c>
      <c r="N245">
        <v>10</v>
      </c>
      <c r="O245">
        <v>5</v>
      </c>
      <c r="P245">
        <v>7</v>
      </c>
      <c r="Q245">
        <v>5</v>
      </c>
      <c r="R245">
        <v>30</v>
      </c>
      <c r="S245">
        <v>80</v>
      </c>
      <c r="T245">
        <v>85</v>
      </c>
      <c r="U245">
        <v>30</v>
      </c>
    </row>
    <row r="246" spans="13:21">
      <c r="M246">
        <v>12</v>
      </c>
      <c r="N246">
        <v>10</v>
      </c>
      <c r="O246">
        <v>5</v>
      </c>
      <c r="P246">
        <v>7</v>
      </c>
      <c r="Q246">
        <v>5</v>
      </c>
      <c r="R246">
        <v>30</v>
      </c>
      <c r="S246">
        <v>80</v>
      </c>
      <c r="T246">
        <v>85</v>
      </c>
      <c r="U246">
        <v>25</v>
      </c>
    </row>
    <row r="247" spans="13:21">
      <c r="M247">
        <v>12</v>
      </c>
      <c r="N247">
        <v>10</v>
      </c>
      <c r="O247">
        <v>5</v>
      </c>
      <c r="P247">
        <v>7</v>
      </c>
      <c r="Q247">
        <v>5</v>
      </c>
      <c r="R247">
        <v>20</v>
      </c>
      <c r="S247">
        <v>90</v>
      </c>
      <c r="T247">
        <v>85</v>
      </c>
      <c r="U247">
        <v>20</v>
      </c>
    </row>
    <row r="248" spans="13:21">
      <c r="M248">
        <v>12</v>
      </c>
      <c r="N248">
        <v>10</v>
      </c>
      <c r="O248">
        <v>5</v>
      </c>
      <c r="P248">
        <v>7</v>
      </c>
      <c r="Q248">
        <v>5</v>
      </c>
      <c r="R248">
        <v>30</v>
      </c>
      <c r="S248">
        <v>90</v>
      </c>
      <c r="T248">
        <v>85</v>
      </c>
      <c r="U248">
        <v>20</v>
      </c>
    </row>
    <row r="249" spans="13:21">
      <c r="M249">
        <v>12</v>
      </c>
      <c r="N249">
        <v>10</v>
      </c>
      <c r="O249">
        <v>5</v>
      </c>
      <c r="P249">
        <v>4</v>
      </c>
      <c r="Q249">
        <v>5</v>
      </c>
      <c r="R249">
        <v>30</v>
      </c>
      <c r="S249">
        <v>80</v>
      </c>
      <c r="T249">
        <v>85</v>
      </c>
      <c r="U249">
        <v>25</v>
      </c>
    </row>
    <row r="250" spans="13:21">
      <c r="M250">
        <v>12</v>
      </c>
      <c r="N250">
        <v>10</v>
      </c>
      <c r="O250">
        <v>5</v>
      </c>
      <c r="P250">
        <v>4</v>
      </c>
      <c r="Q250">
        <v>5</v>
      </c>
      <c r="R250">
        <v>30</v>
      </c>
      <c r="S250">
        <v>80</v>
      </c>
      <c r="T250">
        <v>85</v>
      </c>
      <c r="U250">
        <v>30</v>
      </c>
    </row>
    <row r="251" spans="13:21">
      <c r="M251">
        <v>12</v>
      </c>
      <c r="N251">
        <v>10</v>
      </c>
      <c r="O251">
        <v>5</v>
      </c>
      <c r="P251">
        <v>4</v>
      </c>
      <c r="Q251">
        <v>5</v>
      </c>
      <c r="R251">
        <v>20</v>
      </c>
      <c r="S251">
        <v>80</v>
      </c>
      <c r="T251">
        <v>85</v>
      </c>
      <c r="U251">
        <v>30</v>
      </c>
    </row>
    <row r="252" spans="13:21">
      <c r="M252">
        <v>12</v>
      </c>
      <c r="N252">
        <v>10</v>
      </c>
      <c r="O252">
        <v>5</v>
      </c>
      <c r="P252">
        <v>4</v>
      </c>
      <c r="Q252">
        <v>5</v>
      </c>
      <c r="R252">
        <v>30</v>
      </c>
      <c r="S252">
        <v>90</v>
      </c>
      <c r="T252">
        <v>85</v>
      </c>
      <c r="U252">
        <v>20</v>
      </c>
    </row>
    <row r="253" spans="13:21">
      <c r="M253">
        <v>12</v>
      </c>
      <c r="N253">
        <v>10</v>
      </c>
      <c r="O253">
        <v>5</v>
      </c>
      <c r="P253">
        <v>7</v>
      </c>
      <c r="Q253">
        <v>5</v>
      </c>
      <c r="R253">
        <v>20</v>
      </c>
      <c r="S253">
        <v>80</v>
      </c>
      <c r="T253">
        <v>85</v>
      </c>
      <c r="U253">
        <v>25</v>
      </c>
    </row>
    <row r="254" spans="13:21">
      <c r="M254">
        <v>12</v>
      </c>
      <c r="N254">
        <v>10</v>
      </c>
      <c r="O254">
        <v>5</v>
      </c>
      <c r="P254">
        <v>4</v>
      </c>
      <c r="Q254">
        <v>5</v>
      </c>
      <c r="R254">
        <v>20</v>
      </c>
      <c r="S254">
        <v>90</v>
      </c>
      <c r="T254">
        <v>85</v>
      </c>
      <c r="U254">
        <v>20</v>
      </c>
    </row>
    <row r="255" spans="13:21">
      <c r="M255">
        <v>12</v>
      </c>
      <c r="N255">
        <v>10</v>
      </c>
      <c r="O255">
        <v>5</v>
      </c>
      <c r="P255">
        <v>4</v>
      </c>
      <c r="Q255">
        <v>5</v>
      </c>
      <c r="R255">
        <v>20</v>
      </c>
      <c r="S255">
        <v>80</v>
      </c>
      <c r="T255">
        <v>85</v>
      </c>
      <c r="U255">
        <v>25</v>
      </c>
    </row>
    <row r="256" spans="13:21">
      <c r="M256">
        <v>12</v>
      </c>
      <c r="N256">
        <v>10</v>
      </c>
      <c r="O256">
        <v>5</v>
      </c>
      <c r="P256">
        <v>7</v>
      </c>
      <c r="Q256">
        <v>5</v>
      </c>
      <c r="R256">
        <v>20</v>
      </c>
      <c r="S256">
        <v>80</v>
      </c>
      <c r="T256">
        <v>85</v>
      </c>
      <c r="U256">
        <v>30</v>
      </c>
    </row>
    <row r="257" spans="13:21">
      <c r="M257">
        <v>12</v>
      </c>
      <c r="N257">
        <v>10</v>
      </c>
      <c r="O257">
        <v>5</v>
      </c>
      <c r="P257">
        <v>7</v>
      </c>
      <c r="Q257">
        <v>5</v>
      </c>
      <c r="R257">
        <v>30</v>
      </c>
      <c r="S257">
        <v>80</v>
      </c>
      <c r="T257">
        <v>85</v>
      </c>
      <c r="U257">
        <v>30</v>
      </c>
    </row>
    <row r="258" spans="13:21">
      <c r="M258">
        <v>12</v>
      </c>
      <c r="N258">
        <v>10</v>
      </c>
      <c r="O258">
        <v>5</v>
      </c>
      <c r="P258">
        <v>7</v>
      </c>
      <c r="Q258">
        <v>5</v>
      </c>
      <c r="R258">
        <v>30</v>
      </c>
      <c r="S258">
        <v>80</v>
      </c>
      <c r="T258">
        <v>85</v>
      </c>
      <c r="U258">
        <v>25</v>
      </c>
    </row>
    <row r="259" spans="13:21">
      <c r="M259">
        <v>12</v>
      </c>
      <c r="N259">
        <v>10</v>
      </c>
      <c r="O259">
        <v>5</v>
      </c>
      <c r="P259">
        <v>7</v>
      </c>
      <c r="Q259">
        <v>5</v>
      </c>
      <c r="R259">
        <v>20</v>
      </c>
      <c r="S259">
        <v>90</v>
      </c>
      <c r="T259">
        <v>85</v>
      </c>
      <c r="U259">
        <v>20</v>
      </c>
    </row>
    <row r="260" spans="13:21">
      <c r="M260">
        <v>12</v>
      </c>
      <c r="N260">
        <v>10</v>
      </c>
      <c r="O260">
        <v>5</v>
      </c>
      <c r="P260">
        <v>7</v>
      </c>
      <c r="Q260">
        <v>5</v>
      </c>
      <c r="R260">
        <v>30</v>
      </c>
      <c r="S260">
        <v>90</v>
      </c>
      <c r="T260">
        <v>85</v>
      </c>
      <c r="U260">
        <v>20</v>
      </c>
    </row>
    <row r="261" spans="13:21">
      <c r="M261">
        <v>12</v>
      </c>
      <c r="N261">
        <v>10</v>
      </c>
      <c r="O261">
        <v>5</v>
      </c>
      <c r="P261">
        <v>4</v>
      </c>
      <c r="Q261">
        <v>5</v>
      </c>
      <c r="R261">
        <v>30</v>
      </c>
      <c r="S261">
        <v>80</v>
      </c>
      <c r="T261">
        <v>85</v>
      </c>
      <c r="U261">
        <v>25</v>
      </c>
    </row>
    <row r="262" spans="13:21">
      <c r="M262">
        <v>12</v>
      </c>
      <c r="N262">
        <v>10</v>
      </c>
      <c r="O262">
        <v>5</v>
      </c>
      <c r="P262">
        <v>4</v>
      </c>
      <c r="Q262">
        <v>5</v>
      </c>
      <c r="R262">
        <v>30</v>
      </c>
      <c r="S262">
        <v>80</v>
      </c>
      <c r="T262">
        <v>85</v>
      </c>
      <c r="U262">
        <v>30</v>
      </c>
    </row>
    <row r="263" spans="13:21">
      <c r="M263">
        <v>12</v>
      </c>
      <c r="N263">
        <v>10</v>
      </c>
      <c r="O263">
        <v>5</v>
      </c>
      <c r="P263">
        <v>4</v>
      </c>
      <c r="Q263">
        <v>5</v>
      </c>
      <c r="R263">
        <v>20</v>
      </c>
      <c r="S263">
        <v>80</v>
      </c>
      <c r="T263">
        <v>85</v>
      </c>
      <c r="U263">
        <v>30</v>
      </c>
    </row>
    <row r="264" spans="13:21">
      <c r="M264">
        <v>13</v>
      </c>
      <c r="N264">
        <v>10</v>
      </c>
      <c r="O264">
        <v>5</v>
      </c>
      <c r="P264">
        <v>7</v>
      </c>
      <c r="Q264">
        <v>5</v>
      </c>
      <c r="R264">
        <v>20</v>
      </c>
      <c r="S264">
        <v>80</v>
      </c>
      <c r="T264">
        <v>85</v>
      </c>
      <c r="U264">
        <v>30</v>
      </c>
    </row>
    <row r="265" spans="13:21">
      <c r="M265">
        <v>13</v>
      </c>
      <c r="N265">
        <v>10</v>
      </c>
      <c r="O265">
        <v>5</v>
      </c>
      <c r="P265">
        <v>7</v>
      </c>
      <c r="Q265">
        <v>5</v>
      </c>
      <c r="R265">
        <v>30</v>
      </c>
      <c r="S265">
        <v>80</v>
      </c>
      <c r="T265">
        <v>85</v>
      </c>
      <c r="U265">
        <v>30</v>
      </c>
    </row>
    <row r="266" spans="13:21">
      <c r="M266">
        <v>13</v>
      </c>
      <c r="N266">
        <v>10</v>
      </c>
      <c r="O266">
        <v>5</v>
      </c>
      <c r="P266">
        <v>4</v>
      </c>
      <c r="Q266">
        <v>5</v>
      </c>
      <c r="R266">
        <v>30</v>
      </c>
      <c r="S266">
        <v>80</v>
      </c>
      <c r="T266">
        <v>85</v>
      </c>
      <c r="U266">
        <v>30</v>
      </c>
    </row>
    <row r="267" spans="13:21">
      <c r="M267">
        <v>13</v>
      </c>
      <c r="N267">
        <v>10</v>
      </c>
      <c r="O267">
        <v>5</v>
      </c>
      <c r="P267">
        <v>4</v>
      </c>
      <c r="Q267">
        <v>5</v>
      </c>
      <c r="R267">
        <v>20</v>
      </c>
      <c r="S267">
        <v>80</v>
      </c>
      <c r="T267">
        <v>85</v>
      </c>
      <c r="U267">
        <v>30</v>
      </c>
    </row>
    <row r="268" spans="13:21">
      <c r="M268">
        <v>13</v>
      </c>
      <c r="N268">
        <v>10</v>
      </c>
      <c r="O268">
        <v>5</v>
      </c>
      <c r="P268">
        <v>7</v>
      </c>
      <c r="Q268">
        <v>5</v>
      </c>
      <c r="R268">
        <v>20</v>
      </c>
      <c r="S268">
        <v>80</v>
      </c>
      <c r="T268">
        <v>85</v>
      </c>
      <c r="U268">
        <v>30</v>
      </c>
    </row>
    <row r="269" spans="13:21">
      <c r="M269">
        <v>13</v>
      </c>
      <c r="N269">
        <v>10</v>
      </c>
      <c r="O269">
        <v>5</v>
      </c>
      <c r="P269">
        <v>7</v>
      </c>
      <c r="Q269">
        <v>5</v>
      </c>
      <c r="R269">
        <v>30</v>
      </c>
      <c r="S269">
        <v>80</v>
      </c>
      <c r="T269">
        <v>85</v>
      </c>
      <c r="U269">
        <v>30</v>
      </c>
    </row>
    <row r="270" spans="13:21">
      <c r="M270">
        <v>13</v>
      </c>
      <c r="N270">
        <v>10</v>
      </c>
      <c r="O270">
        <v>5</v>
      </c>
      <c r="P270">
        <v>4</v>
      </c>
      <c r="Q270">
        <v>5</v>
      </c>
      <c r="R270">
        <v>30</v>
      </c>
      <c r="S270">
        <v>80</v>
      </c>
      <c r="T270">
        <v>85</v>
      </c>
      <c r="U270">
        <v>30</v>
      </c>
    </row>
    <row r="271" spans="13:21">
      <c r="M271">
        <v>13</v>
      </c>
      <c r="N271">
        <v>10</v>
      </c>
      <c r="O271">
        <v>5</v>
      </c>
      <c r="P271">
        <v>4</v>
      </c>
      <c r="Q271">
        <v>5</v>
      </c>
      <c r="R271">
        <v>20</v>
      </c>
      <c r="S271">
        <v>80</v>
      </c>
      <c r="T271">
        <v>85</v>
      </c>
      <c r="U271">
        <v>30</v>
      </c>
    </row>
    <row r="272" spans="13:21">
      <c r="M272">
        <v>14</v>
      </c>
      <c r="N272">
        <v>10</v>
      </c>
      <c r="O272">
        <v>5</v>
      </c>
      <c r="P272">
        <v>7</v>
      </c>
      <c r="Q272">
        <v>5</v>
      </c>
      <c r="R272">
        <v>20</v>
      </c>
      <c r="S272">
        <v>80</v>
      </c>
      <c r="T272">
        <v>85</v>
      </c>
      <c r="U272">
        <v>30</v>
      </c>
    </row>
    <row r="273" spans="13:21">
      <c r="M273">
        <v>14</v>
      </c>
      <c r="N273">
        <v>10</v>
      </c>
      <c r="O273">
        <v>5</v>
      </c>
      <c r="P273">
        <v>7</v>
      </c>
      <c r="Q273">
        <v>5</v>
      </c>
      <c r="R273">
        <v>30</v>
      </c>
      <c r="S273">
        <v>80</v>
      </c>
      <c r="T273">
        <v>85</v>
      </c>
      <c r="U273">
        <v>30</v>
      </c>
    </row>
    <row r="274" spans="13:21">
      <c r="M274">
        <v>14</v>
      </c>
      <c r="N274">
        <v>10</v>
      </c>
      <c r="O274">
        <v>5</v>
      </c>
      <c r="P274">
        <v>4</v>
      </c>
      <c r="Q274">
        <v>5</v>
      </c>
      <c r="R274">
        <v>30</v>
      </c>
      <c r="S274">
        <v>80</v>
      </c>
      <c r="T274">
        <v>85</v>
      </c>
      <c r="U274">
        <v>30</v>
      </c>
    </row>
    <row r="275" spans="13:21">
      <c r="M275">
        <v>14</v>
      </c>
      <c r="N275">
        <v>10</v>
      </c>
      <c r="O275">
        <v>5</v>
      </c>
      <c r="P275">
        <v>4</v>
      </c>
      <c r="Q275">
        <v>5</v>
      </c>
      <c r="R275">
        <v>20</v>
      </c>
      <c r="S275">
        <v>80</v>
      </c>
      <c r="T275">
        <v>85</v>
      </c>
      <c r="U275">
        <v>30</v>
      </c>
    </row>
    <row r="276" spans="13:21">
      <c r="M276">
        <v>14</v>
      </c>
      <c r="N276">
        <v>10</v>
      </c>
      <c r="O276">
        <v>5</v>
      </c>
      <c r="P276">
        <v>7</v>
      </c>
      <c r="Q276">
        <v>5</v>
      </c>
      <c r="R276">
        <v>20</v>
      </c>
      <c r="S276">
        <v>80</v>
      </c>
      <c r="T276">
        <v>85</v>
      </c>
      <c r="U276">
        <v>30</v>
      </c>
    </row>
    <row r="277" spans="13:21">
      <c r="M277">
        <v>14</v>
      </c>
      <c r="N277">
        <v>10</v>
      </c>
      <c r="O277">
        <v>5</v>
      </c>
      <c r="P277">
        <v>7</v>
      </c>
      <c r="Q277">
        <v>5</v>
      </c>
      <c r="R277">
        <v>30</v>
      </c>
      <c r="S277">
        <v>80</v>
      </c>
      <c r="T277">
        <v>85</v>
      </c>
      <c r="U277">
        <v>30</v>
      </c>
    </row>
    <row r="278" spans="13:21">
      <c r="M278">
        <v>14</v>
      </c>
      <c r="N278">
        <v>10</v>
      </c>
      <c r="O278">
        <v>5</v>
      </c>
      <c r="P278">
        <v>4</v>
      </c>
      <c r="Q278">
        <v>5</v>
      </c>
      <c r="R278">
        <v>30</v>
      </c>
      <c r="S278">
        <v>80</v>
      </c>
      <c r="T278">
        <v>85</v>
      </c>
      <c r="U278">
        <v>30</v>
      </c>
    </row>
    <row r="279" spans="13:21">
      <c r="M279">
        <v>14</v>
      </c>
      <c r="N279">
        <v>10</v>
      </c>
      <c r="O279">
        <v>5</v>
      </c>
      <c r="P279">
        <v>4</v>
      </c>
      <c r="Q279">
        <v>5</v>
      </c>
      <c r="R279">
        <v>20</v>
      </c>
      <c r="S279">
        <v>80</v>
      </c>
      <c r="T279">
        <v>85</v>
      </c>
      <c r="U279">
        <v>30</v>
      </c>
    </row>
    <row r="280" spans="13:21">
      <c r="M280">
        <v>15</v>
      </c>
      <c r="N280">
        <v>10</v>
      </c>
      <c r="O280">
        <v>5</v>
      </c>
      <c r="P280">
        <v>7</v>
      </c>
      <c r="Q280">
        <v>5</v>
      </c>
      <c r="R280">
        <v>20</v>
      </c>
      <c r="S280">
        <v>80</v>
      </c>
      <c r="T280">
        <v>85</v>
      </c>
      <c r="U280">
        <v>30</v>
      </c>
    </row>
    <row r="281" spans="13:21">
      <c r="M281">
        <v>15</v>
      </c>
      <c r="N281">
        <v>10</v>
      </c>
      <c r="O281">
        <v>5</v>
      </c>
      <c r="P281">
        <v>7</v>
      </c>
      <c r="Q281">
        <v>5</v>
      </c>
      <c r="R281">
        <v>30</v>
      </c>
      <c r="S281">
        <v>80</v>
      </c>
      <c r="T281">
        <v>85</v>
      </c>
      <c r="U281">
        <v>30</v>
      </c>
    </row>
    <row r="282" spans="13:21">
      <c r="M282">
        <v>15</v>
      </c>
      <c r="N282">
        <v>10</v>
      </c>
      <c r="O282">
        <v>5</v>
      </c>
      <c r="P282">
        <v>4</v>
      </c>
      <c r="Q282">
        <v>5</v>
      </c>
      <c r="R282">
        <v>30</v>
      </c>
      <c r="S282">
        <v>80</v>
      </c>
      <c r="T282">
        <v>85</v>
      </c>
      <c r="U282">
        <v>30</v>
      </c>
    </row>
    <row r="283" spans="13:21">
      <c r="M283">
        <v>15</v>
      </c>
      <c r="N283">
        <v>10</v>
      </c>
      <c r="O283">
        <v>5</v>
      </c>
      <c r="P283">
        <v>4</v>
      </c>
      <c r="Q283">
        <v>5</v>
      </c>
      <c r="R283">
        <v>20</v>
      </c>
      <c r="S283">
        <v>80</v>
      </c>
      <c r="T283">
        <v>85</v>
      </c>
      <c r="U283">
        <v>30</v>
      </c>
    </row>
    <row r="284" spans="13:21">
      <c r="M284">
        <v>15</v>
      </c>
      <c r="N284">
        <v>10</v>
      </c>
      <c r="O284">
        <v>5</v>
      </c>
      <c r="P284">
        <v>7</v>
      </c>
      <c r="Q284">
        <v>5</v>
      </c>
      <c r="R284">
        <v>20</v>
      </c>
      <c r="S284">
        <v>80</v>
      </c>
      <c r="T284">
        <v>85</v>
      </c>
      <c r="U284">
        <v>30</v>
      </c>
    </row>
    <row r="285" spans="13:21">
      <c r="M285">
        <v>15</v>
      </c>
      <c r="N285">
        <v>10</v>
      </c>
      <c r="O285">
        <v>5</v>
      </c>
      <c r="P285">
        <v>7</v>
      </c>
      <c r="Q285">
        <v>5</v>
      </c>
      <c r="R285">
        <v>30</v>
      </c>
      <c r="S285">
        <v>80</v>
      </c>
      <c r="T285">
        <v>85</v>
      </c>
      <c r="U285">
        <v>30</v>
      </c>
    </row>
    <row r="286" spans="13:21">
      <c r="M286">
        <v>15</v>
      </c>
      <c r="N286">
        <v>10</v>
      </c>
      <c r="O286">
        <v>5</v>
      </c>
      <c r="P286">
        <v>4</v>
      </c>
      <c r="Q286">
        <v>5</v>
      </c>
      <c r="R286">
        <v>30</v>
      </c>
      <c r="S286">
        <v>80</v>
      </c>
      <c r="T286">
        <v>85</v>
      </c>
      <c r="U286">
        <v>30</v>
      </c>
    </row>
    <row r="287" spans="13:21">
      <c r="M287">
        <v>15</v>
      </c>
      <c r="N287">
        <v>10</v>
      </c>
      <c r="O287">
        <v>5</v>
      </c>
      <c r="P287">
        <v>4</v>
      </c>
      <c r="Q287">
        <v>5</v>
      </c>
      <c r="R287">
        <v>20</v>
      </c>
      <c r="S287">
        <v>80</v>
      </c>
      <c r="T287">
        <v>85</v>
      </c>
      <c r="U287">
        <v>30</v>
      </c>
    </row>
    <row r="288" spans="13:21">
      <c r="M288">
        <v>16</v>
      </c>
      <c r="N288">
        <v>10</v>
      </c>
      <c r="O288">
        <v>5</v>
      </c>
      <c r="P288">
        <v>7</v>
      </c>
      <c r="Q288">
        <v>5</v>
      </c>
      <c r="R288">
        <v>20</v>
      </c>
      <c r="S288">
        <v>80</v>
      </c>
      <c r="T288">
        <v>85</v>
      </c>
      <c r="U288">
        <v>30</v>
      </c>
    </row>
    <row r="289" spans="13:21">
      <c r="M289">
        <v>16</v>
      </c>
      <c r="N289">
        <v>10</v>
      </c>
      <c r="O289">
        <v>5</v>
      </c>
      <c r="P289">
        <v>7</v>
      </c>
      <c r="Q289">
        <v>5</v>
      </c>
      <c r="R289">
        <v>30</v>
      </c>
      <c r="S289">
        <v>80</v>
      </c>
      <c r="T289">
        <v>85</v>
      </c>
      <c r="U289">
        <v>30</v>
      </c>
    </row>
    <row r="290" spans="13:21">
      <c r="M290">
        <v>16</v>
      </c>
      <c r="N290">
        <v>10</v>
      </c>
      <c r="O290">
        <v>5</v>
      </c>
      <c r="P290">
        <v>4</v>
      </c>
      <c r="Q290">
        <v>5</v>
      </c>
      <c r="R290">
        <v>30</v>
      </c>
      <c r="S290">
        <v>80</v>
      </c>
      <c r="T290">
        <v>85</v>
      </c>
      <c r="U290">
        <v>30</v>
      </c>
    </row>
    <row r="291" spans="13:21">
      <c r="M291">
        <v>16</v>
      </c>
      <c r="N291">
        <v>10</v>
      </c>
      <c r="O291">
        <v>5</v>
      </c>
      <c r="P291">
        <v>4</v>
      </c>
      <c r="Q291">
        <v>5</v>
      </c>
      <c r="R291">
        <v>20</v>
      </c>
      <c r="S291">
        <v>80</v>
      </c>
      <c r="T291">
        <v>85</v>
      </c>
      <c r="U291">
        <v>30</v>
      </c>
    </row>
    <row r="292" spans="13:21">
      <c r="M292">
        <v>16</v>
      </c>
      <c r="N292">
        <v>10</v>
      </c>
      <c r="O292">
        <v>5</v>
      </c>
      <c r="P292">
        <v>7</v>
      </c>
      <c r="Q292">
        <v>5</v>
      </c>
      <c r="R292">
        <v>20</v>
      </c>
      <c r="S292">
        <v>80</v>
      </c>
      <c r="T292">
        <v>85</v>
      </c>
      <c r="U292">
        <v>30</v>
      </c>
    </row>
    <row r="293" spans="13:21">
      <c r="M293">
        <v>16</v>
      </c>
      <c r="N293">
        <v>10</v>
      </c>
      <c r="O293">
        <v>5</v>
      </c>
      <c r="P293">
        <v>7</v>
      </c>
      <c r="Q293">
        <v>5</v>
      </c>
      <c r="R293">
        <v>30</v>
      </c>
      <c r="S293">
        <v>80</v>
      </c>
      <c r="T293">
        <v>85</v>
      </c>
      <c r="U293">
        <v>30</v>
      </c>
    </row>
    <row r="294" spans="13:21">
      <c r="M294">
        <v>16</v>
      </c>
      <c r="N294">
        <v>10</v>
      </c>
      <c r="O294">
        <v>5</v>
      </c>
      <c r="P294">
        <v>4</v>
      </c>
      <c r="Q294">
        <v>5</v>
      </c>
      <c r="R294">
        <v>30</v>
      </c>
      <c r="S294">
        <v>80</v>
      </c>
      <c r="T294">
        <v>85</v>
      </c>
      <c r="U294">
        <v>30</v>
      </c>
    </row>
    <row r="295" spans="13:21">
      <c r="M295">
        <v>16</v>
      </c>
      <c r="N295">
        <v>10</v>
      </c>
      <c r="O295">
        <v>5</v>
      </c>
      <c r="P295">
        <v>4</v>
      </c>
      <c r="Q295">
        <v>5</v>
      </c>
      <c r="R295">
        <v>20</v>
      </c>
      <c r="S295">
        <v>80</v>
      </c>
      <c r="T295">
        <v>85</v>
      </c>
      <c r="U295">
        <v>30</v>
      </c>
    </row>
    <row r="296" spans="13:21">
      <c r="M296">
        <v>17</v>
      </c>
      <c r="N296">
        <v>10</v>
      </c>
      <c r="O296">
        <v>5</v>
      </c>
      <c r="P296">
        <v>7</v>
      </c>
      <c r="Q296">
        <v>5</v>
      </c>
      <c r="R296">
        <v>20</v>
      </c>
      <c r="S296">
        <v>80</v>
      </c>
      <c r="T296">
        <v>85</v>
      </c>
      <c r="U296">
        <v>30</v>
      </c>
    </row>
    <row r="297" spans="13:21">
      <c r="M297">
        <v>17</v>
      </c>
      <c r="N297">
        <v>10</v>
      </c>
      <c r="O297">
        <v>5</v>
      </c>
      <c r="P297">
        <v>4</v>
      </c>
      <c r="Q297">
        <v>5</v>
      </c>
      <c r="R297">
        <v>30</v>
      </c>
      <c r="S297">
        <v>80</v>
      </c>
      <c r="T297">
        <v>85</v>
      </c>
      <c r="U297">
        <v>30</v>
      </c>
    </row>
    <row r="298" spans="13:21">
      <c r="M298">
        <v>17</v>
      </c>
      <c r="N298">
        <v>10</v>
      </c>
      <c r="O298">
        <v>5</v>
      </c>
      <c r="P298">
        <v>7</v>
      </c>
      <c r="Q298">
        <v>5</v>
      </c>
      <c r="R298">
        <v>30</v>
      </c>
      <c r="S298">
        <v>80</v>
      </c>
      <c r="T298">
        <v>85</v>
      </c>
      <c r="U298">
        <v>30</v>
      </c>
    </row>
    <row r="299" spans="13:21">
      <c r="M299">
        <v>17</v>
      </c>
      <c r="N299">
        <v>10</v>
      </c>
      <c r="O299">
        <v>5</v>
      </c>
      <c r="P299">
        <v>4</v>
      </c>
      <c r="Q299">
        <v>5</v>
      </c>
      <c r="R299">
        <v>20</v>
      </c>
      <c r="S299">
        <v>80</v>
      </c>
      <c r="T299">
        <v>85</v>
      </c>
      <c r="U299">
        <v>30</v>
      </c>
    </row>
    <row r="300" spans="13:21">
      <c r="M300">
        <v>17</v>
      </c>
      <c r="N300">
        <v>10</v>
      </c>
      <c r="O300">
        <v>5</v>
      </c>
      <c r="P300">
        <v>7</v>
      </c>
      <c r="Q300">
        <v>5</v>
      </c>
      <c r="R300">
        <v>20</v>
      </c>
      <c r="S300">
        <v>80</v>
      </c>
      <c r="T300">
        <v>85</v>
      </c>
      <c r="U300">
        <v>30</v>
      </c>
    </row>
    <row r="301" spans="13:21">
      <c r="M301">
        <v>17</v>
      </c>
      <c r="N301">
        <v>10</v>
      </c>
      <c r="O301">
        <v>5</v>
      </c>
      <c r="P301">
        <v>4</v>
      </c>
      <c r="Q301">
        <v>5</v>
      </c>
      <c r="R301">
        <v>30</v>
      </c>
      <c r="S301">
        <v>80</v>
      </c>
      <c r="T301">
        <v>85</v>
      </c>
      <c r="U301">
        <v>30</v>
      </c>
    </row>
    <row r="302" spans="13:21">
      <c r="M302">
        <v>17</v>
      </c>
      <c r="N302">
        <v>10</v>
      </c>
      <c r="O302">
        <v>5</v>
      </c>
      <c r="P302">
        <v>7</v>
      </c>
      <c r="Q302">
        <v>5</v>
      </c>
      <c r="R302">
        <v>30</v>
      </c>
      <c r="S302">
        <v>80</v>
      </c>
      <c r="T302">
        <v>85</v>
      </c>
      <c r="U302">
        <v>30</v>
      </c>
    </row>
    <row r="303" spans="13:21">
      <c r="M303">
        <v>17</v>
      </c>
      <c r="N303">
        <v>10</v>
      </c>
      <c r="O303">
        <v>5</v>
      </c>
      <c r="P303">
        <v>4</v>
      </c>
      <c r="Q303">
        <v>5</v>
      </c>
      <c r="R303">
        <v>20</v>
      </c>
      <c r="S303">
        <v>80</v>
      </c>
      <c r="T303">
        <v>85</v>
      </c>
      <c r="U303">
        <v>30</v>
      </c>
    </row>
    <row r="304" spans="13:21">
      <c r="M304">
        <v>18</v>
      </c>
      <c r="N304">
        <v>10</v>
      </c>
      <c r="O304">
        <v>5</v>
      </c>
      <c r="P304">
        <v>4</v>
      </c>
      <c r="Q304">
        <v>5</v>
      </c>
      <c r="R304">
        <v>20</v>
      </c>
      <c r="S304">
        <v>80</v>
      </c>
      <c r="T304">
        <v>85</v>
      </c>
      <c r="U304">
        <v>30</v>
      </c>
    </row>
    <row r="305" spans="13:21">
      <c r="M305">
        <v>18</v>
      </c>
      <c r="N305">
        <v>10</v>
      </c>
      <c r="O305">
        <v>5</v>
      </c>
      <c r="P305">
        <v>4</v>
      </c>
      <c r="Q305">
        <v>5</v>
      </c>
      <c r="R305">
        <v>30</v>
      </c>
      <c r="S305">
        <v>80</v>
      </c>
      <c r="T305">
        <v>85</v>
      </c>
      <c r="U305">
        <v>30</v>
      </c>
    </row>
    <row r="306" spans="13:21">
      <c r="M306">
        <v>18</v>
      </c>
      <c r="N306">
        <v>10</v>
      </c>
      <c r="O306">
        <v>5</v>
      </c>
      <c r="P306">
        <v>7</v>
      </c>
      <c r="Q306">
        <v>5</v>
      </c>
      <c r="R306">
        <v>20</v>
      </c>
      <c r="S306">
        <v>80</v>
      </c>
      <c r="T306">
        <v>85</v>
      </c>
      <c r="U306">
        <v>30</v>
      </c>
    </row>
    <row r="307" spans="13:21">
      <c r="M307">
        <v>18</v>
      </c>
      <c r="N307">
        <v>10</v>
      </c>
      <c r="O307">
        <v>5</v>
      </c>
      <c r="P307">
        <v>7</v>
      </c>
      <c r="Q307">
        <v>5</v>
      </c>
      <c r="R307">
        <v>30</v>
      </c>
      <c r="S307">
        <v>80</v>
      </c>
      <c r="T307">
        <v>85</v>
      </c>
      <c r="U307">
        <v>30</v>
      </c>
    </row>
    <row r="308" spans="13:21">
      <c r="M308">
        <v>18</v>
      </c>
      <c r="N308">
        <v>20</v>
      </c>
      <c r="O308">
        <v>5</v>
      </c>
      <c r="P308">
        <v>7</v>
      </c>
      <c r="Q308">
        <v>5</v>
      </c>
      <c r="R308">
        <v>20</v>
      </c>
      <c r="S308">
        <v>100</v>
      </c>
      <c r="T308">
        <v>85</v>
      </c>
      <c r="U308">
        <v>25</v>
      </c>
    </row>
    <row r="309" spans="13:21">
      <c r="M309">
        <v>18</v>
      </c>
      <c r="N309">
        <v>20</v>
      </c>
      <c r="O309">
        <v>5</v>
      </c>
      <c r="P309">
        <v>4</v>
      </c>
      <c r="Q309">
        <v>5</v>
      </c>
      <c r="R309">
        <v>30</v>
      </c>
      <c r="S309">
        <v>90</v>
      </c>
      <c r="T309">
        <v>85</v>
      </c>
      <c r="U309">
        <v>30</v>
      </c>
    </row>
    <row r="310" spans="13:21">
      <c r="M310">
        <v>18</v>
      </c>
      <c r="N310">
        <v>20</v>
      </c>
      <c r="O310">
        <v>5</v>
      </c>
      <c r="P310">
        <v>4</v>
      </c>
      <c r="Q310">
        <v>5</v>
      </c>
      <c r="R310">
        <v>20</v>
      </c>
      <c r="S310">
        <v>90</v>
      </c>
      <c r="T310">
        <v>85</v>
      </c>
      <c r="U310">
        <v>30</v>
      </c>
    </row>
    <row r="311" spans="13:21">
      <c r="M311">
        <v>18</v>
      </c>
      <c r="N311">
        <v>20</v>
      </c>
      <c r="O311">
        <v>5</v>
      </c>
      <c r="P311">
        <v>7</v>
      </c>
      <c r="Q311">
        <v>5</v>
      </c>
      <c r="R311">
        <v>30</v>
      </c>
      <c r="S311">
        <v>100</v>
      </c>
      <c r="T311">
        <v>85</v>
      </c>
      <c r="U311">
        <v>25</v>
      </c>
    </row>
    <row r="312" spans="13:21">
      <c r="M312">
        <v>18</v>
      </c>
      <c r="N312">
        <v>20</v>
      </c>
      <c r="O312">
        <v>5</v>
      </c>
      <c r="P312">
        <v>4</v>
      </c>
      <c r="Q312">
        <v>5</v>
      </c>
      <c r="R312">
        <v>20</v>
      </c>
      <c r="S312">
        <v>100</v>
      </c>
      <c r="T312">
        <v>85</v>
      </c>
      <c r="U312">
        <v>25</v>
      </c>
    </row>
    <row r="313" spans="13:21">
      <c r="M313">
        <v>18</v>
      </c>
      <c r="N313">
        <v>20</v>
      </c>
      <c r="O313">
        <v>5</v>
      </c>
      <c r="P313">
        <v>7</v>
      </c>
      <c r="Q313">
        <v>5</v>
      </c>
      <c r="R313">
        <v>20</v>
      </c>
      <c r="S313">
        <v>90</v>
      </c>
      <c r="T313">
        <v>85</v>
      </c>
      <c r="U313">
        <v>30</v>
      </c>
    </row>
    <row r="314" spans="13:21">
      <c r="M314">
        <v>18</v>
      </c>
      <c r="N314">
        <v>20</v>
      </c>
      <c r="O314">
        <v>5</v>
      </c>
      <c r="P314">
        <v>4</v>
      </c>
      <c r="Q314">
        <v>5</v>
      </c>
      <c r="R314">
        <v>30</v>
      </c>
      <c r="S314">
        <v>100</v>
      </c>
      <c r="T314">
        <v>85</v>
      </c>
      <c r="U314">
        <v>25</v>
      </c>
    </row>
    <row r="315" spans="13:21">
      <c r="M315">
        <v>18</v>
      </c>
      <c r="N315">
        <v>20</v>
      </c>
      <c r="O315">
        <v>5</v>
      </c>
      <c r="P315">
        <v>7</v>
      </c>
      <c r="Q315">
        <v>5</v>
      </c>
      <c r="R315">
        <v>30</v>
      </c>
      <c r="S315">
        <v>90</v>
      </c>
      <c r="T315">
        <v>85</v>
      </c>
      <c r="U315">
        <v>30</v>
      </c>
    </row>
    <row r="316" spans="13:21">
      <c r="M316">
        <v>18</v>
      </c>
      <c r="N316">
        <v>10</v>
      </c>
      <c r="O316">
        <v>5</v>
      </c>
      <c r="P316">
        <v>4</v>
      </c>
      <c r="Q316">
        <v>5</v>
      </c>
      <c r="R316">
        <v>20</v>
      </c>
      <c r="S316">
        <v>80</v>
      </c>
      <c r="T316">
        <v>85</v>
      </c>
      <c r="U316">
        <v>30</v>
      </c>
    </row>
    <row r="317" spans="13:21">
      <c r="M317">
        <v>18</v>
      </c>
      <c r="N317">
        <v>10</v>
      </c>
      <c r="O317">
        <v>5</v>
      </c>
      <c r="P317">
        <v>4</v>
      </c>
      <c r="Q317">
        <v>5</v>
      </c>
      <c r="R317">
        <v>30</v>
      </c>
      <c r="S317">
        <v>80</v>
      </c>
      <c r="T317">
        <v>85</v>
      </c>
      <c r="U317">
        <v>30</v>
      </c>
    </row>
    <row r="318" spans="13:21">
      <c r="M318">
        <v>18</v>
      </c>
      <c r="N318">
        <v>10</v>
      </c>
      <c r="O318">
        <v>5</v>
      </c>
      <c r="P318">
        <v>7</v>
      </c>
      <c r="Q318">
        <v>5</v>
      </c>
      <c r="R318">
        <v>20</v>
      </c>
      <c r="S318">
        <v>80</v>
      </c>
      <c r="T318">
        <v>85</v>
      </c>
      <c r="U318">
        <v>30</v>
      </c>
    </row>
    <row r="319" spans="13:21">
      <c r="M319">
        <v>18</v>
      </c>
      <c r="N319">
        <v>10</v>
      </c>
      <c r="O319">
        <v>5</v>
      </c>
      <c r="P319">
        <v>7</v>
      </c>
      <c r="Q319">
        <v>5</v>
      </c>
      <c r="R319">
        <v>30</v>
      </c>
      <c r="S319">
        <v>80</v>
      </c>
      <c r="T319">
        <v>85</v>
      </c>
      <c r="U319">
        <v>30</v>
      </c>
    </row>
    <row r="320" spans="13:21">
      <c r="M320">
        <v>18</v>
      </c>
      <c r="N320">
        <v>20</v>
      </c>
      <c r="O320">
        <v>5</v>
      </c>
      <c r="P320">
        <v>7</v>
      </c>
      <c r="Q320">
        <v>5</v>
      </c>
      <c r="R320">
        <v>20</v>
      </c>
      <c r="S320">
        <v>100</v>
      </c>
      <c r="T320">
        <v>85</v>
      </c>
      <c r="U320">
        <v>25</v>
      </c>
    </row>
    <row r="321" spans="13:29">
      <c r="M321">
        <v>18</v>
      </c>
      <c r="N321">
        <v>20</v>
      </c>
      <c r="O321">
        <v>5</v>
      </c>
      <c r="P321">
        <v>4</v>
      </c>
      <c r="Q321">
        <v>5</v>
      </c>
      <c r="R321">
        <v>30</v>
      </c>
      <c r="S321">
        <v>90</v>
      </c>
      <c r="T321">
        <v>85</v>
      </c>
      <c r="U321">
        <v>30</v>
      </c>
    </row>
    <row r="322" spans="13:29">
      <c r="M322">
        <v>18</v>
      </c>
      <c r="N322">
        <v>20</v>
      </c>
      <c r="O322">
        <v>5</v>
      </c>
      <c r="P322">
        <v>4</v>
      </c>
      <c r="Q322">
        <v>5</v>
      </c>
      <c r="R322">
        <v>20</v>
      </c>
      <c r="S322">
        <v>90</v>
      </c>
      <c r="T322">
        <v>85</v>
      </c>
      <c r="U322">
        <v>30</v>
      </c>
    </row>
    <row r="323" spans="13:29">
      <c r="M323">
        <v>18</v>
      </c>
      <c r="N323">
        <v>20</v>
      </c>
      <c r="O323">
        <v>5</v>
      </c>
      <c r="P323">
        <v>7</v>
      </c>
      <c r="Q323">
        <v>5</v>
      </c>
      <c r="R323">
        <v>30</v>
      </c>
      <c r="S323">
        <v>100</v>
      </c>
      <c r="T323">
        <v>85</v>
      </c>
      <c r="U323">
        <v>25</v>
      </c>
    </row>
    <row r="324" spans="13:29">
      <c r="M324">
        <v>18</v>
      </c>
      <c r="N324">
        <v>20</v>
      </c>
      <c r="O324">
        <v>5</v>
      </c>
      <c r="P324">
        <v>4</v>
      </c>
      <c r="Q324">
        <v>5</v>
      </c>
      <c r="R324">
        <v>20</v>
      </c>
      <c r="S324">
        <v>100</v>
      </c>
      <c r="T324">
        <v>85</v>
      </c>
      <c r="U324">
        <v>25</v>
      </c>
    </row>
    <row r="325" spans="13:29">
      <c r="M325">
        <v>18</v>
      </c>
      <c r="N325">
        <v>20</v>
      </c>
      <c r="O325">
        <v>5</v>
      </c>
      <c r="P325">
        <v>7</v>
      </c>
      <c r="Q325">
        <v>5</v>
      </c>
      <c r="R325">
        <v>20</v>
      </c>
      <c r="S325">
        <v>90</v>
      </c>
      <c r="T325">
        <v>85</v>
      </c>
      <c r="U325">
        <v>30</v>
      </c>
    </row>
    <row r="326" spans="13:29">
      <c r="M326">
        <v>18</v>
      </c>
      <c r="N326">
        <v>20</v>
      </c>
      <c r="O326">
        <v>5</v>
      </c>
      <c r="P326">
        <v>4</v>
      </c>
      <c r="Q326">
        <v>5</v>
      </c>
      <c r="R326">
        <v>30</v>
      </c>
      <c r="S326">
        <v>100</v>
      </c>
      <c r="T326">
        <v>85</v>
      </c>
      <c r="U326">
        <v>25</v>
      </c>
    </row>
    <row r="327" spans="13:29">
      <c r="M327">
        <v>18</v>
      </c>
      <c r="N327">
        <v>20</v>
      </c>
      <c r="O327">
        <v>5</v>
      </c>
      <c r="P327">
        <v>7</v>
      </c>
      <c r="Q327">
        <v>5</v>
      </c>
      <c r="R327">
        <v>30</v>
      </c>
      <c r="S327">
        <v>90</v>
      </c>
      <c r="T327">
        <v>85</v>
      </c>
      <c r="U327">
        <v>30</v>
      </c>
    </row>
    <row r="328" spans="13:29">
      <c r="M328">
        <v>19</v>
      </c>
      <c r="N328">
        <v>10</v>
      </c>
      <c r="O328">
        <v>5</v>
      </c>
      <c r="P328">
        <v>4</v>
      </c>
      <c r="Q328">
        <v>5</v>
      </c>
      <c r="R328">
        <v>20</v>
      </c>
      <c r="S328">
        <v>80</v>
      </c>
      <c r="T328">
        <v>85</v>
      </c>
      <c r="U328">
        <v>30</v>
      </c>
      <c r="V328" t="b">
        <f>B328=N328</f>
        <v>0</v>
      </c>
      <c r="W328" t="b">
        <f>C328=O328</f>
        <v>0</v>
      </c>
      <c r="X328" t="b">
        <f t="shared" ref="X328:Z328" si="12">F328=P328</f>
        <v>0</v>
      </c>
      <c r="Y328" t="b">
        <f t="shared" si="12"/>
        <v>0</v>
      </c>
      <c r="Z328" t="b">
        <f t="shared" si="12"/>
        <v>0</v>
      </c>
      <c r="AA328" t="b">
        <f>I328=S328</f>
        <v>0</v>
      </c>
      <c r="AB328" t="b">
        <f>J328=T328</f>
        <v>0</v>
      </c>
      <c r="AC328" t="b">
        <f>K328=U328</f>
        <v>0</v>
      </c>
    </row>
    <row r="329" spans="13:29">
      <c r="M329">
        <v>19</v>
      </c>
      <c r="N329">
        <v>10</v>
      </c>
      <c r="O329">
        <v>5</v>
      </c>
      <c r="P329">
        <v>4</v>
      </c>
      <c r="Q329">
        <v>5</v>
      </c>
      <c r="R329">
        <v>30</v>
      </c>
      <c r="S329">
        <v>80</v>
      </c>
      <c r="T329">
        <v>85</v>
      </c>
      <c r="U329">
        <v>30</v>
      </c>
      <c r="V329" t="b">
        <f t="shared" ref="V329:V392" si="13">B329=N329</f>
        <v>0</v>
      </c>
      <c r="W329" t="b">
        <f t="shared" ref="W329:W392" si="14">C329=O329</f>
        <v>0</v>
      </c>
      <c r="X329" t="b">
        <f t="shared" ref="X329:X392" si="15">F329=P329</f>
        <v>0</v>
      </c>
      <c r="Y329" t="b">
        <f t="shared" ref="Y329:Y392" si="16">G329=Q329</f>
        <v>0</v>
      </c>
      <c r="Z329" t="b">
        <f t="shared" ref="Z329:Z392" si="17">H329=R329</f>
        <v>0</v>
      </c>
      <c r="AA329" t="b">
        <f t="shared" ref="AA329:AA392" si="18">I329=S329</f>
        <v>0</v>
      </c>
      <c r="AB329" t="b">
        <f t="shared" ref="AB329:AB392" si="19">J329=T329</f>
        <v>0</v>
      </c>
      <c r="AC329" t="b">
        <f t="shared" ref="AC329:AC392" si="20">K329=U329</f>
        <v>0</v>
      </c>
    </row>
    <row r="330" spans="13:29">
      <c r="M330">
        <v>19</v>
      </c>
      <c r="N330">
        <v>10</v>
      </c>
      <c r="O330">
        <v>5</v>
      </c>
      <c r="P330">
        <v>7</v>
      </c>
      <c r="Q330">
        <v>5</v>
      </c>
      <c r="R330">
        <v>20</v>
      </c>
      <c r="S330">
        <v>80</v>
      </c>
      <c r="T330">
        <v>85</v>
      </c>
      <c r="U330">
        <v>30</v>
      </c>
      <c r="V330" t="b">
        <f t="shared" si="13"/>
        <v>0</v>
      </c>
      <c r="W330" t="b">
        <f t="shared" si="14"/>
        <v>0</v>
      </c>
      <c r="X330" t="b">
        <f t="shared" si="15"/>
        <v>0</v>
      </c>
      <c r="Y330" t="b">
        <f t="shared" si="16"/>
        <v>0</v>
      </c>
      <c r="Z330" t="b">
        <f t="shared" si="17"/>
        <v>0</v>
      </c>
      <c r="AA330" t="b">
        <f t="shared" si="18"/>
        <v>0</v>
      </c>
      <c r="AB330" t="b">
        <f t="shared" si="19"/>
        <v>0</v>
      </c>
      <c r="AC330" t="b">
        <f t="shared" si="20"/>
        <v>0</v>
      </c>
    </row>
    <row r="331" spans="13:29">
      <c r="M331">
        <v>19</v>
      </c>
      <c r="N331">
        <v>10</v>
      </c>
      <c r="O331">
        <v>5</v>
      </c>
      <c r="P331">
        <v>7</v>
      </c>
      <c r="Q331">
        <v>5</v>
      </c>
      <c r="R331">
        <v>30</v>
      </c>
      <c r="S331">
        <v>80</v>
      </c>
      <c r="T331">
        <v>85</v>
      </c>
      <c r="U331">
        <v>30</v>
      </c>
      <c r="V331" t="b">
        <f t="shared" si="13"/>
        <v>0</v>
      </c>
      <c r="W331" t="b">
        <f t="shared" si="14"/>
        <v>0</v>
      </c>
      <c r="X331" t="b">
        <f t="shared" si="15"/>
        <v>0</v>
      </c>
      <c r="Y331" t="b">
        <f t="shared" si="16"/>
        <v>0</v>
      </c>
      <c r="Z331" t="b">
        <f t="shared" si="17"/>
        <v>0</v>
      </c>
      <c r="AA331" t="b">
        <f t="shared" si="18"/>
        <v>0</v>
      </c>
      <c r="AB331" t="b">
        <f t="shared" si="19"/>
        <v>0</v>
      </c>
      <c r="AC331" t="b">
        <f t="shared" si="20"/>
        <v>0</v>
      </c>
    </row>
    <row r="332" spans="13:29">
      <c r="M332">
        <v>19</v>
      </c>
      <c r="N332">
        <v>20</v>
      </c>
      <c r="O332">
        <v>5</v>
      </c>
      <c r="P332">
        <v>7</v>
      </c>
      <c r="Q332">
        <v>5</v>
      </c>
      <c r="R332">
        <v>20</v>
      </c>
      <c r="S332">
        <v>100</v>
      </c>
      <c r="T332">
        <v>85</v>
      </c>
      <c r="U332">
        <v>25</v>
      </c>
      <c r="V332" t="b">
        <f t="shared" si="13"/>
        <v>0</v>
      </c>
      <c r="W332" t="b">
        <f t="shared" si="14"/>
        <v>0</v>
      </c>
      <c r="X332" t="b">
        <f t="shared" si="15"/>
        <v>0</v>
      </c>
      <c r="Y332" t="b">
        <f t="shared" si="16"/>
        <v>0</v>
      </c>
      <c r="Z332" t="b">
        <f t="shared" si="17"/>
        <v>0</v>
      </c>
      <c r="AA332" t="b">
        <f t="shared" si="18"/>
        <v>0</v>
      </c>
      <c r="AB332" t="b">
        <f t="shared" si="19"/>
        <v>0</v>
      </c>
      <c r="AC332" t="b">
        <f t="shared" si="20"/>
        <v>0</v>
      </c>
    </row>
    <row r="333" spans="13:29">
      <c r="M333">
        <v>19</v>
      </c>
      <c r="N333">
        <v>20</v>
      </c>
      <c r="O333">
        <v>5</v>
      </c>
      <c r="P333">
        <v>4</v>
      </c>
      <c r="Q333">
        <v>5</v>
      </c>
      <c r="R333">
        <v>30</v>
      </c>
      <c r="S333">
        <v>90</v>
      </c>
      <c r="T333">
        <v>85</v>
      </c>
      <c r="U333">
        <v>30</v>
      </c>
      <c r="V333" t="b">
        <f t="shared" si="13"/>
        <v>0</v>
      </c>
      <c r="W333" t="b">
        <f t="shared" si="14"/>
        <v>0</v>
      </c>
      <c r="X333" t="b">
        <f t="shared" si="15"/>
        <v>0</v>
      </c>
      <c r="Y333" t="b">
        <f t="shared" si="16"/>
        <v>0</v>
      </c>
      <c r="Z333" t="b">
        <f t="shared" si="17"/>
        <v>0</v>
      </c>
      <c r="AA333" t="b">
        <f t="shared" si="18"/>
        <v>0</v>
      </c>
      <c r="AB333" t="b">
        <f t="shared" si="19"/>
        <v>0</v>
      </c>
      <c r="AC333" t="b">
        <f t="shared" si="20"/>
        <v>0</v>
      </c>
    </row>
    <row r="334" spans="13:29">
      <c r="M334">
        <v>19</v>
      </c>
      <c r="N334">
        <v>20</v>
      </c>
      <c r="O334">
        <v>5</v>
      </c>
      <c r="P334">
        <v>4</v>
      </c>
      <c r="Q334">
        <v>5</v>
      </c>
      <c r="R334">
        <v>20</v>
      </c>
      <c r="S334">
        <v>90</v>
      </c>
      <c r="T334">
        <v>85</v>
      </c>
      <c r="U334">
        <v>30</v>
      </c>
      <c r="V334" t="b">
        <f t="shared" si="13"/>
        <v>0</v>
      </c>
      <c r="W334" t="b">
        <f t="shared" si="14"/>
        <v>0</v>
      </c>
      <c r="X334" t="b">
        <f t="shared" si="15"/>
        <v>0</v>
      </c>
      <c r="Y334" t="b">
        <f t="shared" si="16"/>
        <v>0</v>
      </c>
      <c r="Z334" t="b">
        <f t="shared" si="17"/>
        <v>0</v>
      </c>
      <c r="AA334" t="b">
        <f t="shared" si="18"/>
        <v>0</v>
      </c>
      <c r="AB334" t="b">
        <f t="shared" si="19"/>
        <v>0</v>
      </c>
      <c r="AC334" t="b">
        <f t="shared" si="20"/>
        <v>0</v>
      </c>
    </row>
    <row r="335" spans="13:29">
      <c r="M335">
        <v>19</v>
      </c>
      <c r="N335">
        <v>20</v>
      </c>
      <c r="O335">
        <v>5</v>
      </c>
      <c r="P335">
        <v>7</v>
      </c>
      <c r="Q335">
        <v>5</v>
      </c>
      <c r="R335">
        <v>30</v>
      </c>
      <c r="S335">
        <v>100</v>
      </c>
      <c r="T335">
        <v>85</v>
      </c>
      <c r="U335">
        <v>25</v>
      </c>
      <c r="V335" t="b">
        <f t="shared" si="13"/>
        <v>0</v>
      </c>
      <c r="W335" t="b">
        <f t="shared" si="14"/>
        <v>0</v>
      </c>
      <c r="X335" t="b">
        <f t="shared" si="15"/>
        <v>0</v>
      </c>
      <c r="Y335" t="b">
        <f t="shared" si="16"/>
        <v>0</v>
      </c>
      <c r="Z335" t="b">
        <f t="shared" si="17"/>
        <v>0</v>
      </c>
      <c r="AA335" t="b">
        <f t="shared" si="18"/>
        <v>0</v>
      </c>
      <c r="AB335" t="b">
        <f t="shared" si="19"/>
        <v>0</v>
      </c>
      <c r="AC335" t="b">
        <f t="shared" si="20"/>
        <v>0</v>
      </c>
    </row>
    <row r="336" spans="13:29">
      <c r="M336">
        <v>19</v>
      </c>
      <c r="N336">
        <v>20</v>
      </c>
      <c r="O336">
        <v>5</v>
      </c>
      <c r="P336">
        <v>4</v>
      </c>
      <c r="Q336">
        <v>5</v>
      </c>
      <c r="R336">
        <v>20</v>
      </c>
      <c r="S336">
        <v>100</v>
      </c>
      <c r="T336">
        <v>85</v>
      </c>
      <c r="U336">
        <v>25</v>
      </c>
      <c r="V336" t="b">
        <f t="shared" si="13"/>
        <v>0</v>
      </c>
      <c r="W336" t="b">
        <f t="shared" si="14"/>
        <v>0</v>
      </c>
      <c r="X336" t="b">
        <f t="shared" si="15"/>
        <v>0</v>
      </c>
      <c r="Y336" t="b">
        <f t="shared" si="16"/>
        <v>0</v>
      </c>
      <c r="Z336" t="b">
        <f t="shared" si="17"/>
        <v>0</v>
      </c>
      <c r="AA336" t="b">
        <f t="shared" si="18"/>
        <v>0</v>
      </c>
      <c r="AB336" t="b">
        <f t="shared" si="19"/>
        <v>0</v>
      </c>
      <c r="AC336" t="b">
        <f t="shared" si="20"/>
        <v>0</v>
      </c>
    </row>
    <row r="337" spans="13:29">
      <c r="M337">
        <v>19</v>
      </c>
      <c r="N337">
        <v>20</v>
      </c>
      <c r="O337">
        <v>5</v>
      </c>
      <c r="P337">
        <v>7</v>
      </c>
      <c r="Q337">
        <v>5</v>
      </c>
      <c r="R337">
        <v>20</v>
      </c>
      <c r="S337">
        <v>90</v>
      </c>
      <c r="T337">
        <v>85</v>
      </c>
      <c r="U337">
        <v>30</v>
      </c>
      <c r="V337" t="b">
        <f t="shared" si="13"/>
        <v>0</v>
      </c>
      <c r="W337" t="b">
        <f t="shared" si="14"/>
        <v>0</v>
      </c>
      <c r="X337" t="b">
        <f t="shared" si="15"/>
        <v>0</v>
      </c>
      <c r="Y337" t="b">
        <f t="shared" si="16"/>
        <v>0</v>
      </c>
      <c r="Z337" t="b">
        <f t="shared" si="17"/>
        <v>0</v>
      </c>
      <c r="AA337" t="b">
        <f t="shared" si="18"/>
        <v>0</v>
      </c>
      <c r="AB337" t="b">
        <f t="shared" si="19"/>
        <v>0</v>
      </c>
      <c r="AC337" t="b">
        <f t="shared" si="20"/>
        <v>0</v>
      </c>
    </row>
    <row r="338" spans="13:29">
      <c r="M338">
        <v>19</v>
      </c>
      <c r="N338">
        <v>20</v>
      </c>
      <c r="O338">
        <v>5</v>
      </c>
      <c r="P338">
        <v>4</v>
      </c>
      <c r="Q338">
        <v>5</v>
      </c>
      <c r="R338">
        <v>30</v>
      </c>
      <c r="S338">
        <v>100</v>
      </c>
      <c r="T338">
        <v>85</v>
      </c>
      <c r="U338">
        <v>25</v>
      </c>
      <c r="V338" t="b">
        <f t="shared" si="13"/>
        <v>0</v>
      </c>
      <c r="W338" t="b">
        <f t="shared" si="14"/>
        <v>0</v>
      </c>
      <c r="X338" t="b">
        <f t="shared" si="15"/>
        <v>0</v>
      </c>
      <c r="Y338" t="b">
        <f t="shared" si="16"/>
        <v>0</v>
      </c>
      <c r="Z338" t="b">
        <f t="shared" si="17"/>
        <v>0</v>
      </c>
      <c r="AA338" t="b">
        <f t="shared" si="18"/>
        <v>0</v>
      </c>
      <c r="AB338" t="b">
        <f t="shared" si="19"/>
        <v>0</v>
      </c>
      <c r="AC338" t="b">
        <f t="shared" si="20"/>
        <v>0</v>
      </c>
    </row>
    <row r="339" spans="13:29">
      <c r="M339">
        <v>19</v>
      </c>
      <c r="N339">
        <v>20</v>
      </c>
      <c r="O339">
        <v>5</v>
      </c>
      <c r="P339">
        <v>7</v>
      </c>
      <c r="Q339">
        <v>5</v>
      </c>
      <c r="R339">
        <v>30</v>
      </c>
      <c r="S339">
        <v>90</v>
      </c>
      <c r="T339">
        <v>85</v>
      </c>
      <c r="U339">
        <v>30</v>
      </c>
      <c r="V339" t="b">
        <f t="shared" si="13"/>
        <v>0</v>
      </c>
      <c r="W339" t="b">
        <f t="shared" si="14"/>
        <v>0</v>
      </c>
      <c r="X339" t="b">
        <f t="shared" si="15"/>
        <v>0</v>
      </c>
      <c r="Y339" t="b">
        <f t="shared" si="16"/>
        <v>0</v>
      </c>
      <c r="Z339" t="b">
        <f t="shared" si="17"/>
        <v>0</v>
      </c>
      <c r="AA339" t="b">
        <f t="shared" si="18"/>
        <v>0</v>
      </c>
      <c r="AB339" t="b">
        <f t="shared" si="19"/>
        <v>0</v>
      </c>
      <c r="AC339" t="b">
        <f t="shared" si="20"/>
        <v>0</v>
      </c>
    </row>
    <row r="340" spans="13:29">
      <c r="M340">
        <v>19</v>
      </c>
      <c r="N340">
        <v>10</v>
      </c>
      <c r="O340">
        <v>5</v>
      </c>
      <c r="P340">
        <v>4</v>
      </c>
      <c r="Q340">
        <v>5</v>
      </c>
      <c r="R340">
        <v>20</v>
      </c>
      <c r="S340">
        <v>80</v>
      </c>
      <c r="T340">
        <v>85</v>
      </c>
      <c r="U340">
        <v>30</v>
      </c>
      <c r="V340" t="b">
        <f t="shared" si="13"/>
        <v>0</v>
      </c>
      <c r="W340" t="b">
        <f t="shared" si="14"/>
        <v>0</v>
      </c>
      <c r="X340" t="b">
        <f t="shared" si="15"/>
        <v>0</v>
      </c>
      <c r="Y340" t="b">
        <f t="shared" si="16"/>
        <v>0</v>
      </c>
      <c r="Z340" t="b">
        <f t="shared" si="17"/>
        <v>0</v>
      </c>
      <c r="AA340" t="b">
        <f t="shared" si="18"/>
        <v>0</v>
      </c>
      <c r="AB340" t="b">
        <f t="shared" si="19"/>
        <v>0</v>
      </c>
      <c r="AC340" t="b">
        <f t="shared" si="20"/>
        <v>0</v>
      </c>
    </row>
    <row r="341" spans="13:29">
      <c r="M341">
        <v>19</v>
      </c>
      <c r="N341">
        <v>10</v>
      </c>
      <c r="O341">
        <v>5</v>
      </c>
      <c r="P341">
        <v>4</v>
      </c>
      <c r="Q341">
        <v>5</v>
      </c>
      <c r="R341">
        <v>30</v>
      </c>
      <c r="S341">
        <v>80</v>
      </c>
      <c r="T341">
        <v>85</v>
      </c>
      <c r="U341">
        <v>30</v>
      </c>
      <c r="V341" t="b">
        <f t="shared" si="13"/>
        <v>0</v>
      </c>
      <c r="W341" t="b">
        <f t="shared" si="14"/>
        <v>0</v>
      </c>
      <c r="X341" t="b">
        <f t="shared" si="15"/>
        <v>0</v>
      </c>
      <c r="Y341" t="b">
        <f t="shared" si="16"/>
        <v>0</v>
      </c>
      <c r="Z341" t="b">
        <f t="shared" si="17"/>
        <v>0</v>
      </c>
      <c r="AA341" t="b">
        <f t="shared" si="18"/>
        <v>0</v>
      </c>
      <c r="AB341" t="b">
        <f t="shared" si="19"/>
        <v>0</v>
      </c>
      <c r="AC341" t="b">
        <f t="shared" si="20"/>
        <v>0</v>
      </c>
    </row>
    <row r="342" spans="13:29">
      <c r="M342">
        <v>19</v>
      </c>
      <c r="N342">
        <v>10</v>
      </c>
      <c r="O342">
        <v>5</v>
      </c>
      <c r="P342">
        <v>7</v>
      </c>
      <c r="Q342">
        <v>5</v>
      </c>
      <c r="R342">
        <v>20</v>
      </c>
      <c r="S342">
        <v>80</v>
      </c>
      <c r="T342">
        <v>85</v>
      </c>
      <c r="U342">
        <v>30</v>
      </c>
      <c r="V342" t="b">
        <f t="shared" si="13"/>
        <v>0</v>
      </c>
      <c r="W342" t="b">
        <f t="shared" si="14"/>
        <v>0</v>
      </c>
      <c r="X342" t="b">
        <f t="shared" si="15"/>
        <v>0</v>
      </c>
      <c r="Y342" t="b">
        <f t="shared" si="16"/>
        <v>0</v>
      </c>
      <c r="Z342" t="b">
        <f t="shared" si="17"/>
        <v>0</v>
      </c>
      <c r="AA342" t="b">
        <f t="shared" si="18"/>
        <v>0</v>
      </c>
      <c r="AB342" t="b">
        <f t="shared" si="19"/>
        <v>0</v>
      </c>
      <c r="AC342" t="b">
        <f t="shared" si="20"/>
        <v>0</v>
      </c>
    </row>
    <row r="343" spans="13:29">
      <c r="M343">
        <v>19</v>
      </c>
      <c r="N343">
        <v>10</v>
      </c>
      <c r="O343">
        <v>5</v>
      </c>
      <c r="P343">
        <v>7</v>
      </c>
      <c r="Q343">
        <v>5</v>
      </c>
      <c r="R343">
        <v>30</v>
      </c>
      <c r="S343">
        <v>80</v>
      </c>
      <c r="T343">
        <v>85</v>
      </c>
      <c r="U343">
        <v>30</v>
      </c>
      <c r="V343" t="b">
        <f t="shared" si="13"/>
        <v>0</v>
      </c>
      <c r="W343" t="b">
        <f t="shared" si="14"/>
        <v>0</v>
      </c>
      <c r="X343" t="b">
        <f t="shared" si="15"/>
        <v>0</v>
      </c>
      <c r="Y343" t="b">
        <f t="shared" si="16"/>
        <v>0</v>
      </c>
      <c r="Z343" t="b">
        <f t="shared" si="17"/>
        <v>0</v>
      </c>
      <c r="AA343" t="b">
        <f t="shared" si="18"/>
        <v>0</v>
      </c>
      <c r="AB343" t="b">
        <f t="shared" si="19"/>
        <v>0</v>
      </c>
      <c r="AC343" t="b">
        <f t="shared" si="20"/>
        <v>0</v>
      </c>
    </row>
    <row r="344" spans="13:29">
      <c r="M344">
        <v>19</v>
      </c>
      <c r="N344">
        <v>20</v>
      </c>
      <c r="O344">
        <v>5</v>
      </c>
      <c r="P344">
        <v>7</v>
      </c>
      <c r="Q344">
        <v>5</v>
      </c>
      <c r="R344">
        <v>20</v>
      </c>
      <c r="S344">
        <v>100</v>
      </c>
      <c r="T344">
        <v>85</v>
      </c>
      <c r="U344">
        <v>25</v>
      </c>
      <c r="V344" t="b">
        <f t="shared" si="13"/>
        <v>0</v>
      </c>
      <c r="W344" t="b">
        <f t="shared" si="14"/>
        <v>0</v>
      </c>
      <c r="X344" t="b">
        <f t="shared" si="15"/>
        <v>0</v>
      </c>
      <c r="Y344" t="b">
        <f t="shared" si="16"/>
        <v>0</v>
      </c>
      <c r="Z344" t="b">
        <f t="shared" si="17"/>
        <v>0</v>
      </c>
      <c r="AA344" t="b">
        <f t="shared" si="18"/>
        <v>0</v>
      </c>
      <c r="AB344" t="b">
        <f t="shared" si="19"/>
        <v>0</v>
      </c>
      <c r="AC344" t="b">
        <f t="shared" si="20"/>
        <v>0</v>
      </c>
    </row>
    <row r="345" spans="13:29">
      <c r="M345">
        <v>19</v>
      </c>
      <c r="N345">
        <v>20</v>
      </c>
      <c r="O345">
        <v>5</v>
      </c>
      <c r="P345">
        <v>4</v>
      </c>
      <c r="Q345">
        <v>5</v>
      </c>
      <c r="R345">
        <v>30</v>
      </c>
      <c r="S345">
        <v>90</v>
      </c>
      <c r="T345">
        <v>85</v>
      </c>
      <c r="U345">
        <v>30</v>
      </c>
      <c r="V345" t="b">
        <f t="shared" si="13"/>
        <v>0</v>
      </c>
      <c r="W345" t="b">
        <f t="shared" si="14"/>
        <v>0</v>
      </c>
      <c r="X345" t="b">
        <f t="shared" si="15"/>
        <v>0</v>
      </c>
      <c r="Y345" t="b">
        <f t="shared" si="16"/>
        <v>0</v>
      </c>
      <c r="Z345" t="b">
        <f t="shared" si="17"/>
        <v>0</v>
      </c>
      <c r="AA345" t="b">
        <f t="shared" si="18"/>
        <v>0</v>
      </c>
      <c r="AB345" t="b">
        <f t="shared" si="19"/>
        <v>0</v>
      </c>
      <c r="AC345" t="b">
        <f t="shared" si="20"/>
        <v>0</v>
      </c>
    </row>
    <row r="346" spans="13:29">
      <c r="M346">
        <v>19</v>
      </c>
      <c r="N346">
        <v>20</v>
      </c>
      <c r="O346">
        <v>5</v>
      </c>
      <c r="P346">
        <v>4</v>
      </c>
      <c r="Q346">
        <v>5</v>
      </c>
      <c r="R346">
        <v>20</v>
      </c>
      <c r="S346">
        <v>90</v>
      </c>
      <c r="T346">
        <v>85</v>
      </c>
      <c r="U346">
        <v>30</v>
      </c>
      <c r="V346" t="b">
        <f t="shared" si="13"/>
        <v>0</v>
      </c>
      <c r="W346" t="b">
        <f t="shared" si="14"/>
        <v>0</v>
      </c>
      <c r="X346" t="b">
        <f t="shared" si="15"/>
        <v>0</v>
      </c>
      <c r="Y346" t="b">
        <f t="shared" si="16"/>
        <v>0</v>
      </c>
      <c r="Z346" t="b">
        <f t="shared" si="17"/>
        <v>0</v>
      </c>
      <c r="AA346" t="b">
        <f t="shared" si="18"/>
        <v>0</v>
      </c>
      <c r="AB346" t="b">
        <f t="shared" si="19"/>
        <v>0</v>
      </c>
      <c r="AC346" t="b">
        <f t="shared" si="20"/>
        <v>0</v>
      </c>
    </row>
    <row r="347" spans="13:29">
      <c r="M347">
        <v>19</v>
      </c>
      <c r="N347">
        <v>20</v>
      </c>
      <c r="O347">
        <v>5</v>
      </c>
      <c r="P347">
        <v>7</v>
      </c>
      <c r="Q347">
        <v>5</v>
      </c>
      <c r="R347">
        <v>30</v>
      </c>
      <c r="S347">
        <v>100</v>
      </c>
      <c r="T347">
        <v>85</v>
      </c>
      <c r="U347">
        <v>25</v>
      </c>
      <c r="V347" t="b">
        <f t="shared" si="13"/>
        <v>0</v>
      </c>
      <c r="W347" t="b">
        <f t="shared" si="14"/>
        <v>0</v>
      </c>
      <c r="X347" t="b">
        <f t="shared" si="15"/>
        <v>0</v>
      </c>
      <c r="Y347" t="b">
        <f t="shared" si="16"/>
        <v>0</v>
      </c>
      <c r="Z347" t="b">
        <f t="shared" si="17"/>
        <v>0</v>
      </c>
      <c r="AA347" t="b">
        <f t="shared" si="18"/>
        <v>0</v>
      </c>
      <c r="AB347" t="b">
        <f t="shared" si="19"/>
        <v>0</v>
      </c>
      <c r="AC347" t="b">
        <f t="shared" si="20"/>
        <v>0</v>
      </c>
    </row>
    <row r="348" spans="13:29">
      <c r="M348">
        <v>19</v>
      </c>
      <c r="N348">
        <v>20</v>
      </c>
      <c r="O348">
        <v>5</v>
      </c>
      <c r="P348">
        <v>4</v>
      </c>
      <c r="Q348">
        <v>5</v>
      </c>
      <c r="R348">
        <v>20</v>
      </c>
      <c r="S348">
        <v>100</v>
      </c>
      <c r="T348">
        <v>85</v>
      </c>
      <c r="U348">
        <v>25</v>
      </c>
      <c r="V348" t="b">
        <f t="shared" si="13"/>
        <v>0</v>
      </c>
      <c r="W348" t="b">
        <f t="shared" si="14"/>
        <v>0</v>
      </c>
      <c r="X348" t="b">
        <f t="shared" si="15"/>
        <v>0</v>
      </c>
      <c r="Y348" t="b">
        <f t="shared" si="16"/>
        <v>0</v>
      </c>
      <c r="Z348" t="b">
        <f t="shared" si="17"/>
        <v>0</v>
      </c>
      <c r="AA348" t="b">
        <f t="shared" si="18"/>
        <v>0</v>
      </c>
      <c r="AB348" t="b">
        <f t="shared" si="19"/>
        <v>0</v>
      </c>
      <c r="AC348" t="b">
        <f t="shared" si="20"/>
        <v>0</v>
      </c>
    </row>
    <row r="349" spans="13:29">
      <c r="M349">
        <v>19</v>
      </c>
      <c r="N349">
        <v>20</v>
      </c>
      <c r="O349">
        <v>5</v>
      </c>
      <c r="P349">
        <v>7</v>
      </c>
      <c r="Q349">
        <v>5</v>
      </c>
      <c r="R349">
        <v>20</v>
      </c>
      <c r="S349">
        <v>90</v>
      </c>
      <c r="T349">
        <v>85</v>
      </c>
      <c r="U349">
        <v>30</v>
      </c>
      <c r="V349" t="b">
        <f t="shared" si="13"/>
        <v>0</v>
      </c>
      <c r="W349" t="b">
        <f t="shared" si="14"/>
        <v>0</v>
      </c>
      <c r="X349" t="b">
        <f t="shared" si="15"/>
        <v>0</v>
      </c>
      <c r="Y349" t="b">
        <f t="shared" si="16"/>
        <v>0</v>
      </c>
      <c r="Z349" t="b">
        <f t="shared" si="17"/>
        <v>0</v>
      </c>
      <c r="AA349" t="b">
        <f t="shared" si="18"/>
        <v>0</v>
      </c>
      <c r="AB349" t="b">
        <f t="shared" si="19"/>
        <v>0</v>
      </c>
      <c r="AC349" t="b">
        <f t="shared" si="20"/>
        <v>0</v>
      </c>
    </row>
    <row r="350" spans="13:29">
      <c r="M350">
        <v>19</v>
      </c>
      <c r="N350">
        <v>20</v>
      </c>
      <c r="O350">
        <v>5</v>
      </c>
      <c r="P350">
        <v>4</v>
      </c>
      <c r="Q350">
        <v>5</v>
      </c>
      <c r="R350">
        <v>30</v>
      </c>
      <c r="S350">
        <v>100</v>
      </c>
      <c r="T350">
        <v>85</v>
      </c>
      <c r="U350">
        <v>25</v>
      </c>
      <c r="V350" t="b">
        <f t="shared" si="13"/>
        <v>0</v>
      </c>
      <c r="W350" t="b">
        <f t="shared" si="14"/>
        <v>0</v>
      </c>
      <c r="X350" t="b">
        <f t="shared" si="15"/>
        <v>0</v>
      </c>
      <c r="Y350" t="b">
        <f t="shared" si="16"/>
        <v>0</v>
      </c>
      <c r="Z350" t="b">
        <f t="shared" si="17"/>
        <v>0</v>
      </c>
      <c r="AA350" t="b">
        <f t="shared" si="18"/>
        <v>0</v>
      </c>
      <c r="AB350" t="b">
        <f t="shared" si="19"/>
        <v>0</v>
      </c>
      <c r="AC350" t="b">
        <f t="shared" si="20"/>
        <v>0</v>
      </c>
    </row>
    <row r="351" spans="13:29">
      <c r="M351">
        <v>19</v>
      </c>
      <c r="N351">
        <v>20</v>
      </c>
      <c r="O351">
        <v>5</v>
      </c>
      <c r="P351">
        <v>7</v>
      </c>
      <c r="Q351">
        <v>5</v>
      </c>
      <c r="R351">
        <v>30</v>
      </c>
      <c r="S351">
        <v>90</v>
      </c>
      <c r="T351">
        <v>85</v>
      </c>
      <c r="U351">
        <v>30</v>
      </c>
      <c r="V351" t="b">
        <f t="shared" si="13"/>
        <v>0</v>
      </c>
      <c r="W351" t="b">
        <f t="shared" si="14"/>
        <v>0</v>
      </c>
      <c r="X351" t="b">
        <f t="shared" si="15"/>
        <v>0</v>
      </c>
      <c r="Y351" t="b">
        <f t="shared" si="16"/>
        <v>0</v>
      </c>
      <c r="Z351" t="b">
        <f t="shared" si="17"/>
        <v>0</v>
      </c>
      <c r="AA351" t="b">
        <f t="shared" si="18"/>
        <v>0</v>
      </c>
      <c r="AB351" t="b">
        <f t="shared" si="19"/>
        <v>0</v>
      </c>
      <c r="AC351" t="b">
        <f t="shared" si="20"/>
        <v>0</v>
      </c>
    </row>
    <row r="352" spans="13:29">
      <c r="M352">
        <v>20</v>
      </c>
      <c r="N352">
        <v>20</v>
      </c>
      <c r="O352">
        <v>5</v>
      </c>
      <c r="P352">
        <v>4</v>
      </c>
      <c r="Q352">
        <v>5</v>
      </c>
      <c r="R352">
        <v>30</v>
      </c>
      <c r="S352">
        <v>80</v>
      </c>
      <c r="T352">
        <v>85</v>
      </c>
      <c r="U352">
        <v>30</v>
      </c>
      <c r="V352" t="b">
        <f t="shared" si="13"/>
        <v>0</v>
      </c>
      <c r="W352" t="b">
        <f t="shared" si="14"/>
        <v>0</v>
      </c>
      <c r="X352" t="b">
        <f t="shared" si="15"/>
        <v>0</v>
      </c>
      <c r="Y352" t="b">
        <f t="shared" si="16"/>
        <v>0</v>
      </c>
      <c r="Z352" t="b">
        <f t="shared" si="17"/>
        <v>0</v>
      </c>
      <c r="AA352" t="b">
        <f t="shared" si="18"/>
        <v>0</v>
      </c>
      <c r="AB352" t="b">
        <f t="shared" si="19"/>
        <v>0</v>
      </c>
      <c r="AC352" t="b">
        <f t="shared" si="20"/>
        <v>0</v>
      </c>
    </row>
    <row r="353" spans="13:29">
      <c r="M353">
        <v>20</v>
      </c>
      <c r="N353">
        <v>20</v>
      </c>
      <c r="O353">
        <v>5</v>
      </c>
      <c r="P353">
        <v>7</v>
      </c>
      <c r="Q353">
        <v>5</v>
      </c>
      <c r="R353">
        <v>20</v>
      </c>
      <c r="S353">
        <v>100</v>
      </c>
      <c r="T353">
        <v>85</v>
      </c>
      <c r="U353">
        <v>25</v>
      </c>
      <c r="V353" t="b">
        <f t="shared" si="13"/>
        <v>0</v>
      </c>
      <c r="W353" t="b">
        <f t="shared" si="14"/>
        <v>0</v>
      </c>
      <c r="X353" t="b">
        <f t="shared" si="15"/>
        <v>0</v>
      </c>
      <c r="Y353" t="b">
        <f t="shared" si="16"/>
        <v>0</v>
      </c>
      <c r="Z353" t="b">
        <f t="shared" si="17"/>
        <v>0</v>
      </c>
      <c r="AA353" t="b">
        <f t="shared" si="18"/>
        <v>0</v>
      </c>
      <c r="AB353" t="b">
        <f t="shared" si="19"/>
        <v>0</v>
      </c>
      <c r="AC353" t="b">
        <f t="shared" si="20"/>
        <v>0</v>
      </c>
    </row>
    <row r="354" spans="13:29">
      <c r="M354">
        <v>20</v>
      </c>
      <c r="N354">
        <v>20</v>
      </c>
      <c r="O354">
        <v>5</v>
      </c>
      <c r="P354">
        <v>7</v>
      </c>
      <c r="Q354">
        <v>5</v>
      </c>
      <c r="R354">
        <v>30</v>
      </c>
      <c r="S354">
        <v>80</v>
      </c>
      <c r="T354">
        <v>85</v>
      </c>
      <c r="U354">
        <v>30</v>
      </c>
      <c r="V354" t="b">
        <f t="shared" si="13"/>
        <v>0</v>
      </c>
      <c r="W354" t="b">
        <f t="shared" si="14"/>
        <v>0</v>
      </c>
      <c r="X354" t="b">
        <f t="shared" si="15"/>
        <v>0</v>
      </c>
      <c r="Y354" t="b">
        <f t="shared" si="16"/>
        <v>0</v>
      </c>
      <c r="Z354" t="b">
        <f t="shared" si="17"/>
        <v>0</v>
      </c>
      <c r="AA354" t="b">
        <f t="shared" si="18"/>
        <v>0</v>
      </c>
      <c r="AB354" t="b">
        <f t="shared" si="19"/>
        <v>0</v>
      </c>
      <c r="AC354" t="b">
        <f t="shared" si="20"/>
        <v>0</v>
      </c>
    </row>
    <row r="355" spans="13:29">
      <c r="M355">
        <v>20</v>
      </c>
      <c r="N355">
        <v>20</v>
      </c>
      <c r="O355">
        <v>5</v>
      </c>
      <c r="P355">
        <v>4</v>
      </c>
      <c r="Q355">
        <v>5</v>
      </c>
      <c r="R355">
        <v>30</v>
      </c>
      <c r="S355">
        <v>90</v>
      </c>
      <c r="T355">
        <v>85</v>
      </c>
      <c r="U355">
        <v>30</v>
      </c>
      <c r="V355" t="b">
        <f t="shared" si="13"/>
        <v>0</v>
      </c>
      <c r="W355" t="b">
        <f t="shared" si="14"/>
        <v>0</v>
      </c>
      <c r="X355" t="b">
        <f t="shared" si="15"/>
        <v>0</v>
      </c>
      <c r="Y355" t="b">
        <f t="shared" si="16"/>
        <v>0</v>
      </c>
      <c r="Z355" t="b">
        <f t="shared" si="17"/>
        <v>0</v>
      </c>
      <c r="AA355" t="b">
        <f t="shared" si="18"/>
        <v>0</v>
      </c>
      <c r="AB355" t="b">
        <f t="shared" si="19"/>
        <v>0</v>
      </c>
      <c r="AC355" t="b">
        <f t="shared" si="20"/>
        <v>0</v>
      </c>
    </row>
    <row r="356" spans="13:29">
      <c r="M356">
        <v>20</v>
      </c>
      <c r="N356">
        <v>20</v>
      </c>
      <c r="O356">
        <v>5</v>
      </c>
      <c r="P356">
        <v>4</v>
      </c>
      <c r="Q356">
        <v>5</v>
      </c>
      <c r="R356">
        <v>20</v>
      </c>
      <c r="S356">
        <v>90</v>
      </c>
      <c r="T356">
        <v>85</v>
      </c>
      <c r="U356">
        <v>30</v>
      </c>
      <c r="V356" t="b">
        <f t="shared" si="13"/>
        <v>0</v>
      </c>
      <c r="W356" t="b">
        <f t="shared" si="14"/>
        <v>0</v>
      </c>
      <c r="X356" t="b">
        <f t="shared" si="15"/>
        <v>0</v>
      </c>
      <c r="Y356" t="b">
        <f t="shared" si="16"/>
        <v>0</v>
      </c>
      <c r="Z356" t="b">
        <f t="shared" si="17"/>
        <v>0</v>
      </c>
      <c r="AA356" t="b">
        <f t="shared" si="18"/>
        <v>0</v>
      </c>
      <c r="AB356" t="b">
        <f t="shared" si="19"/>
        <v>0</v>
      </c>
      <c r="AC356" t="b">
        <f t="shared" si="20"/>
        <v>0</v>
      </c>
    </row>
    <row r="357" spans="13:29">
      <c r="M357">
        <v>20</v>
      </c>
      <c r="N357">
        <v>20</v>
      </c>
      <c r="O357">
        <v>5</v>
      </c>
      <c r="P357">
        <v>7</v>
      </c>
      <c r="Q357">
        <v>5</v>
      </c>
      <c r="R357">
        <v>30</v>
      </c>
      <c r="S357">
        <v>100</v>
      </c>
      <c r="T357">
        <v>85</v>
      </c>
      <c r="U357">
        <v>25</v>
      </c>
      <c r="V357" t="b">
        <f t="shared" si="13"/>
        <v>0</v>
      </c>
      <c r="W357" t="b">
        <f t="shared" si="14"/>
        <v>0</v>
      </c>
      <c r="X357" t="b">
        <f t="shared" si="15"/>
        <v>0</v>
      </c>
      <c r="Y357" t="b">
        <f t="shared" si="16"/>
        <v>0</v>
      </c>
      <c r="Z357" t="b">
        <f t="shared" si="17"/>
        <v>0</v>
      </c>
      <c r="AA357" t="b">
        <f t="shared" si="18"/>
        <v>0</v>
      </c>
      <c r="AB357" t="b">
        <f t="shared" si="19"/>
        <v>0</v>
      </c>
      <c r="AC357" t="b">
        <f t="shared" si="20"/>
        <v>0</v>
      </c>
    </row>
    <row r="358" spans="13:29">
      <c r="M358">
        <v>20</v>
      </c>
      <c r="N358">
        <v>20</v>
      </c>
      <c r="O358">
        <v>5</v>
      </c>
      <c r="P358">
        <v>7</v>
      </c>
      <c r="Q358">
        <v>5</v>
      </c>
      <c r="R358">
        <v>20</v>
      </c>
      <c r="S358">
        <v>80</v>
      </c>
      <c r="T358">
        <v>85</v>
      </c>
      <c r="U358">
        <v>30</v>
      </c>
      <c r="V358" t="b">
        <f t="shared" si="13"/>
        <v>0</v>
      </c>
      <c r="W358" t="b">
        <f t="shared" si="14"/>
        <v>0</v>
      </c>
      <c r="X358" t="b">
        <f t="shared" si="15"/>
        <v>0</v>
      </c>
      <c r="Y358" t="b">
        <f t="shared" si="16"/>
        <v>0</v>
      </c>
      <c r="Z358" t="b">
        <f t="shared" si="17"/>
        <v>0</v>
      </c>
      <c r="AA358" t="b">
        <f t="shared" si="18"/>
        <v>0</v>
      </c>
      <c r="AB358" t="b">
        <f t="shared" si="19"/>
        <v>0</v>
      </c>
      <c r="AC358" t="b">
        <f t="shared" si="20"/>
        <v>0</v>
      </c>
    </row>
    <row r="359" spans="13:29">
      <c r="M359">
        <v>20</v>
      </c>
      <c r="N359">
        <v>20</v>
      </c>
      <c r="O359">
        <v>5</v>
      </c>
      <c r="P359">
        <v>4</v>
      </c>
      <c r="Q359">
        <v>5</v>
      </c>
      <c r="R359">
        <v>20</v>
      </c>
      <c r="S359">
        <v>100</v>
      </c>
      <c r="T359">
        <v>85</v>
      </c>
      <c r="U359">
        <v>25</v>
      </c>
      <c r="V359" t="b">
        <f t="shared" si="13"/>
        <v>0</v>
      </c>
      <c r="W359" t="b">
        <f t="shared" si="14"/>
        <v>0</v>
      </c>
      <c r="X359" t="b">
        <f t="shared" si="15"/>
        <v>0</v>
      </c>
      <c r="Y359" t="b">
        <f t="shared" si="16"/>
        <v>0</v>
      </c>
      <c r="Z359" t="b">
        <f t="shared" si="17"/>
        <v>0</v>
      </c>
      <c r="AA359" t="b">
        <f t="shared" si="18"/>
        <v>0</v>
      </c>
      <c r="AB359" t="b">
        <f t="shared" si="19"/>
        <v>0</v>
      </c>
      <c r="AC359" t="b">
        <f t="shared" si="20"/>
        <v>0</v>
      </c>
    </row>
    <row r="360" spans="13:29">
      <c r="M360">
        <v>20</v>
      </c>
      <c r="N360">
        <v>20</v>
      </c>
      <c r="O360">
        <v>5</v>
      </c>
      <c r="P360">
        <v>7</v>
      </c>
      <c r="Q360">
        <v>5</v>
      </c>
      <c r="R360">
        <v>20</v>
      </c>
      <c r="S360">
        <v>90</v>
      </c>
      <c r="T360">
        <v>85</v>
      </c>
      <c r="U360">
        <v>30</v>
      </c>
      <c r="V360" t="b">
        <f t="shared" si="13"/>
        <v>0</v>
      </c>
      <c r="W360" t="b">
        <f t="shared" si="14"/>
        <v>0</v>
      </c>
      <c r="X360" t="b">
        <f t="shared" si="15"/>
        <v>0</v>
      </c>
      <c r="Y360" t="b">
        <f t="shared" si="16"/>
        <v>0</v>
      </c>
      <c r="Z360" t="b">
        <f t="shared" si="17"/>
        <v>0</v>
      </c>
      <c r="AA360" t="b">
        <f t="shared" si="18"/>
        <v>0</v>
      </c>
      <c r="AB360" t="b">
        <f t="shared" si="19"/>
        <v>0</v>
      </c>
      <c r="AC360" t="b">
        <f t="shared" si="20"/>
        <v>0</v>
      </c>
    </row>
    <row r="361" spans="13:29">
      <c r="M361">
        <v>20</v>
      </c>
      <c r="N361">
        <v>20</v>
      </c>
      <c r="O361">
        <v>5</v>
      </c>
      <c r="P361">
        <v>4</v>
      </c>
      <c r="Q361">
        <v>5</v>
      </c>
      <c r="R361">
        <v>30</v>
      </c>
      <c r="S361">
        <v>100</v>
      </c>
      <c r="T361">
        <v>85</v>
      </c>
      <c r="U361">
        <v>25</v>
      </c>
      <c r="V361" t="b">
        <f t="shared" si="13"/>
        <v>0</v>
      </c>
      <c r="W361" t="b">
        <f t="shared" si="14"/>
        <v>0</v>
      </c>
      <c r="X361" t="b">
        <f t="shared" si="15"/>
        <v>0</v>
      </c>
      <c r="Y361" t="b">
        <f t="shared" si="16"/>
        <v>0</v>
      </c>
      <c r="Z361" t="b">
        <f t="shared" si="17"/>
        <v>0</v>
      </c>
      <c r="AA361" t="b">
        <f t="shared" si="18"/>
        <v>0</v>
      </c>
      <c r="AB361" t="b">
        <f t="shared" si="19"/>
        <v>0</v>
      </c>
      <c r="AC361" t="b">
        <f t="shared" si="20"/>
        <v>0</v>
      </c>
    </row>
    <row r="362" spans="13:29">
      <c r="M362">
        <v>20</v>
      </c>
      <c r="N362">
        <v>20</v>
      </c>
      <c r="O362">
        <v>5</v>
      </c>
      <c r="P362">
        <v>7</v>
      </c>
      <c r="Q362">
        <v>5</v>
      </c>
      <c r="R362">
        <v>30</v>
      </c>
      <c r="S362">
        <v>90</v>
      </c>
      <c r="T362">
        <v>85</v>
      </c>
      <c r="U362">
        <v>30</v>
      </c>
      <c r="V362" t="b">
        <f t="shared" si="13"/>
        <v>0</v>
      </c>
      <c r="W362" t="b">
        <f t="shared" si="14"/>
        <v>0</v>
      </c>
      <c r="X362" t="b">
        <f t="shared" si="15"/>
        <v>0</v>
      </c>
      <c r="Y362" t="b">
        <f t="shared" si="16"/>
        <v>0</v>
      </c>
      <c r="Z362" t="b">
        <f t="shared" si="17"/>
        <v>0</v>
      </c>
      <c r="AA362" t="b">
        <f t="shared" si="18"/>
        <v>0</v>
      </c>
      <c r="AB362" t="b">
        <f t="shared" si="19"/>
        <v>0</v>
      </c>
      <c r="AC362" t="b">
        <f t="shared" si="20"/>
        <v>0</v>
      </c>
    </row>
    <row r="363" spans="13:29">
      <c r="M363">
        <v>20</v>
      </c>
      <c r="N363">
        <v>20</v>
      </c>
      <c r="O363">
        <v>5</v>
      </c>
      <c r="P363">
        <v>4</v>
      </c>
      <c r="Q363">
        <v>5</v>
      </c>
      <c r="R363">
        <v>20</v>
      </c>
      <c r="S363">
        <v>80</v>
      </c>
      <c r="T363">
        <v>85</v>
      </c>
      <c r="U363">
        <v>30</v>
      </c>
      <c r="V363" t="b">
        <f t="shared" si="13"/>
        <v>0</v>
      </c>
      <c r="W363" t="b">
        <f t="shared" si="14"/>
        <v>0</v>
      </c>
      <c r="X363" t="b">
        <f t="shared" si="15"/>
        <v>0</v>
      </c>
      <c r="Y363" t="b">
        <f t="shared" si="16"/>
        <v>0</v>
      </c>
      <c r="Z363" t="b">
        <f t="shared" si="17"/>
        <v>0</v>
      </c>
      <c r="AA363" t="b">
        <f t="shared" si="18"/>
        <v>0</v>
      </c>
      <c r="AB363" t="b">
        <f t="shared" si="19"/>
        <v>0</v>
      </c>
      <c r="AC363" t="b">
        <f t="shared" si="20"/>
        <v>0</v>
      </c>
    </row>
    <row r="364" spans="13:29">
      <c r="M364">
        <v>20</v>
      </c>
      <c r="N364">
        <v>20</v>
      </c>
      <c r="O364">
        <v>5</v>
      </c>
      <c r="P364">
        <v>4</v>
      </c>
      <c r="Q364">
        <v>5</v>
      </c>
      <c r="R364">
        <v>30</v>
      </c>
      <c r="S364">
        <v>80</v>
      </c>
      <c r="T364">
        <v>85</v>
      </c>
      <c r="U364">
        <v>30</v>
      </c>
      <c r="V364" t="b">
        <f t="shared" si="13"/>
        <v>0</v>
      </c>
      <c r="W364" t="b">
        <f t="shared" si="14"/>
        <v>0</v>
      </c>
      <c r="X364" t="b">
        <f t="shared" si="15"/>
        <v>0</v>
      </c>
      <c r="Y364" t="b">
        <f t="shared" si="16"/>
        <v>0</v>
      </c>
      <c r="Z364" t="b">
        <f t="shared" si="17"/>
        <v>0</v>
      </c>
      <c r="AA364" t="b">
        <f t="shared" si="18"/>
        <v>0</v>
      </c>
      <c r="AB364" t="b">
        <f t="shared" si="19"/>
        <v>0</v>
      </c>
      <c r="AC364" t="b">
        <f t="shared" si="20"/>
        <v>0</v>
      </c>
    </row>
    <row r="365" spans="13:29">
      <c r="M365">
        <v>20</v>
      </c>
      <c r="N365">
        <v>20</v>
      </c>
      <c r="O365">
        <v>5</v>
      </c>
      <c r="P365">
        <v>7</v>
      </c>
      <c r="Q365">
        <v>5</v>
      </c>
      <c r="R365">
        <v>20</v>
      </c>
      <c r="S365">
        <v>100</v>
      </c>
      <c r="T365">
        <v>85</v>
      </c>
      <c r="U365">
        <v>25</v>
      </c>
      <c r="V365" t="b">
        <f t="shared" si="13"/>
        <v>0</v>
      </c>
      <c r="W365" t="b">
        <f t="shared" si="14"/>
        <v>0</v>
      </c>
      <c r="X365" t="b">
        <f t="shared" si="15"/>
        <v>0</v>
      </c>
      <c r="Y365" t="b">
        <f t="shared" si="16"/>
        <v>0</v>
      </c>
      <c r="Z365" t="b">
        <f t="shared" si="17"/>
        <v>0</v>
      </c>
      <c r="AA365" t="b">
        <f t="shared" si="18"/>
        <v>0</v>
      </c>
      <c r="AB365" t="b">
        <f t="shared" si="19"/>
        <v>0</v>
      </c>
      <c r="AC365" t="b">
        <f t="shared" si="20"/>
        <v>0</v>
      </c>
    </row>
    <row r="366" spans="13:29">
      <c r="M366">
        <v>20</v>
      </c>
      <c r="N366">
        <v>20</v>
      </c>
      <c r="O366">
        <v>5</v>
      </c>
      <c r="P366">
        <v>7</v>
      </c>
      <c r="Q366">
        <v>5</v>
      </c>
      <c r="R366">
        <v>30</v>
      </c>
      <c r="S366">
        <v>80</v>
      </c>
      <c r="T366">
        <v>85</v>
      </c>
      <c r="U366">
        <v>30</v>
      </c>
      <c r="V366" t="b">
        <f t="shared" si="13"/>
        <v>0</v>
      </c>
      <c r="W366" t="b">
        <f t="shared" si="14"/>
        <v>0</v>
      </c>
      <c r="X366" t="b">
        <f t="shared" si="15"/>
        <v>0</v>
      </c>
      <c r="Y366" t="b">
        <f t="shared" si="16"/>
        <v>0</v>
      </c>
      <c r="Z366" t="b">
        <f t="shared" si="17"/>
        <v>0</v>
      </c>
      <c r="AA366" t="b">
        <f t="shared" si="18"/>
        <v>0</v>
      </c>
      <c r="AB366" t="b">
        <f t="shared" si="19"/>
        <v>0</v>
      </c>
      <c r="AC366" t="b">
        <f t="shared" si="20"/>
        <v>0</v>
      </c>
    </row>
    <row r="367" spans="13:29">
      <c r="M367">
        <v>20</v>
      </c>
      <c r="N367">
        <v>20</v>
      </c>
      <c r="O367">
        <v>5</v>
      </c>
      <c r="P367">
        <v>4</v>
      </c>
      <c r="Q367">
        <v>5</v>
      </c>
      <c r="R367">
        <v>30</v>
      </c>
      <c r="S367">
        <v>90</v>
      </c>
      <c r="T367">
        <v>85</v>
      </c>
      <c r="U367">
        <v>30</v>
      </c>
      <c r="V367" t="b">
        <f t="shared" si="13"/>
        <v>0</v>
      </c>
      <c r="W367" t="b">
        <f t="shared" si="14"/>
        <v>0</v>
      </c>
      <c r="X367" t="b">
        <f t="shared" si="15"/>
        <v>0</v>
      </c>
      <c r="Y367" t="b">
        <f t="shared" si="16"/>
        <v>0</v>
      </c>
      <c r="Z367" t="b">
        <f t="shared" si="17"/>
        <v>0</v>
      </c>
      <c r="AA367" t="b">
        <f t="shared" si="18"/>
        <v>0</v>
      </c>
      <c r="AB367" t="b">
        <f t="shared" si="19"/>
        <v>0</v>
      </c>
      <c r="AC367" t="b">
        <f t="shared" si="20"/>
        <v>0</v>
      </c>
    </row>
    <row r="368" spans="13:29">
      <c r="M368">
        <v>20</v>
      </c>
      <c r="N368">
        <v>20</v>
      </c>
      <c r="O368">
        <v>5</v>
      </c>
      <c r="P368">
        <v>4</v>
      </c>
      <c r="Q368">
        <v>5</v>
      </c>
      <c r="R368">
        <v>20</v>
      </c>
      <c r="S368">
        <v>90</v>
      </c>
      <c r="T368">
        <v>85</v>
      </c>
      <c r="U368">
        <v>30</v>
      </c>
      <c r="V368" t="b">
        <f t="shared" si="13"/>
        <v>0</v>
      </c>
      <c r="W368" t="b">
        <f t="shared" si="14"/>
        <v>0</v>
      </c>
      <c r="X368" t="b">
        <f t="shared" si="15"/>
        <v>0</v>
      </c>
      <c r="Y368" t="b">
        <f t="shared" si="16"/>
        <v>0</v>
      </c>
      <c r="Z368" t="b">
        <f t="shared" si="17"/>
        <v>0</v>
      </c>
      <c r="AA368" t="b">
        <f t="shared" si="18"/>
        <v>0</v>
      </c>
      <c r="AB368" t="b">
        <f t="shared" si="19"/>
        <v>0</v>
      </c>
      <c r="AC368" t="b">
        <f t="shared" si="20"/>
        <v>0</v>
      </c>
    </row>
    <row r="369" spans="13:29">
      <c r="M369">
        <v>20</v>
      </c>
      <c r="N369">
        <v>20</v>
      </c>
      <c r="O369">
        <v>5</v>
      </c>
      <c r="P369">
        <v>7</v>
      </c>
      <c r="Q369">
        <v>5</v>
      </c>
      <c r="R369">
        <v>30</v>
      </c>
      <c r="S369">
        <v>100</v>
      </c>
      <c r="T369">
        <v>85</v>
      </c>
      <c r="U369">
        <v>25</v>
      </c>
      <c r="V369" t="b">
        <f t="shared" si="13"/>
        <v>0</v>
      </c>
      <c r="W369" t="b">
        <f t="shared" si="14"/>
        <v>0</v>
      </c>
      <c r="X369" t="b">
        <f t="shared" si="15"/>
        <v>0</v>
      </c>
      <c r="Y369" t="b">
        <f t="shared" si="16"/>
        <v>0</v>
      </c>
      <c r="Z369" t="b">
        <f t="shared" si="17"/>
        <v>0</v>
      </c>
      <c r="AA369" t="b">
        <f t="shared" si="18"/>
        <v>0</v>
      </c>
      <c r="AB369" t="b">
        <f t="shared" si="19"/>
        <v>0</v>
      </c>
      <c r="AC369" t="b">
        <f t="shared" si="20"/>
        <v>0</v>
      </c>
    </row>
    <row r="370" spans="13:29">
      <c r="M370">
        <v>20</v>
      </c>
      <c r="N370">
        <v>20</v>
      </c>
      <c r="O370">
        <v>5</v>
      </c>
      <c r="P370">
        <v>7</v>
      </c>
      <c r="Q370">
        <v>5</v>
      </c>
      <c r="R370">
        <v>20</v>
      </c>
      <c r="S370">
        <v>80</v>
      </c>
      <c r="T370">
        <v>85</v>
      </c>
      <c r="U370">
        <v>30</v>
      </c>
      <c r="V370" t="b">
        <f t="shared" si="13"/>
        <v>0</v>
      </c>
      <c r="W370" t="b">
        <f t="shared" si="14"/>
        <v>0</v>
      </c>
      <c r="X370" t="b">
        <f t="shared" si="15"/>
        <v>0</v>
      </c>
      <c r="Y370" t="b">
        <f t="shared" si="16"/>
        <v>0</v>
      </c>
      <c r="Z370" t="b">
        <f t="shared" si="17"/>
        <v>0</v>
      </c>
      <c r="AA370" t="b">
        <f t="shared" si="18"/>
        <v>0</v>
      </c>
      <c r="AB370" t="b">
        <f t="shared" si="19"/>
        <v>0</v>
      </c>
      <c r="AC370" t="b">
        <f t="shared" si="20"/>
        <v>0</v>
      </c>
    </row>
    <row r="371" spans="13:29">
      <c r="M371">
        <v>20</v>
      </c>
      <c r="N371">
        <v>20</v>
      </c>
      <c r="O371">
        <v>5</v>
      </c>
      <c r="P371">
        <v>4</v>
      </c>
      <c r="Q371">
        <v>5</v>
      </c>
      <c r="R371">
        <v>20</v>
      </c>
      <c r="S371">
        <v>100</v>
      </c>
      <c r="T371">
        <v>85</v>
      </c>
      <c r="U371">
        <v>25</v>
      </c>
      <c r="V371" t="b">
        <f t="shared" si="13"/>
        <v>0</v>
      </c>
      <c r="W371" t="b">
        <f t="shared" si="14"/>
        <v>0</v>
      </c>
      <c r="X371" t="b">
        <f t="shared" si="15"/>
        <v>0</v>
      </c>
      <c r="Y371" t="b">
        <f t="shared" si="16"/>
        <v>0</v>
      </c>
      <c r="Z371" t="b">
        <f t="shared" si="17"/>
        <v>0</v>
      </c>
      <c r="AA371" t="b">
        <f t="shared" si="18"/>
        <v>0</v>
      </c>
      <c r="AB371" t="b">
        <f t="shared" si="19"/>
        <v>0</v>
      </c>
      <c r="AC371" t="b">
        <f t="shared" si="20"/>
        <v>0</v>
      </c>
    </row>
    <row r="372" spans="13:29">
      <c r="M372">
        <v>20</v>
      </c>
      <c r="N372">
        <v>20</v>
      </c>
      <c r="O372">
        <v>5</v>
      </c>
      <c r="P372">
        <v>7</v>
      </c>
      <c r="Q372">
        <v>5</v>
      </c>
      <c r="R372">
        <v>20</v>
      </c>
      <c r="S372">
        <v>90</v>
      </c>
      <c r="T372">
        <v>85</v>
      </c>
      <c r="U372">
        <v>30</v>
      </c>
      <c r="V372" t="b">
        <f t="shared" si="13"/>
        <v>0</v>
      </c>
      <c r="W372" t="b">
        <f t="shared" si="14"/>
        <v>0</v>
      </c>
      <c r="X372" t="b">
        <f t="shared" si="15"/>
        <v>0</v>
      </c>
      <c r="Y372" t="b">
        <f t="shared" si="16"/>
        <v>0</v>
      </c>
      <c r="Z372" t="b">
        <f t="shared" si="17"/>
        <v>0</v>
      </c>
      <c r="AA372" t="b">
        <f t="shared" si="18"/>
        <v>0</v>
      </c>
      <c r="AB372" t="b">
        <f t="shared" si="19"/>
        <v>0</v>
      </c>
      <c r="AC372" t="b">
        <f t="shared" si="20"/>
        <v>0</v>
      </c>
    </row>
    <row r="373" spans="13:29">
      <c r="M373">
        <v>20</v>
      </c>
      <c r="N373">
        <v>20</v>
      </c>
      <c r="O373">
        <v>5</v>
      </c>
      <c r="P373">
        <v>4</v>
      </c>
      <c r="Q373">
        <v>5</v>
      </c>
      <c r="R373">
        <v>30</v>
      </c>
      <c r="S373">
        <v>100</v>
      </c>
      <c r="T373">
        <v>85</v>
      </c>
      <c r="U373">
        <v>25</v>
      </c>
      <c r="V373" t="b">
        <f t="shared" si="13"/>
        <v>0</v>
      </c>
      <c r="W373" t="b">
        <f t="shared" si="14"/>
        <v>0</v>
      </c>
      <c r="X373" t="b">
        <f t="shared" si="15"/>
        <v>0</v>
      </c>
      <c r="Y373" t="b">
        <f t="shared" si="16"/>
        <v>0</v>
      </c>
      <c r="Z373" t="b">
        <f t="shared" si="17"/>
        <v>0</v>
      </c>
      <c r="AA373" t="b">
        <f t="shared" si="18"/>
        <v>0</v>
      </c>
      <c r="AB373" t="b">
        <f t="shared" si="19"/>
        <v>0</v>
      </c>
      <c r="AC373" t="b">
        <f t="shared" si="20"/>
        <v>0</v>
      </c>
    </row>
    <row r="374" spans="13:29">
      <c r="M374">
        <v>20</v>
      </c>
      <c r="N374">
        <v>20</v>
      </c>
      <c r="O374">
        <v>5</v>
      </c>
      <c r="P374">
        <v>7</v>
      </c>
      <c r="Q374">
        <v>5</v>
      </c>
      <c r="R374">
        <v>30</v>
      </c>
      <c r="S374">
        <v>90</v>
      </c>
      <c r="T374">
        <v>85</v>
      </c>
      <c r="U374">
        <v>30</v>
      </c>
      <c r="V374" t="b">
        <f t="shared" si="13"/>
        <v>0</v>
      </c>
      <c r="W374" t="b">
        <f t="shared" si="14"/>
        <v>0</v>
      </c>
      <c r="X374" t="b">
        <f t="shared" si="15"/>
        <v>0</v>
      </c>
      <c r="Y374" t="b">
        <f t="shared" si="16"/>
        <v>0</v>
      </c>
      <c r="Z374" t="b">
        <f t="shared" si="17"/>
        <v>0</v>
      </c>
      <c r="AA374" t="b">
        <f t="shared" si="18"/>
        <v>0</v>
      </c>
      <c r="AB374" t="b">
        <f t="shared" si="19"/>
        <v>0</v>
      </c>
      <c r="AC374" t="b">
        <f t="shared" si="20"/>
        <v>0</v>
      </c>
    </row>
    <row r="375" spans="13:29">
      <c r="M375">
        <v>20</v>
      </c>
      <c r="N375">
        <v>20</v>
      </c>
      <c r="O375">
        <v>5</v>
      </c>
      <c r="P375">
        <v>4</v>
      </c>
      <c r="Q375">
        <v>5</v>
      </c>
      <c r="R375">
        <v>20</v>
      </c>
      <c r="S375">
        <v>80</v>
      </c>
      <c r="T375">
        <v>85</v>
      </c>
      <c r="U375">
        <v>30</v>
      </c>
      <c r="V375" t="b">
        <f t="shared" si="13"/>
        <v>0</v>
      </c>
      <c r="W375" t="b">
        <f t="shared" si="14"/>
        <v>0</v>
      </c>
      <c r="X375" t="b">
        <f t="shared" si="15"/>
        <v>0</v>
      </c>
      <c r="Y375" t="b">
        <f t="shared" si="16"/>
        <v>0</v>
      </c>
      <c r="Z375" t="b">
        <f t="shared" si="17"/>
        <v>0</v>
      </c>
      <c r="AA375" t="b">
        <f t="shared" si="18"/>
        <v>0</v>
      </c>
      <c r="AB375" t="b">
        <f t="shared" si="19"/>
        <v>0</v>
      </c>
      <c r="AC375" t="b">
        <f t="shared" si="20"/>
        <v>0</v>
      </c>
    </row>
    <row r="376" spans="13:29">
      <c r="M376">
        <v>21</v>
      </c>
      <c r="N376">
        <v>20</v>
      </c>
      <c r="O376">
        <v>5</v>
      </c>
      <c r="P376">
        <v>7</v>
      </c>
      <c r="Q376">
        <v>5</v>
      </c>
      <c r="R376">
        <v>20</v>
      </c>
      <c r="S376">
        <v>100</v>
      </c>
      <c r="T376">
        <v>85</v>
      </c>
      <c r="U376">
        <v>25</v>
      </c>
      <c r="V376" t="b">
        <f t="shared" si="13"/>
        <v>0</v>
      </c>
      <c r="W376" t="b">
        <f t="shared" si="14"/>
        <v>0</v>
      </c>
      <c r="X376" t="b">
        <f t="shared" si="15"/>
        <v>0</v>
      </c>
      <c r="Y376" t="b">
        <f t="shared" si="16"/>
        <v>0</v>
      </c>
      <c r="Z376" t="b">
        <f t="shared" si="17"/>
        <v>0</v>
      </c>
      <c r="AA376" t="b">
        <f t="shared" si="18"/>
        <v>0</v>
      </c>
      <c r="AB376" t="b">
        <f t="shared" si="19"/>
        <v>0</v>
      </c>
      <c r="AC376" t="b">
        <f t="shared" si="20"/>
        <v>0</v>
      </c>
    </row>
    <row r="377" spans="13:29">
      <c r="M377">
        <v>21</v>
      </c>
      <c r="N377">
        <v>20</v>
      </c>
      <c r="O377">
        <v>5</v>
      </c>
      <c r="P377">
        <v>7</v>
      </c>
      <c r="Q377">
        <v>5</v>
      </c>
      <c r="R377">
        <v>30</v>
      </c>
      <c r="S377">
        <v>100</v>
      </c>
      <c r="T377">
        <v>85</v>
      </c>
      <c r="U377">
        <v>25</v>
      </c>
      <c r="V377" t="b">
        <f t="shared" si="13"/>
        <v>0</v>
      </c>
      <c r="W377" t="b">
        <f t="shared" si="14"/>
        <v>0</v>
      </c>
      <c r="X377" t="b">
        <f t="shared" si="15"/>
        <v>0</v>
      </c>
      <c r="Y377" t="b">
        <f t="shared" si="16"/>
        <v>0</v>
      </c>
      <c r="Z377" t="b">
        <f t="shared" si="17"/>
        <v>0</v>
      </c>
      <c r="AA377" t="b">
        <f t="shared" si="18"/>
        <v>0</v>
      </c>
      <c r="AB377" t="b">
        <f t="shared" si="19"/>
        <v>0</v>
      </c>
      <c r="AC377" t="b">
        <f t="shared" si="20"/>
        <v>0</v>
      </c>
    </row>
    <row r="378" spans="13:29">
      <c r="M378">
        <v>21</v>
      </c>
      <c r="N378">
        <v>20</v>
      </c>
      <c r="O378">
        <v>5</v>
      </c>
      <c r="P378">
        <v>7</v>
      </c>
      <c r="Q378">
        <v>5</v>
      </c>
      <c r="R378">
        <v>30</v>
      </c>
      <c r="S378">
        <v>80</v>
      </c>
      <c r="T378">
        <v>85</v>
      </c>
      <c r="U378">
        <v>30</v>
      </c>
      <c r="V378" t="b">
        <f t="shared" si="13"/>
        <v>0</v>
      </c>
      <c r="W378" t="b">
        <f t="shared" si="14"/>
        <v>0</v>
      </c>
      <c r="X378" t="b">
        <f t="shared" si="15"/>
        <v>0</v>
      </c>
      <c r="Y378" t="b">
        <f t="shared" si="16"/>
        <v>0</v>
      </c>
      <c r="Z378" t="b">
        <f t="shared" si="17"/>
        <v>0</v>
      </c>
      <c r="AA378" t="b">
        <f t="shared" si="18"/>
        <v>0</v>
      </c>
      <c r="AB378" t="b">
        <f t="shared" si="19"/>
        <v>0</v>
      </c>
      <c r="AC378" t="b">
        <f t="shared" si="20"/>
        <v>0</v>
      </c>
    </row>
    <row r="379" spans="13:29">
      <c r="M379">
        <v>21</v>
      </c>
      <c r="N379">
        <v>20</v>
      </c>
      <c r="O379">
        <v>5</v>
      </c>
      <c r="P379">
        <v>4</v>
      </c>
      <c r="Q379">
        <v>5</v>
      </c>
      <c r="R379">
        <v>30</v>
      </c>
      <c r="S379">
        <v>90</v>
      </c>
      <c r="T379">
        <v>85</v>
      </c>
      <c r="U379">
        <v>30</v>
      </c>
      <c r="V379" t="b">
        <f t="shared" si="13"/>
        <v>0</v>
      </c>
      <c r="W379" t="b">
        <f t="shared" si="14"/>
        <v>0</v>
      </c>
      <c r="X379" t="b">
        <f t="shared" si="15"/>
        <v>0</v>
      </c>
      <c r="Y379" t="b">
        <f t="shared" si="16"/>
        <v>0</v>
      </c>
      <c r="Z379" t="b">
        <f t="shared" si="17"/>
        <v>0</v>
      </c>
      <c r="AA379" t="b">
        <f t="shared" si="18"/>
        <v>0</v>
      </c>
      <c r="AB379" t="b">
        <f t="shared" si="19"/>
        <v>0</v>
      </c>
      <c r="AC379" t="b">
        <f t="shared" si="20"/>
        <v>0</v>
      </c>
    </row>
    <row r="380" spans="13:29">
      <c r="M380">
        <v>21</v>
      </c>
      <c r="N380">
        <v>20</v>
      </c>
      <c r="O380">
        <v>5</v>
      </c>
      <c r="P380">
        <v>7</v>
      </c>
      <c r="Q380">
        <v>5</v>
      </c>
      <c r="R380">
        <v>20</v>
      </c>
      <c r="S380">
        <v>90</v>
      </c>
      <c r="T380">
        <v>85</v>
      </c>
      <c r="U380">
        <v>30</v>
      </c>
      <c r="V380" t="b">
        <f t="shared" si="13"/>
        <v>0</v>
      </c>
      <c r="W380" t="b">
        <f t="shared" si="14"/>
        <v>0</v>
      </c>
      <c r="X380" t="b">
        <f t="shared" si="15"/>
        <v>0</v>
      </c>
      <c r="Y380" t="b">
        <f t="shared" si="16"/>
        <v>0</v>
      </c>
      <c r="Z380" t="b">
        <f t="shared" si="17"/>
        <v>0</v>
      </c>
      <c r="AA380" t="b">
        <f t="shared" si="18"/>
        <v>0</v>
      </c>
      <c r="AB380" t="b">
        <f t="shared" si="19"/>
        <v>0</v>
      </c>
      <c r="AC380" t="b">
        <f t="shared" si="20"/>
        <v>0</v>
      </c>
    </row>
    <row r="381" spans="13:29">
      <c r="M381">
        <v>21</v>
      </c>
      <c r="N381">
        <v>20</v>
      </c>
      <c r="O381">
        <v>5</v>
      </c>
      <c r="P381">
        <v>7</v>
      </c>
      <c r="Q381">
        <v>5</v>
      </c>
      <c r="R381">
        <v>20</v>
      </c>
      <c r="S381">
        <v>80</v>
      </c>
      <c r="T381">
        <v>85</v>
      </c>
      <c r="U381">
        <v>30</v>
      </c>
      <c r="V381" t="b">
        <f t="shared" si="13"/>
        <v>0</v>
      </c>
      <c r="W381" t="b">
        <f t="shared" si="14"/>
        <v>0</v>
      </c>
      <c r="X381" t="b">
        <f t="shared" si="15"/>
        <v>0</v>
      </c>
      <c r="Y381" t="b">
        <f t="shared" si="16"/>
        <v>0</v>
      </c>
      <c r="Z381" t="b">
        <f t="shared" si="17"/>
        <v>0</v>
      </c>
      <c r="AA381" t="b">
        <f t="shared" si="18"/>
        <v>0</v>
      </c>
      <c r="AB381" t="b">
        <f t="shared" si="19"/>
        <v>0</v>
      </c>
      <c r="AC381" t="b">
        <f t="shared" si="20"/>
        <v>0</v>
      </c>
    </row>
    <row r="382" spans="13:29">
      <c r="M382">
        <v>21</v>
      </c>
      <c r="N382">
        <v>20</v>
      </c>
      <c r="O382">
        <v>5</v>
      </c>
      <c r="P382">
        <v>4</v>
      </c>
      <c r="Q382">
        <v>5</v>
      </c>
      <c r="R382">
        <v>20</v>
      </c>
      <c r="S382">
        <v>100</v>
      </c>
      <c r="T382">
        <v>85</v>
      </c>
      <c r="U382">
        <v>25</v>
      </c>
      <c r="V382" t="b">
        <f t="shared" si="13"/>
        <v>0</v>
      </c>
      <c r="W382" t="b">
        <f t="shared" si="14"/>
        <v>0</v>
      </c>
      <c r="X382" t="b">
        <f t="shared" si="15"/>
        <v>0</v>
      </c>
      <c r="Y382" t="b">
        <f t="shared" si="16"/>
        <v>0</v>
      </c>
      <c r="Z382" t="b">
        <f t="shared" si="17"/>
        <v>0</v>
      </c>
      <c r="AA382" t="b">
        <f t="shared" si="18"/>
        <v>0</v>
      </c>
      <c r="AB382" t="b">
        <f t="shared" si="19"/>
        <v>0</v>
      </c>
      <c r="AC382" t="b">
        <f t="shared" si="20"/>
        <v>0</v>
      </c>
    </row>
    <row r="383" spans="13:29">
      <c r="M383">
        <v>21</v>
      </c>
      <c r="N383">
        <v>20</v>
      </c>
      <c r="O383">
        <v>5</v>
      </c>
      <c r="P383">
        <v>7</v>
      </c>
      <c r="Q383">
        <v>5</v>
      </c>
      <c r="R383">
        <v>30</v>
      </c>
      <c r="S383">
        <v>90</v>
      </c>
      <c r="T383">
        <v>85</v>
      </c>
      <c r="U383">
        <v>30</v>
      </c>
      <c r="V383" t="b">
        <f t="shared" si="13"/>
        <v>0</v>
      </c>
      <c r="W383" t="b">
        <f t="shared" si="14"/>
        <v>0</v>
      </c>
      <c r="X383" t="b">
        <f t="shared" si="15"/>
        <v>0</v>
      </c>
      <c r="Y383" t="b">
        <f t="shared" si="16"/>
        <v>0</v>
      </c>
      <c r="Z383" t="b">
        <f t="shared" si="17"/>
        <v>0</v>
      </c>
      <c r="AA383" t="b">
        <f t="shared" si="18"/>
        <v>0</v>
      </c>
      <c r="AB383" t="b">
        <f t="shared" si="19"/>
        <v>0</v>
      </c>
      <c r="AC383" t="b">
        <f t="shared" si="20"/>
        <v>0</v>
      </c>
    </row>
    <row r="384" spans="13:29">
      <c r="M384">
        <v>21</v>
      </c>
      <c r="N384">
        <v>20</v>
      </c>
      <c r="O384">
        <v>5</v>
      </c>
      <c r="P384">
        <v>4</v>
      </c>
      <c r="Q384">
        <v>5</v>
      </c>
      <c r="R384">
        <v>30</v>
      </c>
      <c r="S384">
        <v>100</v>
      </c>
      <c r="T384">
        <v>85</v>
      </c>
      <c r="U384">
        <v>25</v>
      </c>
      <c r="V384" t="b">
        <f t="shared" si="13"/>
        <v>0</v>
      </c>
      <c r="W384" t="b">
        <f t="shared" si="14"/>
        <v>0</v>
      </c>
      <c r="X384" t="b">
        <f t="shared" si="15"/>
        <v>0</v>
      </c>
      <c r="Y384" t="b">
        <f t="shared" si="16"/>
        <v>0</v>
      </c>
      <c r="Z384" t="b">
        <f t="shared" si="17"/>
        <v>0</v>
      </c>
      <c r="AA384" t="b">
        <f t="shared" si="18"/>
        <v>0</v>
      </c>
      <c r="AB384" t="b">
        <f t="shared" si="19"/>
        <v>0</v>
      </c>
      <c r="AC384" t="b">
        <f t="shared" si="20"/>
        <v>0</v>
      </c>
    </row>
    <row r="385" spans="13:29">
      <c r="M385">
        <v>21</v>
      </c>
      <c r="N385">
        <v>20</v>
      </c>
      <c r="O385">
        <v>5</v>
      </c>
      <c r="P385">
        <v>4</v>
      </c>
      <c r="Q385">
        <v>5</v>
      </c>
      <c r="R385">
        <v>20</v>
      </c>
      <c r="S385">
        <v>80</v>
      </c>
      <c r="T385">
        <v>85</v>
      </c>
      <c r="U385">
        <v>30</v>
      </c>
      <c r="V385" t="b">
        <f t="shared" si="13"/>
        <v>0</v>
      </c>
      <c r="W385" t="b">
        <f t="shared" si="14"/>
        <v>0</v>
      </c>
      <c r="X385" t="b">
        <f t="shared" si="15"/>
        <v>0</v>
      </c>
      <c r="Y385" t="b">
        <f t="shared" si="16"/>
        <v>0</v>
      </c>
      <c r="Z385" t="b">
        <f t="shared" si="17"/>
        <v>0</v>
      </c>
      <c r="AA385" t="b">
        <f t="shared" si="18"/>
        <v>0</v>
      </c>
      <c r="AB385" t="b">
        <f t="shared" si="19"/>
        <v>0</v>
      </c>
      <c r="AC385" t="b">
        <f t="shared" si="20"/>
        <v>0</v>
      </c>
    </row>
    <row r="386" spans="13:29">
      <c r="M386">
        <v>21</v>
      </c>
      <c r="N386">
        <v>20</v>
      </c>
      <c r="O386">
        <v>5</v>
      </c>
      <c r="P386">
        <v>4</v>
      </c>
      <c r="Q386">
        <v>5</v>
      </c>
      <c r="R386">
        <v>30</v>
      </c>
      <c r="S386">
        <v>80</v>
      </c>
      <c r="T386">
        <v>85</v>
      </c>
      <c r="U386">
        <v>30</v>
      </c>
      <c r="V386" t="b">
        <f t="shared" si="13"/>
        <v>0</v>
      </c>
      <c r="W386" t="b">
        <f t="shared" si="14"/>
        <v>0</v>
      </c>
      <c r="X386" t="b">
        <f t="shared" si="15"/>
        <v>0</v>
      </c>
      <c r="Y386" t="b">
        <f t="shared" si="16"/>
        <v>0</v>
      </c>
      <c r="Z386" t="b">
        <f t="shared" si="17"/>
        <v>0</v>
      </c>
      <c r="AA386" t="b">
        <f t="shared" si="18"/>
        <v>0</v>
      </c>
      <c r="AB386" t="b">
        <f t="shared" si="19"/>
        <v>0</v>
      </c>
      <c r="AC386" t="b">
        <f t="shared" si="20"/>
        <v>0</v>
      </c>
    </row>
    <row r="387" spans="13:29">
      <c r="M387">
        <v>21</v>
      </c>
      <c r="N387">
        <v>20</v>
      </c>
      <c r="O387">
        <v>5</v>
      </c>
      <c r="P387">
        <v>4</v>
      </c>
      <c r="Q387">
        <v>5</v>
      </c>
      <c r="R387">
        <v>20</v>
      </c>
      <c r="S387">
        <v>90</v>
      </c>
      <c r="T387">
        <v>85</v>
      </c>
      <c r="U387">
        <v>30</v>
      </c>
      <c r="V387" t="b">
        <f t="shared" si="13"/>
        <v>0</v>
      </c>
      <c r="W387" t="b">
        <f t="shared" si="14"/>
        <v>0</v>
      </c>
      <c r="X387" t="b">
        <f t="shared" si="15"/>
        <v>0</v>
      </c>
      <c r="Y387" t="b">
        <f t="shared" si="16"/>
        <v>0</v>
      </c>
      <c r="Z387" t="b">
        <f t="shared" si="17"/>
        <v>0</v>
      </c>
      <c r="AA387" t="b">
        <f t="shared" si="18"/>
        <v>0</v>
      </c>
      <c r="AB387" t="b">
        <f t="shared" si="19"/>
        <v>0</v>
      </c>
      <c r="AC387" t="b">
        <f t="shared" si="20"/>
        <v>0</v>
      </c>
    </row>
    <row r="388" spans="13:29">
      <c r="M388">
        <v>21</v>
      </c>
      <c r="N388">
        <v>20</v>
      </c>
      <c r="O388">
        <v>5</v>
      </c>
      <c r="P388">
        <v>7</v>
      </c>
      <c r="Q388">
        <v>5</v>
      </c>
      <c r="R388">
        <v>20</v>
      </c>
      <c r="S388">
        <v>100</v>
      </c>
      <c r="T388">
        <v>85</v>
      </c>
      <c r="U388">
        <v>25</v>
      </c>
      <c r="V388" t="b">
        <f t="shared" si="13"/>
        <v>0</v>
      </c>
      <c r="W388" t="b">
        <f t="shared" si="14"/>
        <v>0</v>
      </c>
      <c r="X388" t="b">
        <f t="shared" si="15"/>
        <v>0</v>
      </c>
      <c r="Y388" t="b">
        <f t="shared" si="16"/>
        <v>0</v>
      </c>
      <c r="Z388" t="b">
        <f t="shared" si="17"/>
        <v>0</v>
      </c>
      <c r="AA388" t="b">
        <f t="shared" si="18"/>
        <v>0</v>
      </c>
      <c r="AB388" t="b">
        <f t="shared" si="19"/>
        <v>0</v>
      </c>
      <c r="AC388" t="b">
        <f t="shared" si="20"/>
        <v>0</v>
      </c>
    </row>
    <row r="389" spans="13:29">
      <c r="M389">
        <v>21</v>
      </c>
      <c r="N389">
        <v>20</v>
      </c>
      <c r="O389">
        <v>5</v>
      </c>
      <c r="P389">
        <v>7</v>
      </c>
      <c r="Q389">
        <v>5</v>
      </c>
      <c r="R389">
        <v>30</v>
      </c>
      <c r="S389">
        <v>100</v>
      </c>
      <c r="T389">
        <v>85</v>
      </c>
      <c r="U389">
        <v>25</v>
      </c>
      <c r="V389" t="b">
        <f t="shared" si="13"/>
        <v>0</v>
      </c>
      <c r="W389" t="b">
        <f t="shared" si="14"/>
        <v>0</v>
      </c>
      <c r="X389" t="b">
        <f t="shared" si="15"/>
        <v>0</v>
      </c>
      <c r="Y389" t="b">
        <f t="shared" si="16"/>
        <v>0</v>
      </c>
      <c r="Z389" t="b">
        <f t="shared" si="17"/>
        <v>0</v>
      </c>
      <c r="AA389" t="b">
        <f t="shared" si="18"/>
        <v>0</v>
      </c>
      <c r="AB389" t="b">
        <f t="shared" si="19"/>
        <v>0</v>
      </c>
      <c r="AC389" t="b">
        <f t="shared" si="20"/>
        <v>0</v>
      </c>
    </row>
    <row r="390" spans="13:29">
      <c r="M390">
        <v>21</v>
      </c>
      <c r="N390">
        <v>20</v>
      </c>
      <c r="O390">
        <v>5</v>
      </c>
      <c r="P390">
        <v>7</v>
      </c>
      <c r="Q390">
        <v>5</v>
      </c>
      <c r="R390">
        <v>30</v>
      </c>
      <c r="S390">
        <v>80</v>
      </c>
      <c r="T390">
        <v>85</v>
      </c>
      <c r="U390">
        <v>30</v>
      </c>
      <c r="V390" t="b">
        <f t="shared" si="13"/>
        <v>0</v>
      </c>
      <c r="W390" t="b">
        <f t="shared" si="14"/>
        <v>0</v>
      </c>
      <c r="X390" t="b">
        <f t="shared" si="15"/>
        <v>0</v>
      </c>
      <c r="Y390" t="b">
        <f t="shared" si="16"/>
        <v>0</v>
      </c>
      <c r="Z390" t="b">
        <f t="shared" si="17"/>
        <v>0</v>
      </c>
      <c r="AA390" t="b">
        <f t="shared" si="18"/>
        <v>0</v>
      </c>
      <c r="AB390" t="b">
        <f t="shared" si="19"/>
        <v>0</v>
      </c>
      <c r="AC390" t="b">
        <f t="shared" si="20"/>
        <v>0</v>
      </c>
    </row>
    <row r="391" spans="13:29">
      <c r="M391">
        <v>21</v>
      </c>
      <c r="N391">
        <v>20</v>
      </c>
      <c r="O391">
        <v>5</v>
      </c>
      <c r="P391">
        <v>4</v>
      </c>
      <c r="Q391">
        <v>5</v>
      </c>
      <c r="R391">
        <v>30</v>
      </c>
      <c r="S391">
        <v>90</v>
      </c>
      <c r="T391">
        <v>85</v>
      </c>
      <c r="U391">
        <v>30</v>
      </c>
      <c r="V391" t="b">
        <f t="shared" si="13"/>
        <v>0</v>
      </c>
      <c r="W391" t="b">
        <f t="shared" si="14"/>
        <v>0</v>
      </c>
      <c r="X391" t="b">
        <f t="shared" si="15"/>
        <v>0</v>
      </c>
      <c r="Y391" t="b">
        <f t="shared" si="16"/>
        <v>0</v>
      </c>
      <c r="Z391" t="b">
        <f t="shared" si="17"/>
        <v>0</v>
      </c>
      <c r="AA391" t="b">
        <f t="shared" si="18"/>
        <v>0</v>
      </c>
      <c r="AB391" t="b">
        <f t="shared" si="19"/>
        <v>0</v>
      </c>
      <c r="AC391" t="b">
        <f t="shared" si="20"/>
        <v>0</v>
      </c>
    </row>
    <row r="392" spans="13:29">
      <c r="M392">
        <v>21</v>
      </c>
      <c r="N392">
        <v>20</v>
      </c>
      <c r="O392">
        <v>5</v>
      </c>
      <c r="P392">
        <v>7</v>
      </c>
      <c r="Q392">
        <v>5</v>
      </c>
      <c r="R392">
        <v>20</v>
      </c>
      <c r="S392">
        <v>90</v>
      </c>
      <c r="T392">
        <v>85</v>
      </c>
      <c r="U392">
        <v>30</v>
      </c>
      <c r="V392" t="b">
        <f t="shared" si="13"/>
        <v>0</v>
      </c>
      <c r="W392" t="b">
        <f t="shared" si="14"/>
        <v>0</v>
      </c>
      <c r="X392" t="b">
        <f t="shared" si="15"/>
        <v>0</v>
      </c>
      <c r="Y392" t="b">
        <f t="shared" si="16"/>
        <v>0</v>
      </c>
      <c r="Z392" t="b">
        <f t="shared" si="17"/>
        <v>0</v>
      </c>
      <c r="AA392" t="b">
        <f t="shared" si="18"/>
        <v>0</v>
      </c>
      <c r="AB392" t="b">
        <f t="shared" si="19"/>
        <v>0</v>
      </c>
      <c r="AC392" t="b">
        <f t="shared" si="20"/>
        <v>0</v>
      </c>
    </row>
    <row r="393" spans="13:29">
      <c r="M393">
        <v>21</v>
      </c>
      <c r="N393">
        <v>20</v>
      </c>
      <c r="O393">
        <v>5</v>
      </c>
      <c r="P393">
        <v>7</v>
      </c>
      <c r="Q393">
        <v>5</v>
      </c>
      <c r="R393">
        <v>20</v>
      </c>
      <c r="S393">
        <v>80</v>
      </c>
      <c r="T393">
        <v>85</v>
      </c>
      <c r="U393">
        <v>30</v>
      </c>
      <c r="V393" t="b">
        <f t="shared" ref="V393:V416" si="21">B393=N393</f>
        <v>0</v>
      </c>
      <c r="W393" t="b">
        <f t="shared" ref="W393:W416" si="22">C393=O393</f>
        <v>0</v>
      </c>
      <c r="X393" t="b">
        <f t="shared" ref="X393:X416" si="23">F393=P393</f>
        <v>0</v>
      </c>
      <c r="Y393" t="b">
        <f t="shared" ref="Y393:Y416" si="24">G393=Q393</f>
        <v>0</v>
      </c>
      <c r="Z393" t="b">
        <f t="shared" ref="Z393:Z416" si="25">H393=R393</f>
        <v>0</v>
      </c>
      <c r="AA393" t="b">
        <f t="shared" ref="AA393:AA416" si="26">I393=S393</f>
        <v>0</v>
      </c>
      <c r="AB393" t="b">
        <f t="shared" ref="AB393:AB416" si="27">J393=T393</f>
        <v>0</v>
      </c>
      <c r="AC393" t="b">
        <f t="shared" ref="AC393:AC416" si="28">K393=U393</f>
        <v>0</v>
      </c>
    </row>
    <row r="394" spans="13:29">
      <c r="M394">
        <v>21</v>
      </c>
      <c r="N394">
        <v>20</v>
      </c>
      <c r="O394">
        <v>5</v>
      </c>
      <c r="P394">
        <v>4</v>
      </c>
      <c r="Q394">
        <v>5</v>
      </c>
      <c r="R394">
        <v>20</v>
      </c>
      <c r="S394">
        <v>100</v>
      </c>
      <c r="T394">
        <v>85</v>
      </c>
      <c r="U394">
        <v>25</v>
      </c>
      <c r="V394" t="b">
        <f t="shared" si="21"/>
        <v>0</v>
      </c>
      <c r="W394" t="b">
        <f t="shared" si="22"/>
        <v>0</v>
      </c>
      <c r="X394" t="b">
        <f t="shared" si="23"/>
        <v>0</v>
      </c>
      <c r="Y394" t="b">
        <f t="shared" si="24"/>
        <v>0</v>
      </c>
      <c r="Z394" t="b">
        <f t="shared" si="25"/>
        <v>0</v>
      </c>
      <c r="AA394" t="b">
        <f t="shared" si="26"/>
        <v>0</v>
      </c>
      <c r="AB394" t="b">
        <f t="shared" si="27"/>
        <v>0</v>
      </c>
      <c r="AC394" t="b">
        <f t="shared" si="28"/>
        <v>0</v>
      </c>
    </row>
    <row r="395" spans="13:29">
      <c r="M395">
        <v>21</v>
      </c>
      <c r="N395">
        <v>20</v>
      </c>
      <c r="O395">
        <v>5</v>
      </c>
      <c r="P395">
        <v>7</v>
      </c>
      <c r="Q395">
        <v>5</v>
      </c>
      <c r="R395">
        <v>30</v>
      </c>
      <c r="S395">
        <v>90</v>
      </c>
      <c r="T395">
        <v>85</v>
      </c>
      <c r="U395">
        <v>30</v>
      </c>
      <c r="V395" t="b">
        <f t="shared" si="21"/>
        <v>0</v>
      </c>
      <c r="W395" t="b">
        <f t="shared" si="22"/>
        <v>0</v>
      </c>
      <c r="X395" t="b">
        <f t="shared" si="23"/>
        <v>0</v>
      </c>
      <c r="Y395" t="b">
        <f t="shared" si="24"/>
        <v>0</v>
      </c>
      <c r="Z395" t="b">
        <f t="shared" si="25"/>
        <v>0</v>
      </c>
      <c r="AA395" t="b">
        <f t="shared" si="26"/>
        <v>0</v>
      </c>
      <c r="AB395" t="b">
        <f t="shared" si="27"/>
        <v>0</v>
      </c>
      <c r="AC395" t="b">
        <f t="shared" si="28"/>
        <v>0</v>
      </c>
    </row>
    <row r="396" spans="13:29">
      <c r="M396">
        <v>21</v>
      </c>
      <c r="N396">
        <v>20</v>
      </c>
      <c r="O396">
        <v>5</v>
      </c>
      <c r="P396">
        <v>4</v>
      </c>
      <c r="Q396">
        <v>5</v>
      </c>
      <c r="R396">
        <v>30</v>
      </c>
      <c r="S396">
        <v>100</v>
      </c>
      <c r="T396">
        <v>85</v>
      </c>
      <c r="U396">
        <v>25</v>
      </c>
      <c r="V396" t="b">
        <f t="shared" si="21"/>
        <v>0</v>
      </c>
      <c r="W396" t="b">
        <f t="shared" si="22"/>
        <v>0</v>
      </c>
      <c r="X396" t="b">
        <f t="shared" si="23"/>
        <v>0</v>
      </c>
      <c r="Y396" t="b">
        <f t="shared" si="24"/>
        <v>0</v>
      </c>
      <c r="Z396" t="b">
        <f t="shared" si="25"/>
        <v>0</v>
      </c>
      <c r="AA396" t="b">
        <f t="shared" si="26"/>
        <v>0</v>
      </c>
      <c r="AB396" t="b">
        <f t="shared" si="27"/>
        <v>0</v>
      </c>
      <c r="AC396" t="b">
        <f t="shared" si="28"/>
        <v>0</v>
      </c>
    </row>
    <row r="397" spans="13:29">
      <c r="M397">
        <v>21</v>
      </c>
      <c r="N397">
        <v>20</v>
      </c>
      <c r="O397">
        <v>5</v>
      </c>
      <c r="P397">
        <v>4</v>
      </c>
      <c r="Q397">
        <v>5</v>
      </c>
      <c r="R397">
        <v>20</v>
      </c>
      <c r="S397">
        <v>80</v>
      </c>
      <c r="T397">
        <v>85</v>
      </c>
      <c r="U397">
        <v>30</v>
      </c>
      <c r="V397" t="b">
        <f t="shared" si="21"/>
        <v>0</v>
      </c>
      <c r="W397" t="b">
        <f t="shared" si="22"/>
        <v>0</v>
      </c>
      <c r="X397" t="b">
        <f t="shared" si="23"/>
        <v>0</v>
      </c>
      <c r="Y397" t="b">
        <f t="shared" si="24"/>
        <v>0</v>
      </c>
      <c r="Z397" t="b">
        <f t="shared" si="25"/>
        <v>0</v>
      </c>
      <c r="AA397" t="b">
        <f t="shared" si="26"/>
        <v>0</v>
      </c>
      <c r="AB397" t="b">
        <f t="shared" si="27"/>
        <v>0</v>
      </c>
      <c r="AC397" t="b">
        <f t="shared" si="28"/>
        <v>0</v>
      </c>
    </row>
    <row r="398" spans="13:29">
      <c r="M398">
        <v>21</v>
      </c>
      <c r="N398">
        <v>20</v>
      </c>
      <c r="O398">
        <v>5</v>
      </c>
      <c r="P398">
        <v>4</v>
      </c>
      <c r="Q398">
        <v>5</v>
      </c>
      <c r="R398">
        <v>30</v>
      </c>
      <c r="S398">
        <v>80</v>
      </c>
      <c r="T398">
        <v>85</v>
      </c>
      <c r="U398">
        <v>30</v>
      </c>
      <c r="V398" t="b">
        <f t="shared" si="21"/>
        <v>0</v>
      </c>
      <c r="W398" t="b">
        <f t="shared" si="22"/>
        <v>0</v>
      </c>
      <c r="X398" t="b">
        <f t="shared" si="23"/>
        <v>0</v>
      </c>
      <c r="Y398" t="b">
        <f t="shared" si="24"/>
        <v>0</v>
      </c>
      <c r="Z398" t="b">
        <f t="shared" si="25"/>
        <v>0</v>
      </c>
      <c r="AA398" t="b">
        <f t="shared" si="26"/>
        <v>0</v>
      </c>
      <c r="AB398" t="b">
        <f t="shared" si="27"/>
        <v>0</v>
      </c>
      <c r="AC398" t="b">
        <f t="shared" si="28"/>
        <v>0</v>
      </c>
    </row>
    <row r="399" spans="13:29">
      <c r="M399">
        <v>21</v>
      </c>
      <c r="N399">
        <v>20</v>
      </c>
      <c r="O399">
        <v>5</v>
      </c>
      <c r="P399">
        <v>4</v>
      </c>
      <c r="Q399">
        <v>5</v>
      </c>
      <c r="R399">
        <v>20</v>
      </c>
      <c r="S399">
        <v>90</v>
      </c>
      <c r="T399">
        <v>85</v>
      </c>
      <c r="U399">
        <v>30</v>
      </c>
      <c r="V399" t="b">
        <f t="shared" si="21"/>
        <v>0</v>
      </c>
      <c r="W399" t="b">
        <f t="shared" si="22"/>
        <v>0</v>
      </c>
      <c r="X399" t="b">
        <f t="shared" si="23"/>
        <v>0</v>
      </c>
      <c r="Y399" t="b">
        <f t="shared" si="24"/>
        <v>0</v>
      </c>
      <c r="Z399" t="b">
        <f t="shared" si="25"/>
        <v>0</v>
      </c>
      <c r="AA399" t="b">
        <f t="shared" si="26"/>
        <v>0</v>
      </c>
      <c r="AB399" t="b">
        <f t="shared" si="27"/>
        <v>0</v>
      </c>
      <c r="AC399" t="b">
        <f t="shared" si="28"/>
        <v>0</v>
      </c>
    </row>
    <row r="400" spans="13:29">
      <c r="M400">
        <v>22</v>
      </c>
      <c r="N400">
        <v>20</v>
      </c>
      <c r="O400">
        <v>5</v>
      </c>
      <c r="P400">
        <v>7</v>
      </c>
      <c r="Q400">
        <v>5</v>
      </c>
      <c r="R400">
        <v>20</v>
      </c>
      <c r="S400">
        <v>100</v>
      </c>
      <c r="T400">
        <v>85</v>
      </c>
      <c r="U400">
        <v>25</v>
      </c>
      <c r="V400" t="b">
        <f t="shared" si="21"/>
        <v>0</v>
      </c>
      <c r="W400" t="b">
        <f t="shared" si="22"/>
        <v>0</v>
      </c>
      <c r="X400" t="b">
        <f t="shared" si="23"/>
        <v>0</v>
      </c>
      <c r="Y400" t="b">
        <f t="shared" si="24"/>
        <v>0</v>
      </c>
      <c r="Z400" t="b">
        <f t="shared" si="25"/>
        <v>0</v>
      </c>
      <c r="AA400" t="b">
        <f t="shared" si="26"/>
        <v>0</v>
      </c>
      <c r="AB400" t="b">
        <f t="shared" si="27"/>
        <v>0</v>
      </c>
      <c r="AC400" t="b">
        <f t="shared" si="28"/>
        <v>0</v>
      </c>
    </row>
    <row r="401" spans="13:29">
      <c r="M401">
        <v>22</v>
      </c>
      <c r="N401">
        <v>20</v>
      </c>
      <c r="O401">
        <v>5</v>
      </c>
      <c r="P401">
        <v>7</v>
      </c>
      <c r="Q401">
        <v>5</v>
      </c>
      <c r="R401">
        <v>30</v>
      </c>
      <c r="S401">
        <v>100</v>
      </c>
      <c r="T401">
        <v>85</v>
      </c>
      <c r="U401">
        <v>25</v>
      </c>
      <c r="V401" t="b">
        <f t="shared" si="21"/>
        <v>0</v>
      </c>
      <c r="W401" t="b">
        <f t="shared" si="22"/>
        <v>0</v>
      </c>
      <c r="X401" t="b">
        <f t="shared" si="23"/>
        <v>0</v>
      </c>
      <c r="Y401" t="b">
        <f t="shared" si="24"/>
        <v>0</v>
      </c>
      <c r="Z401" t="b">
        <f t="shared" si="25"/>
        <v>0</v>
      </c>
      <c r="AA401" t="b">
        <f t="shared" si="26"/>
        <v>0</v>
      </c>
      <c r="AB401" t="b">
        <f t="shared" si="27"/>
        <v>0</v>
      </c>
      <c r="AC401" t="b">
        <f t="shared" si="28"/>
        <v>0</v>
      </c>
    </row>
    <row r="402" spans="13:29">
      <c r="M402">
        <v>22</v>
      </c>
      <c r="N402">
        <v>20</v>
      </c>
      <c r="O402">
        <v>5</v>
      </c>
      <c r="P402">
        <v>7</v>
      </c>
      <c r="Q402">
        <v>5</v>
      </c>
      <c r="R402">
        <v>30</v>
      </c>
      <c r="S402">
        <v>80</v>
      </c>
      <c r="T402">
        <v>85</v>
      </c>
      <c r="U402">
        <v>30</v>
      </c>
      <c r="V402" t="b">
        <f t="shared" si="21"/>
        <v>0</v>
      </c>
      <c r="W402" t="b">
        <f t="shared" si="22"/>
        <v>0</v>
      </c>
      <c r="X402" t="b">
        <f t="shared" si="23"/>
        <v>0</v>
      </c>
      <c r="Y402" t="b">
        <f t="shared" si="24"/>
        <v>0</v>
      </c>
      <c r="Z402" t="b">
        <f t="shared" si="25"/>
        <v>0</v>
      </c>
      <c r="AA402" t="b">
        <f t="shared" si="26"/>
        <v>0</v>
      </c>
      <c r="AB402" t="b">
        <f t="shared" si="27"/>
        <v>0</v>
      </c>
      <c r="AC402" t="b">
        <f t="shared" si="28"/>
        <v>0</v>
      </c>
    </row>
    <row r="403" spans="13:29">
      <c r="M403">
        <v>22</v>
      </c>
      <c r="N403">
        <v>20</v>
      </c>
      <c r="O403">
        <v>5</v>
      </c>
      <c r="P403">
        <v>4</v>
      </c>
      <c r="Q403">
        <v>5</v>
      </c>
      <c r="R403">
        <v>30</v>
      </c>
      <c r="S403">
        <v>90</v>
      </c>
      <c r="T403">
        <v>85</v>
      </c>
      <c r="U403">
        <v>30</v>
      </c>
      <c r="V403" t="b">
        <f t="shared" si="21"/>
        <v>0</v>
      </c>
      <c r="W403" t="b">
        <f t="shared" si="22"/>
        <v>0</v>
      </c>
      <c r="X403" t="b">
        <f t="shared" si="23"/>
        <v>0</v>
      </c>
      <c r="Y403" t="b">
        <f t="shared" si="24"/>
        <v>0</v>
      </c>
      <c r="Z403" t="b">
        <f t="shared" si="25"/>
        <v>0</v>
      </c>
      <c r="AA403" t="b">
        <f t="shared" si="26"/>
        <v>0</v>
      </c>
      <c r="AB403" t="b">
        <f t="shared" si="27"/>
        <v>0</v>
      </c>
      <c r="AC403" t="b">
        <f t="shared" si="28"/>
        <v>0</v>
      </c>
    </row>
    <row r="404" spans="13:29">
      <c r="M404">
        <v>22</v>
      </c>
      <c r="N404">
        <v>20</v>
      </c>
      <c r="O404">
        <v>5</v>
      </c>
      <c r="P404">
        <v>7</v>
      </c>
      <c r="Q404">
        <v>5</v>
      </c>
      <c r="R404">
        <v>20</v>
      </c>
      <c r="S404">
        <v>90</v>
      </c>
      <c r="T404">
        <v>85</v>
      </c>
      <c r="U404">
        <v>30</v>
      </c>
      <c r="V404" t="b">
        <f t="shared" si="21"/>
        <v>0</v>
      </c>
      <c r="W404" t="b">
        <f t="shared" si="22"/>
        <v>0</v>
      </c>
      <c r="X404" t="b">
        <f t="shared" si="23"/>
        <v>0</v>
      </c>
      <c r="Y404" t="b">
        <f t="shared" si="24"/>
        <v>0</v>
      </c>
      <c r="Z404" t="b">
        <f t="shared" si="25"/>
        <v>0</v>
      </c>
      <c r="AA404" t="b">
        <f t="shared" si="26"/>
        <v>0</v>
      </c>
      <c r="AB404" t="b">
        <f t="shared" si="27"/>
        <v>0</v>
      </c>
      <c r="AC404" t="b">
        <f t="shared" si="28"/>
        <v>0</v>
      </c>
    </row>
    <row r="405" spans="13:29">
      <c r="M405">
        <v>22</v>
      </c>
      <c r="N405">
        <v>20</v>
      </c>
      <c r="O405">
        <v>5</v>
      </c>
      <c r="P405">
        <v>7</v>
      </c>
      <c r="Q405">
        <v>5</v>
      </c>
      <c r="R405">
        <v>20</v>
      </c>
      <c r="S405">
        <v>80</v>
      </c>
      <c r="T405">
        <v>85</v>
      </c>
      <c r="U405">
        <v>30</v>
      </c>
      <c r="V405" t="b">
        <f t="shared" si="21"/>
        <v>0</v>
      </c>
      <c r="W405" t="b">
        <f t="shared" si="22"/>
        <v>0</v>
      </c>
      <c r="X405" t="b">
        <f t="shared" si="23"/>
        <v>0</v>
      </c>
      <c r="Y405" t="b">
        <f t="shared" si="24"/>
        <v>0</v>
      </c>
      <c r="Z405" t="b">
        <f t="shared" si="25"/>
        <v>0</v>
      </c>
      <c r="AA405" t="b">
        <f t="shared" si="26"/>
        <v>0</v>
      </c>
      <c r="AB405" t="b">
        <f t="shared" si="27"/>
        <v>0</v>
      </c>
      <c r="AC405" t="b">
        <f t="shared" si="28"/>
        <v>0</v>
      </c>
    </row>
    <row r="406" spans="13:29">
      <c r="M406">
        <v>22</v>
      </c>
      <c r="N406">
        <v>20</v>
      </c>
      <c r="O406">
        <v>5</v>
      </c>
      <c r="P406">
        <v>4</v>
      </c>
      <c r="Q406">
        <v>5</v>
      </c>
      <c r="R406">
        <v>20</v>
      </c>
      <c r="S406">
        <v>100</v>
      </c>
      <c r="T406">
        <v>85</v>
      </c>
      <c r="U406">
        <v>25</v>
      </c>
      <c r="V406" t="b">
        <f t="shared" si="21"/>
        <v>0</v>
      </c>
      <c r="W406" t="b">
        <f t="shared" si="22"/>
        <v>0</v>
      </c>
      <c r="X406" t="b">
        <f t="shared" si="23"/>
        <v>0</v>
      </c>
      <c r="Y406" t="b">
        <f t="shared" si="24"/>
        <v>0</v>
      </c>
      <c r="Z406" t="b">
        <f t="shared" si="25"/>
        <v>0</v>
      </c>
      <c r="AA406" t="b">
        <f t="shared" si="26"/>
        <v>0</v>
      </c>
      <c r="AB406" t="b">
        <f t="shared" si="27"/>
        <v>0</v>
      </c>
      <c r="AC406" t="b">
        <f t="shared" si="28"/>
        <v>0</v>
      </c>
    </row>
    <row r="407" spans="13:29">
      <c r="M407">
        <v>22</v>
      </c>
      <c r="N407">
        <v>20</v>
      </c>
      <c r="O407">
        <v>5</v>
      </c>
      <c r="P407">
        <v>7</v>
      </c>
      <c r="Q407">
        <v>5</v>
      </c>
      <c r="R407">
        <v>30</v>
      </c>
      <c r="S407">
        <v>90</v>
      </c>
      <c r="T407">
        <v>85</v>
      </c>
      <c r="U407">
        <v>30</v>
      </c>
      <c r="V407" t="b">
        <f t="shared" si="21"/>
        <v>0</v>
      </c>
      <c r="W407" t="b">
        <f t="shared" si="22"/>
        <v>0</v>
      </c>
      <c r="X407" t="b">
        <f t="shared" si="23"/>
        <v>0</v>
      </c>
      <c r="Y407" t="b">
        <f t="shared" si="24"/>
        <v>0</v>
      </c>
      <c r="Z407" t="b">
        <f t="shared" si="25"/>
        <v>0</v>
      </c>
      <c r="AA407" t="b">
        <f t="shared" si="26"/>
        <v>0</v>
      </c>
      <c r="AB407" t="b">
        <f t="shared" si="27"/>
        <v>0</v>
      </c>
      <c r="AC407" t="b">
        <f t="shared" si="28"/>
        <v>0</v>
      </c>
    </row>
    <row r="408" spans="13:29">
      <c r="M408">
        <v>22</v>
      </c>
      <c r="N408">
        <v>20</v>
      </c>
      <c r="O408">
        <v>5</v>
      </c>
      <c r="P408">
        <v>4</v>
      </c>
      <c r="Q408">
        <v>5</v>
      </c>
      <c r="R408">
        <v>30</v>
      </c>
      <c r="S408">
        <v>100</v>
      </c>
      <c r="T408">
        <v>85</v>
      </c>
      <c r="U408">
        <v>25</v>
      </c>
      <c r="V408" t="b">
        <f t="shared" si="21"/>
        <v>0</v>
      </c>
      <c r="W408" t="b">
        <f t="shared" si="22"/>
        <v>0</v>
      </c>
      <c r="X408" t="b">
        <f t="shared" si="23"/>
        <v>0</v>
      </c>
      <c r="Y408" t="b">
        <f t="shared" si="24"/>
        <v>0</v>
      </c>
      <c r="Z408" t="b">
        <f t="shared" si="25"/>
        <v>0</v>
      </c>
      <c r="AA408" t="b">
        <f t="shared" si="26"/>
        <v>0</v>
      </c>
      <c r="AB408" t="b">
        <f t="shared" si="27"/>
        <v>0</v>
      </c>
      <c r="AC408" t="b">
        <f t="shared" si="28"/>
        <v>0</v>
      </c>
    </row>
    <row r="409" spans="13:29">
      <c r="M409">
        <v>22</v>
      </c>
      <c r="N409">
        <v>20</v>
      </c>
      <c r="O409">
        <v>5</v>
      </c>
      <c r="P409">
        <v>4</v>
      </c>
      <c r="Q409">
        <v>5</v>
      </c>
      <c r="R409">
        <v>20</v>
      </c>
      <c r="S409">
        <v>80</v>
      </c>
      <c r="T409">
        <v>85</v>
      </c>
      <c r="U409">
        <v>30</v>
      </c>
      <c r="V409" t="b">
        <f t="shared" si="21"/>
        <v>0</v>
      </c>
      <c r="W409" t="b">
        <f t="shared" si="22"/>
        <v>0</v>
      </c>
      <c r="X409" t="b">
        <f t="shared" si="23"/>
        <v>0</v>
      </c>
      <c r="Y409" t="b">
        <f t="shared" si="24"/>
        <v>0</v>
      </c>
      <c r="Z409" t="b">
        <f t="shared" si="25"/>
        <v>0</v>
      </c>
      <c r="AA409" t="b">
        <f t="shared" si="26"/>
        <v>0</v>
      </c>
      <c r="AB409" t="b">
        <f t="shared" si="27"/>
        <v>0</v>
      </c>
      <c r="AC409" t="b">
        <f t="shared" si="28"/>
        <v>0</v>
      </c>
    </row>
    <row r="410" spans="13:29">
      <c r="M410">
        <v>22</v>
      </c>
      <c r="N410">
        <v>20</v>
      </c>
      <c r="O410">
        <v>5</v>
      </c>
      <c r="P410">
        <v>4</v>
      </c>
      <c r="Q410">
        <v>5</v>
      </c>
      <c r="R410">
        <v>30</v>
      </c>
      <c r="S410">
        <v>80</v>
      </c>
      <c r="T410">
        <v>85</v>
      </c>
      <c r="U410">
        <v>30</v>
      </c>
      <c r="V410" t="b">
        <f t="shared" si="21"/>
        <v>0</v>
      </c>
      <c r="W410" t="b">
        <f t="shared" si="22"/>
        <v>0</v>
      </c>
      <c r="X410" t="b">
        <f t="shared" si="23"/>
        <v>0</v>
      </c>
      <c r="Y410" t="b">
        <f t="shared" si="24"/>
        <v>0</v>
      </c>
      <c r="Z410" t="b">
        <f t="shared" si="25"/>
        <v>0</v>
      </c>
      <c r="AA410" t="b">
        <f t="shared" si="26"/>
        <v>0</v>
      </c>
      <c r="AB410" t="b">
        <f t="shared" si="27"/>
        <v>0</v>
      </c>
      <c r="AC410" t="b">
        <f t="shared" si="28"/>
        <v>0</v>
      </c>
    </row>
    <row r="411" spans="13:29">
      <c r="M411">
        <v>22</v>
      </c>
      <c r="N411">
        <v>20</v>
      </c>
      <c r="O411">
        <v>5</v>
      </c>
      <c r="P411">
        <v>4</v>
      </c>
      <c r="Q411">
        <v>5</v>
      </c>
      <c r="R411">
        <v>20</v>
      </c>
      <c r="S411">
        <v>90</v>
      </c>
      <c r="T411">
        <v>85</v>
      </c>
      <c r="U411">
        <v>30</v>
      </c>
      <c r="V411" t="b">
        <f t="shared" si="21"/>
        <v>0</v>
      </c>
      <c r="W411" t="b">
        <f t="shared" si="22"/>
        <v>0</v>
      </c>
      <c r="X411" t="b">
        <f t="shared" si="23"/>
        <v>0</v>
      </c>
      <c r="Y411" t="b">
        <f t="shared" si="24"/>
        <v>0</v>
      </c>
      <c r="Z411" t="b">
        <f t="shared" si="25"/>
        <v>0</v>
      </c>
      <c r="AA411" t="b">
        <f t="shared" si="26"/>
        <v>0</v>
      </c>
      <c r="AB411" t="b">
        <f t="shared" si="27"/>
        <v>0</v>
      </c>
      <c r="AC411" t="b">
        <f t="shared" si="28"/>
        <v>0</v>
      </c>
    </row>
    <row r="412" spans="13:29">
      <c r="M412">
        <v>22</v>
      </c>
      <c r="N412">
        <v>20</v>
      </c>
      <c r="O412">
        <v>5</v>
      </c>
      <c r="P412">
        <v>7</v>
      </c>
      <c r="Q412">
        <v>5</v>
      </c>
      <c r="R412">
        <v>20</v>
      </c>
      <c r="S412">
        <v>100</v>
      </c>
      <c r="T412">
        <v>85</v>
      </c>
      <c r="U412">
        <v>25</v>
      </c>
      <c r="V412" t="b">
        <f t="shared" si="21"/>
        <v>0</v>
      </c>
      <c r="W412" t="b">
        <f t="shared" si="22"/>
        <v>0</v>
      </c>
      <c r="X412" t="b">
        <f t="shared" si="23"/>
        <v>0</v>
      </c>
      <c r="Y412" t="b">
        <f t="shared" si="24"/>
        <v>0</v>
      </c>
      <c r="Z412" t="b">
        <f t="shared" si="25"/>
        <v>0</v>
      </c>
      <c r="AA412" t="b">
        <f t="shared" si="26"/>
        <v>0</v>
      </c>
      <c r="AB412" t="b">
        <f t="shared" si="27"/>
        <v>0</v>
      </c>
      <c r="AC412" t="b">
        <f t="shared" si="28"/>
        <v>0</v>
      </c>
    </row>
    <row r="413" spans="13:29">
      <c r="M413">
        <v>22</v>
      </c>
      <c r="N413">
        <v>20</v>
      </c>
      <c r="O413">
        <v>5</v>
      </c>
      <c r="P413">
        <v>7</v>
      </c>
      <c r="Q413">
        <v>5</v>
      </c>
      <c r="R413">
        <v>30</v>
      </c>
      <c r="S413">
        <v>100</v>
      </c>
      <c r="T413">
        <v>85</v>
      </c>
      <c r="U413">
        <v>25</v>
      </c>
      <c r="V413" t="b">
        <f t="shared" si="21"/>
        <v>0</v>
      </c>
      <c r="W413" t="b">
        <f t="shared" si="22"/>
        <v>0</v>
      </c>
      <c r="X413" t="b">
        <f t="shared" si="23"/>
        <v>0</v>
      </c>
      <c r="Y413" t="b">
        <f t="shared" si="24"/>
        <v>0</v>
      </c>
      <c r="Z413" t="b">
        <f t="shared" si="25"/>
        <v>0</v>
      </c>
      <c r="AA413" t="b">
        <f t="shared" si="26"/>
        <v>0</v>
      </c>
      <c r="AB413" t="b">
        <f t="shared" si="27"/>
        <v>0</v>
      </c>
      <c r="AC413" t="b">
        <f t="shared" si="28"/>
        <v>0</v>
      </c>
    </row>
    <row r="414" spans="13:29">
      <c r="M414">
        <v>22</v>
      </c>
      <c r="N414">
        <v>20</v>
      </c>
      <c r="O414">
        <v>5</v>
      </c>
      <c r="P414">
        <v>7</v>
      </c>
      <c r="Q414">
        <v>5</v>
      </c>
      <c r="R414">
        <v>30</v>
      </c>
      <c r="S414">
        <v>80</v>
      </c>
      <c r="T414">
        <v>85</v>
      </c>
      <c r="U414">
        <v>30</v>
      </c>
      <c r="V414" t="b">
        <f t="shared" si="21"/>
        <v>0</v>
      </c>
      <c r="W414" t="b">
        <f t="shared" si="22"/>
        <v>0</v>
      </c>
      <c r="X414" t="b">
        <f t="shared" si="23"/>
        <v>0</v>
      </c>
      <c r="Y414" t="b">
        <f t="shared" si="24"/>
        <v>0</v>
      </c>
      <c r="Z414" t="b">
        <f t="shared" si="25"/>
        <v>0</v>
      </c>
      <c r="AA414" t="b">
        <f t="shared" si="26"/>
        <v>0</v>
      </c>
      <c r="AB414" t="b">
        <f t="shared" si="27"/>
        <v>0</v>
      </c>
      <c r="AC414" t="b">
        <f t="shared" si="28"/>
        <v>0</v>
      </c>
    </row>
    <row r="415" spans="13:29">
      <c r="M415">
        <v>22</v>
      </c>
      <c r="N415">
        <v>20</v>
      </c>
      <c r="O415">
        <v>5</v>
      </c>
      <c r="P415">
        <v>4</v>
      </c>
      <c r="Q415">
        <v>5</v>
      </c>
      <c r="R415">
        <v>30</v>
      </c>
      <c r="S415">
        <v>90</v>
      </c>
      <c r="T415">
        <v>85</v>
      </c>
      <c r="U415">
        <v>30</v>
      </c>
      <c r="V415" t="b">
        <f t="shared" si="21"/>
        <v>0</v>
      </c>
      <c r="W415" t="b">
        <f t="shared" si="22"/>
        <v>0</v>
      </c>
      <c r="X415" t="b">
        <f t="shared" si="23"/>
        <v>0</v>
      </c>
      <c r="Y415" t="b">
        <f t="shared" si="24"/>
        <v>0</v>
      </c>
      <c r="Z415" t="b">
        <f t="shared" si="25"/>
        <v>0</v>
      </c>
      <c r="AA415" t="b">
        <f t="shared" si="26"/>
        <v>0</v>
      </c>
      <c r="AB415" t="b">
        <f t="shared" si="27"/>
        <v>0</v>
      </c>
      <c r="AC415" t="b">
        <f t="shared" si="28"/>
        <v>0</v>
      </c>
    </row>
    <row r="416" spans="13:29">
      <c r="M416">
        <v>22</v>
      </c>
      <c r="N416">
        <v>20</v>
      </c>
      <c r="O416">
        <v>5</v>
      </c>
      <c r="P416">
        <v>7</v>
      </c>
      <c r="Q416">
        <v>5</v>
      </c>
      <c r="R416">
        <v>20</v>
      </c>
      <c r="S416">
        <v>90</v>
      </c>
      <c r="T416">
        <v>85</v>
      </c>
      <c r="U416">
        <v>30</v>
      </c>
      <c r="V416" t="b">
        <f t="shared" si="21"/>
        <v>0</v>
      </c>
      <c r="W416" t="b">
        <f t="shared" si="22"/>
        <v>0</v>
      </c>
      <c r="X416" t="b">
        <f t="shared" si="23"/>
        <v>0</v>
      </c>
      <c r="Y416" t="b">
        <f t="shared" si="24"/>
        <v>0</v>
      </c>
      <c r="Z416" t="b">
        <f t="shared" si="25"/>
        <v>0</v>
      </c>
      <c r="AA416" t="b">
        <f t="shared" si="26"/>
        <v>0</v>
      </c>
      <c r="AB416" t="b">
        <f t="shared" si="27"/>
        <v>0</v>
      </c>
      <c r="AC416" t="b">
        <f t="shared" si="28"/>
        <v>0</v>
      </c>
    </row>
    <row r="417" spans="13:21">
      <c r="M417">
        <v>22</v>
      </c>
      <c r="N417">
        <v>20</v>
      </c>
      <c r="O417">
        <v>5</v>
      </c>
      <c r="P417">
        <v>7</v>
      </c>
      <c r="Q417">
        <v>5</v>
      </c>
      <c r="R417">
        <v>20</v>
      </c>
      <c r="S417">
        <v>80</v>
      </c>
      <c r="T417">
        <v>85</v>
      </c>
      <c r="U417">
        <v>30</v>
      </c>
    </row>
    <row r="418" spans="13:21">
      <c r="M418">
        <v>22</v>
      </c>
      <c r="N418">
        <v>20</v>
      </c>
      <c r="O418">
        <v>5</v>
      </c>
      <c r="P418">
        <v>4</v>
      </c>
      <c r="Q418">
        <v>5</v>
      </c>
      <c r="R418">
        <v>20</v>
      </c>
      <c r="S418">
        <v>100</v>
      </c>
      <c r="T418">
        <v>85</v>
      </c>
      <c r="U418">
        <v>25</v>
      </c>
    </row>
    <row r="419" spans="13:21">
      <c r="M419">
        <v>22</v>
      </c>
      <c r="N419">
        <v>20</v>
      </c>
      <c r="O419">
        <v>5</v>
      </c>
      <c r="P419">
        <v>7</v>
      </c>
      <c r="Q419">
        <v>5</v>
      </c>
      <c r="R419">
        <v>30</v>
      </c>
      <c r="S419">
        <v>90</v>
      </c>
      <c r="T419">
        <v>85</v>
      </c>
      <c r="U419">
        <v>30</v>
      </c>
    </row>
    <row r="420" spans="13:21">
      <c r="M420">
        <v>22</v>
      </c>
      <c r="N420">
        <v>20</v>
      </c>
      <c r="O420">
        <v>5</v>
      </c>
      <c r="P420">
        <v>4</v>
      </c>
      <c r="Q420">
        <v>5</v>
      </c>
      <c r="R420">
        <v>30</v>
      </c>
      <c r="S420">
        <v>100</v>
      </c>
      <c r="T420">
        <v>85</v>
      </c>
      <c r="U420">
        <v>25</v>
      </c>
    </row>
    <row r="421" spans="13:21">
      <c r="M421">
        <v>22</v>
      </c>
      <c r="N421">
        <v>20</v>
      </c>
      <c r="O421">
        <v>5</v>
      </c>
      <c r="P421">
        <v>4</v>
      </c>
      <c r="Q421">
        <v>5</v>
      </c>
      <c r="R421">
        <v>20</v>
      </c>
      <c r="S421">
        <v>80</v>
      </c>
      <c r="T421">
        <v>85</v>
      </c>
      <c r="U421">
        <v>30</v>
      </c>
    </row>
    <row r="422" spans="13:21">
      <c r="M422">
        <v>22</v>
      </c>
      <c r="N422">
        <v>20</v>
      </c>
      <c r="O422">
        <v>5</v>
      </c>
      <c r="P422">
        <v>4</v>
      </c>
      <c r="Q422">
        <v>5</v>
      </c>
      <c r="R422">
        <v>30</v>
      </c>
      <c r="S422">
        <v>80</v>
      </c>
      <c r="T422">
        <v>85</v>
      </c>
      <c r="U422">
        <v>30</v>
      </c>
    </row>
    <row r="423" spans="13:21">
      <c r="M423">
        <v>22</v>
      </c>
      <c r="N423">
        <v>20</v>
      </c>
      <c r="O423">
        <v>5</v>
      </c>
      <c r="P423">
        <v>4</v>
      </c>
      <c r="Q423">
        <v>5</v>
      </c>
      <c r="R423">
        <v>20</v>
      </c>
      <c r="S423">
        <v>90</v>
      </c>
      <c r="T423">
        <v>85</v>
      </c>
      <c r="U423">
        <v>30</v>
      </c>
    </row>
  </sheetData>
  <sortState ref="B3:B60">
    <sortCondition ref="B3:B6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DB87-C9B9-4327-B947-027AFDEEF304}">
  <dimension ref="B3:F60"/>
  <sheetViews>
    <sheetView workbookViewId="0">
      <selection activeCell="F3" sqref="F3"/>
    </sheetView>
  </sheetViews>
  <sheetFormatPr defaultRowHeight="14.25"/>
  <cols>
    <col min="2" max="3" width="17.75" bestFit="1" customWidth="1"/>
  </cols>
  <sheetData>
    <row r="3" spans="2:6">
      <c r="B3" t="s">
        <v>137</v>
      </c>
      <c r="C3" t="s">
        <v>137</v>
      </c>
      <c r="D3" t="b">
        <f>B3=C3</f>
        <v>1</v>
      </c>
      <c r="F3" t="s">
        <v>151</v>
      </c>
    </row>
    <row r="4" spans="2:6">
      <c r="B4" t="s">
        <v>138</v>
      </c>
      <c r="C4" t="s">
        <v>138</v>
      </c>
      <c r="D4" t="b">
        <f t="shared" ref="D4:D60" si="0">B4=C4</f>
        <v>1</v>
      </c>
    </row>
    <row r="5" spans="2:6">
      <c r="B5" t="s">
        <v>139</v>
      </c>
      <c r="C5" t="s">
        <v>139</v>
      </c>
      <c r="D5" t="b">
        <f t="shared" si="0"/>
        <v>1</v>
      </c>
    </row>
    <row r="6" spans="2:6">
      <c r="B6" t="s">
        <v>140</v>
      </c>
      <c r="C6" t="s">
        <v>140</v>
      </c>
      <c r="D6" t="b">
        <f t="shared" si="0"/>
        <v>1</v>
      </c>
    </row>
    <row r="7" spans="2:6">
      <c r="B7" t="s">
        <v>141</v>
      </c>
      <c r="C7" t="s">
        <v>141</v>
      </c>
      <c r="D7" t="b">
        <f t="shared" si="0"/>
        <v>1</v>
      </c>
    </row>
    <row r="8" spans="2:6">
      <c r="B8" t="s">
        <v>161</v>
      </c>
      <c r="C8" t="s">
        <v>161</v>
      </c>
      <c r="D8" t="b">
        <f t="shared" si="0"/>
        <v>1</v>
      </c>
    </row>
    <row r="9" spans="2:6">
      <c r="B9" t="s">
        <v>162</v>
      </c>
      <c r="C9" t="s">
        <v>162</v>
      </c>
      <c r="D9" t="b">
        <f t="shared" si="0"/>
        <v>1</v>
      </c>
    </row>
    <row r="10" spans="2:6">
      <c r="B10" t="s">
        <v>163</v>
      </c>
      <c r="C10" t="s">
        <v>163</v>
      </c>
      <c r="D10" t="b">
        <f t="shared" si="0"/>
        <v>1</v>
      </c>
    </row>
    <row r="11" spans="2:6">
      <c r="B11" t="s">
        <v>164</v>
      </c>
      <c r="C11" t="s">
        <v>164</v>
      </c>
      <c r="D11" t="b">
        <f t="shared" si="0"/>
        <v>1</v>
      </c>
    </row>
    <row r="12" spans="2:6">
      <c r="B12" t="s">
        <v>165</v>
      </c>
      <c r="C12" t="s">
        <v>165</v>
      </c>
      <c r="D12" t="b">
        <f t="shared" si="0"/>
        <v>1</v>
      </c>
    </row>
    <row r="13" spans="2:6">
      <c r="B13" t="s">
        <v>142</v>
      </c>
      <c r="C13" t="s">
        <v>142</v>
      </c>
      <c r="D13" t="b">
        <f t="shared" si="0"/>
        <v>1</v>
      </c>
    </row>
    <row r="14" spans="2:6">
      <c r="B14" t="s">
        <v>143</v>
      </c>
      <c r="C14" t="s">
        <v>143</v>
      </c>
      <c r="D14" t="b">
        <f t="shared" si="0"/>
        <v>1</v>
      </c>
    </row>
    <row r="15" spans="2:6">
      <c r="B15" t="s">
        <v>144</v>
      </c>
      <c r="C15" t="s">
        <v>144</v>
      </c>
      <c r="D15" t="b">
        <f t="shared" si="0"/>
        <v>1</v>
      </c>
    </row>
    <row r="16" spans="2:6">
      <c r="B16" t="s">
        <v>145</v>
      </c>
      <c r="C16" t="s">
        <v>145</v>
      </c>
      <c r="D16" t="b">
        <f t="shared" si="0"/>
        <v>1</v>
      </c>
    </row>
    <row r="17" spans="2:6">
      <c r="B17" t="s">
        <v>146</v>
      </c>
      <c r="C17" t="s">
        <v>146</v>
      </c>
      <c r="D17" t="b">
        <f t="shared" si="0"/>
        <v>1</v>
      </c>
    </row>
    <row r="18" spans="2:6">
      <c r="B18" t="s">
        <v>166</v>
      </c>
      <c r="C18" t="s">
        <v>166</v>
      </c>
      <c r="D18" t="b">
        <f t="shared" si="0"/>
        <v>1</v>
      </c>
    </row>
    <row r="19" spans="2:6">
      <c r="B19" t="s">
        <v>167</v>
      </c>
      <c r="C19" t="s">
        <v>167</v>
      </c>
      <c r="D19" t="b">
        <f t="shared" si="0"/>
        <v>1</v>
      </c>
    </row>
    <row r="20" spans="2:6">
      <c r="B20" t="s">
        <v>168</v>
      </c>
      <c r="C20" t="s">
        <v>168</v>
      </c>
      <c r="D20" t="b">
        <f t="shared" si="0"/>
        <v>1</v>
      </c>
    </row>
    <row r="21" spans="2:6">
      <c r="B21" t="s">
        <v>169</v>
      </c>
      <c r="C21" t="s">
        <v>169</v>
      </c>
      <c r="D21" t="b">
        <f t="shared" si="0"/>
        <v>1</v>
      </c>
    </row>
    <row r="22" spans="2:6">
      <c r="B22" t="s">
        <v>170</v>
      </c>
      <c r="C22" t="s">
        <v>170</v>
      </c>
      <c r="D22" t="b">
        <f t="shared" si="0"/>
        <v>1</v>
      </c>
    </row>
    <row r="23" spans="2:6">
      <c r="B23" t="s">
        <v>176</v>
      </c>
      <c r="C23" t="s">
        <v>176</v>
      </c>
      <c r="D23" t="b">
        <f t="shared" si="0"/>
        <v>1</v>
      </c>
    </row>
    <row r="24" spans="2:6">
      <c r="B24" t="s">
        <v>177</v>
      </c>
      <c r="C24" t="s">
        <v>177</v>
      </c>
      <c r="D24" t="b">
        <f t="shared" si="0"/>
        <v>1</v>
      </c>
    </row>
    <row r="25" spans="2:6">
      <c r="B25" t="s">
        <v>178</v>
      </c>
      <c r="C25" t="s">
        <v>178</v>
      </c>
      <c r="D25" t="b">
        <f t="shared" si="0"/>
        <v>1</v>
      </c>
    </row>
    <row r="26" spans="2:6">
      <c r="B26" t="s">
        <v>179</v>
      </c>
      <c r="C26" t="s">
        <v>179</v>
      </c>
      <c r="D26" t="b">
        <f t="shared" si="0"/>
        <v>1</v>
      </c>
      <c r="F26" t="s">
        <v>171</v>
      </c>
    </row>
    <row r="27" spans="2:6">
      <c r="B27" t="s">
        <v>147</v>
      </c>
      <c r="C27" t="s">
        <v>147</v>
      </c>
      <c r="D27" t="b">
        <f t="shared" si="0"/>
        <v>1</v>
      </c>
      <c r="F27" t="s">
        <v>169</v>
      </c>
    </row>
    <row r="28" spans="2:6">
      <c r="B28" t="s">
        <v>148</v>
      </c>
      <c r="C28" t="s">
        <v>148</v>
      </c>
      <c r="D28" t="b">
        <f t="shared" si="0"/>
        <v>1</v>
      </c>
    </row>
    <row r="29" spans="2:6">
      <c r="B29" t="s">
        <v>149</v>
      </c>
      <c r="C29" t="s">
        <v>149</v>
      </c>
      <c r="D29" t="b">
        <f t="shared" si="0"/>
        <v>1</v>
      </c>
    </row>
    <row r="30" spans="2:6">
      <c r="B30" t="s">
        <v>150</v>
      </c>
      <c r="C30" t="s">
        <v>150</v>
      </c>
      <c r="D30" t="b">
        <f t="shared" si="0"/>
        <v>1</v>
      </c>
    </row>
    <row r="31" spans="2:6">
      <c r="B31" t="s">
        <v>151</v>
      </c>
      <c r="C31" t="s">
        <v>151</v>
      </c>
      <c r="D31" t="b">
        <f t="shared" si="0"/>
        <v>1</v>
      </c>
    </row>
    <row r="32" spans="2:6">
      <c r="B32" t="s">
        <v>171</v>
      </c>
      <c r="C32" t="s">
        <v>171</v>
      </c>
      <c r="D32" t="b">
        <f t="shared" si="0"/>
        <v>1</v>
      </c>
    </row>
    <row r="33" spans="2:4">
      <c r="B33" t="s">
        <v>172</v>
      </c>
      <c r="C33" t="s">
        <v>172</v>
      </c>
      <c r="D33" t="b">
        <f t="shared" si="0"/>
        <v>1</v>
      </c>
    </row>
    <row r="34" spans="2:4">
      <c r="B34" t="s">
        <v>173</v>
      </c>
      <c r="C34" t="s">
        <v>173</v>
      </c>
      <c r="D34" t="b">
        <f t="shared" si="0"/>
        <v>1</v>
      </c>
    </row>
    <row r="35" spans="2:4">
      <c r="B35" t="s">
        <v>174</v>
      </c>
      <c r="C35" t="s">
        <v>174</v>
      </c>
      <c r="D35" t="b">
        <f t="shared" si="0"/>
        <v>1</v>
      </c>
    </row>
    <row r="36" spans="2:4">
      <c r="B36" t="s">
        <v>175</v>
      </c>
      <c r="C36" t="s">
        <v>175</v>
      </c>
      <c r="D36" t="b">
        <f t="shared" si="0"/>
        <v>1</v>
      </c>
    </row>
    <row r="37" spans="2:4">
      <c r="B37" t="s">
        <v>180</v>
      </c>
      <c r="C37" t="s">
        <v>180</v>
      </c>
      <c r="D37" t="b">
        <f t="shared" si="0"/>
        <v>1</v>
      </c>
    </row>
    <row r="38" spans="2:4">
      <c r="B38" t="s">
        <v>181</v>
      </c>
      <c r="C38" t="s">
        <v>181</v>
      </c>
      <c r="D38" t="b">
        <f t="shared" si="0"/>
        <v>1</v>
      </c>
    </row>
    <row r="39" spans="2:4">
      <c r="B39" t="s">
        <v>182</v>
      </c>
      <c r="C39" t="s">
        <v>182</v>
      </c>
      <c r="D39" t="b">
        <f t="shared" si="0"/>
        <v>1</v>
      </c>
    </row>
    <row r="40" spans="2:4">
      <c r="B40" t="s">
        <v>183</v>
      </c>
      <c r="C40" t="s">
        <v>183</v>
      </c>
      <c r="D40" t="b">
        <f t="shared" si="0"/>
        <v>1</v>
      </c>
    </row>
    <row r="41" spans="2:4">
      <c r="B41" t="s">
        <v>184</v>
      </c>
      <c r="C41" t="s">
        <v>184</v>
      </c>
      <c r="D41" t="b">
        <f t="shared" si="0"/>
        <v>1</v>
      </c>
    </row>
    <row r="42" spans="2:4">
      <c r="B42" t="s">
        <v>127</v>
      </c>
      <c r="C42" t="s">
        <v>127</v>
      </c>
      <c r="D42" t="b">
        <f t="shared" si="0"/>
        <v>1</v>
      </c>
    </row>
    <row r="43" spans="2:4">
      <c r="B43" t="s">
        <v>128</v>
      </c>
      <c r="C43" t="s">
        <v>128</v>
      </c>
      <c r="D43" t="b">
        <f t="shared" si="0"/>
        <v>1</v>
      </c>
    </row>
    <row r="44" spans="2:4">
      <c r="B44" t="s">
        <v>129</v>
      </c>
      <c r="C44" t="s">
        <v>129</v>
      </c>
      <c r="D44" t="b">
        <f t="shared" si="0"/>
        <v>1</v>
      </c>
    </row>
    <row r="45" spans="2:4">
      <c r="B45" t="s">
        <v>130</v>
      </c>
      <c r="C45" t="s">
        <v>130</v>
      </c>
      <c r="D45" t="b">
        <f t="shared" si="0"/>
        <v>1</v>
      </c>
    </row>
    <row r="46" spans="2:4">
      <c r="B46" t="s">
        <v>131</v>
      </c>
      <c r="C46" t="s">
        <v>131</v>
      </c>
      <c r="D46" t="b">
        <f t="shared" si="0"/>
        <v>1</v>
      </c>
    </row>
    <row r="47" spans="2:4">
      <c r="B47" t="s">
        <v>152</v>
      </c>
      <c r="C47" t="s">
        <v>152</v>
      </c>
      <c r="D47" t="b">
        <f t="shared" si="0"/>
        <v>1</v>
      </c>
    </row>
    <row r="48" spans="2:4">
      <c r="B48" t="s">
        <v>153</v>
      </c>
      <c r="C48" t="s">
        <v>153</v>
      </c>
      <c r="D48" t="b">
        <f t="shared" si="0"/>
        <v>1</v>
      </c>
    </row>
    <row r="49" spans="2:4">
      <c r="B49" t="s">
        <v>154</v>
      </c>
      <c r="C49" t="s">
        <v>154</v>
      </c>
      <c r="D49" t="b">
        <f t="shared" si="0"/>
        <v>1</v>
      </c>
    </row>
    <row r="50" spans="2:4">
      <c r="B50" t="s">
        <v>155</v>
      </c>
      <c r="C50" t="s">
        <v>155</v>
      </c>
      <c r="D50" t="b">
        <f t="shared" si="0"/>
        <v>1</v>
      </c>
    </row>
    <row r="51" spans="2:4">
      <c r="B51" t="s">
        <v>132</v>
      </c>
      <c r="C51" t="s">
        <v>132</v>
      </c>
      <c r="D51" t="b">
        <f t="shared" si="0"/>
        <v>1</v>
      </c>
    </row>
    <row r="52" spans="2:4">
      <c r="B52" t="s">
        <v>133</v>
      </c>
      <c r="C52" t="s">
        <v>133</v>
      </c>
      <c r="D52" t="b">
        <f t="shared" si="0"/>
        <v>1</v>
      </c>
    </row>
    <row r="53" spans="2:4">
      <c r="B53" t="s">
        <v>134</v>
      </c>
      <c r="C53" t="s">
        <v>134</v>
      </c>
      <c r="D53" t="b">
        <f t="shared" si="0"/>
        <v>1</v>
      </c>
    </row>
    <row r="54" spans="2:4">
      <c r="B54" t="s">
        <v>135</v>
      </c>
      <c r="C54" t="s">
        <v>135</v>
      </c>
      <c r="D54" t="b">
        <f t="shared" si="0"/>
        <v>1</v>
      </c>
    </row>
    <row r="55" spans="2:4">
      <c r="B55" t="s">
        <v>136</v>
      </c>
      <c r="C55" t="s">
        <v>136</v>
      </c>
      <c r="D55" t="b">
        <f t="shared" si="0"/>
        <v>1</v>
      </c>
    </row>
    <row r="56" spans="2:4">
      <c r="B56" t="s">
        <v>156</v>
      </c>
      <c r="C56" t="s">
        <v>156</v>
      </c>
      <c r="D56" t="b">
        <f t="shared" si="0"/>
        <v>1</v>
      </c>
    </row>
    <row r="57" spans="2:4">
      <c r="B57" t="s">
        <v>157</v>
      </c>
      <c r="C57" t="s">
        <v>157</v>
      </c>
      <c r="D57" t="b">
        <f t="shared" si="0"/>
        <v>1</v>
      </c>
    </row>
    <row r="58" spans="2:4">
      <c r="B58" t="s">
        <v>158</v>
      </c>
      <c r="C58" t="s">
        <v>158</v>
      </c>
      <c r="D58" t="b">
        <f t="shared" si="0"/>
        <v>1</v>
      </c>
    </row>
    <row r="59" spans="2:4">
      <c r="B59" t="s">
        <v>159</v>
      </c>
      <c r="C59" t="s">
        <v>159</v>
      </c>
      <c r="D59" t="b">
        <f t="shared" si="0"/>
        <v>1</v>
      </c>
    </row>
    <row r="60" spans="2:4">
      <c r="B60" t="s">
        <v>160</v>
      </c>
      <c r="C60" t="s">
        <v>160</v>
      </c>
      <c r="D60" t="b">
        <f t="shared" si="0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1:C982"/>
  <sheetViews>
    <sheetView topLeftCell="A830" workbookViewId="0">
      <selection activeCell="G27" sqref="G27"/>
    </sheetView>
  </sheetViews>
  <sheetFormatPr defaultRowHeight="14.25"/>
  <cols>
    <col min="2" max="2" width="22.25" bestFit="1" customWidth="1"/>
    <col min="14" max="14" width="18.375" bestFit="1" customWidth="1"/>
    <col min="15" max="15" width="8.875" bestFit="1" customWidth="1"/>
    <col min="16" max="16" width="14.625" bestFit="1" customWidth="1"/>
    <col min="17" max="17" width="16" bestFit="1" customWidth="1"/>
    <col min="18" max="18" width="13.625" bestFit="1" customWidth="1"/>
    <col min="19" max="19" width="13.375" bestFit="1" customWidth="1"/>
    <col min="20" max="20" width="11.75" bestFit="1" customWidth="1"/>
    <col min="21" max="22" width="12.125" bestFit="1" customWidth="1"/>
    <col min="23" max="23" width="12" bestFit="1" customWidth="1"/>
    <col min="24" max="24" width="14.25" bestFit="1" customWidth="1"/>
  </cols>
  <sheetData>
    <row r="11" spans="2:2">
      <c r="B11" t="s">
        <v>187</v>
      </c>
    </row>
    <row r="12" spans="2:2">
      <c r="B12" t="s">
        <v>188</v>
      </c>
    </row>
    <row r="13" spans="2:2">
      <c r="B13" t="s">
        <v>189</v>
      </c>
    </row>
    <row r="14" spans="2:2">
      <c r="B14" t="s">
        <v>190</v>
      </c>
    </row>
    <row r="15" spans="2:2">
      <c r="B15" t="s">
        <v>191</v>
      </c>
    </row>
    <row r="16" spans="2:2">
      <c r="B16" t="s">
        <v>192</v>
      </c>
    </row>
    <row r="17" spans="2:3">
      <c r="B17" t="s">
        <v>193</v>
      </c>
    </row>
    <row r="18" spans="2:3">
      <c r="B18" t="s">
        <v>194</v>
      </c>
    </row>
    <row r="19" spans="2:3">
      <c r="B19" t="s">
        <v>195</v>
      </c>
      <c r="C19" t="s">
        <v>1144</v>
      </c>
    </row>
    <row r="20" spans="2:3">
      <c r="B20" t="s">
        <v>196</v>
      </c>
      <c r="C20" t="s">
        <v>1145</v>
      </c>
    </row>
    <row r="21" spans="2:3">
      <c r="B21" t="s">
        <v>197</v>
      </c>
      <c r="C21" t="s">
        <v>1146</v>
      </c>
    </row>
    <row r="22" spans="2:3">
      <c r="B22" t="s">
        <v>198</v>
      </c>
      <c r="C22" t="s">
        <v>1147</v>
      </c>
    </row>
    <row r="23" spans="2:3">
      <c r="B23" t="s">
        <v>199</v>
      </c>
      <c r="C23" t="s">
        <v>1148</v>
      </c>
    </row>
    <row r="24" spans="2:3">
      <c r="B24" t="s">
        <v>200</v>
      </c>
      <c r="C24" t="s">
        <v>1149</v>
      </c>
    </row>
    <row r="25" spans="2:3">
      <c r="B25" t="s">
        <v>201</v>
      </c>
      <c r="C25" t="s">
        <v>1150</v>
      </c>
    </row>
    <row r="26" spans="2:3">
      <c r="B26" t="s">
        <v>202</v>
      </c>
      <c r="C26" t="s">
        <v>1151</v>
      </c>
    </row>
    <row r="27" spans="2:3">
      <c r="B27" t="s">
        <v>203</v>
      </c>
      <c r="C27" t="s">
        <v>1152</v>
      </c>
    </row>
    <row r="28" spans="2:3">
      <c r="B28" t="s">
        <v>204</v>
      </c>
      <c r="C28" t="s">
        <v>1153</v>
      </c>
    </row>
    <row r="29" spans="2:3">
      <c r="B29" t="s">
        <v>205</v>
      </c>
      <c r="C29" t="s">
        <v>1154</v>
      </c>
    </row>
    <row r="30" spans="2:3">
      <c r="B30" t="s">
        <v>206</v>
      </c>
      <c r="C30" t="s">
        <v>1155</v>
      </c>
    </row>
    <row r="31" spans="2:3">
      <c r="B31" t="s">
        <v>207</v>
      </c>
    </row>
    <row r="32" spans="2:3">
      <c r="B32" t="s">
        <v>208</v>
      </c>
    </row>
    <row r="33" spans="2:2">
      <c r="B33" t="s">
        <v>209</v>
      </c>
    </row>
    <row r="34" spans="2:2">
      <c r="B34" t="s">
        <v>210</v>
      </c>
    </row>
    <row r="35" spans="2:2">
      <c r="B35" t="s">
        <v>211</v>
      </c>
    </row>
    <row r="36" spans="2:2">
      <c r="B36" t="s">
        <v>212</v>
      </c>
    </row>
    <row r="37" spans="2:2">
      <c r="B37" t="s">
        <v>213</v>
      </c>
    </row>
    <row r="38" spans="2:2">
      <c r="B38" t="s">
        <v>214</v>
      </c>
    </row>
    <row r="39" spans="2:2">
      <c r="B39" t="s">
        <v>215</v>
      </c>
    </row>
    <row r="40" spans="2:2">
      <c r="B40" t="s">
        <v>216</v>
      </c>
    </row>
    <row r="41" spans="2:2">
      <c r="B41" t="s">
        <v>217</v>
      </c>
    </row>
    <row r="42" spans="2:2">
      <c r="B42" t="s">
        <v>218</v>
      </c>
    </row>
    <row r="43" spans="2:2">
      <c r="B43" t="s">
        <v>219</v>
      </c>
    </row>
    <row r="44" spans="2:2">
      <c r="B44" t="s">
        <v>220</v>
      </c>
    </row>
    <row r="45" spans="2:2">
      <c r="B45" t="s">
        <v>221</v>
      </c>
    </row>
    <row r="46" spans="2:2">
      <c r="B46" t="s">
        <v>222</v>
      </c>
    </row>
    <row r="47" spans="2:2">
      <c r="B47" t="s">
        <v>223</v>
      </c>
    </row>
    <row r="48" spans="2:2">
      <c r="B48" t="s">
        <v>224</v>
      </c>
    </row>
    <row r="49" spans="2:2">
      <c r="B49" t="s">
        <v>225</v>
      </c>
    </row>
    <row r="50" spans="2:2">
      <c r="B50" t="s">
        <v>226</v>
      </c>
    </row>
    <row r="51" spans="2:2">
      <c r="B51" t="s">
        <v>227</v>
      </c>
    </row>
    <row r="52" spans="2:2">
      <c r="B52" t="s">
        <v>228</v>
      </c>
    </row>
    <row r="53" spans="2:2">
      <c r="B53" t="s">
        <v>229</v>
      </c>
    </row>
    <row r="54" spans="2:2">
      <c r="B54" t="s">
        <v>230</v>
      </c>
    </row>
    <row r="55" spans="2:2">
      <c r="B55" t="s">
        <v>231</v>
      </c>
    </row>
    <row r="56" spans="2:2">
      <c r="B56" t="s">
        <v>232</v>
      </c>
    </row>
    <row r="57" spans="2:2">
      <c r="B57" t="s">
        <v>233</v>
      </c>
    </row>
    <row r="58" spans="2:2">
      <c r="B58" t="s">
        <v>234</v>
      </c>
    </row>
    <row r="59" spans="2:2">
      <c r="B59" t="s">
        <v>235</v>
      </c>
    </row>
    <row r="60" spans="2:2">
      <c r="B60" t="s">
        <v>236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242</v>
      </c>
    </row>
    <row r="67" spans="2:2">
      <c r="B67" t="s">
        <v>243</v>
      </c>
    </row>
    <row r="68" spans="2:2">
      <c r="B68" t="s">
        <v>244</v>
      </c>
    </row>
    <row r="69" spans="2:2">
      <c r="B69" t="s">
        <v>245</v>
      </c>
    </row>
    <row r="70" spans="2:2">
      <c r="B70" t="s">
        <v>246</v>
      </c>
    </row>
    <row r="71" spans="2:2">
      <c r="B71" t="s">
        <v>247</v>
      </c>
    </row>
    <row r="72" spans="2:2">
      <c r="B72" t="s">
        <v>248</v>
      </c>
    </row>
    <row r="73" spans="2:2">
      <c r="B73" t="s">
        <v>249</v>
      </c>
    </row>
    <row r="74" spans="2:2">
      <c r="B74" t="s">
        <v>250</v>
      </c>
    </row>
    <row r="75" spans="2:2">
      <c r="B75" t="s">
        <v>251</v>
      </c>
    </row>
    <row r="76" spans="2:2">
      <c r="B76" t="s">
        <v>252</v>
      </c>
    </row>
    <row r="77" spans="2:2">
      <c r="B77" t="s">
        <v>253</v>
      </c>
    </row>
    <row r="78" spans="2:2">
      <c r="B78" t="s">
        <v>254</v>
      </c>
    </row>
    <row r="79" spans="2:2">
      <c r="B79" t="s">
        <v>255</v>
      </c>
    </row>
    <row r="80" spans="2:2">
      <c r="B80" t="s">
        <v>256</v>
      </c>
    </row>
    <row r="81" spans="2:2">
      <c r="B81" t="s">
        <v>257</v>
      </c>
    </row>
    <row r="82" spans="2:2">
      <c r="B82" t="s">
        <v>258</v>
      </c>
    </row>
    <row r="83" spans="2:2">
      <c r="B83" t="s">
        <v>259</v>
      </c>
    </row>
    <row r="84" spans="2:2">
      <c r="B84" t="s">
        <v>260</v>
      </c>
    </row>
    <row r="85" spans="2:2">
      <c r="B85" t="s">
        <v>261</v>
      </c>
    </row>
    <row r="86" spans="2:2">
      <c r="B86" t="s">
        <v>262</v>
      </c>
    </row>
    <row r="87" spans="2:2">
      <c r="B87" t="s">
        <v>263</v>
      </c>
    </row>
    <row r="88" spans="2:2">
      <c r="B88" t="s">
        <v>264</v>
      </c>
    </row>
    <row r="89" spans="2:2">
      <c r="B89" t="s">
        <v>265</v>
      </c>
    </row>
    <row r="90" spans="2:2">
      <c r="B90" t="s">
        <v>266</v>
      </c>
    </row>
    <row r="91" spans="2:2">
      <c r="B91" t="s">
        <v>267</v>
      </c>
    </row>
    <row r="92" spans="2:2">
      <c r="B92" t="s">
        <v>268</v>
      </c>
    </row>
    <row r="93" spans="2:2">
      <c r="B93" t="s">
        <v>269</v>
      </c>
    </row>
    <row r="94" spans="2:2">
      <c r="B94" t="s">
        <v>270</v>
      </c>
    </row>
    <row r="95" spans="2:2">
      <c r="B95" t="s">
        <v>271</v>
      </c>
    </row>
    <row r="96" spans="2:2">
      <c r="B96" t="s">
        <v>272</v>
      </c>
    </row>
    <row r="97" spans="2:2">
      <c r="B97" t="s">
        <v>273</v>
      </c>
    </row>
    <row r="98" spans="2:2">
      <c r="B98" t="s">
        <v>274</v>
      </c>
    </row>
    <row r="99" spans="2:2">
      <c r="B99" t="s">
        <v>275</v>
      </c>
    </row>
    <row r="100" spans="2:2">
      <c r="B100" t="s">
        <v>276</v>
      </c>
    </row>
    <row r="101" spans="2:2">
      <c r="B101" t="s">
        <v>277</v>
      </c>
    </row>
    <row r="102" spans="2:2">
      <c r="B102" t="s">
        <v>278</v>
      </c>
    </row>
    <row r="103" spans="2:2">
      <c r="B103" t="s">
        <v>279</v>
      </c>
    </row>
    <row r="104" spans="2:2">
      <c r="B104" t="s">
        <v>280</v>
      </c>
    </row>
    <row r="105" spans="2:2">
      <c r="B105" t="s">
        <v>281</v>
      </c>
    </row>
    <row r="106" spans="2:2">
      <c r="B106" t="s">
        <v>282</v>
      </c>
    </row>
    <row r="107" spans="2:2">
      <c r="B107" t="s">
        <v>283</v>
      </c>
    </row>
    <row r="108" spans="2:2">
      <c r="B108" t="s">
        <v>284</v>
      </c>
    </row>
    <row r="109" spans="2:2">
      <c r="B109" t="s">
        <v>285</v>
      </c>
    </row>
    <row r="110" spans="2:2">
      <c r="B110" t="s">
        <v>286</v>
      </c>
    </row>
    <row r="111" spans="2:2">
      <c r="B111" t="s">
        <v>287</v>
      </c>
    </row>
    <row r="112" spans="2:2">
      <c r="B112" t="s">
        <v>288</v>
      </c>
    </row>
    <row r="113" spans="2:2">
      <c r="B113" t="s">
        <v>289</v>
      </c>
    </row>
    <row r="114" spans="2:2">
      <c r="B114" t="s">
        <v>290</v>
      </c>
    </row>
    <row r="115" spans="2:2">
      <c r="B115" t="s">
        <v>291</v>
      </c>
    </row>
    <row r="116" spans="2:2">
      <c r="B116" t="s">
        <v>292</v>
      </c>
    </row>
    <row r="117" spans="2:2">
      <c r="B117" t="s">
        <v>293</v>
      </c>
    </row>
    <row r="118" spans="2:2">
      <c r="B118" t="s">
        <v>294</v>
      </c>
    </row>
    <row r="119" spans="2:2">
      <c r="B119" t="s">
        <v>295</v>
      </c>
    </row>
    <row r="120" spans="2:2">
      <c r="B120" t="s">
        <v>296</v>
      </c>
    </row>
    <row r="121" spans="2:2">
      <c r="B121" t="s">
        <v>297</v>
      </c>
    </row>
    <row r="122" spans="2:2">
      <c r="B122" t="s">
        <v>298</v>
      </c>
    </row>
    <row r="123" spans="2:2">
      <c r="B123" t="s">
        <v>299</v>
      </c>
    </row>
    <row r="124" spans="2:2">
      <c r="B124" t="s">
        <v>300</v>
      </c>
    </row>
    <row r="125" spans="2:2">
      <c r="B125" t="s">
        <v>301</v>
      </c>
    </row>
    <row r="126" spans="2:2">
      <c r="B126" t="s">
        <v>302</v>
      </c>
    </row>
    <row r="127" spans="2:2">
      <c r="B127" t="s">
        <v>303</v>
      </c>
    </row>
    <row r="128" spans="2:2">
      <c r="B128" t="s">
        <v>304</v>
      </c>
    </row>
    <row r="129" spans="2:2">
      <c r="B129" t="s">
        <v>305</v>
      </c>
    </row>
    <row r="130" spans="2:2">
      <c r="B130" t="s">
        <v>306</v>
      </c>
    </row>
    <row r="131" spans="2:2">
      <c r="B131" t="s">
        <v>307</v>
      </c>
    </row>
    <row r="132" spans="2:2">
      <c r="B132" t="s">
        <v>308</v>
      </c>
    </row>
    <row r="133" spans="2:2">
      <c r="B133" t="s">
        <v>309</v>
      </c>
    </row>
    <row r="134" spans="2:2">
      <c r="B134" t="s">
        <v>310</v>
      </c>
    </row>
    <row r="135" spans="2:2">
      <c r="B135" t="s">
        <v>311</v>
      </c>
    </row>
    <row r="136" spans="2:2">
      <c r="B136" t="s">
        <v>312</v>
      </c>
    </row>
    <row r="137" spans="2:2">
      <c r="B137" t="s">
        <v>313</v>
      </c>
    </row>
    <row r="138" spans="2:2">
      <c r="B138" t="s">
        <v>314</v>
      </c>
    </row>
    <row r="139" spans="2:2">
      <c r="B139" t="s">
        <v>315</v>
      </c>
    </row>
    <row r="140" spans="2:2">
      <c r="B140" t="s">
        <v>316</v>
      </c>
    </row>
    <row r="141" spans="2:2">
      <c r="B141" t="s">
        <v>317</v>
      </c>
    </row>
    <row r="142" spans="2:2">
      <c r="B142" t="s">
        <v>318</v>
      </c>
    </row>
    <row r="143" spans="2:2">
      <c r="B143" t="s">
        <v>319</v>
      </c>
    </row>
    <row r="144" spans="2:2">
      <c r="B144" t="s">
        <v>320</v>
      </c>
    </row>
    <row r="145" spans="2:2">
      <c r="B145" t="s">
        <v>321</v>
      </c>
    </row>
    <row r="146" spans="2:2">
      <c r="B146" t="s">
        <v>322</v>
      </c>
    </row>
    <row r="147" spans="2:2">
      <c r="B147" t="s">
        <v>323</v>
      </c>
    </row>
    <row r="148" spans="2:2">
      <c r="B148" t="s">
        <v>324</v>
      </c>
    </row>
    <row r="149" spans="2:2">
      <c r="B149" t="s">
        <v>325</v>
      </c>
    </row>
    <row r="150" spans="2:2">
      <c r="B150" t="s">
        <v>326</v>
      </c>
    </row>
    <row r="151" spans="2:2">
      <c r="B151" t="s">
        <v>327</v>
      </c>
    </row>
    <row r="152" spans="2:2">
      <c r="B152" t="s">
        <v>328</v>
      </c>
    </row>
    <row r="153" spans="2:2">
      <c r="B153" t="s">
        <v>329</v>
      </c>
    </row>
    <row r="154" spans="2:2">
      <c r="B154" t="s">
        <v>330</v>
      </c>
    </row>
    <row r="155" spans="2:2">
      <c r="B155" t="s">
        <v>331</v>
      </c>
    </row>
    <row r="156" spans="2:2">
      <c r="B156" t="s">
        <v>332</v>
      </c>
    </row>
    <row r="157" spans="2:2">
      <c r="B157" t="s">
        <v>333</v>
      </c>
    </row>
    <row r="158" spans="2:2">
      <c r="B158" t="s">
        <v>334</v>
      </c>
    </row>
    <row r="159" spans="2:2">
      <c r="B159" t="s">
        <v>335</v>
      </c>
    </row>
    <row r="160" spans="2:2">
      <c r="B160" t="s">
        <v>336</v>
      </c>
    </row>
    <row r="161" spans="2:2">
      <c r="B161" t="s">
        <v>337</v>
      </c>
    </row>
    <row r="162" spans="2:2">
      <c r="B162" t="s">
        <v>338</v>
      </c>
    </row>
    <row r="163" spans="2:2">
      <c r="B163" t="s">
        <v>339</v>
      </c>
    </row>
    <row r="164" spans="2:2">
      <c r="B164" t="s">
        <v>340</v>
      </c>
    </row>
    <row r="165" spans="2:2">
      <c r="B165" t="s">
        <v>341</v>
      </c>
    </row>
    <row r="166" spans="2:2">
      <c r="B166" t="s">
        <v>342</v>
      </c>
    </row>
    <row r="167" spans="2:2">
      <c r="B167" t="s">
        <v>343</v>
      </c>
    </row>
    <row r="168" spans="2:2">
      <c r="B168" t="s">
        <v>344</v>
      </c>
    </row>
    <row r="169" spans="2:2">
      <c r="B169" t="s">
        <v>345</v>
      </c>
    </row>
    <row r="170" spans="2:2">
      <c r="B170" t="s">
        <v>346</v>
      </c>
    </row>
    <row r="171" spans="2:2">
      <c r="B171" t="s">
        <v>347</v>
      </c>
    </row>
    <row r="172" spans="2:2">
      <c r="B172" t="s">
        <v>348</v>
      </c>
    </row>
    <row r="173" spans="2:2">
      <c r="B173" t="s">
        <v>349</v>
      </c>
    </row>
    <row r="174" spans="2:2">
      <c r="B174" t="s">
        <v>350</v>
      </c>
    </row>
    <row r="175" spans="2:2">
      <c r="B175" t="s">
        <v>351</v>
      </c>
    </row>
    <row r="176" spans="2:2">
      <c r="B176" t="s">
        <v>352</v>
      </c>
    </row>
    <row r="177" spans="2:2">
      <c r="B177" t="s">
        <v>353</v>
      </c>
    </row>
    <row r="178" spans="2:2">
      <c r="B178" t="s">
        <v>354</v>
      </c>
    </row>
    <row r="179" spans="2:2">
      <c r="B179" t="s">
        <v>355</v>
      </c>
    </row>
    <row r="180" spans="2:2">
      <c r="B180" t="s">
        <v>356</v>
      </c>
    </row>
    <row r="181" spans="2:2">
      <c r="B181" t="s">
        <v>357</v>
      </c>
    </row>
    <row r="182" spans="2:2">
      <c r="B182" t="s">
        <v>358</v>
      </c>
    </row>
    <row r="183" spans="2:2">
      <c r="B183" t="s">
        <v>359</v>
      </c>
    </row>
    <row r="184" spans="2:2">
      <c r="B184" t="s">
        <v>360</v>
      </c>
    </row>
    <row r="185" spans="2:2">
      <c r="B185" t="s">
        <v>361</v>
      </c>
    </row>
    <row r="186" spans="2:2">
      <c r="B186" t="s">
        <v>362</v>
      </c>
    </row>
    <row r="187" spans="2:2">
      <c r="B187" t="s">
        <v>363</v>
      </c>
    </row>
    <row r="188" spans="2:2">
      <c r="B188" t="s">
        <v>364</v>
      </c>
    </row>
    <row r="189" spans="2:2">
      <c r="B189" t="s">
        <v>365</v>
      </c>
    </row>
    <row r="190" spans="2:2">
      <c r="B190" t="s">
        <v>366</v>
      </c>
    </row>
    <row r="191" spans="2:2">
      <c r="B191" t="s">
        <v>367</v>
      </c>
    </row>
    <row r="192" spans="2:2">
      <c r="B192" t="s">
        <v>368</v>
      </c>
    </row>
    <row r="193" spans="2:2">
      <c r="B193" t="s">
        <v>369</v>
      </c>
    </row>
    <row r="194" spans="2:2">
      <c r="B194" t="s">
        <v>370</v>
      </c>
    </row>
    <row r="195" spans="2:2">
      <c r="B195" t="s">
        <v>371</v>
      </c>
    </row>
    <row r="196" spans="2:2">
      <c r="B196" t="s">
        <v>372</v>
      </c>
    </row>
    <row r="197" spans="2:2">
      <c r="B197" t="s">
        <v>373</v>
      </c>
    </row>
    <row r="198" spans="2:2">
      <c r="B198" t="s">
        <v>374</v>
      </c>
    </row>
    <row r="199" spans="2:2">
      <c r="B199" t="s">
        <v>375</v>
      </c>
    </row>
    <row r="200" spans="2:2">
      <c r="B200" t="s">
        <v>376</v>
      </c>
    </row>
    <row r="201" spans="2:2">
      <c r="B201" t="s">
        <v>377</v>
      </c>
    </row>
    <row r="202" spans="2:2">
      <c r="B202" t="s">
        <v>378</v>
      </c>
    </row>
    <row r="203" spans="2:2">
      <c r="B203" t="s">
        <v>379</v>
      </c>
    </row>
    <row r="204" spans="2:2">
      <c r="B204" t="s">
        <v>380</v>
      </c>
    </row>
    <row r="205" spans="2:2">
      <c r="B205" t="s">
        <v>381</v>
      </c>
    </row>
    <row r="206" spans="2:2">
      <c r="B206" t="s">
        <v>382</v>
      </c>
    </row>
    <row r="207" spans="2:2">
      <c r="B207" t="s">
        <v>180</v>
      </c>
    </row>
    <row r="208" spans="2:2">
      <c r="B208" t="s">
        <v>383</v>
      </c>
    </row>
    <row r="209" spans="2:2">
      <c r="B209" t="s">
        <v>384</v>
      </c>
    </row>
    <row r="210" spans="2:2">
      <c r="B210" t="s">
        <v>171</v>
      </c>
    </row>
    <row r="211" spans="2:2">
      <c r="B211" t="s">
        <v>166</v>
      </c>
    </row>
    <row r="212" spans="2:2">
      <c r="B212" t="s">
        <v>156</v>
      </c>
    </row>
    <row r="213" spans="2:2">
      <c r="B213" t="s">
        <v>385</v>
      </c>
    </row>
    <row r="214" spans="2:2">
      <c r="B214" t="s">
        <v>147</v>
      </c>
    </row>
    <row r="215" spans="2:2">
      <c r="B215" t="s">
        <v>143</v>
      </c>
    </row>
    <row r="216" spans="2:2">
      <c r="B216" t="s">
        <v>137</v>
      </c>
    </row>
    <row r="217" spans="2:2">
      <c r="B217" t="s">
        <v>386</v>
      </c>
    </row>
    <row r="218" spans="2:2">
      <c r="B218" t="s">
        <v>387</v>
      </c>
    </row>
    <row r="219" spans="2:2">
      <c r="B219" t="s">
        <v>388</v>
      </c>
    </row>
    <row r="220" spans="2:2">
      <c r="B220" t="s">
        <v>389</v>
      </c>
    </row>
    <row r="221" spans="2:2">
      <c r="B221" t="s">
        <v>390</v>
      </c>
    </row>
    <row r="222" spans="2:2">
      <c r="B222" t="s">
        <v>391</v>
      </c>
    </row>
    <row r="223" spans="2:2">
      <c r="B223" t="s">
        <v>392</v>
      </c>
    </row>
    <row r="224" spans="2:2">
      <c r="B224" t="s">
        <v>393</v>
      </c>
    </row>
    <row r="225" spans="2:2">
      <c r="B225" t="s">
        <v>394</v>
      </c>
    </row>
    <row r="226" spans="2:2">
      <c r="B226" t="s">
        <v>395</v>
      </c>
    </row>
    <row r="227" spans="2:2">
      <c r="B227" t="s">
        <v>396</v>
      </c>
    </row>
    <row r="228" spans="2:2">
      <c r="B228" t="s">
        <v>397</v>
      </c>
    </row>
    <row r="229" spans="2:2">
      <c r="B229" t="s">
        <v>398</v>
      </c>
    </row>
    <row r="230" spans="2:2">
      <c r="B230" t="s">
        <v>399</v>
      </c>
    </row>
    <row r="231" spans="2:2">
      <c r="B231" t="s">
        <v>400</v>
      </c>
    </row>
    <row r="232" spans="2:2">
      <c r="B232" t="s">
        <v>401</v>
      </c>
    </row>
    <row r="233" spans="2:2">
      <c r="B233" t="s">
        <v>402</v>
      </c>
    </row>
    <row r="234" spans="2:2">
      <c r="B234" t="s">
        <v>403</v>
      </c>
    </row>
    <row r="235" spans="2:2">
      <c r="B235" t="s">
        <v>404</v>
      </c>
    </row>
    <row r="236" spans="2:2">
      <c r="B236" t="s">
        <v>405</v>
      </c>
    </row>
    <row r="237" spans="2:2">
      <c r="B237" t="s">
        <v>406</v>
      </c>
    </row>
    <row r="238" spans="2:2">
      <c r="B238" t="s">
        <v>407</v>
      </c>
    </row>
    <row r="239" spans="2:2">
      <c r="B239" t="s">
        <v>408</v>
      </c>
    </row>
    <row r="240" spans="2:2">
      <c r="B240" t="s">
        <v>409</v>
      </c>
    </row>
    <row r="241" spans="2:2">
      <c r="B241" t="s">
        <v>410</v>
      </c>
    </row>
    <row r="242" spans="2:2">
      <c r="B242" t="s">
        <v>411</v>
      </c>
    </row>
    <row r="243" spans="2:2">
      <c r="B243" t="s">
        <v>412</v>
      </c>
    </row>
    <row r="244" spans="2:2">
      <c r="B244" t="s">
        <v>413</v>
      </c>
    </row>
    <row r="245" spans="2:2">
      <c r="B245" t="s">
        <v>414</v>
      </c>
    </row>
    <row r="246" spans="2:2">
      <c r="B246" t="s">
        <v>415</v>
      </c>
    </row>
    <row r="247" spans="2:2">
      <c r="B247" t="s">
        <v>416</v>
      </c>
    </row>
    <row r="248" spans="2:2">
      <c r="B248" t="s">
        <v>417</v>
      </c>
    </row>
    <row r="249" spans="2:2">
      <c r="B249" t="s">
        <v>418</v>
      </c>
    </row>
    <row r="250" spans="2:2">
      <c r="B250" t="s">
        <v>419</v>
      </c>
    </row>
    <row r="251" spans="2:2">
      <c r="B251" t="s">
        <v>420</v>
      </c>
    </row>
    <row r="252" spans="2:2">
      <c r="B252" t="s">
        <v>421</v>
      </c>
    </row>
    <row r="253" spans="2:2">
      <c r="B253" t="s">
        <v>422</v>
      </c>
    </row>
    <row r="254" spans="2:2">
      <c r="B254" t="s">
        <v>423</v>
      </c>
    </row>
    <row r="255" spans="2:2">
      <c r="B255" t="s">
        <v>424</v>
      </c>
    </row>
    <row r="256" spans="2:2">
      <c r="B256" t="s">
        <v>425</v>
      </c>
    </row>
    <row r="257" spans="2:2">
      <c r="B257" t="s">
        <v>426</v>
      </c>
    </row>
    <row r="258" spans="2:2">
      <c r="B258" t="s">
        <v>427</v>
      </c>
    </row>
    <row r="259" spans="2:2">
      <c r="B259" t="s">
        <v>428</v>
      </c>
    </row>
    <row r="260" spans="2:2">
      <c r="B260" t="s">
        <v>429</v>
      </c>
    </row>
    <row r="261" spans="2:2">
      <c r="B261" t="s">
        <v>430</v>
      </c>
    </row>
    <row r="262" spans="2:2">
      <c r="B262" t="s">
        <v>431</v>
      </c>
    </row>
    <row r="263" spans="2:2">
      <c r="B263" t="s">
        <v>432</v>
      </c>
    </row>
    <row r="264" spans="2:2">
      <c r="B264" t="s">
        <v>433</v>
      </c>
    </row>
    <row r="265" spans="2:2">
      <c r="B265" t="s">
        <v>434</v>
      </c>
    </row>
    <row r="266" spans="2:2">
      <c r="B266" t="s">
        <v>435</v>
      </c>
    </row>
    <row r="267" spans="2:2">
      <c r="B267" t="s">
        <v>436</v>
      </c>
    </row>
    <row r="268" spans="2:2">
      <c r="B268" t="s">
        <v>437</v>
      </c>
    </row>
    <row r="269" spans="2:2">
      <c r="B269" t="s">
        <v>438</v>
      </c>
    </row>
    <row r="270" spans="2:2">
      <c r="B270" t="s">
        <v>439</v>
      </c>
    </row>
    <row r="271" spans="2:2">
      <c r="B271" t="s">
        <v>440</v>
      </c>
    </row>
    <row r="272" spans="2:2">
      <c r="B272" t="s">
        <v>441</v>
      </c>
    </row>
    <row r="273" spans="2:2">
      <c r="B273" t="s">
        <v>442</v>
      </c>
    </row>
    <row r="274" spans="2:2">
      <c r="B274" t="s">
        <v>443</v>
      </c>
    </row>
    <row r="275" spans="2:2">
      <c r="B275" t="s">
        <v>444</v>
      </c>
    </row>
    <row r="276" spans="2:2">
      <c r="B276" t="s">
        <v>445</v>
      </c>
    </row>
    <row r="277" spans="2:2">
      <c r="B277" t="s">
        <v>446</v>
      </c>
    </row>
    <row r="278" spans="2:2">
      <c r="B278" t="s">
        <v>447</v>
      </c>
    </row>
    <row r="279" spans="2:2">
      <c r="B279" t="s">
        <v>448</v>
      </c>
    </row>
    <row r="280" spans="2:2">
      <c r="B280" t="s">
        <v>449</v>
      </c>
    </row>
    <row r="281" spans="2:2">
      <c r="B281" t="s">
        <v>450</v>
      </c>
    </row>
    <row r="282" spans="2:2">
      <c r="B282" t="s">
        <v>451</v>
      </c>
    </row>
    <row r="283" spans="2:2">
      <c r="B283" t="s">
        <v>452</v>
      </c>
    </row>
    <row r="284" spans="2:2">
      <c r="B284" t="s">
        <v>453</v>
      </c>
    </row>
    <row r="285" spans="2:2">
      <c r="B285" t="s">
        <v>454</v>
      </c>
    </row>
    <row r="286" spans="2:2">
      <c r="B286" t="s">
        <v>455</v>
      </c>
    </row>
    <row r="287" spans="2:2">
      <c r="B287" t="s">
        <v>456</v>
      </c>
    </row>
    <row r="288" spans="2:2">
      <c r="B288" t="s">
        <v>457</v>
      </c>
    </row>
    <row r="289" spans="2:2">
      <c r="B289" t="s">
        <v>458</v>
      </c>
    </row>
    <row r="290" spans="2:2">
      <c r="B290" t="s">
        <v>459</v>
      </c>
    </row>
    <row r="291" spans="2:2">
      <c r="B291" t="s">
        <v>460</v>
      </c>
    </row>
    <row r="292" spans="2:2">
      <c r="B292" t="s">
        <v>461</v>
      </c>
    </row>
    <row r="293" spans="2:2">
      <c r="B293" t="s">
        <v>462</v>
      </c>
    </row>
    <row r="294" spans="2:2">
      <c r="B294" t="s">
        <v>463</v>
      </c>
    </row>
    <row r="295" spans="2:2">
      <c r="B295" t="s">
        <v>464</v>
      </c>
    </row>
    <row r="296" spans="2:2">
      <c r="B296" t="s">
        <v>465</v>
      </c>
    </row>
    <row r="297" spans="2:2">
      <c r="B297" t="s">
        <v>466</v>
      </c>
    </row>
    <row r="298" spans="2:2">
      <c r="B298" t="s">
        <v>467</v>
      </c>
    </row>
    <row r="299" spans="2:2">
      <c r="B299" t="s">
        <v>468</v>
      </c>
    </row>
    <row r="300" spans="2:2">
      <c r="B300" t="s">
        <v>469</v>
      </c>
    </row>
    <row r="301" spans="2:2">
      <c r="B301" t="s">
        <v>470</v>
      </c>
    </row>
    <row r="302" spans="2:2">
      <c r="B302" t="s">
        <v>471</v>
      </c>
    </row>
    <row r="303" spans="2:2">
      <c r="B303" t="s">
        <v>472</v>
      </c>
    </row>
    <row r="304" spans="2:2">
      <c r="B304" t="s">
        <v>473</v>
      </c>
    </row>
    <row r="305" spans="2:2">
      <c r="B305" t="s">
        <v>474</v>
      </c>
    </row>
    <row r="306" spans="2:2">
      <c r="B306" t="s">
        <v>475</v>
      </c>
    </row>
    <row r="307" spans="2:2">
      <c r="B307" t="s">
        <v>476</v>
      </c>
    </row>
    <row r="308" spans="2:2">
      <c r="B308" t="s">
        <v>477</v>
      </c>
    </row>
    <row r="309" spans="2:2">
      <c r="B309" t="s">
        <v>478</v>
      </c>
    </row>
    <row r="310" spans="2:2">
      <c r="B310" t="s">
        <v>479</v>
      </c>
    </row>
    <row r="311" spans="2:2">
      <c r="B311" t="s">
        <v>480</v>
      </c>
    </row>
    <row r="312" spans="2:2">
      <c r="B312" t="s">
        <v>481</v>
      </c>
    </row>
    <row r="313" spans="2:2">
      <c r="B313" t="s">
        <v>482</v>
      </c>
    </row>
    <row r="314" spans="2:2">
      <c r="B314" t="s">
        <v>483</v>
      </c>
    </row>
    <row r="315" spans="2:2">
      <c r="B315" t="s">
        <v>484</v>
      </c>
    </row>
    <row r="316" spans="2:2">
      <c r="B316" t="s">
        <v>485</v>
      </c>
    </row>
    <row r="317" spans="2:2">
      <c r="B317" t="s">
        <v>486</v>
      </c>
    </row>
    <row r="318" spans="2:2">
      <c r="B318" t="s">
        <v>487</v>
      </c>
    </row>
    <row r="319" spans="2:2">
      <c r="B319" t="s">
        <v>488</v>
      </c>
    </row>
    <row r="320" spans="2:2">
      <c r="B320" t="s">
        <v>489</v>
      </c>
    </row>
    <row r="321" spans="2:2">
      <c r="B321" t="s">
        <v>490</v>
      </c>
    </row>
    <row r="322" spans="2:2">
      <c r="B322" t="s">
        <v>491</v>
      </c>
    </row>
    <row r="323" spans="2:2">
      <c r="B323" t="s">
        <v>492</v>
      </c>
    </row>
    <row r="324" spans="2:2">
      <c r="B324" t="s">
        <v>493</v>
      </c>
    </row>
    <row r="325" spans="2:2">
      <c r="B325" t="s">
        <v>494</v>
      </c>
    </row>
    <row r="326" spans="2:2">
      <c r="B326" t="s">
        <v>495</v>
      </c>
    </row>
    <row r="327" spans="2:2">
      <c r="B327" t="s">
        <v>496</v>
      </c>
    </row>
    <row r="328" spans="2:2">
      <c r="B328" t="s">
        <v>497</v>
      </c>
    </row>
    <row r="329" spans="2:2">
      <c r="B329" t="s">
        <v>498</v>
      </c>
    </row>
    <row r="330" spans="2:2">
      <c r="B330" t="s">
        <v>499</v>
      </c>
    </row>
    <row r="331" spans="2:2">
      <c r="B331" t="s">
        <v>500</v>
      </c>
    </row>
    <row r="332" spans="2:2">
      <c r="B332" t="s">
        <v>501</v>
      </c>
    </row>
    <row r="333" spans="2:2">
      <c r="B333" t="s">
        <v>502</v>
      </c>
    </row>
    <row r="334" spans="2:2">
      <c r="B334" t="s">
        <v>503</v>
      </c>
    </row>
    <row r="335" spans="2:2">
      <c r="B335" t="s">
        <v>504</v>
      </c>
    </row>
    <row r="336" spans="2:2">
      <c r="B336" t="s">
        <v>505</v>
      </c>
    </row>
    <row r="337" spans="2:2">
      <c r="B337" t="s">
        <v>506</v>
      </c>
    </row>
    <row r="338" spans="2:2">
      <c r="B338" t="s">
        <v>507</v>
      </c>
    </row>
    <row r="339" spans="2:2">
      <c r="B339" t="s">
        <v>508</v>
      </c>
    </row>
    <row r="340" spans="2:2">
      <c r="B340" t="s">
        <v>509</v>
      </c>
    </row>
    <row r="341" spans="2:2">
      <c r="B341" t="s">
        <v>510</v>
      </c>
    </row>
    <row r="342" spans="2:2">
      <c r="B342" t="s">
        <v>511</v>
      </c>
    </row>
    <row r="343" spans="2:2">
      <c r="B343" t="s">
        <v>512</v>
      </c>
    </row>
    <row r="344" spans="2:2">
      <c r="B344" t="s">
        <v>513</v>
      </c>
    </row>
    <row r="345" spans="2:2">
      <c r="B345" t="s">
        <v>514</v>
      </c>
    </row>
    <row r="346" spans="2:2">
      <c r="B346" t="s">
        <v>515</v>
      </c>
    </row>
    <row r="347" spans="2:2">
      <c r="B347" t="s">
        <v>516</v>
      </c>
    </row>
    <row r="348" spans="2:2">
      <c r="B348" t="s">
        <v>517</v>
      </c>
    </row>
    <row r="349" spans="2:2">
      <c r="B349" t="s">
        <v>518</v>
      </c>
    </row>
    <row r="350" spans="2:2">
      <c r="B350" t="s">
        <v>519</v>
      </c>
    </row>
    <row r="351" spans="2:2">
      <c r="B351" t="s">
        <v>520</v>
      </c>
    </row>
    <row r="352" spans="2:2">
      <c r="B352" t="s">
        <v>521</v>
      </c>
    </row>
    <row r="353" spans="2:2">
      <c r="B353" t="s">
        <v>522</v>
      </c>
    </row>
    <row r="354" spans="2:2">
      <c r="B354" t="s">
        <v>523</v>
      </c>
    </row>
    <row r="355" spans="2:2">
      <c r="B355" t="s">
        <v>524</v>
      </c>
    </row>
    <row r="356" spans="2:2">
      <c r="B356" t="s">
        <v>525</v>
      </c>
    </row>
    <row r="357" spans="2:2">
      <c r="B357" t="s">
        <v>526</v>
      </c>
    </row>
    <row r="358" spans="2:2">
      <c r="B358" t="s">
        <v>527</v>
      </c>
    </row>
    <row r="359" spans="2:2">
      <c r="B359" t="s">
        <v>528</v>
      </c>
    </row>
    <row r="360" spans="2:2">
      <c r="B360" t="s">
        <v>529</v>
      </c>
    </row>
    <row r="361" spans="2:2">
      <c r="B361" t="s">
        <v>530</v>
      </c>
    </row>
    <row r="362" spans="2:2">
      <c r="B362" t="s">
        <v>531</v>
      </c>
    </row>
    <row r="363" spans="2:2">
      <c r="B363" t="s">
        <v>532</v>
      </c>
    </row>
    <row r="364" spans="2:2">
      <c r="B364" t="s">
        <v>533</v>
      </c>
    </row>
    <row r="365" spans="2:2">
      <c r="B365" t="s">
        <v>534</v>
      </c>
    </row>
    <row r="366" spans="2:2">
      <c r="B366" t="s">
        <v>535</v>
      </c>
    </row>
    <row r="367" spans="2:2">
      <c r="B367" t="s">
        <v>536</v>
      </c>
    </row>
    <row r="368" spans="2:2">
      <c r="B368" t="s">
        <v>537</v>
      </c>
    </row>
    <row r="369" spans="2:2">
      <c r="B369" t="s">
        <v>538</v>
      </c>
    </row>
    <row r="370" spans="2:2">
      <c r="B370" t="s">
        <v>539</v>
      </c>
    </row>
    <row r="371" spans="2:2">
      <c r="B371" t="s">
        <v>540</v>
      </c>
    </row>
    <row r="372" spans="2:2">
      <c r="B372" t="s">
        <v>541</v>
      </c>
    </row>
    <row r="373" spans="2:2">
      <c r="B373" t="s">
        <v>542</v>
      </c>
    </row>
    <row r="374" spans="2:2">
      <c r="B374" t="s">
        <v>543</v>
      </c>
    </row>
    <row r="375" spans="2:2">
      <c r="B375" t="s">
        <v>544</v>
      </c>
    </row>
    <row r="376" spans="2:2">
      <c r="B376" t="s">
        <v>545</v>
      </c>
    </row>
    <row r="377" spans="2:2">
      <c r="B377" t="s">
        <v>546</v>
      </c>
    </row>
    <row r="378" spans="2:2">
      <c r="B378" t="s">
        <v>547</v>
      </c>
    </row>
    <row r="379" spans="2:2">
      <c r="B379" t="s">
        <v>548</v>
      </c>
    </row>
    <row r="380" spans="2:2">
      <c r="B380" t="s">
        <v>549</v>
      </c>
    </row>
    <row r="381" spans="2:2">
      <c r="B381" t="s">
        <v>550</v>
      </c>
    </row>
    <row r="382" spans="2:2">
      <c r="B382" t="s">
        <v>551</v>
      </c>
    </row>
    <row r="383" spans="2:2">
      <c r="B383" t="s">
        <v>552</v>
      </c>
    </row>
    <row r="384" spans="2:2">
      <c r="B384" t="s">
        <v>553</v>
      </c>
    </row>
    <row r="385" spans="2:2">
      <c r="B385" t="s">
        <v>554</v>
      </c>
    </row>
    <row r="386" spans="2:2">
      <c r="B386" t="s">
        <v>555</v>
      </c>
    </row>
    <row r="387" spans="2:2">
      <c r="B387" t="s">
        <v>556</v>
      </c>
    </row>
    <row r="388" spans="2:2">
      <c r="B388" t="s">
        <v>557</v>
      </c>
    </row>
    <row r="389" spans="2:2">
      <c r="B389" t="s">
        <v>558</v>
      </c>
    </row>
    <row r="390" spans="2:2">
      <c r="B390" t="s">
        <v>559</v>
      </c>
    </row>
    <row r="391" spans="2:2">
      <c r="B391" t="s">
        <v>560</v>
      </c>
    </row>
    <row r="392" spans="2:2">
      <c r="B392" t="s">
        <v>561</v>
      </c>
    </row>
    <row r="393" spans="2:2">
      <c r="B393" t="s">
        <v>562</v>
      </c>
    </row>
    <row r="394" spans="2:2">
      <c r="B394" t="s">
        <v>563</v>
      </c>
    </row>
    <row r="395" spans="2:2">
      <c r="B395" t="s">
        <v>564</v>
      </c>
    </row>
    <row r="396" spans="2:2">
      <c r="B396" t="s">
        <v>565</v>
      </c>
    </row>
    <row r="397" spans="2:2">
      <c r="B397" t="s">
        <v>566</v>
      </c>
    </row>
    <row r="398" spans="2:2">
      <c r="B398" t="s">
        <v>567</v>
      </c>
    </row>
    <row r="399" spans="2:2">
      <c r="B399" t="s">
        <v>568</v>
      </c>
    </row>
    <row r="400" spans="2:2">
      <c r="B400" t="s">
        <v>569</v>
      </c>
    </row>
    <row r="401" spans="2:2">
      <c r="B401" t="s">
        <v>570</v>
      </c>
    </row>
    <row r="402" spans="2:2">
      <c r="B402" t="s">
        <v>571</v>
      </c>
    </row>
    <row r="403" spans="2:2">
      <c r="B403" t="s">
        <v>572</v>
      </c>
    </row>
    <row r="404" spans="2:2">
      <c r="B404" t="s">
        <v>573</v>
      </c>
    </row>
    <row r="405" spans="2:2">
      <c r="B405" t="s">
        <v>574</v>
      </c>
    </row>
    <row r="406" spans="2:2">
      <c r="B406" t="s">
        <v>575</v>
      </c>
    </row>
    <row r="407" spans="2:2">
      <c r="B407" t="s">
        <v>576</v>
      </c>
    </row>
    <row r="408" spans="2:2">
      <c r="B408" t="s">
        <v>577</v>
      </c>
    </row>
    <row r="409" spans="2:2">
      <c r="B409" t="s">
        <v>578</v>
      </c>
    </row>
    <row r="410" spans="2:2">
      <c r="B410" t="s">
        <v>579</v>
      </c>
    </row>
    <row r="411" spans="2:2">
      <c r="B411" t="s">
        <v>580</v>
      </c>
    </row>
    <row r="412" spans="2:2">
      <c r="B412" t="s">
        <v>581</v>
      </c>
    </row>
    <row r="413" spans="2:2">
      <c r="B413" t="s">
        <v>582</v>
      </c>
    </row>
    <row r="414" spans="2:2">
      <c r="B414" t="s">
        <v>583</v>
      </c>
    </row>
    <row r="415" spans="2:2">
      <c r="B415" t="s">
        <v>584</v>
      </c>
    </row>
    <row r="416" spans="2:2">
      <c r="B416" t="s">
        <v>585</v>
      </c>
    </row>
    <row r="417" spans="2:2">
      <c r="B417" t="s">
        <v>586</v>
      </c>
    </row>
    <row r="418" spans="2:2">
      <c r="B418" t="s">
        <v>587</v>
      </c>
    </row>
    <row r="419" spans="2:2">
      <c r="B419" t="s">
        <v>588</v>
      </c>
    </row>
    <row r="420" spans="2:2">
      <c r="B420" t="s">
        <v>589</v>
      </c>
    </row>
    <row r="421" spans="2:2">
      <c r="B421" t="s">
        <v>590</v>
      </c>
    </row>
    <row r="422" spans="2:2">
      <c r="B422" t="s">
        <v>591</v>
      </c>
    </row>
    <row r="423" spans="2:2">
      <c r="B423" t="s">
        <v>592</v>
      </c>
    </row>
    <row r="424" spans="2:2">
      <c r="B424" t="s">
        <v>593</v>
      </c>
    </row>
    <row r="425" spans="2:2">
      <c r="B425" t="s">
        <v>594</v>
      </c>
    </row>
    <row r="426" spans="2:2">
      <c r="B426" t="s">
        <v>595</v>
      </c>
    </row>
    <row r="427" spans="2:2">
      <c r="B427" t="s">
        <v>596</v>
      </c>
    </row>
    <row r="428" spans="2:2">
      <c r="B428" t="s">
        <v>597</v>
      </c>
    </row>
    <row r="429" spans="2:2">
      <c r="B429" t="s">
        <v>598</v>
      </c>
    </row>
    <row r="430" spans="2:2">
      <c r="B430" t="s">
        <v>599</v>
      </c>
    </row>
    <row r="431" spans="2:2">
      <c r="B431" t="s">
        <v>600</v>
      </c>
    </row>
    <row r="432" spans="2:2">
      <c r="B432" t="s">
        <v>601</v>
      </c>
    </row>
    <row r="433" spans="2:2">
      <c r="B433" t="s">
        <v>602</v>
      </c>
    </row>
    <row r="434" spans="2:2">
      <c r="B434" t="s">
        <v>603</v>
      </c>
    </row>
    <row r="435" spans="2:2">
      <c r="B435" t="s">
        <v>604</v>
      </c>
    </row>
    <row r="436" spans="2:2">
      <c r="B436" t="s">
        <v>605</v>
      </c>
    </row>
    <row r="437" spans="2:2">
      <c r="B437" t="s">
        <v>606</v>
      </c>
    </row>
    <row r="438" spans="2:2">
      <c r="B438" t="s">
        <v>607</v>
      </c>
    </row>
    <row r="439" spans="2:2">
      <c r="B439" t="s">
        <v>608</v>
      </c>
    </row>
    <row r="440" spans="2:2">
      <c r="B440" t="s">
        <v>609</v>
      </c>
    </row>
    <row r="441" spans="2:2">
      <c r="B441" t="s">
        <v>610</v>
      </c>
    </row>
    <row r="442" spans="2:2">
      <c r="B442" t="s">
        <v>611</v>
      </c>
    </row>
    <row r="443" spans="2:2">
      <c r="B443" t="s">
        <v>612</v>
      </c>
    </row>
    <row r="444" spans="2:2">
      <c r="B444" t="s">
        <v>613</v>
      </c>
    </row>
    <row r="445" spans="2:2">
      <c r="B445" t="s">
        <v>614</v>
      </c>
    </row>
    <row r="446" spans="2:2">
      <c r="B446" t="s">
        <v>615</v>
      </c>
    </row>
    <row r="447" spans="2:2">
      <c r="B447" t="s">
        <v>616</v>
      </c>
    </row>
    <row r="448" spans="2:2">
      <c r="B448" t="s">
        <v>617</v>
      </c>
    </row>
    <row r="449" spans="2:2">
      <c r="B449" t="s">
        <v>618</v>
      </c>
    </row>
    <row r="450" spans="2:2">
      <c r="B450" t="s">
        <v>619</v>
      </c>
    </row>
    <row r="451" spans="2:2">
      <c r="B451" t="s">
        <v>620</v>
      </c>
    </row>
    <row r="452" spans="2:2">
      <c r="B452" t="s">
        <v>621</v>
      </c>
    </row>
    <row r="453" spans="2:2">
      <c r="B453" t="s">
        <v>622</v>
      </c>
    </row>
    <row r="454" spans="2:2">
      <c r="B454" t="s">
        <v>623</v>
      </c>
    </row>
    <row r="455" spans="2:2">
      <c r="B455" t="s">
        <v>624</v>
      </c>
    </row>
    <row r="456" spans="2:2">
      <c r="B456" t="s">
        <v>625</v>
      </c>
    </row>
    <row r="457" spans="2:2">
      <c r="B457" t="s">
        <v>626</v>
      </c>
    </row>
    <row r="458" spans="2:2">
      <c r="B458" t="s">
        <v>627</v>
      </c>
    </row>
    <row r="459" spans="2:2">
      <c r="B459" t="s">
        <v>628</v>
      </c>
    </row>
    <row r="460" spans="2:2">
      <c r="B460" t="s">
        <v>629</v>
      </c>
    </row>
    <row r="461" spans="2:2">
      <c r="B461" t="s">
        <v>630</v>
      </c>
    </row>
    <row r="462" spans="2:2">
      <c r="B462" t="s">
        <v>631</v>
      </c>
    </row>
    <row r="463" spans="2:2">
      <c r="B463" t="s">
        <v>632</v>
      </c>
    </row>
    <row r="464" spans="2:2">
      <c r="B464" t="s">
        <v>633</v>
      </c>
    </row>
    <row r="465" spans="2:2">
      <c r="B465" t="s">
        <v>634</v>
      </c>
    </row>
    <row r="466" spans="2:2">
      <c r="B466" t="s">
        <v>635</v>
      </c>
    </row>
    <row r="467" spans="2:2">
      <c r="B467" t="s">
        <v>636</v>
      </c>
    </row>
    <row r="468" spans="2:2">
      <c r="B468" t="s">
        <v>637</v>
      </c>
    </row>
    <row r="469" spans="2:2">
      <c r="B469" t="s">
        <v>638</v>
      </c>
    </row>
    <row r="470" spans="2:2">
      <c r="B470" t="s">
        <v>639</v>
      </c>
    </row>
    <row r="471" spans="2:2">
      <c r="B471" t="s">
        <v>640</v>
      </c>
    </row>
    <row r="472" spans="2:2">
      <c r="B472" t="s">
        <v>641</v>
      </c>
    </row>
    <row r="473" spans="2:2">
      <c r="B473" t="s">
        <v>642</v>
      </c>
    </row>
    <row r="474" spans="2:2">
      <c r="B474" t="s">
        <v>643</v>
      </c>
    </row>
    <row r="475" spans="2:2">
      <c r="B475" t="s">
        <v>644</v>
      </c>
    </row>
    <row r="476" spans="2:2">
      <c r="B476" t="s">
        <v>645</v>
      </c>
    </row>
    <row r="477" spans="2:2">
      <c r="B477" t="s">
        <v>646</v>
      </c>
    </row>
    <row r="478" spans="2:2">
      <c r="B478" t="s">
        <v>647</v>
      </c>
    </row>
    <row r="479" spans="2:2">
      <c r="B479" t="s">
        <v>648</v>
      </c>
    </row>
    <row r="480" spans="2:2">
      <c r="B480" t="s">
        <v>649</v>
      </c>
    </row>
    <row r="481" spans="2:2">
      <c r="B481" t="s">
        <v>650</v>
      </c>
    </row>
    <row r="482" spans="2:2">
      <c r="B482" t="s">
        <v>651</v>
      </c>
    </row>
    <row r="483" spans="2:2">
      <c r="B483" t="s">
        <v>652</v>
      </c>
    </row>
    <row r="484" spans="2:2">
      <c r="B484" t="s">
        <v>653</v>
      </c>
    </row>
    <row r="485" spans="2:2">
      <c r="B485" t="s">
        <v>654</v>
      </c>
    </row>
    <row r="486" spans="2:2">
      <c r="B486" t="s">
        <v>655</v>
      </c>
    </row>
    <row r="487" spans="2:2">
      <c r="B487" t="s">
        <v>656</v>
      </c>
    </row>
    <row r="488" spans="2:2">
      <c r="B488" t="s">
        <v>657</v>
      </c>
    </row>
    <row r="489" spans="2:2">
      <c r="B489" t="s">
        <v>658</v>
      </c>
    </row>
    <row r="490" spans="2:2">
      <c r="B490" t="s">
        <v>659</v>
      </c>
    </row>
    <row r="491" spans="2:2">
      <c r="B491" t="s">
        <v>660</v>
      </c>
    </row>
    <row r="492" spans="2:2">
      <c r="B492" t="s">
        <v>661</v>
      </c>
    </row>
    <row r="493" spans="2:2">
      <c r="B493" t="s">
        <v>662</v>
      </c>
    </row>
    <row r="494" spans="2:2">
      <c r="B494" t="s">
        <v>663</v>
      </c>
    </row>
    <row r="495" spans="2:2">
      <c r="B495" t="s">
        <v>664</v>
      </c>
    </row>
    <row r="496" spans="2:2">
      <c r="B496" t="s">
        <v>665</v>
      </c>
    </row>
    <row r="497" spans="2:2">
      <c r="B497" t="s">
        <v>666</v>
      </c>
    </row>
    <row r="498" spans="2:2">
      <c r="B498" t="s">
        <v>667</v>
      </c>
    </row>
    <row r="499" spans="2:2">
      <c r="B499" t="s">
        <v>668</v>
      </c>
    </row>
    <row r="500" spans="2:2">
      <c r="B500" t="s">
        <v>142</v>
      </c>
    </row>
    <row r="501" spans="2:2">
      <c r="B501" t="s">
        <v>669</v>
      </c>
    </row>
    <row r="502" spans="2:2">
      <c r="B502" t="s">
        <v>670</v>
      </c>
    </row>
    <row r="503" spans="2:2">
      <c r="B503" t="s">
        <v>671</v>
      </c>
    </row>
    <row r="504" spans="2:2">
      <c r="B504" t="s">
        <v>672</v>
      </c>
    </row>
    <row r="505" spans="2:2">
      <c r="B505" t="s">
        <v>673</v>
      </c>
    </row>
    <row r="506" spans="2:2">
      <c r="B506" t="s">
        <v>674</v>
      </c>
    </row>
    <row r="507" spans="2:2">
      <c r="B507" t="s">
        <v>675</v>
      </c>
    </row>
    <row r="508" spans="2:2">
      <c r="B508" t="s">
        <v>676</v>
      </c>
    </row>
    <row r="509" spans="2:2">
      <c r="B509" t="s">
        <v>677</v>
      </c>
    </row>
    <row r="510" spans="2:2">
      <c r="B510" t="s">
        <v>678</v>
      </c>
    </row>
    <row r="511" spans="2:2">
      <c r="B511" t="s">
        <v>679</v>
      </c>
    </row>
    <row r="512" spans="2:2">
      <c r="B512" t="s">
        <v>680</v>
      </c>
    </row>
    <row r="513" spans="2:2">
      <c r="B513" t="s">
        <v>681</v>
      </c>
    </row>
    <row r="514" spans="2:2">
      <c r="B514" t="s">
        <v>682</v>
      </c>
    </row>
    <row r="515" spans="2:2">
      <c r="B515" t="s">
        <v>683</v>
      </c>
    </row>
    <row r="516" spans="2:2">
      <c r="B516" t="s">
        <v>684</v>
      </c>
    </row>
    <row r="517" spans="2:2">
      <c r="B517" t="s">
        <v>685</v>
      </c>
    </row>
    <row r="518" spans="2:2">
      <c r="B518" t="s">
        <v>686</v>
      </c>
    </row>
    <row r="519" spans="2:2">
      <c r="B519" t="s">
        <v>687</v>
      </c>
    </row>
    <row r="520" spans="2:2">
      <c r="B520" t="s">
        <v>688</v>
      </c>
    </row>
    <row r="521" spans="2:2">
      <c r="B521" t="s">
        <v>689</v>
      </c>
    </row>
    <row r="522" spans="2:2">
      <c r="B522" t="s">
        <v>690</v>
      </c>
    </row>
    <row r="523" spans="2:2">
      <c r="B523" t="s">
        <v>691</v>
      </c>
    </row>
    <row r="524" spans="2:2">
      <c r="B524" t="s">
        <v>692</v>
      </c>
    </row>
    <row r="525" spans="2:2">
      <c r="B525" t="s">
        <v>693</v>
      </c>
    </row>
    <row r="526" spans="2:2">
      <c r="B526" t="s">
        <v>694</v>
      </c>
    </row>
    <row r="527" spans="2:2">
      <c r="B527" t="s">
        <v>695</v>
      </c>
    </row>
    <row r="528" spans="2:2">
      <c r="B528" t="s">
        <v>696</v>
      </c>
    </row>
    <row r="529" spans="2:2">
      <c r="B529" t="s">
        <v>697</v>
      </c>
    </row>
    <row r="530" spans="2:2">
      <c r="B530" t="s">
        <v>698</v>
      </c>
    </row>
    <row r="531" spans="2:2">
      <c r="B531" t="s">
        <v>699</v>
      </c>
    </row>
    <row r="532" spans="2:2">
      <c r="B532" t="s">
        <v>700</v>
      </c>
    </row>
    <row r="533" spans="2:2">
      <c r="B533" t="s">
        <v>701</v>
      </c>
    </row>
    <row r="534" spans="2:2">
      <c r="B534" t="s">
        <v>702</v>
      </c>
    </row>
    <row r="535" spans="2:2">
      <c r="B535" t="s">
        <v>703</v>
      </c>
    </row>
    <row r="536" spans="2:2">
      <c r="B536" t="s">
        <v>704</v>
      </c>
    </row>
    <row r="537" spans="2:2">
      <c r="B537" t="s">
        <v>705</v>
      </c>
    </row>
    <row r="538" spans="2:2">
      <c r="B538" t="s">
        <v>706</v>
      </c>
    </row>
    <row r="539" spans="2:2">
      <c r="B539" t="s">
        <v>707</v>
      </c>
    </row>
    <row r="540" spans="2:2">
      <c r="B540" t="s">
        <v>708</v>
      </c>
    </row>
    <row r="541" spans="2:2">
      <c r="B541" t="s">
        <v>709</v>
      </c>
    </row>
    <row r="542" spans="2:2">
      <c r="B542" t="s">
        <v>710</v>
      </c>
    </row>
    <row r="543" spans="2:2">
      <c r="B543" t="s">
        <v>711</v>
      </c>
    </row>
    <row r="544" spans="2:2">
      <c r="B544" t="s">
        <v>712</v>
      </c>
    </row>
    <row r="545" spans="2:2">
      <c r="B545" t="s">
        <v>713</v>
      </c>
    </row>
    <row r="546" spans="2:2">
      <c r="B546" t="s">
        <v>714</v>
      </c>
    </row>
    <row r="547" spans="2:2">
      <c r="B547" t="s">
        <v>715</v>
      </c>
    </row>
    <row r="548" spans="2:2">
      <c r="B548" t="s">
        <v>716</v>
      </c>
    </row>
    <row r="549" spans="2:2">
      <c r="B549" t="s">
        <v>717</v>
      </c>
    </row>
    <row r="550" spans="2:2">
      <c r="B550" t="s">
        <v>718</v>
      </c>
    </row>
    <row r="551" spans="2:2">
      <c r="B551" t="s">
        <v>719</v>
      </c>
    </row>
    <row r="552" spans="2:2">
      <c r="B552" t="s">
        <v>720</v>
      </c>
    </row>
    <row r="553" spans="2:2">
      <c r="B553" t="s">
        <v>721</v>
      </c>
    </row>
    <row r="554" spans="2:2">
      <c r="B554" t="s">
        <v>722</v>
      </c>
    </row>
    <row r="555" spans="2:2">
      <c r="B555" t="s">
        <v>723</v>
      </c>
    </row>
    <row r="556" spans="2:2">
      <c r="B556" t="s">
        <v>724</v>
      </c>
    </row>
    <row r="557" spans="2:2">
      <c r="B557" t="s">
        <v>725</v>
      </c>
    </row>
    <row r="558" spans="2:2">
      <c r="B558" t="s">
        <v>181</v>
      </c>
    </row>
    <row r="559" spans="2:2">
      <c r="B559" t="s">
        <v>726</v>
      </c>
    </row>
    <row r="560" spans="2:2">
      <c r="B560" t="s">
        <v>727</v>
      </c>
    </row>
    <row r="561" spans="2:2">
      <c r="B561" t="s">
        <v>728</v>
      </c>
    </row>
    <row r="562" spans="2:2">
      <c r="B562" t="s">
        <v>729</v>
      </c>
    </row>
    <row r="563" spans="2:2">
      <c r="B563" t="s">
        <v>730</v>
      </c>
    </row>
    <row r="564" spans="2:2">
      <c r="B564" t="s">
        <v>731</v>
      </c>
    </row>
    <row r="565" spans="2:2">
      <c r="B565" t="s">
        <v>732</v>
      </c>
    </row>
    <row r="566" spans="2:2">
      <c r="B566" t="s">
        <v>733</v>
      </c>
    </row>
    <row r="567" spans="2:2">
      <c r="B567" t="s">
        <v>734</v>
      </c>
    </row>
    <row r="568" spans="2:2">
      <c r="B568" t="s">
        <v>735</v>
      </c>
    </row>
    <row r="569" spans="2:2">
      <c r="B569" t="s">
        <v>736</v>
      </c>
    </row>
    <row r="570" spans="2:2">
      <c r="B570" t="s">
        <v>737</v>
      </c>
    </row>
    <row r="571" spans="2:2">
      <c r="B571" t="s">
        <v>738</v>
      </c>
    </row>
    <row r="572" spans="2:2">
      <c r="B572" t="s">
        <v>739</v>
      </c>
    </row>
    <row r="573" spans="2:2">
      <c r="B573" t="s">
        <v>740</v>
      </c>
    </row>
    <row r="574" spans="2:2">
      <c r="B574" t="s">
        <v>741</v>
      </c>
    </row>
    <row r="575" spans="2:2">
      <c r="B575" t="s">
        <v>742</v>
      </c>
    </row>
    <row r="576" spans="2:2">
      <c r="B576" t="s">
        <v>743</v>
      </c>
    </row>
    <row r="577" spans="2:2">
      <c r="B577" t="s">
        <v>744</v>
      </c>
    </row>
    <row r="578" spans="2:2">
      <c r="B578" t="s">
        <v>745</v>
      </c>
    </row>
    <row r="579" spans="2:2">
      <c r="B579" t="s">
        <v>746</v>
      </c>
    </row>
    <row r="580" spans="2:2">
      <c r="B580" t="s">
        <v>747</v>
      </c>
    </row>
    <row r="581" spans="2:2">
      <c r="B581" t="s">
        <v>748</v>
      </c>
    </row>
    <row r="582" spans="2:2">
      <c r="B582" t="s">
        <v>749</v>
      </c>
    </row>
    <row r="583" spans="2:2">
      <c r="B583" t="s">
        <v>750</v>
      </c>
    </row>
    <row r="584" spans="2:2">
      <c r="B584" t="s">
        <v>751</v>
      </c>
    </row>
    <row r="585" spans="2:2">
      <c r="B585" t="s">
        <v>752</v>
      </c>
    </row>
    <row r="586" spans="2:2">
      <c r="B586" t="s">
        <v>753</v>
      </c>
    </row>
    <row r="587" spans="2:2">
      <c r="B587" t="s">
        <v>754</v>
      </c>
    </row>
    <row r="588" spans="2:2">
      <c r="B588" t="s">
        <v>755</v>
      </c>
    </row>
    <row r="589" spans="2:2">
      <c r="B589" t="s">
        <v>756</v>
      </c>
    </row>
    <row r="590" spans="2:2">
      <c r="B590" t="s">
        <v>757</v>
      </c>
    </row>
    <row r="591" spans="2:2">
      <c r="B591" t="s">
        <v>758</v>
      </c>
    </row>
    <row r="592" spans="2:2">
      <c r="B592" t="s">
        <v>759</v>
      </c>
    </row>
    <row r="593" spans="2:2">
      <c r="B593" t="s">
        <v>760</v>
      </c>
    </row>
    <row r="594" spans="2:2">
      <c r="B594" t="s">
        <v>761</v>
      </c>
    </row>
    <row r="595" spans="2:2">
      <c r="B595" t="s">
        <v>762</v>
      </c>
    </row>
    <row r="596" spans="2:2">
      <c r="B596" t="s">
        <v>763</v>
      </c>
    </row>
    <row r="597" spans="2:2">
      <c r="B597" t="s">
        <v>764</v>
      </c>
    </row>
    <row r="598" spans="2:2">
      <c r="B598" t="s">
        <v>765</v>
      </c>
    </row>
    <row r="599" spans="2:2">
      <c r="B599" t="s">
        <v>766</v>
      </c>
    </row>
    <row r="600" spans="2:2">
      <c r="B600" t="s">
        <v>767</v>
      </c>
    </row>
    <row r="601" spans="2:2">
      <c r="B601" t="s">
        <v>768</v>
      </c>
    </row>
    <row r="602" spans="2:2">
      <c r="B602" t="s">
        <v>769</v>
      </c>
    </row>
    <row r="603" spans="2:2">
      <c r="B603" t="s">
        <v>770</v>
      </c>
    </row>
    <row r="604" spans="2:2">
      <c r="B604" t="s">
        <v>771</v>
      </c>
    </row>
    <row r="605" spans="2:2">
      <c r="B605" t="s">
        <v>772</v>
      </c>
    </row>
    <row r="606" spans="2:2">
      <c r="B606" t="s">
        <v>773</v>
      </c>
    </row>
    <row r="607" spans="2:2">
      <c r="B607" t="s">
        <v>774</v>
      </c>
    </row>
    <row r="608" spans="2:2">
      <c r="B608" t="s">
        <v>775</v>
      </c>
    </row>
    <row r="609" spans="2:2">
      <c r="B609" t="s">
        <v>776</v>
      </c>
    </row>
    <row r="610" spans="2:2">
      <c r="B610" t="s">
        <v>777</v>
      </c>
    </row>
    <row r="611" spans="2:2">
      <c r="B611" t="s">
        <v>778</v>
      </c>
    </row>
    <row r="612" spans="2:2">
      <c r="B612" t="s">
        <v>779</v>
      </c>
    </row>
    <row r="613" spans="2:2">
      <c r="B613" t="s">
        <v>780</v>
      </c>
    </row>
    <row r="614" spans="2:2">
      <c r="B614" t="s">
        <v>781</v>
      </c>
    </row>
    <row r="615" spans="2:2">
      <c r="B615" t="s">
        <v>782</v>
      </c>
    </row>
    <row r="616" spans="2:2">
      <c r="B616" t="s">
        <v>783</v>
      </c>
    </row>
    <row r="617" spans="2:2">
      <c r="B617" t="s">
        <v>784</v>
      </c>
    </row>
    <row r="618" spans="2:2">
      <c r="B618" t="s">
        <v>785</v>
      </c>
    </row>
    <row r="619" spans="2:2">
      <c r="B619" t="s">
        <v>786</v>
      </c>
    </row>
    <row r="620" spans="2:2">
      <c r="B620" t="s">
        <v>787</v>
      </c>
    </row>
    <row r="621" spans="2:2">
      <c r="B621" t="s">
        <v>788</v>
      </c>
    </row>
    <row r="622" spans="2:2">
      <c r="B622" t="s">
        <v>789</v>
      </c>
    </row>
    <row r="623" spans="2:2">
      <c r="B623" t="s">
        <v>790</v>
      </c>
    </row>
    <row r="624" spans="2:2">
      <c r="B624" t="s">
        <v>791</v>
      </c>
    </row>
    <row r="625" spans="2:2">
      <c r="B625" t="s">
        <v>792</v>
      </c>
    </row>
    <row r="626" spans="2:2">
      <c r="B626" t="s">
        <v>793</v>
      </c>
    </row>
    <row r="627" spans="2:2">
      <c r="B627" t="s">
        <v>794</v>
      </c>
    </row>
    <row r="628" spans="2:2">
      <c r="B628" t="s">
        <v>795</v>
      </c>
    </row>
    <row r="629" spans="2:2">
      <c r="B629" t="s">
        <v>796</v>
      </c>
    </row>
    <row r="630" spans="2:2">
      <c r="B630" t="s">
        <v>797</v>
      </c>
    </row>
    <row r="631" spans="2:2">
      <c r="B631" t="s">
        <v>798</v>
      </c>
    </row>
    <row r="632" spans="2:2">
      <c r="B632" t="s">
        <v>799</v>
      </c>
    </row>
    <row r="633" spans="2:2">
      <c r="B633" t="s">
        <v>800</v>
      </c>
    </row>
    <row r="634" spans="2:2">
      <c r="B634" t="s">
        <v>801</v>
      </c>
    </row>
    <row r="635" spans="2:2">
      <c r="B635" t="s">
        <v>802</v>
      </c>
    </row>
    <row r="636" spans="2:2">
      <c r="B636" t="s">
        <v>803</v>
      </c>
    </row>
    <row r="637" spans="2:2">
      <c r="B637" t="s">
        <v>804</v>
      </c>
    </row>
    <row r="638" spans="2:2">
      <c r="B638" t="s">
        <v>805</v>
      </c>
    </row>
    <row r="639" spans="2:2">
      <c r="B639" t="s">
        <v>806</v>
      </c>
    </row>
    <row r="640" spans="2:2">
      <c r="B640" t="s">
        <v>807</v>
      </c>
    </row>
    <row r="641" spans="2:2">
      <c r="B641" t="s">
        <v>808</v>
      </c>
    </row>
    <row r="642" spans="2:2">
      <c r="B642" t="s">
        <v>809</v>
      </c>
    </row>
    <row r="643" spans="2:2">
      <c r="B643" t="s">
        <v>810</v>
      </c>
    </row>
    <row r="644" spans="2:2">
      <c r="B644" t="s">
        <v>811</v>
      </c>
    </row>
    <row r="645" spans="2:2">
      <c r="B645" t="s">
        <v>812</v>
      </c>
    </row>
    <row r="646" spans="2:2">
      <c r="B646" t="s">
        <v>813</v>
      </c>
    </row>
    <row r="647" spans="2:2">
      <c r="B647" t="s">
        <v>814</v>
      </c>
    </row>
    <row r="648" spans="2:2">
      <c r="B648" t="s">
        <v>815</v>
      </c>
    </row>
    <row r="649" spans="2:2">
      <c r="B649" t="s">
        <v>816</v>
      </c>
    </row>
    <row r="650" spans="2:2">
      <c r="B650" t="s">
        <v>817</v>
      </c>
    </row>
    <row r="651" spans="2:2">
      <c r="B651" t="s">
        <v>818</v>
      </c>
    </row>
    <row r="652" spans="2:2">
      <c r="B652" t="s">
        <v>819</v>
      </c>
    </row>
    <row r="653" spans="2:2">
      <c r="B653" t="s">
        <v>820</v>
      </c>
    </row>
    <row r="654" spans="2:2">
      <c r="B654" t="s">
        <v>821</v>
      </c>
    </row>
    <row r="655" spans="2:2">
      <c r="B655" t="s">
        <v>822</v>
      </c>
    </row>
    <row r="656" spans="2:2">
      <c r="B656" t="s">
        <v>823</v>
      </c>
    </row>
    <row r="657" spans="2:2">
      <c r="B657" t="s">
        <v>824</v>
      </c>
    </row>
    <row r="658" spans="2:2">
      <c r="B658" t="s">
        <v>825</v>
      </c>
    </row>
    <row r="659" spans="2:2">
      <c r="B659" t="s">
        <v>826</v>
      </c>
    </row>
    <row r="660" spans="2:2">
      <c r="B660" t="s">
        <v>827</v>
      </c>
    </row>
    <row r="661" spans="2:2">
      <c r="B661" t="s">
        <v>828</v>
      </c>
    </row>
    <row r="662" spans="2:2">
      <c r="B662" t="s">
        <v>829</v>
      </c>
    </row>
    <row r="663" spans="2:2">
      <c r="B663" t="s">
        <v>830</v>
      </c>
    </row>
    <row r="664" spans="2:2">
      <c r="B664" t="s">
        <v>831</v>
      </c>
    </row>
    <row r="665" spans="2:2">
      <c r="B665" t="s">
        <v>832</v>
      </c>
    </row>
    <row r="666" spans="2:2">
      <c r="B666" t="s">
        <v>833</v>
      </c>
    </row>
    <row r="667" spans="2:2">
      <c r="B667" t="s">
        <v>834</v>
      </c>
    </row>
    <row r="668" spans="2:2">
      <c r="B668" t="s">
        <v>835</v>
      </c>
    </row>
    <row r="669" spans="2:2">
      <c r="B669" t="s">
        <v>836</v>
      </c>
    </row>
    <row r="670" spans="2:2">
      <c r="B670" t="s">
        <v>837</v>
      </c>
    </row>
    <row r="671" spans="2:2">
      <c r="B671" t="s">
        <v>838</v>
      </c>
    </row>
    <row r="672" spans="2:2">
      <c r="B672" t="s">
        <v>839</v>
      </c>
    </row>
    <row r="673" spans="2:2">
      <c r="B673" t="s">
        <v>840</v>
      </c>
    </row>
    <row r="674" spans="2:2">
      <c r="B674" t="s">
        <v>841</v>
      </c>
    </row>
    <row r="675" spans="2:2">
      <c r="B675" t="s">
        <v>842</v>
      </c>
    </row>
    <row r="676" spans="2:2">
      <c r="B676" t="s">
        <v>843</v>
      </c>
    </row>
    <row r="677" spans="2:2">
      <c r="B677" t="s">
        <v>844</v>
      </c>
    </row>
    <row r="678" spans="2:2">
      <c r="B678" t="s">
        <v>845</v>
      </c>
    </row>
    <row r="679" spans="2:2">
      <c r="B679" t="s">
        <v>846</v>
      </c>
    </row>
    <row r="680" spans="2:2">
      <c r="B680" t="s">
        <v>847</v>
      </c>
    </row>
    <row r="681" spans="2:2">
      <c r="B681" t="s">
        <v>848</v>
      </c>
    </row>
    <row r="682" spans="2:2">
      <c r="B682" t="s">
        <v>849</v>
      </c>
    </row>
    <row r="683" spans="2:2">
      <c r="B683" t="s">
        <v>850</v>
      </c>
    </row>
    <row r="684" spans="2:2">
      <c r="B684" t="s">
        <v>851</v>
      </c>
    </row>
    <row r="685" spans="2:2">
      <c r="B685" t="s">
        <v>852</v>
      </c>
    </row>
    <row r="686" spans="2:2">
      <c r="B686" t="s">
        <v>853</v>
      </c>
    </row>
    <row r="687" spans="2:2">
      <c r="B687" t="s">
        <v>854</v>
      </c>
    </row>
    <row r="688" spans="2:2">
      <c r="B688" t="s">
        <v>855</v>
      </c>
    </row>
    <row r="689" spans="2:2">
      <c r="B689" t="s">
        <v>856</v>
      </c>
    </row>
    <row r="690" spans="2:2">
      <c r="B690" t="s">
        <v>857</v>
      </c>
    </row>
    <row r="691" spans="2:2">
      <c r="B691" t="s">
        <v>858</v>
      </c>
    </row>
    <row r="692" spans="2:2">
      <c r="B692" t="s">
        <v>859</v>
      </c>
    </row>
    <row r="693" spans="2:2">
      <c r="B693" t="s">
        <v>860</v>
      </c>
    </row>
    <row r="694" spans="2:2">
      <c r="B694" t="s">
        <v>861</v>
      </c>
    </row>
    <row r="695" spans="2:2">
      <c r="B695" t="s">
        <v>862</v>
      </c>
    </row>
    <row r="696" spans="2:2">
      <c r="B696" t="s">
        <v>863</v>
      </c>
    </row>
    <row r="697" spans="2:2">
      <c r="B697" t="s">
        <v>864</v>
      </c>
    </row>
    <row r="698" spans="2:2">
      <c r="B698" t="s">
        <v>865</v>
      </c>
    </row>
    <row r="699" spans="2:2">
      <c r="B699" t="s">
        <v>866</v>
      </c>
    </row>
    <row r="700" spans="2:2">
      <c r="B700" t="s">
        <v>867</v>
      </c>
    </row>
    <row r="701" spans="2:2">
      <c r="B701" t="s">
        <v>868</v>
      </c>
    </row>
    <row r="702" spans="2:2">
      <c r="B702" t="s">
        <v>869</v>
      </c>
    </row>
    <row r="703" spans="2:2">
      <c r="B703" t="s">
        <v>870</v>
      </c>
    </row>
    <row r="704" spans="2:2">
      <c r="B704" t="s">
        <v>871</v>
      </c>
    </row>
    <row r="705" spans="2:2">
      <c r="B705" t="s">
        <v>872</v>
      </c>
    </row>
    <row r="706" spans="2:2">
      <c r="B706" t="s">
        <v>873</v>
      </c>
    </row>
    <row r="707" spans="2:2">
      <c r="B707" t="s">
        <v>874</v>
      </c>
    </row>
    <row r="708" spans="2:2">
      <c r="B708" t="s">
        <v>875</v>
      </c>
    </row>
    <row r="709" spans="2:2">
      <c r="B709" t="s">
        <v>876</v>
      </c>
    </row>
    <row r="710" spans="2:2">
      <c r="B710" t="s">
        <v>877</v>
      </c>
    </row>
    <row r="711" spans="2:2">
      <c r="B711" t="s">
        <v>878</v>
      </c>
    </row>
    <row r="712" spans="2:2">
      <c r="B712" t="s">
        <v>879</v>
      </c>
    </row>
    <row r="713" spans="2:2">
      <c r="B713" t="s">
        <v>880</v>
      </c>
    </row>
    <row r="714" spans="2:2">
      <c r="B714" t="s">
        <v>881</v>
      </c>
    </row>
    <row r="715" spans="2:2">
      <c r="B715" t="s">
        <v>882</v>
      </c>
    </row>
    <row r="716" spans="2:2">
      <c r="B716" t="s">
        <v>883</v>
      </c>
    </row>
    <row r="717" spans="2:2">
      <c r="B717" t="s">
        <v>884</v>
      </c>
    </row>
    <row r="718" spans="2:2">
      <c r="B718" t="s">
        <v>885</v>
      </c>
    </row>
    <row r="719" spans="2:2">
      <c r="B719" t="s">
        <v>886</v>
      </c>
    </row>
    <row r="720" spans="2:2">
      <c r="B720" t="s">
        <v>887</v>
      </c>
    </row>
    <row r="721" spans="2:2">
      <c r="B721" t="s">
        <v>888</v>
      </c>
    </row>
    <row r="722" spans="2:2">
      <c r="B722" t="s">
        <v>889</v>
      </c>
    </row>
    <row r="723" spans="2:2">
      <c r="B723" t="s">
        <v>890</v>
      </c>
    </row>
    <row r="724" spans="2:2">
      <c r="B724" t="s">
        <v>891</v>
      </c>
    </row>
    <row r="725" spans="2:2">
      <c r="B725" t="s">
        <v>892</v>
      </c>
    </row>
    <row r="726" spans="2:2">
      <c r="B726" t="s">
        <v>893</v>
      </c>
    </row>
    <row r="727" spans="2:2">
      <c r="B727" t="s">
        <v>894</v>
      </c>
    </row>
    <row r="728" spans="2:2">
      <c r="B728" t="s">
        <v>895</v>
      </c>
    </row>
    <row r="729" spans="2:2">
      <c r="B729" t="s">
        <v>896</v>
      </c>
    </row>
    <row r="730" spans="2:2">
      <c r="B730" t="s">
        <v>897</v>
      </c>
    </row>
    <row r="731" spans="2:2">
      <c r="B731" t="s">
        <v>898</v>
      </c>
    </row>
    <row r="732" spans="2:2">
      <c r="B732" t="s">
        <v>899</v>
      </c>
    </row>
    <row r="733" spans="2:2">
      <c r="B733" t="s">
        <v>900</v>
      </c>
    </row>
    <row r="734" spans="2:2">
      <c r="B734" t="s">
        <v>901</v>
      </c>
    </row>
    <row r="735" spans="2:2">
      <c r="B735" t="s">
        <v>902</v>
      </c>
    </row>
    <row r="736" spans="2:2">
      <c r="B736" t="s">
        <v>903</v>
      </c>
    </row>
    <row r="737" spans="2:2">
      <c r="B737" t="s">
        <v>148</v>
      </c>
    </row>
    <row r="738" spans="2:2">
      <c r="B738" t="s">
        <v>904</v>
      </c>
    </row>
    <row r="739" spans="2:2">
      <c r="B739" t="s">
        <v>905</v>
      </c>
    </row>
    <row r="740" spans="2:2">
      <c r="B740" t="s">
        <v>906</v>
      </c>
    </row>
    <row r="741" spans="2:2">
      <c r="B741" t="s">
        <v>907</v>
      </c>
    </row>
    <row r="742" spans="2:2">
      <c r="B742" t="s">
        <v>908</v>
      </c>
    </row>
    <row r="743" spans="2:2">
      <c r="B743" t="s">
        <v>909</v>
      </c>
    </row>
    <row r="744" spans="2:2">
      <c r="B744" t="s">
        <v>910</v>
      </c>
    </row>
    <row r="745" spans="2:2">
      <c r="B745" t="s">
        <v>911</v>
      </c>
    </row>
    <row r="746" spans="2:2">
      <c r="B746" t="s">
        <v>912</v>
      </c>
    </row>
    <row r="747" spans="2:2">
      <c r="B747" t="s">
        <v>913</v>
      </c>
    </row>
    <row r="748" spans="2:2">
      <c r="B748" t="s">
        <v>914</v>
      </c>
    </row>
    <row r="749" spans="2:2">
      <c r="B749" t="s">
        <v>915</v>
      </c>
    </row>
    <row r="750" spans="2:2">
      <c r="B750" t="s">
        <v>916</v>
      </c>
    </row>
    <row r="751" spans="2:2">
      <c r="B751" t="s">
        <v>917</v>
      </c>
    </row>
    <row r="752" spans="2:2">
      <c r="B752" t="s">
        <v>918</v>
      </c>
    </row>
    <row r="753" spans="2:2">
      <c r="B753" t="s">
        <v>919</v>
      </c>
    </row>
    <row r="754" spans="2:2">
      <c r="B754" t="s">
        <v>920</v>
      </c>
    </row>
    <row r="755" spans="2:2">
      <c r="B755" t="s">
        <v>921</v>
      </c>
    </row>
    <row r="756" spans="2:2">
      <c r="B756" t="s">
        <v>922</v>
      </c>
    </row>
    <row r="757" spans="2:2">
      <c r="B757" t="s">
        <v>923</v>
      </c>
    </row>
    <row r="758" spans="2:2">
      <c r="B758" t="s">
        <v>924</v>
      </c>
    </row>
    <row r="759" spans="2:2">
      <c r="B759" t="s">
        <v>925</v>
      </c>
    </row>
    <row r="760" spans="2:2">
      <c r="B760" t="s">
        <v>926</v>
      </c>
    </row>
    <row r="761" spans="2:2">
      <c r="B761" t="s">
        <v>927</v>
      </c>
    </row>
    <row r="762" spans="2:2">
      <c r="B762" t="s">
        <v>928</v>
      </c>
    </row>
    <row r="763" spans="2:2">
      <c r="B763" t="s">
        <v>929</v>
      </c>
    </row>
    <row r="764" spans="2:2">
      <c r="B764" t="s">
        <v>930</v>
      </c>
    </row>
    <row r="765" spans="2:2">
      <c r="B765" t="s">
        <v>931</v>
      </c>
    </row>
    <row r="766" spans="2:2">
      <c r="B766" t="s">
        <v>932</v>
      </c>
    </row>
    <row r="767" spans="2:2">
      <c r="B767" t="s">
        <v>933</v>
      </c>
    </row>
    <row r="768" spans="2:2">
      <c r="B768" t="s">
        <v>934</v>
      </c>
    </row>
    <row r="769" spans="2:2">
      <c r="B769" t="s">
        <v>935</v>
      </c>
    </row>
    <row r="770" spans="2:2">
      <c r="B770" t="s">
        <v>936</v>
      </c>
    </row>
    <row r="771" spans="2:2">
      <c r="B771" t="s">
        <v>937</v>
      </c>
    </row>
    <row r="772" spans="2:2">
      <c r="B772" t="s">
        <v>938</v>
      </c>
    </row>
    <row r="773" spans="2:2">
      <c r="B773" t="s">
        <v>939</v>
      </c>
    </row>
    <row r="774" spans="2:2">
      <c r="B774" t="s">
        <v>940</v>
      </c>
    </row>
    <row r="775" spans="2:2">
      <c r="B775" t="s">
        <v>941</v>
      </c>
    </row>
    <row r="776" spans="2:2">
      <c r="B776" t="s">
        <v>942</v>
      </c>
    </row>
    <row r="777" spans="2:2">
      <c r="B777" t="s">
        <v>943</v>
      </c>
    </row>
    <row r="778" spans="2:2">
      <c r="B778" t="s">
        <v>162</v>
      </c>
    </row>
    <row r="779" spans="2:2">
      <c r="B779" t="s">
        <v>944</v>
      </c>
    </row>
    <row r="780" spans="2:2">
      <c r="B780" t="s">
        <v>945</v>
      </c>
    </row>
    <row r="781" spans="2:2">
      <c r="B781" t="s">
        <v>946</v>
      </c>
    </row>
    <row r="782" spans="2:2">
      <c r="B782" t="s">
        <v>947</v>
      </c>
    </row>
    <row r="783" spans="2:2">
      <c r="B783" t="s">
        <v>948</v>
      </c>
    </row>
    <row r="784" spans="2:2">
      <c r="B784" t="s">
        <v>949</v>
      </c>
    </row>
    <row r="785" spans="2:2">
      <c r="B785" t="s">
        <v>950</v>
      </c>
    </row>
    <row r="786" spans="2:2">
      <c r="B786" t="s">
        <v>951</v>
      </c>
    </row>
    <row r="787" spans="2:2">
      <c r="B787" t="s">
        <v>952</v>
      </c>
    </row>
    <row r="788" spans="2:2">
      <c r="B788" t="s">
        <v>953</v>
      </c>
    </row>
    <row r="789" spans="2:2">
      <c r="B789" t="s">
        <v>954</v>
      </c>
    </row>
    <row r="790" spans="2:2">
      <c r="B790" t="s">
        <v>955</v>
      </c>
    </row>
    <row r="791" spans="2:2">
      <c r="B791" t="s">
        <v>956</v>
      </c>
    </row>
    <row r="792" spans="2:2">
      <c r="B792" t="s">
        <v>957</v>
      </c>
    </row>
    <row r="793" spans="2:2">
      <c r="B793" t="s">
        <v>958</v>
      </c>
    </row>
    <row r="794" spans="2:2">
      <c r="B794" t="s">
        <v>959</v>
      </c>
    </row>
    <row r="795" spans="2:2">
      <c r="B795" t="s">
        <v>960</v>
      </c>
    </row>
    <row r="796" spans="2:2">
      <c r="B796" t="s">
        <v>961</v>
      </c>
    </row>
    <row r="797" spans="2:2">
      <c r="B797" t="s">
        <v>962</v>
      </c>
    </row>
    <row r="798" spans="2:2">
      <c r="B798" t="s">
        <v>963</v>
      </c>
    </row>
    <row r="799" spans="2:2">
      <c r="B799" t="s">
        <v>964</v>
      </c>
    </row>
    <row r="800" spans="2:2">
      <c r="B800" t="s">
        <v>965</v>
      </c>
    </row>
    <row r="801" spans="2:2">
      <c r="B801" t="s">
        <v>966</v>
      </c>
    </row>
    <row r="802" spans="2:2">
      <c r="B802" t="s">
        <v>967</v>
      </c>
    </row>
    <row r="803" spans="2:2">
      <c r="B803" t="s">
        <v>968</v>
      </c>
    </row>
    <row r="804" spans="2:2">
      <c r="B804" t="s">
        <v>969</v>
      </c>
    </row>
    <row r="805" spans="2:2">
      <c r="B805" t="s">
        <v>970</v>
      </c>
    </row>
    <row r="806" spans="2:2">
      <c r="B806" t="s">
        <v>971</v>
      </c>
    </row>
    <row r="807" spans="2:2">
      <c r="B807" t="s">
        <v>972</v>
      </c>
    </row>
    <row r="808" spans="2:2">
      <c r="B808" t="s">
        <v>973</v>
      </c>
    </row>
    <row r="809" spans="2:2">
      <c r="B809" t="s">
        <v>974</v>
      </c>
    </row>
    <row r="810" spans="2:2">
      <c r="B810" t="s">
        <v>975</v>
      </c>
    </row>
    <row r="811" spans="2:2">
      <c r="B811" t="s">
        <v>976</v>
      </c>
    </row>
    <row r="812" spans="2:2">
      <c r="B812" t="s">
        <v>977</v>
      </c>
    </row>
    <row r="813" spans="2:2">
      <c r="B813" t="s">
        <v>978</v>
      </c>
    </row>
    <row r="814" spans="2:2">
      <c r="B814" t="s">
        <v>979</v>
      </c>
    </row>
    <row r="815" spans="2:2">
      <c r="B815" t="s">
        <v>980</v>
      </c>
    </row>
    <row r="816" spans="2:2">
      <c r="B816" t="s">
        <v>981</v>
      </c>
    </row>
    <row r="817" spans="2:2">
      <c r="B817" t="s">
        <v>982</v>
      </c>
    </row>
    <row r="818" spans="2:2">
      <c r="B818" t="s">
        <v>983</v>
      </c>
    </row>
    <row r="819" spans="2:2">
      <c r="B819" t="s">
        <v>984</v>
      </c>
    </row>
    <row r="820" spans="2:2">
      <c r="B820" t="s">
        <v>985</v>
      </c>
    </row>
    <row r="821" spans="2:2">
      <c r="B821" t="s">
        <v>986</v>
      </c>
    </row>
    <row r="822" spans="2:2">
      <c r="B822" t="s">
        <v>987</v>
      </c>
    </row>
    <row r="823" spans="2:2">
      <c r="B823" t="s">
        <v>988</v>
      </c>
    </row>
    <row r="824" spans="2:2">
      <c r="B824" t="s">
        <v>989</v>
      </c>
    </row>
    <row r="825" spans="2:2">
      <c r="B825" t="s">
        <v>990</v>
      </c>
    </row>
    <row r="826" spans="2:2">
      <c r="B826" t="s">
        <v>991</v>
      </c>
    </row>
    <row r="827" spans="2:2">
      <c r="B827" t="s">
        <v>992</v>
      </c>
    </row>
    <row r="828" spans="2:2">
      <c r="B828" t="s">
        <v>993</v>
      </c>
    </row>
    <row r="829" spans="2:2">
      <c r="B829" t="s">
        <v>994</v>
      </c>
    </row>
    <row r="830" spans="2:2">
      <c r="B830" t="s">
        <v>995</v>
      </c>
    </row>
    <row r="831" spans="2:2">
      <c r="B831" t="s">
        <v>996</v>
      </c>
    </row>
    <row r="832" spans="2:2">
      <c r="B832" t="s">
        <v>997</v>
      </c>
    </row>
    <row r="833" spans="2:2">
      <c r="B833" t="s">
        <v>998</v>
      </c>
    </row>
    <row r="834" spans="2:2">
      <c r="B834" t="s">
        <v>999</v>
      </c>
    </row>
    <row r="835" spans="2:2">
      <c r="B835" t="s">
        <v>1000</v>
      </c>
    </row>
    <row r="836" spans="2:2">
      <c r="B836" t="s">
        <v>1001</v>
      </c>
    </row>
    <row r="837" spans="2:2">
      <c r="B837" t="s">
        <v>1002</v>
      </c>
    </row>
    <row r="838" spans="2:2">
      <c r="B838" t="s">
        <v>1003</v>
      </c>
    </row>
    <row r="839" spans="2:2">
      <c r="B839" t="s">
        <v>1004</v>
      </c>
    </row>
    <row r="840" spans="2:2">
      <c r="B840" t="s">
        <v>1005</v>
      </c>
    </row>
    <row r="841" spans="2:2">
      <c r="B841" t="s">
        <v>1006</v>
      </c>
    </row>
    <row r="842" spans="2:2">
      <c r="B842" t="s">
        <v>1007</v>
      </c>
    </row>
    <row r="843" spans="2:2">
      <c r="B843" t="s">
        <v>1008</v>
      </c>
    </row>
    <row r="844" spans="2:2">
      <c r="B844" t="s">
        <v>1009</v>
      </c>
    </row>
    <row r="845" spans="2:2">
      <c r="B845" t="s">
        <v>1010</v>
      </c>
    </row>
    <row r="846" spans="2:2">
      <c r="B846" t="s">
        <v>1011</v>
      </c>
    </row>
    <row r="847" spans="2:2">
      <c r="B847" t="s">
        <v>1012</v>
      </c>
    </row>
    <row r="848" spans="2:2">
      <c r="B848" t="s">
        <v>1013</v>
      </c>
    </row>
    <row r="849" spans="2:2">
      <c r="B849" t="s">
        <v>1014</v>
      </c>
    </row>
    <row r="850" spans="2:2">
      <c r="B850" t="s">
        <v>1015</v>
      </c>
    </row>
    <row r="851" spans="2:2">
      <c r="B851" t="s">
        <v>1016</v>
      </c>
    </row>
    <row r="852" spans="2:2">
      <c r="B852" t="s">
        <v>1017</v>
      </c>
    </row>
    <row r="853" spans="2:2">
      <c r="B853" t="s">
        <v>1018</v>
      </c>
    </row>
    <row r="854" spans="2:2">
      <c r="B854" t="s">
        <v>1019</v>
      </c>
    </row>
    <row r="855" spans="2:2">
      <c r="B855" t="s">
        <v>1020</v>
      </c>
    </row>
    <row r="856" spans="2:2">
      <c r="B856" t="s">
        <v>1021</v>
      </c>
    </row>
    <row r="857" spans="2:2">
      <c r="B857" t="s">
        <v>1022</v>
      </c>
    </row>
    <row r="858" spans="2:2">
      <c r="B858" t="s">
        <v>1023</v>
      </c>
    </row>
    <row r="859" spans="2:2">
      <c r="B859" t="s">
        <v>1024</v>
      </c>
    </row>
    <row r="860" spans="2:2">
      <c r="B860" t="s">
        <v>161</v>
      </c>
    </row>
    <row r="861" spans="2:2">
      <c r="B861" t="s">
        <v>1025</v>
      </c>
    </row>
    <row r="862" spans="2:2">
      <c r="B862" t="s">
        <v>1026</v>
      </c>
    </row>
    <row r="863" spans="2:2">
      <c r="B863" t="s">
        <v>1027</v>
      </c>
    </row>
    <row r="864" spans="2:2">
      <c r="B864" t="s">
        <v>1028</v>
      </c>
    </row>
    <row r="865" spans="2:2">
      <c r="B865" t="s">
        <v>1029</v>
      </c>
    </row>
    <row r="866" spans="2:2">
      <c r="B866" t="s">
        <v>1030</v>
      </c>
    </row>
    <row r="867" spans="2:2">
      <c r="B867" t="s">
        <v>1031</v>
      </c>
    </row>
    <row r="868" spans="2:2">
      <c r="B868" t="s">
        <v>1032</v>
      </c>
    </row>
    <row r="869" spans="2:2">
      <c r="B869" t="s">
        <v>1033</v>
      </c>
    </row>
    <row r="870" spans="2:2">
      <c r="B870" t="s">
        <v>1034</v>
      </c>
    </row>
    <row r="871" spans="2:2">
      <c r="B871" t="s">
        <v>1035</v>
      </c>
    </row>
    <row r="872" spans="2:2">
      <c r="B872" t="s">
        <v>1036</v>
      </c>
    </row>
    <row r="873" spans="2:2">
      <c r="B873" t="s">
        <v>1037</v>
      </c>
    </row>
    <row r="874" spans="2:2">
      <c r="B874" t="s">
        <v>1038</v>
      </c>
    </row>
    <row r="875" spans="2:2">
      <c r="B875" t="s">
        <v>1039</v>
      </c>
    </row>
    <row r="876" spans="2:2">
      <c r="B876" t="s">
        <v>1040</v>
      </c>
    </row>
    <row r="877" spans="2:2">
      <c r="B877" t="s">
        <v>1041</v>
      </c>
    </row>
    <row r="878" spans="2:2">
      <c r="B878" t="s">
        <v>1042</v>
      </c>
    </row>
    <row r="879" spans="2:2">
      <c r="B879" t="s">
        <v>1043</v>
      </c>
    </row>
    <row r="880" spans="2:2">
      <c r="B880" t="s">
        <v>1044</v>
      </c>
    </row>
    <row r="881" spans="2:2">
      <c r="B881" t="s">
        <v>1045</v>
      </c>
    </row>
    <row r="882" spans="2:2">
      <c r="B882" t="s">
        <v>1046</v>
      </c>
    </row>
    <row r="883" spans="2:2">
      <c r="B883" t="s">
        <v>1047</v>
      </c>
    </row>
    <row r="884" spans="2:2">
      <c r="B884" t="s">
        <v>1048</v>
      </c>
    </row>
    <row r="885" spans="2:2">
      <c r="B885" t="s">
        <v>1049</v>
      </c>
    </row>
    <row r="886" spans="2:2">
      <c r="B886" t="s">
        <v>1050</v>
      </c>
    </row>
    <row r="887" spans="2:2">
      <c r="B887" t="s">
        <v>1051</v>
      </c>
    </row>
    <row r="888" spans="2:2">
      <c r="B888" t="s">
        <v>1052</v>
      </c>
    </row>
    <row r="889" spans="2:2">
      <c r="B889" t="s">
        <v>1053</v>
      </c>
    </row>
    <row r="890" spans="2:2">
      <c r="B890" t="s">
        <v>1054</v>
      </c>
    </row>
    <row r="891" spans="2:2">
      <c r="B891" t="s">
        <v>1055</v>
      </c>
    </row>
    <row r="892" spans="2:2">
      <c r="B892" t="s">
        <v>1056</v>
      </c>
    </row>
    <row r="893" spans="2:2">
      <c r="B893" t="s">
        <v>1057</v>
      </c>
    </row>
    <row r="894" spans="2:2">
      <c r="B894" t="s">
        <v>1058</v>
      </c>
    </row>
    <row r="895" spans="2:2">
      <c r="B895" t="s">
        <v>1059</v>
      </c>
    </row>
    <row r="896" spans="2:2">
      <c r="B896" t="s">
        <v>1060</v>
      </c>
    </row>
    <row r="897" spans="2:2">
      <c r="B897" t="s">
        <v>1061</v>
      </c>
    </row>
    <row r="898" spans="2:2">
      <c r="B898" t="s">
        <v>1062</v>
      </c>
    </row>
    <row r="899" spans="2:2">
      <c r="B899" t="s">
        <v>1063</v>
      </c>
    </row>
    <row r="900" spans="2:2">
      <c r="B900" t="s">
        <v>1064</v>
      </c>
    </row>
    <row r="901" spans="2:2">
      <c r="B901" t="s">
        <v>1065</v>
      </c>
    </row>
    <row r="902" spans="2:2">
      <c r="B902" t="s">
        <v>1066</v>
      </c>
    </row>
    <row r="903" spans="2:2">
      <c r="B903" t="s">
        <v>1067</v>
      </c>
    </row>
    <row r="904" spans="2:2">
      <c r="B904" t="s">
        <v>1068</v>
      </c>
    </row>
    <row r="905" spans="2:2">
      <c r="B905" t="s">
        <v>1069</v>
      </c>
    </row>
    <row r="906" spans="2:2">
      <c r="B906" t="s">
        <v>1070</v>
      </c>
    </row>
    <row r="907" spans="2:2">
      <c r="B907" t="s">
        <v>1071</v>
      </c>
    </row>
    <row r="908" spans="2:2">
      <c r="B908" t="s">
        <v>1072</v>
      </c>
    </row>
    <row r="909" spans="2:2">
      <c r="B909" t="s">
        <v>1073</v>
      </c>
    </row>
    <row r="910" spans="2:2">
      <c r="B910" t="s">
        <v>1074</v>
      </c>
    </row>
    <row r="911" spans="2:2">
      <c r="B911" t="s">
        <v>1075</v>
      </c>
    </row>
    <row r="912" spans="2:2">
      <c r="B912" t="s">
        <v>1076</v>
      </c>
    </row>
    <row r="913" spans="2:2">
      <c r="B913" t="s">
        <v>1077</v>
      </c>
    </row>
    <row r="914" spans="2:2">
      <c r="B914" t="s">
        <v>1078</v>
      </c>
    </row>
    <row r="915" spans="2:2">
      <c r="B915" t="s">
        <v>1079</v>
      </c>
    </row>
    <row r="916" spans="2:2">
      <c r="B916" t="s">
        <v>1080</v>
      </c>
    </row>
    <row r="917" spans="2:2">
      <c r="B917" t="s">
        <v>1081</v>
      </c>
    </row>
    <row r="918" spans="2:2">
      <c r="B918" t="s">
        <v>1082</v>
      </c>
    </row>
    <row r="919" spans="2:2">
      <c r="B919" t="s">
        <v>1083</v>
      </c>
    </row>
    <row r="920" spans="2:2">
      <c r="B920" t="s">
        <v>1084</v>
      </c>
    </row>
    <row r="921" spans="2:2">
      <c r="B921" t="s">
        <v>1085</v>
      </c>
    </row>
    <row r="922" spans="2:2">
      <c r="B922" t="s">
        <v>1086</v>
      </c>
    </row>
    <row r="923" spans="2:2">
      <c r="B923" t="s">
        <v>1087</v>
      </c>
    </row>
    <row r="924" spans="2:2">
      <c r="B924" t="s">
        <v>1088</v>
      </c>
    </row>
    <row r="925" spans="2:2">
      <c r="B925" t="s">
        <v>1089</v>
      </c>
    </row>
    <row r="926" spans="2:2">
      <c r="B926" t="s">
        <v>1090</v>
      </c>
    </row>
    <row r="927" spans="2:2">
      <c r="B927" t="s">
        <v>1091</v>
      </c>
    </row>
    <row r="928" spans="2:2">
      <c r="B928" t="s">
        <v>1092</v>
      </c>
    </row>
    <row r="929" spans="2:2">
      <c r="B929" t="s">
        <v>1093</v>
      </c>
    </row>
    <row r="930" spans="2:2">
      <c r="B930" t="s">
        <v>1094</v>
      </c>
    </row>
    <row r="931" spans="2:2">
      <c r="B931" t="s">
        <v>1095</v>
      </c>
    </row>
    <row r="932" spans="2:2">
      <c r="B932" t="s">
        <v>1096</v>
      </c>
    </row>
    <row r="933" spans="2:2">
      <c r="B933" t="s">
        <v>1097</v>
      </c>
    </row>
    <row r="934" spans="2:2">
      <c r="B934" t="s">
        <v>1098</v>
      </c>
    </row>
    <row r="935" spans="2:2">
      <c r="B935" t="s">
        <v>1099</v>
      </c>
    </row>
    <row r="936" spans="2:2">
      <c r="B936" t="s">
        <v>1100</v>
      </c>
    </row>
    <row r="937" spans="2:2">
      <c r="B937" t="s">
        <v>1101</v>
      </c>
    </row>
    <row r="938" spans="2:2">
      <c r="B938" t="s">
        <v>1102</v>
      </c>
    </row>
    <row r="939" spans="2:2">
      <c r="B939" t="s">
        <v>1103</v>
      </c>
    </row>
    <row r="940" spans="2:2">
      <c r="B940" t="s">
        <v>1104</v>
      </c>
    </row>
    <row r="941" spans="2:2">
      <c r="B941" t="s">
        <v>1105</v>
      </c>
    </row>
    <row r="942" spans="2:2">
      <c r="B942" t="s">
        <v>1106</v>
      </c>
    </row>
    <row r="943" spans="2:2">
      <c r="B943" t="s">
        <v>1107</v>
      </c>
    </row>
    <row r="944" spans="2:2">
      <c r="B944" t="s">
        <v>1108</v>
      </c>
    </row>
    <row r="945" spans="2:2">
      <c r="B945" t="s">
        <v>1109</v>
      </c>
    </row>
    <row r="946" spans="2:2">
      <c r="B946" t="s">
        <v>1110</v>
      </c>
    </row>
    <row r="947" spans="2:2">
      <c r="B947" t="s">
        <v>1111</v>
      </c>
    </row>
    <row r="948" spans="2:2">
      <c r="B948" t="s">
        <v>1112</v>
      </c>
    </row>
    <row r="949" spans="2:2">
      <c r="B949" t="s">
        <v>1113</v>
      </c>
    </row>
    <row r="950" spans="2:2">
      <c r="B950" t="s">
        <v>1114</v>
      </c>
    </row>
    <row r="951" spans="2:2">
      <c r="B951" t="s">
        <v>1115</v>
      </c>
    </row>
    <row r="952" spans="2:2">
      <c r="B952" t="s">
        <v>1116</v>
      </c>
    </row>
    <row r="953" spans="2:2">
      <c r="B953" t="s">
        <v>176</v>
      </c>
    </row>
    <row r="954" spans="2:2">
      <c r="B954" t="s">
        <v>1117</v>
      </c>
    </row>
    <row r="955" spans="2:2">
      <c r="B955" t="s">
        <v>1118</v>
      </c>
    </row>
    <row r="956" spans="2:2">
      <c r="B956" t="s">
        <v>1119</v>
      </c>
    </row>
    <row r="957" spans="2:2">
      <c r="B957" t="s">
        <v>1120</v>
      </c>
    </row>
    <row r="958" spans="2:2">
      <c r="B958" t="s">
        <v>1121</v>
      </c>
    </row>
    <row r="959" spans="2:2">
      <c r="B959" t="s">
        <v>1122</v>
      </c>
    </row>
    <row r="960" spans="2:2">
      <c r="B960" t="s">
        <v>1123</v>
      </c>
    </row>
    <row r="961" spans="2:2">
      <c r="B961" t="s">
        <v>1124</v>
      </c>
    </row>
    <row r="962" spans="2:2">
      <c r="B962" t="s">
        <v>1125</v>
      </c>
    </row>
    <row r="963" spans="2:2">
      <c r="B963" t="s">
        <v>1126</v>
      </c>
    </row>
    <row r="964" spans="2:2">
      <c r="B964" t="s">
        <v>1127</v>
      </c>
    </row>
    <row r="965" spans="2:2">
      <c r="B965" t="s">
        <v>1128</v>
      </c>
    </row>
    <row r="966" spans="2:2">
      <c r="B966" t="s">
        <v>1129</v>
      </c>
    </row>
    <row r="967" spans="2:2">
      <c r="B967" t="s">
        <v>1130</v>
      </c>
    </row>
    <row r="968" spans="2:2">
      <c r="B968" t="s">
        <v>1131</v>
      </c>
    </row>
    <row r="969" spans="2:2">
      <c r="B969" t="s">
        <v>1132</v>
      </c>
    </row>
    <row r="970" spans="2:2">
      <c r="B970" t="s">
        <v>172</v>
      </c>
    </row>
    <row r="971" spans="2:2">
      <c r="B971" t="s">
        <v>167</v>
      </c>
    </row>
    <row r="972" spans="2:2">
      <c r="B972" t="s">
        <v>1133</v>
      </c>
    </row>
    <row r="973" spans="2:2">
      <c r="B973" t="s">
        <v>1134</v>
      </c>
    </row>
    <row r="974" spans="2:2">
      <c r="B974" t="s">
        <v>1135</v>
      </c>
    </row>
    <row r="975" spans="2:2">
      <c r="B975" t="s">
        <v>1136</v>
      </c>
    </row>
    <row r="976" spans="2:2">
      <c r="B976" t="s">
        <v>1137</v>
      </c>
    </row>
    <row r="977" spans="2:2">
      <c r="B977" t="s">
        <v>1138</v>
      </c>
    </row>
    <row r="978" spans="2:2">
      <c r="B978" t="s">
        <v>1139</v>
      </c>
    </row>
    <row r="979" spans="2:2">
      <c r="B979" t="s">
        <v>1140</v>
      </c>
    </row>
    <row r="980" spans="2:2">
      <c r="B980" t="s">
        <v>1141</v>
      </c>
    </row>
    <row r="981" spans="2:2">
      <c r="B981" t="s">
        <v>1142</v>
      </c>
    </row>
    <row r="982" spans="2:2">
      <c r="B982" t="s">
        <v>1143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avgPt and Ruolo</vt:lpstr>
      <vt:lpstr>avgPt and PosRuolo and casa</vt:lpstr>
      <vt:lpstr>avgPt and PosRuoloCasa</vt:lpstr>
      <vt:lpstr>Sheet2</vt:lpstr>
      <vt:lpstr>Sheet3</vt:lpstr>
      <vt:lpstr>Sheet8</vt:lpstr>
      <vt:lpstr>Foglio1</vt:lpstr>
      <vt:lpstr>Foglio3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2026-02-06T07:35:57Z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