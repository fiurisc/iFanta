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getti\Personale\iFanta\desktop\iFanta\others\"/>
    </mc:Choice>
  </mc:AlternateContent>
  <xr:revisionPtr revIDLastSave="0" documentId="13_ncr:1_{CDA71BBF-729B-4039-B65E-46AB64E0B254}" xr6:coauthVersionLast="36" xr6:coauthVersionMax="47" xr10:uidLastSave="{00000000-0000-0000-0000-000000000000}"/>
  <bookViews>
    <workbookView xWindow="-105" yWindow="-105" windowWidth="15465" windowHeight="7530" xr2:uid="{ACE3FCC3-DDF1-41BB-910E-56E1C89267D1}"/>
  </bookViews>
  <sheets>
    <sheet name="avgPt and PosRuoloCasa" sheetId="7" r:id="rId1"/>
    <sheet name="Sheet2" sheetId="2" r:id="rId2"/>
    <sheet name="Sheet3" sheetId="3" r:id="rId3"/>
    <sheet name="Sheet8" sheetId="8" r:id="rId4"/>
    <sheet name="Foglio1" sheetId="10" r:id="rId5"/>
    <sheet name="Foglio3" sheetId="12" r:id="rId6"/>
    <sheet name="Foglio2" sheetId="11" r:id="rId7"/>
  </sheets>
  <definedNames>
    <definedName name="_xlnm._FilterDatabase" localSheetId="6" hidden="1">Foglio2!$C$1:$C$3574</definedName>
    <definedName name="_xlnm._FilterDatabase" localSheetId="5" hidden="1">Foglio3!$B$1:$B$163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1" l="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C546" i="11"/>
  <c r="C547" i="11"/>
  <c r="C548" i="11"/>
  <c r="C549" i="11"/>
  <c r="C550" i="11"/>
  <c r="C551" i="11"/>
  <c r="C552" i="11"/>
  <c r="C553" i="11"/>
  <c r="C554" i="11"/>
  <c r="C555" i="11"/>
  <c r="C556" i="11"/>
  <c r="C557" i="11"/>
  <c r="C558" i="11"/>
  <c r="C559" i="11"/>
  <c r="C560" i="11"/>
  <c r="C561" i="11"/>
  <c r="C562" i="11"/>
  <c r="C563" i="11"/>
  <c r="C564" i="11"/>
  <c r="C565" i="11"/>
  <c r="C566" i="11"/>
  <c r="C567" i="11"/>
  <c r="C568" i="11"/>
  <c r="C569" i="11"/>
  <c r="C570" i="11"/>
  <c r="C571" i="11"/>
  <c r="C572" i="11"/>
  <c r="C573" i="11"/>
  <c r="C574" i="11"/>
  <c r="C575" i="11"/>
  <c r="C576" i="11"/>
  <c r="C577" i="11"/>
  <c r="C578" i="11"/>
  <c r="C579" i="11"/>
  <c r="C580" i="11"/>
  <c r="C581" i="11"/>
  <c r="C582" i="11"/>
  <c r="C583" i="11"/>
  <c r="C584" i="11"/>
  <c r="C585" i="11"/>
  <c r="C586" i="11"/>
  <c r="C587" i="11"/>
  <c r="C588" i="11"/>
  <c r="C589" i="11"/>
  <c r="C590" i="11"/>
  <c r="C591" i="11"/>
  <c r="C592" i="11"/>
  <c r="C593" i="11"/>
  <c r="C594" i="11"/>
  <c r="C595" i="11"/>
  <c r="C596" i="11"/>
  <c r="C597" i="11"/>
  <c r="C598" i="11"/>
  <c r="C599" i="11"/>
  <c r="C600" i="11"/>
  <c r="C601" i="11"/>
  <c r="C602" i="11"/>
  <c r="C603" i="11"/>
  <c r="C604" i="11"/>
  <c r="C605" i="11"/>
  <c r="C606" i="11"/>
  <c r="C607" i="11"/>
  <c r="C608" i="11"/>
  <c r="C609" i="11"/>
  <c r="C610" i="11"/>
  <c r="C611" i="11"/>
  <c r="C612" i="11"/>
  <c r="C613" i="11"/>
  <c r="C614" i="11"/>
  <c r="C615" i="11"/>
  <c r="C616" i="11"/>
  <c r="C617" i="11"/>
  <c r="C618" i="11"/>
  <c r="C619" i="11"/>
  <c r="C620" i="11"/>
  <c r="C621" i="11"/>
  <c r="C622" i="11"/>
  <c r="C623" i="11"/>
  <c r="C624" i="11"/>
  <c r="C625" i="11"/>
  <c r="C626" i="11"/>
  <c r="C627" i="11"/>
  <c r="C628" i="11"/>
  <c r="C629" i="11"/>
  <c r="C630" i="11"/>
  <c r="C631" i="11"/>
  <c r="C632" i="11"/>
  <c r="C633" i="11"/>
  <c r="C634" i="11"/>
  <c r="C635" i="11"/>
  <c r="C636" i="11"/>
  <c r="C637" i="11"/>
  <c r="C638" i="11"/>
  <c r="C639" i="11"/>
  <c r="C640" i="11"/>
  <c r="C641" i="11"/>
  <c r="C642" i="11"/>
  <c r="C643" i="11"/>
  <c r="C644" i="11"/>
  <c r="C645" i="11"/>
  <c r="C646" i="11"/>
  <c r="C647" i="11"/>
  <c r="C648" i="11"/>
  <c r="C649" i="11"/>
  <c r="C650" i="11"/>
  <c r="C651" i="11"/>
  <c r="C652" i="11"/>
  <c r="C653" i="11"/>
  <c r="C654" i="11"/>
  <c r="C655" i="11"/>
  <c r="C656" i="11"/>
  <c r="C657" i="11"/>
  <c r="C658" i="11"/>
  <c r="C659" i="11"/>
  <c r="C660" i="11"/>
  <c r="C661" i="11"/>
  <c r="C662" i="11"/>
  <c r="C663" i="11"/>
  <c r="C664" i="11"/>
  <c r="C665" i="11"/>
  <c r="C666" i="11"/>
  <c r="C667" i="11"/>
  <c r="C668" i="11"/>
  <c r="C669" i="11"/>
  <c r="C670" i="11"/>
  <c r="C671" i="11"/>
  <c r="C672" i="11"/>
  <c r="C673" i="11"/>
  <c r="C674" i="11"/>
  <c r="C675" i="11"/>
  <c r="C676" i="11"/>
  <c r="C677" i="11"/>
  <c r="C678" i="11"/>
  <c r="C679" i="11"/>
  <c r="C680" i="11"/>
  <c r="C681" i="11"/>
  <c r="C682" i="11"/>
  <c r="C683" i="11"/>
  <c r="C684" i="11"/>
  <c r="C685" i="11"/>
  <c r="C686" i="11"/>
  <c r="C687" i="11"/>
  <c r="C688" i="11"/>
  <c r="C689" i="11"/>
  <c r="C690" i="11"/>
  <c r="C691" i="11"/>
  <c r="C692" i="11"/>
  <c r="C693" i="11"/>
  <c r="C694" i="11"/>
  <c r="C695" i="11"/>
  <c r="C696" i="11"/>
  <c r="C697" i="11"/>
  <c r="C698" i="11"/>
  <c r="C699" i="11"/>
  <c r="C700" i="11"/>
  <c r="C701" i="11"/>
  <c r="C702" i="11"/>
  <c r="C703" i="11"/>
  <c r="C704" i="11"/>
  <c r="C705" i="11"/>
  <c r="C706" i="11"/>
  <c r="C707" i="11"/>
  <c r="C708" i="11"/>
  <c r="C709" i="11"/>
  <c r="C710" i="11"/>
  <c r="C711" i="11"/>
  <c r="C712" i="11"/>
  <c r="C713" i="11"/>
  <c r="C714" i="11"/>
  <c r="C715" i="11"/>
  <c r="C716" i="11"/>
  <c r="C717" i="11"/>
  <c r="C718" i="11"/>
  <c r="C719" i="11"/>
  <c r="C720" i="11"/>
  <c r="C721" i="11"/>
  <c r="C722" i="11"/>
  <c r="C723" i="11"/>
  <c r="C724" i="11"/>
  <c r="C725" i="11"/>
  <c r="C726" i="11"/>
  <c r="C727" i="11"/>
  <c r="C728" i="11"/>
  <c r="C729" i="11"/>
  <c r="C730" i="11"/>
  <c r="C731" i="11"/>
  <c r="C732" i="11"/>
  <c r="C733" i="11"/>
  <c r="C734" i="11"/>
  <c r="C735" i="11"/>
  <c r="C736" i="11"/>
  <c r="C737" i="11"/>
  <c r="C738" i="11"/>
  <c r="C739" i="11"/>
  <c r="C740" i="11"/>
  <c r="C741" i="11"/>
  <c r="C742" i="11"/>
  <c r="C743" i="11"/>
  <c r="C744" i="11"/>
  <c r="C745" i="11"/>
  <c r="C746" i="11"/>
  <c r="C747" i="11"/>
  <c r="C748" i="11"/>
  <c r="C749" i="11"/>
  <c r="C750" i="11"/>
  <c r="C751" i="11"/>
  <c r="C752" i="11"/>
  <c r="C753" i="11"/>
  <c r="C754" i="11"/>
  <c r="C755" i="11"/>
  <c r="C756" i="11"/>
  <c r="C757" i="11"/>
  <c r="C758" i="11"/>
  <c r="C759" i="11"/>
  <c r="C760" i="11"/>
  <c r="C761" i="11"/>
  <c r="C762" i="11"/>
  <c r="C763" i="11"/>
  <c r="C764" i="11"/>
  <c r="C765" i="11"/>
  <c r="C766" i="11"/>
  <c r="C767" i="11"/>
  <c r="C768" i="11"/>
  <c r="C769" i="11"/>
  <c r="C770" i="11"/>
  <c r="C771" i="11"/>
  <c r="C772" i="11"/>
  <c r="C773" i="11"/>
  <c r="C774" i="11"/>
  <c r="C775" i="11"/>
  <c r="C776" i="11"/>
  <c r="C777" i="11"/>
  <c r="C778" i="11"/>
  <c r="C779" i="11"/>
  <c r="C780" i="11"/>
  <c r="C781" i="11"/>
  <c r="C782" i="11"/>
  <c r="C783" i="11"/>
  <c r="C784" i="11"/>
  <c r="C785" i="11"/>
  <c r="C786" i="11"/>
  <c r="C787" i="11"/>
  <c r="C788" i="11"/>
  <c r="C789" i="11"/>
  <c r="C790" i="11"/>
  <c r="C791" i="11"/>
  <c r="C792" i="11"/>
  <c r="C793" i="11"/>
  <c r="C794" i="11"/>
  <c r="C795" i="11"/>
  <c r="C796" i="11"/>
  <c r="C797" i="11"/>
  <c r="C798" i="11"/>
  <c r="C799" i="11"/>
  <c r="C800" i="11"/>
  <c r="C801" i="11"/>
  <c r="C802" i="11"/>
  <c r="C803" i="11"/>
  <c r="C804" i="11"/>
  <c r="C805" i="11"/>
  <c r="C806" i="11"/>
  <c r="C807" i="11"/>
  <c r="C808" i="11"/>
  <c r="C809" i="11"/>
  <c r="C810" i="11"/>
  <c r="C811" i="11"/>
  <c r="C812" i="11"/>
  <c r="C813" i="11"/>
  <c r="C814" i="11"/>
  <c r="C815" i="11"/>
  <c r="C816" i="11"/>
  <c r="C817" i="11"/>
  <c r="C818" i="11"/>
  <c r="C819" i="11"/>
  <c r="C820" i="11"/>
  <c r="C821" i="11"/>
  <c r="C822" i="11"/>
  <c r="C823" i="11"/>
  <c r="C824" i="11"/>
  <c r="C825" i="11"/>
  <c r="C826" i="11"/>
  <c r="C827" i="11"/>
  <c r="C828" i="11"/>
  <c r="C829" i="11"/>
  <c r="C830" i="11"/>
  <c r="C831" i="11"/>
  <c r="C832" i="11"/>
  <c r="C833" i="11"/>
  <c r="C834" i="11"/>
  <c r="C835" i="11"/>
  <c r="C836" i="11"/>
  <c r="C837" i="11"/>
  <c r="C838" i="11"/>
  <c r="C839" i="11"/>
  <c r="C840" i="11"/>
  <c r="C841" i="11"/>
  <c r="C842" i="11"/>
  <c r="C843" i="11"/>
  <c r="C844" i="11"/>
  <c r="C845" i="11"/>
  <c r="C846" i="11"/>
  <c r="C847" i="11"/>
  <c r="C848" i="11"/>
  <c r="C849" i="11"/>
  <c r="C850" i="11"/>
  <c r="C851" i="11"/>
  <c r="C852" i="11"/>
  <c r="C853" i="11"/>
  <c r="C854" i="11"/>
  <c r="C855" i="11"/>
  <c r="C856" i="11"/>
  <c r="C857" i="11"/>
  <c r="C858" i="11"/>
  <c r="C859" i="11"/>
  <c r="C860" i="11"/>
  <c r="C861" i="11"/>
  <c r="C862" i="11"/>
  <c r="C863" i="11"/>
  <c r="C864" i="11"/>
  <c r="C865" i="11"/>
  <c r="C866" i="11"/>
  <c r="C867" i="11"/>
  <c r="C868" i="11"/>
  <c r="C869" i="11"/>
  <c r="C870" i="11"/>
  <c r="C871" i="11"/>
  <c r="C872" i="11"/>
  <c r="C873" i="11"/>
  <c r="C874" i="11"/>
  <c r="C875" i="11"/>
  <c r="C876" i="11"/>
  <c r="C877" i="11"/>
  <c r="C878" i="11"/>
  <c r="C879" i="11"/>
  <c r="C880" i="11"/>
  <c r="C881" i="11"/>
  <c r="C882" i="11"/>
  <c r="C883" i="11"/>
  <c r="C884" i="11"/>
  <c r="C885" i="11"/>
  <c r="C886" i="11"/>
  <c r="C887" i="11"/>
  <c r="C888" i="11"/>
  <c r="C889" i="11"/>
  <c r="C890" i="11"/>
  <c r="C891" i="11"/>
  <c r="C892" i="11"/>
  <c r="C893" i="11"/>
  <c r="C894" i="11"/>
  <c r="C895" i="11"/>
  <c r="C896" i="11"/>
  <c r="C897" i="11"/>
  <c r="C898" i="11"/>
  <c r="C899" i="11"/>
  <c r="C900" i="11"/>
  <c r="C901" i="11"/>
  <c r="C902" i="11"/>
  <c r="C903" i="11"/>
  <c r="C904" i="11"/>
  <c r="C905" i="11"/>
  <c r="C906" i="11"/>
  <c r="C907" i="11"/>
  <c r="C908" i="11"/>
  <c r="C909" i="11"/>
  <c r="C910" i="11"/>
  <c r="C911" i="11"/>
  <c r="C912" i="11"/>
  <c r="C913" i="11"/>
  <c r="C914" i="11"/>
  <c r="C915" i="11"/>
  <c r="C916" i="11"/>
  <c r="C917" i="11"/>
  <c r="C918" i="11"/>
  <c r="C919" i="11"/>
  <c r="C920" i="11"/>
  <c r="C921" i="11"/>
  <c r="C922" i="11"/>
  <c r="C923" i="11"/>
  <c r="C924" i="11"/>
  <c r="C925" i="11"/>
  <c r="C926" i="11"/>
  <c r="C927" i="11"/>
  <c r="C928" i="11"/>
  <c r="C929" i="11"/>
  <c r="C930" i="11"/>
  <c r="C931" i="11"/>
  <c r="C932" i="11"/>
  <c r="C933" i="11"/>
  <c r="C934" i="11"/>
  <c r="C935" i="11"/>
  <c r="C936" i="11"/>
  <c r="C937" i="11"/>
  <c r="C938" i="11"/>
  <c r="C939" i="11"/>
  <c r="C940" i="11"/>
  <c r="C941" i="11"/>
  <c r="C942" i="11"/>
  <c r="C943" i="11"/>
  <c r="C944" i="11"/>
  <c r="C945" i="11"/>
  <c r="C946" i="11"/>
  <c r="C947" i="11"/>
  <c r="C948" i="11"/>
  <c r="C949" i="11"/>
  <c r="C950" i="11"/>
  <c r="C951" i="11"/>
  <c r="C952" i="11"/>
  <c r="C953" i="11"/>
  <c r="C954" i="11"/>
  <c r="C955" i="11"/>
  <c r="C956" i="11"/>
  <c r="C957" i="11"/>
  <c r="C958" i="11"/>
  <c r="C959" i="11"/>
  <c r="C960" i="11"/>
  <c r="C961" i="11"/>
  <c r="C962" i="11"/>
  <c r="C963" i="11"/>
  <c r="C964" i="11"/>
  <c r="C965" i="11"/>
  <c r="C966" i="11"/>
  <c r="C967" i="11"/>
  <c r="C968" i="11"/>
  <c r="C969" i="11"/>
  <c r="C970" i="11"/>
  <c r="C971" i="11"/>
  <c r="C972" i="11"/>
  <c r="C973" i="11"/>
  <c r="C974" i="11"/>
  <c r="C975" i="11"/>
  <c r="C976" i="11"/>
  <c r="C977" i="11"/>
  <c r="C978" i="11"/>
  <c r="C979" i="11"/>
  <c r="C980" i="11"/>
  <c r="C981" i="11"/>
  <c r="C982" i="11"/>
  <c r="C983" i="11"/>
  <c r="C984" i="11"/>
  <c r="C985" i="11"/>
  <c r="C986" i="11"/>
  <c r="C987" i="11"/>
  <c r="C988" i="11"/>
  <c r="C989" i="11"/>
  <c r="C990" i="11"/>
  <c r="C991" i="11"/>
  <c r="C992" i="11"/>
  <c r="C993" i="11"/>
  <c r="C994" i="11"/>
  <c r="C995" i="11"/>
  <c r="C996" i="11"/>
  <c r="C997" i="11"/>
  <c r="C998" i="11"/>
  <c r="C999" i="11"/>
  <c r="C1000" i="11"/>
  <c r="C1001" i="11"/>
  <c r="C1002" i="11"/>
  <c r="C1003" i="11"/>
  <c r="C1004" i="11"/>
  <c r="C1005" i="11"/>
  <c r="C1006" i="11"/>
  <c r="C1007" i="11"/>
  <c r="C1008" i="11"/>
  <c r="C1009" i="11"/>
  <c r="C1010" i="11"/>
  <c r="C1011" i="11"/>
  <c r="C1012" i="11"/>
  <c r="C1013" i="11"/>
  <c r="C1014" i="11"/>
  <c r="C1015" i="11"/>
  <c r="C1016" i="11"/>
  <c r="C1017" i="11"/>
  <c r="C1018" i="11"/>
  <c r="C1019" i="11"/>
  <c r="C1020" i="11"/>
  <c r="C1021" i="11"/>
  <c r="C1022" i="11"/>
  <c r="C1023" i="11"/>
  <c r="C1024" i="11"/>
  <c r="C1025" i="11"/>
  <c r="C1026" i="11"/>
  <c r="C1027" i="11"/>
  <c r="C1028" i="11"/>
  <c r="C1029" i="11"/>
  <c r="C1030" i="11"/>
  <c r="C1031" i="11"/>
  <c r="C1032" i="11"/>
  <c r="C1033" i="11"/>
  <c r="C1034" i="11"/>
  <c r="C1035" i="11"/>
  <c r="C1036" i="11"/>
  <c r="C1037" i="11"/>
  <c r="C1038" i="11"/>
  <c r="C1039" i="11"/>
  <c r="C1040" i="11"/>
  <c r="C1041" i="11"/>
  <c r="C1042" i="11"/>
  <c r="C1043" i="11"/>
  <c r="C1044" i="11"/>
  <c r="C1045" i="11"/>
  <c r="C1046" i="11"/>
  <c r="C1047" i="11"/>
  <c r="C1048" i="11"/>
  <c r="C1049" i="11"/>
  <c r="C1050" i="11"/>
  <c r="C1051" i="11"/>
  <c r="C1052" i="11"/>
  <c r="C1053" i="11"/>
  <c r="C1054" i="11"/>
  <c r="C1055" i="11"/>
  <c r="C1056" i="11"/>
  <c r="C1057" i="11"/>
  <c r="C1058" i="11"/>
  <c r="C1059" i="11"/>
  <c r="C1060" i="11"/>
  <c r="C1061" i="11"/>
  <c r="C1062" i="11"/>
  <c r="C1063" i="11"/>
  <c r="C1064" i="11"/>
  <c r="C1065" i="11"/>
  <c r="C1066" i="11"/>
  <c r="C1067" i="11"/>
  <c r="C1068" i="11"/>
  <c r="C1069" i="11"/>
  <c r="C1070" i="11"/>
  <c r="C1071" i="11"/>
  <c r="C1072" i="11"/>
  <c r="C1073" i="11"/>
  <c r="C1074" i="11"/>
  <c r="C1075" i="11"/>
  <c r="C1076" i="11"/>
  <c r="C1077" i="11"/>
  <c r="C1078" i="11"/>
  <c r="C1079" i="11"/>
  <c r="C1080" i="11"/>
  <c r="C1081" i="11"/>
  <c r="C1082" i="11"/>
  <c r="C1083" i="11"/>
  <c r="C1084" i="11"/>
  <c r="C1085" i="11"/>
  <c r="C1086" i="11"/>
  <c r="C1087" i="11"/>
  <c r="C1088" i="11"/>
  <c r="C1089" i="11"/>
  <c r="C1090" i="11"/>
  <c r="C1091" i="11"/>
  <c r="C1092" i="11"/>
  <c r="C1093" i="11"/>
  <c r="C1094" i="11"/>
  <c r="C1095" i="11"/>
  <c r="C1096" i="11"/>
  <c r="C1097" i="11"/>
  <c r="C1098" i="11"/>
  <c r="C1099" i="11"/>
  <c r="C1100" i="11"/>
  <c r="C1101" i="11"/>
  <c r="C1102" i="11"/>
  <c r="C1103" i="11"/>
  <c r="C1104" i="11"/>
  <c r="C1105" i="11"/>
  <c r="C1106" i="11"/>
  <c r="C1107" i="11"/>
  <c r="C1108" i="11"/>
  <c r="C1109" i="11"/>
  <c r="C1110" i="11"/>
  <c r="C1111" i="11"/>
  <c r="C1112" i="11"/>
  <c r="C1113" i="11"/>
  <c r="C1114" i="11"/>
  <c r="C1115" i="11"/>
  <c r="C1116" i="11"/>
  <c r="C1117" i="11"/>
  <c r="C1118" i="11"/>
  <c r="C1119" i="11"/>
  <c r="C1120" i="11"/>
  <c r="C1121" i="11"/>
  <c r="C1122" i="11"/>
  <c r="C1123" i="11"/>
  <c r="C1124" i="11"/>
  <c r="C1125" i="11"/>
  <c r="C1126" i="11"/>
  <c r="C1127" i="11"/>
  <c r="C1128" i="11"/>
  <c r="C1129" i="11"/>
  <c r="C1130" i="11"/>
  <c r="C1131" i="11"/>
  <c r="C1132" i="11"/>
  <c r="C1133" i="11"/>
  <c r="C1134" i="11"/>
  <c r="C1135" i="11"/>
  <c r="C1136" i="11"/>
  <c r="C1137" i="11"/>
  <c r="C1138" i="11"/>
  <c r="C1139" i="11"/>
  <c r="C1140" i="11"/>
  <c r="C1141" i="11"/>
  <c r="C1142" i="11"/>
  <c r="C1143" i="11"/>
  <c r="C1144" i="11"/>
  <c r="C1145" i="11"/>
  <c r="C1146" i="11"/>
  <c r="C1147" i="11"/>
  <c r="C1148" i="11"/>
  <c r="C1149" i="11"/>
  <c r="C1150" i="11"/>
  <c r="C1151" i="11"/>
  <c r="C1152" i="11"/>
  <c r="C1153" i="11"/>
  <c r="C1154" i="11"/>
  <c r="C1155" i="11"/>
  <c r="C1156" i="11"/>
  <c r="C1157" i="11"/>
  <c r="C1158" i="11"/>
  <c r="C1159" i="11"/>
  <c r="C1160" i="11"/>
  <c r="C1161" i="11"/>
  <c r="C1162" i="11"/>
  <c r="C1163" i="11"/>
  <c r="C1164" i="11"/>
  <c r="C1165" i="11"/>
  <c r="C1166" i="11"/>
  <c r="C1167" i="11"/>
  <c r="C1168" i="11"/>
  <c r="C1169" i="11"/>
  <c r="C1170" i="11"/>
  <c r="C1171" i="11"/>
  <c r="C1172" i="11"/>
  <c r="C1173" i="11"/>
  <c r="C1174" i="11"/>
  <c r="C1175" i="11"/>
  <c r="C1176" i="11"/>
  <c r="C1177" i="11"/>
  <c r="C1178" i="11"/>
  <c r="C1179" i="11"/>
  <c r="C1180" i="11"/>
  <c r="C1181" i="11"/>
  <c r="C1182" i="11"/>
  <c r="C1183" i="11"/>
  <c r="C1184" i="11"/>
  <c r="C1185" i="11"/>
  <c r="C1186" i="11"/>
  <c r="C1187" i="11"/>
  <c r="C1188" i="11"/>
  <c r="C1189" i="11"/>
  <c r="C1190" i="11"/>
  <c r="C1191" i="11"/>
  <c r="C1192" i="11"/>
  <c r="C1193" i="11"/>
  <c r="C1194" i="11"/>
  <c r="C1195" i="11"/>
  <c r="C1196" i="11"/>
  <c r="C1197" i="11"/>
  <c r="C1198" i="11"/>
  <c r="C1199" i="11"/>
  <c r="C1200" i="11"/>
  <c r="C1201" i="11"/>
  <c r="C1202" i="11"/>
  <c r="C1203" i="11"/>
  <c r="C1204" i="11"/>
  <c r="C1205" i="11"/>
  <c r="C1206" i="11"/>
  <c r="C1207" i="11"/>
  <c r="C1208" i="11"/>
  <c r="C1209" i="11"/>
  <c r="C1210" i="11"/>
  <c r="C1211" i="11"/>
  <c r="C1212" i="11"/>
  <c r="C1213" i="11"/>
  <c r="C1214" i="11"/>
  <c r="C1215" i="11"/>
  <c r="C1216" i="11"/>
  <c r="C1217" i="11"/>
  <c r="C1218" i="11"/>
  <c r="C1219" i="11"/>
  <c r="C1220" i="11"/>
  <c r="C1221" i="11"/>
  <c r="C1222" i="11"/>
  <c r="C1223" i="11"/>
  <c r="C1224" i="11"/>
  <c r="C1225" i="11"/>
  <c r="C1226" i="11"/>
  <c r="C1227" i="11"/>
  <c r="C1228" i="11"/>
  <c r="C1229" i="11"/>
  <c r="C1230" i="11"/>
  <c r="C1231" i="11"/>
  <c r="C1232" i="11"/>
  <c r="C1233" i="11"/>
  <c r="C1234" i="11"/>
  <c r="C1235" i="11"/>
  <c r="C1236" i="11"/>
  <c r="C1237" i="11"/>
  <c r="C1238" i="11"/>
  <c r="C1239" i="11"/>
  <c r="C1240" i="11"/>
  <c r="C1241" i="11"/>
  <c r="C1242" i="11"/>
  <c r="C1243" i="11"/>
  <c r="C1244" i="11"/>
  <c r="C1245" i="11"/>
  <c r="C1246" i="11"/>
  <c r="C1247" i="11"/>
  <c r="C1248" i="11"/>
  <c r="C1249" i="11"/>
  <c r="C1250" i="11"/>
  <c r="C1251" i="11"/>
  <c r="C1252" i="11"/>
  <c r="C1253" i="11"/>
  <c r="C1254" i="11"/>
  <c r="C1255" i="11"/>
  <c r="C1256" i="11"/>
  <c r="C1257" i="11"/>
  <c r="C1258" i="11"/>
  <c r="C1259" i="11"/>
  <c r="C1260" i="11"/>
  <c r="C1261" i="11"/>
  <c r="C1262" i="11"/>
  <c r="C1263" i="11"/>
  <c r="C1264" i="11"/>
  <c r="C1265" i="11"/>
  <c r="C1266" i="11"/>
  <c r="C1267" i="11"/>
  <c r="C1268" i="11"/>
  <c r="C1269" i="11"/>
  <c r="C1270" i="11"/>
  <c r="C1271" i="11"/>
  <c r="C1272" i="11"/>
  <c r="C1273" i="11"/>
  <c r="C1274" i="11"/>
  <c r="C1275" i="11"/>
  <c r="C1276" i="11"/>
  <c r="C1277" i="11"/>
  <c r="C1278" i="11"/>
  <c r="C1279" i="11"/>
  <c r="C1280" i="11"/>
  <c r="C1281" i="11"/>
  <c r="C1282" i="11"/>
  <c r="C1283" i="11"/>
  <c r="C1284" i="11"/>
  <c r="C1285" i="11"/>
  <c r="C1286" i="11"/>
  <c r="C1287" i="11"/>
  <c r="C1288" i="11"/>
  <c r="C1289" i="11"/>
  <c r="C1290" i="11"/>
  <c r="C1291" i="11"/>
  <c r="C1292" i="11"/>
  <c r="C1293" i="11"/>
  <c r="C1294" i="11"/>
  <c r="C1295" i="11"/>
  <c r="C1296" i="11"/>
  <c r="C1297" i="11"/>
  <c r="C1298" i="11"/>
  <c r="C1299" i="11"/>
  <c r="C1300" i="11"/>
  <c r="C1301" i="11"/>
  <c r="C1302" i="11"/>
  <c r="C1303" i="11"/>
  <c r="C1304" i="11"/>
  <c r="C1305" i="11"/>
  <c r="C1306" i="11"/>
  <c r="C1307" i="11"/>
  <c r="C1308" i="11"/>
  <c r="C1309" i="11"/>
  <c r="C1310" i="11"/>
  <c r="C1311" i="11"/>
  <c r="C1312" i="11"/>
  <c r="C1313" i="11"/>
  <c r="C1314" i="11"/>
  <c r="C1315" i="11"/>
  <c r="C1316" i="11"/>
  <c r="C1317" i="11"/>
  <c r="C1318" i="11"/>
  <c r="C1319" i="11"/>
  <c r="C1320" i="11"/>
  <c r="C1321" i="11"/>
  <c r="C1322" i="11"/>
  <c r="C1323" i="11"/>
  <c r="C1324" i="11"/>
  <c r="C1325" i="11"/>
  <c r="C1326" i="11"/>
  <c r="C1327" i="11"/>
  <c r="C1328" i="11"/>
  <c r="C1329" i="11"/>
  <c r="C1330" i="11"/>
  <c r="C1331" i="11"/>
  <c r="C1332" i="11"/>
  <c r="C1333" i="11"/>
  <c r="C1334" i="11"/>
  <c r="C1335" i="11"/>
  <c r="C1336" i="11"/>
  <c r="C1337" i="11"/>
  <c r="C1338" i="11"/>
  <c r="C1339" i="11"/>
  <c r="C1340" i="11"/>
  <c r="C1341" i="11"/>
  <c r="C1342" i="11"/>
  <c r="C1343" i="11"/>
  <c r="C1344" i="11"/>
  <c r="C1345" i="11"/>
  <c r="C1346" i="11"/>
  <c r="C1347" i="11"/>
  <c r="C1348" i="11"/>
  <c r="C1349" i="11"/>
  <c r="C1350" i="11"/>
  <c r="C1351" i="11"/>
  <c r="C1352" i="11"/>
  <c r="C1353" i="11"/>
  <c r="C1354" i="11"/>
  <c r="C1355" i="11"/>
  <c r="C1356" i="11"/>
  <c r="C1357" i="11"/>
  <c r="C1358" i="11"/>
  <c r="C1359" i="11"/>
  <c r="C1360" i="11"/>
  <c r="C1361" i="11"/>
  <c r="C1362" i="11"/>
  <c r="C1363" i="11"/>
  <c r="C1364" i="11"/>
  <c r="C1365" i="11"/>
  <c r="C1366" i="11"/>
  <c r="C1367" i="11"/>
  <c r="C1368" i="11"/>
  <c r="C1369" i="11"/>
  <c r="C1370" i="11"/>
  <c r="C1371" i="11"/>
  <c r="C1372" i="11"/>
  <c r="C1373" i="11"/>
  <c r="C1374" i="11"/>
  <c r="C1375" i="11"/>
  <c r="C1376" i="11"/>
  <c r="C1377" i="11"/>
  <c r="C1378" i="11"/>
  <c r="C1379" i="11"/>
  <c r="C1380" i="11"/>
  <c r="C1381" i="11"/>
  <c r="C1382" i="11"/>
  <c r="C1383" i="11"/>
  <c r="C1384" i="11"/>
  <c r="C1385" i="11"/>
  <c r="C1386" i="11"/>
  <c r="C1387" i="11"/>
  <c r="C1388" i="11"/>
  <c r="C1389" i="11"/>
  <c r="C1390" i="11"/>
  <c r="C1391" i="11"/>
  <c r="C1392" i="11"/>
  <c r="C1393" i="11"/>
  <c r="C1394" i="11"/>
  <c r="C1395" i="11"/>
  <c r="C1396" i="11"/>
  <c r="C1397" i="11"/>
  <c r="C1398" i="11"/>
  <c r="C1399" i="11"/>
  <c r="C1400" i="11"/>
  <c r="C1401" i="11"/>
  <c r="C1402" i="11"/>
  <c r="C1403" i="11"/>
  <c r="C1404" i="11"/>
  <c r="C1405" i="11"/>
  <c r="C1406" i="11"/>
  <c r="C1407" i="11"/>
  <c r="C1408" i="11"/>
  <c r="C1409" i="11"/>
  <c r="C1410" i="11"/>
  <c r="C1411" i="11"/>
  <c r="C1412" i="11"/>
  <c r="C1413" i="11"/>
  <c r="C1414" i="11"/>
  <c r="C1415" i="11"/>
  <c r="C1416" i="11"/>
  <c r="C1417" i="11"/>
  <c r="C1418" i="11"/>
  <c r="C1419" i="11"/>
  <c r="C1420" i="11"/>
  <c r="C1421" i="11"/>
  <c r="C1422" i="11"/>
  <c r="C1423" i="11"/>
  <c r="C1424" i="11"/>
  <c r="C1425" i="11"/>
  <c r="C1426" i="11"/>
  <c r="C1427" i="11"/>
  <c r="C1428" i="11"/>
  <c r="C1429" i="11"/>
  <c r="C1430" i="11"/>
  <c r="C1431" i="11"/>
  <c r="C1432" i="11"/>
  <c r="C1433" i="11"/>
  <c r="C1434" i="11"/>
  <c r="C1435" i="11"/>
  <c r="C1436" i="11"/>
  <c r="C1437" i="11"/>
  <c r="C1438" i="11"/>
  <c r="C1439" i="11"/>
  <c r="C1440" i="11"/>
  <c r="C1441" i="11"/>
  <c r="C1442" i="11"/>
  <c r="C1443" i="11"/>
  <c r="C1444" i="11"/>
  <c r="C1445" i="11"/>
  <c r="C1446" i="11"/>
  <c r="C1447" i="11"/>
  <c r="C1448" i="11"/>
  <c r="C1449" i="11"/>
  <c r="C1450" i="11"/>
  <c r="C1451" i="11"/>
  <c r="C1452" i="11"/>
  <c r="C1453" i="11"/>
  <c r="C1454" i="11"/>
  <c r="C1455" i="11"/>
  <c r="C1456" i="11"/>
  <c r="C1457" i="11"/>
  <c r="C1458" i="11"/>
  <c r="C1459" i="11"/>
  <c r="C1460" i="11"/>
  <c r="C1461" i="11"/>
  <c r="C1462" i="11"/>
  <c r="C1463" i="11"/>
  <c r="C1464" i="11"/>
  <c r="C1465" i="11"/>
  <c r="C1466" i="11"/>
  <c r="C1467" i="11"/>
  <c r="C1468" i="11"/>
  <c r="C1469" i="11"/>
  <c r="C1470" i="11"/>
  <c r="C1471" i="11"/>
  <c r="C1472" i="11"/>
  <c r="C1473" i="11"/>
  <c r="C1474" i="11"/>
  <c r="C1475" i="11"/>
  <c r="C1476" i="11"/>
  <c r="C1477" i="11"/>
  <c r="C1478" i="11"/>
  <c r="C1479" i="11"/>
  <c r="C1480" i="11"/>
  <c r="C1481" i="11"/>
  <c r="C1482" i="11"/>
  <c r="C1483" i="11"/>
  <c r="C1484" i="11"/>
  <c r="C1485" i="11"/>
  <c r="C1486" i="11"/>
  <c r="C1487" i="11"/>
  <c r="C1488" i="11"/>
  <c r="C1489" i="11"/>
  <c r="C1490" i="11"/>
  <c r="C1491" i="11"/>
  <c r="C1492" i="11"/>
  <c r="C1493" i="11"/>
  <c r="C1494" i="11"/>
  <c r="C1495" i="11"/>
  <c r="C1496" i="11"/>
  <c r="C1497" i="11"/>
  <c r="C1498" i="11"/>
  <c r="C1499" i="11"/>
  <c r="C1500" i="11"/>
  <c r="C1501" i="11"/>
  <c r="C1502" i="11"/>
  <c r="C1503" i="11"/>
  <c r="C1504" i="11"/>
  <c r="C1505" i="11"/>
  <c r="C1506" i="11"/>
  <c r="C1507" i="11"/>
  <c r="C1508" i="11"/>
  <c r="C1509" i="11"/>
  <c r="C1510" i="11"/>
  <c r="C1511" i="11"/>
  <c r="C1512" i="11"/>
  <c r="C1513" i="11"/>
  <c r="C1514" i="11"/>
  <c r="C1515" i="11"/>
  <c r="C1516" i="11"/>
  <c r="C1517" i="11"/>
  <c r="C1518" i="11"/>
  <c r="C1519" i="11"/>
  <c r="C1520" i="11"/>
  <c r="C1521" i="11"/>
  <c r="C1522" i="11"/>
  <c r="C1523" i="11"/>
  <c r="C1524" i="11"/>
  <c r="C1525" i="11"/>
  <c r="C1526" i="11"/>
  <c r="C1527" i="11"/>
  <c r="C1528" i="11"/>
  <c r="C1529" i="11"/>
  <c r="C1530" i="11"/>
  <c r="C1531" i="11"/>
  <c r="C1532" i="11"/>
  <c r="C1533" i="11"/>
  <c r="C1534" i="11"/>
  <c r="C1535" i="11"/>
  <c r="C1536" i="11"/>
  <c r="C1537" i="11"/>
  <c r="C1538" i="11"/>
  <c r="C1539" i="11"/>
  <c r="C1540" i="11"/>
  <c r="C1541" i="11"/>
  <c r="C1542" i="11"/>
  <c r="C1543" i="11"/>
  <c r="C1544" i="11"/>
  <c r="C1545" i="11"/>
  <c r="C1546" i="11"/>
  <c r="C1547" i="11"/>
  <c r="C1548" i="11"/>
  <c r="C1549" i="11"/>
  <c r="C1550" i="11"/>
  <c r="C1551" i="11"/>
  <c r="C1552" i="11"/>
  <c r="C1553" i="11"/>
  <c r="C1554" i="11"/>
  <c r="C1555" i="11"/>
  <c r="C1556" i="11"/>
  <c r="C1557" i="11"/>
  <c r="C1558" i="11"/>
  <c r="C1559" i="11"/>
  <c r="C1560" i="11"/>
  <c r="C1561" i="11"/>
  <c r="C1562" i="11"/>
  <c r="C1563" i="11"/>
  <c r="C1564" i="11"/>
  <c r="C1565" i="11"/>
  <c r="C1566" i="11"/>
  <c r="C1567" i="11"/>
  <c r="C1568" i="11"/>
  <c r="C1569" i="11"/>
  <c r="C1570" i="11"/>
  <c r="C1571" i="11"/>
  <c r="C1572" i="11"/>
  <c r="C1573" i="11"/>
  <c r="C1574" i="11"/>
  <c r="C1575" i="11"/>
  <c r="C1576" i="11"/>
  <c r="C1577" i="11"/>
  <c r="C1578" i="11"/>
  <c r="C1579" i="11"/>
  <c r="C1580" i="11"/>
  <c r="C1581" i="11"/>
  <c r="C1582" i="11"/>
  <c r="C1583" i="11"/>
  <c r="C1584" i="11"/>
  <c r="C1585" i="11"/>
  <c r="C1586" i="11"/>
  <c r="C1587" i="11"/>
  <c r="C1588" i="11"/>
  <c r="C1589" i="11"/>
  <c r="C1590" i="11"/>
  <c r="C1591" i="11"/>
  <c r="C1592" i="11"/>
  <c r="C1593" i="11"/>
  <c r="C1594" i="11"/>
  <c r="C1595" i="11"/>
  <c r="C1596" i="11"/>
  <c r="C1597" i="11"/>
  <c r="C1598" i="11"/>
  <c r="C1599" i="11"/>
  <c r="C1600" i="11"/>
  <c r="C1601" i="11"/>
  <c r="C1602" i="11"/>
  <c r="C1603" i="11"/>
  <c r="C1604" i="11"/>
  <c r="C1605" i="11"/>
  <c r="C1606" i="11"/>
  <c r="C1607" i="11"/>
  <c r="C1608" i="11"/>
  <c r="C1609" i="11"/>
  <c r="C1610" i="11"/>
  <c r="C1611" i="11"/>
  <c r="C1612" i="11"/>
  <c r="C1613" i="11"/>
  <c r="C1614" i="11"/>
  <c r="C1615" i="11"/>
  <c r="C1616" i="11"/>
  <c r="C1617" i="11"/>
  <c r="C1618" i="11"/>
  <c r="C1619" i="11"/>
  <c r="C1620" i="11"/>
  <c r="C1621" i="11"/>
  <c r="C1622" i="11"/>
  <c r="C1623" i="11"/>
  <c r="C1624" i="11"/>
  <c r="C1625" i="11"/>
  <c r="C1626" i="11"/>
  <c r="C1627" i="11"/>
  <c r="C1628" i="11"/>
  <c r="C1629" i="11"/>
  <c r="C1630" i="11"/>
  <c r="C1631" i="11"/>
  <c r="C1632" i="11"/>
  <c r="C1633" i="11"/>
  <c r="C1634" i="11"/>
  <c r="C1635" i="11"/>
  <c r="C1636" i="11"/>
  <c r="C1637" i="11"/>
  <c r="C1638" i="11"/>
  <c r="C1639" i="11"/>
  <c r="C1640" i="11"/>
  <c r="C1641" i="11"/>
  <c r="C1642" i="11"/>
  <c r="C1643" i="11"/>
  <c r="C1644" i="11"/>
  <c r="C1645" i="11"/>
  <c r="C1646" i="11"/>
  <c r="C1647" i="11"/>
  <c r="C1648" i="11"/>
  <c r="C1649" i="11"/>
  <c r="C1650" i="11"/>
  <c r="C1651" i="11"/>
  <c r="C1652" i="11"/>
  <c r="C1653" i="11"/>
  <c r="C1654" i="11"/>
  <c r="C1655" i="11"/>
  <c r="C1656" i="11"/>
  <c r="C1657" i="11"/>
  <c r="C1658" i="11"/>
  <c r="C1659" i="11"/>
  <c r="C1660" i="11"/>
  <c r="C1661" i="11"/>
  <c r="C1662" i="11"/>
  <c r="C1663" i="11"/>
  <c r="C1664" i="11"/>
  <c r="C1665" i="11"/>
  <c r="C1666" i="11"/>
  <c r="C1667" i="11"/>
  <c r="C1668" i="11"/>
  <c r="C1669" i="11"/>
  <c r="C1670" i="11"/>
  <c r="C1671" i="11"/>
  <c r="C1672" i="11"/>
  <c r="C1673" i="11"/>
  <c r="C1674" i="11"/>
  <c r="C1675" i="11"/>
  <c r="C1676" i="11"/>
  <c r="C1677" i="11"/>
  <c r="C1678" i="11"/>
  <c r="C1679" i="11"/>
  <c r="C1680" i="11"/>
  <c r="C1681" i="11"/>
  <c r="C1682" i="11"/>
  <c r="C1683" i="11"/>
  <c r="C1684" i="11"/>
  <c r="C1685" i="11"/>
  <c r="C1686" i="11"/>
  <c r="C1687" i="11"/>
  <c r="C1688" i="11"/>
  <c r="C1689" i="11"/>
  <c r="C1690" i="11"/>
  <c r="C1691" i="11"/>
  <c r="C1692" i="11"/>
  <c r="C1693" i="11"/>
  <c r="C1694" i="11"/>
  <c r="C1695" i="11"/>
  <c r="C1696" i="11"/>
  <c r="C1697" i="11"/>
  <c r="C1698" i="11"/>
  <c r="C1699" i="11"/>
  <c r="C1700" i="11"/>
  <c r="C1701" i="11"/>
  <c r="C1702" i="11"/>
  <c r="C1703" i="11"/>
  <c r="C1704" i="11"/>
  <c r="C1705" i="11"/>
  <c r="C1706" i="11"/>
  <c r="C1707" i="11"/>
  <c r="C1708" i="11"/>
  <c r="C1709" i="11"/>
  <c r="C1710" i="11"/>
  <c r="C1711" i="11"/>
  <c r="C1712" i="11"/>
  <c r="C1713" i="11"/>
  <c r="C1714" i="11"/>
  <c r="C1715" i="11"/>
  <c r="C1716" i="11"/>
  <c r="C1717" i="11"/>
  <c r="C1718" i="11"/>
  <c r="C1719" i="11"/>
  <c r="C1720" i="11"/>
  <c r="C1721" i="11"/>
  <c r="C1722" i="11"/>
  <c r="C1723" i="11"/>
  <c r="C1724" i="11"/>
  <c r="C1725" i="11"/>
  <c r="C1726" i="11"/>
  <c r="C1727" i="11"/>
  <c r="C1728" i="11"/>
  <c r="C1729" i="11"/>
  <c r="C1730" i="11"/>
  <c r="C1731" i="11"/>
  <c r="C1732" i="11"/>
  <c r="C1733" i="11"/>
  <c r="C1734" i="11"/>
  <c r="C1735" i="11"/>
  <c r="C1736" i="11"/>
  <c r="C1737" i="11"/>
  <c r="C1738" i="11"/>
  <c r="C1739" i="11"/>
  <c r="C1740" i="11"/>
  <c r="C1741" i="11"/>
  <c r="C1742" i="11"/>
  <c r="C1743" i="11"/>
  <c r="C1744" i="11"/>
  <c r="C1745" i="11"/>
  <c r="C1746" i="11"/>
  <c r="C1747" i="11"/>
  <c r="C1748" i="11"/>
  <c r="C1749" i="11"/>
  <c r="C1750" i="11"/>
  <c r="C1751" i="11"/>
  <c r="C1752" i="11"/>
  <c r="C1753" i="11"/>
  <c r="C1754" i="11"/>
  <c r="C1755" i="11"/>
  <c r="C1756" i="11"/>
  <c r="C1757" i="11"/>
  <c r="C1758" i="11"/>
  <c r="C1759" i="11"/>
  <c r="C1760" i="11"/>
  <c r="C1761" i="11"/>
  <c r="C1762" i="11"/>
  <c r="C1763" i="11"/>
  <c r="C1764" i="11"/>
  <c r="C1765" i="11"/>
  <c r="C1766" i="11"/>
  <c r="C1767" i="11"/>
  <c r="C1768" i="11"/>
  <c r="C1769" i="11"/>
  <c r="C1770" i="11"/>
  <c r="C1771" i="11"/>
  <c r="C1772" i="11"/>
  <c r="C1773" i="11"/>
  <c r="C1774" i="11"/>
  <c r="C1775" i="11"/>
  <c r="C1776" i="11"/>
  <c r="C1777" i="11"/>
  <c r="C1778" i="11"/>
  <c r="C1779" i="11"/>
  <c r="C1780" i="11"/>
  <c r="C1781" i="11"/>
  <c r="C1782" i="11"/>
  <c r="C1783" i="11"/>
  <c r="C1784" i="11"/>
  <c r="C1785" i="11"/>
  <c r="C1786" i="11"/>
  <c r="C1787" i="11"/>
  <c r="C1788" i="11"/>
  <c r="C1789" i="11"/>
  <c r="C1790" i="11"/>
  <c r="C1791" i="11"/>
  <c r="C1792" i="11"/>
  <c r="C1793" i="11"/>
  <c r="C1794" i="11"/>
  <c r="C1795" i="11"/>
  <c r="C1796" i="11"/>
  <c r="C1797" i="11"/>
  <c r="C1798" i="11"/>
  <c r="C1799" i="11"/>
  <c r="C1800" i="11"/>
  <c r="C1801" i="11"/>
  <c r="C1802" i="11"/>
  <c r="C1803" i="11"/>
  <c r="C1804" i="11"/>
  <c r="C1805" i="11"/>
  <c r="C1806" i="11"/>
  <c r="C1807" i="11"/>
  <c r="C1808" i="11"/>
  <c r="C1809" i="11"/>
  <c r="C1810" i="11"/>
  <c r="C1811" i="11"/>
  <c r="C1812" i="11"/>
  <c r="C1813" i="11"/>
  <c r="C1814" i="11"/>
  <c r="C1815" i="11"/>
  <c r="C1816" i="11"/>
  <c r="C1817" i="11"/>
  <c r="C1818" i="11"/>
  <c r="C1819" i="11"/>
  <c r="C1820" i="11"/>
  <c r="C1821" i="11"/>
  <c r="C1822" i="11"/>
  <c r="C1823" i="11"/>
  <c r="C1824" i="11"/>
  <c r="C1825" i="11"/>
  <c r="C1826" i="11"/>
  <c r="C1827" i="11"/>
  <c r="C1828" i="11"/>
  <c r="C1829" i="11"/>
  <c r="C1830" i="11"/>
  <c r="C1831" i="11"/>
  <c r="C1832" i="11"/>
  <c r="C1833" i="11"/>
  <c r="C1834" i="11"/>
  <c r="C1835" i="11"/>
  <c r="C1836" i="11"/>
  <c r="C1837" i="11"/>
  <c r="C1838" i="11"/>
  <c r="C1839" i="11"/>
  <c r="C1840" i="11"/>
  <c r="C1841" i="11"/>
  <c r="C1842" i="11"/>
  <c r="C1843" i="11"/>
  <c r="C1844" i="11"/>
  <c r="C1845" i="11"/>
  <c r="C1846" i="11"/>
  <c r="C1847" i="11"/>
  <c r="C1848" i="11"/>
  <c r="C1849" i="11"/>
  <c r="C1850" i="11"/>
  <c r="C1851" i="11"/>
  <c r="C1852" i="11"/>
  <c r="C1853" i="11"/>
  <c r="C1854" i="11"/>
  <c r="C1855" i="11"/>
  <c r="C1856" i="11"/>
  <c r="C1857" i="11"/>
  <c r="C1858" i="11"/>
  <c r="C1859" i="11"/>
  <c r="C1860" i="11"/>
  <c r="C1861" i="11"/>
  <c r="C1862" i="11"/>
  <c r="C1863" i="11"/>
  <c r="C1864" i="11"/>
  <c r="C1865" i="11"/>
  <c r="C1866" i="11"/>
  <c r="C1867" i="11"/>
  <c r="C1868" i="11"/>
  <c r="C1869" i="11"/>
  <c r="C1870" i="11"/>
  <c r="C1871" i="11"/>
  <c r="C1872" i="11"/>
  <c r="C1873" i="11"/>
  <c r="C1874" i="11"/>
  <c r="C1875" i="11"/>
  <c r="C1876" i="11"/>
  <c r="C1877" i="11"/>
  <c r="C1878" i="11"/>
  <c r="C1879" i="11"/>
  <c r="C1880" i="11"/>
  <c r="C1881" i="11"/>
  <c r="C1882" i="11"/>
  <c r="C1883" i="11"/>
  <c r="C1884" i="11"/>
  <c r="C1885" i="11"/>
  <c r="C1886" i="11"/>
  <c r="C1887" i="11"/>
  <c r="C1888" i="11"/>
  <c r="C1889" i="11"/>
  <c r="C1890" i="11"/>
  <c r="C1891" i="11"/>
  <c r="C1892" i="11"/>
  <c r="C1893" i="11"/>
  <c r="C1894" i="11"/>
  <c r="C1895" i="11"/>
  <c r="C1896" i="11"/>
  <c r="C1897" i="11"/>
  <c r="C1898" i="11"/>
  <c r="C1899" i="11"/>
  <c r="C1900" i="11"/>
  <c r="C1901" i="11"/>
  <c r="C1902" i="11"/>
  <c r="C1903" i="11"/>
  <c r="C1904" i="11"/>
  <c r="C1905" i="11"/>
  <c r="C1906" i="11"/>
  <c r="C1907" i="11"/>
  <c r="C1908" i="11"/>
  <c r="C1909" i="11"/>
  <c r="C1910" i="11"/>
  <c r="C1911" i="11"/>
  <c r="C1912" i="11"/>
  <c r="C1913" i="11"/>
  <c r="C1914" i="11"/>
  <c r="C1915" i="11"/>
  <c r="C1916" i="11"/>
  <c r="C1917" i="11"/>
  <c r="C1918" i="11"/>
  <c r="C1919" i="11"/>
  <c r="C1920" i="11"/>
  <c r="C1921" i="11"/>
  <c r="C1922" i="11"/>
  <c r="C1923" i="11"/>
  <c r="C1924" i="11"/>
  <c r="C1925" i="11"/>
  <c r="C1926" i="11"/>
  <c r="C1927" i="11"/>
  <c r="C1928" i="11"/>
  <c r="C1929" i="11"/>
  <c r="C1930" i="11"/>
  <c r="C1931" i="11"/>
  <c r="C1932" i="11"/>
  <c r="C1933" i="11"/>
  <c r="C1934" i="11"/>
  <c r="C1935" i="11"/>
  <c r="C1936" i="11"/>
  <c r="C1937" i="11"/>
  <c r="C1938" i="11"/>
  <c r="C1939" i="11"/>
  <c r="C1940" i="11"/>
  <c r="C1941" i="11"/>
  <c r="C1942" i="11"/>
  <c r="C1943" i="11"/>
  <c r="C1944" i="11"/>
  <c r="C1945" i="11"/>
  <c r="C1946" i="11"/>
  <c r="C1947" i="11"/>
  <c r="C1948" i="11"/>
  <c r="C1949" i="11"/>
  <c r="C1950" i="11"/>
  <c r="C1951" i="11"/>
  <c r="C1952" i="11"/>
  <c r="C1953" i="11"/>
  <c r="C1954" i="11"/>
  <c r="C1955" i="11"/>
  <c r="C1956" i="11"/>
  <c r="C1957" i="11"/>
  <c r="C1958" i="11"/>
  <c r="C1959" i="11"/>
  <c r="C1960" i="11"/>
  <c r="C1961" i="11"/>
  <c r="C1962" i="11"/>
  <c r="C1963" i="11"/>
  <c r="C1964" i="11"/>
  <c r="C1965" i="11"/>
  <c r="C1966" i="11"/>
  <c r="C1967" i="11"/>
  <c r="C1968" i="11"/>
  <c r="C1969" i="11"/>
  <c r="C1970" i="11"/>
  <c r="C1971" i="11"/>
  <c r="C1972" i="11"/>
  <c r="C1973" i="11"/>
  <c r="C1974" i="11"/>
  <c r="C1975" i="11"/>
  <c r="C1976" i="11"/>
  <c r="C1977" i="11"/>
  <c r="C1978" i="11"/>
  <c r="C1979" i="11"/>
  <c r="C1980" i="11"/>
  <c r="C1981" i="11"/>
  <c r="C1982" i="11"/>
  <c r="C1983" i="11"/>
  <c r="C1984" i="11"/>
  <c r="C1985" i="11"/>
  <c r="C1986" i="11"/>
  <c r="C1987" i="11"/>
  <c r="C1988" i="11"/>
  <c r="C1989" i="11"/>
  <c r="C1990" i="11"/>
  <c r="C1991" i="11"/>
  <c r="C1992" i="11"/>
  <c r="C1993" i="11"/>
  <c r="C1994" i="11"/>
  <c r="C1995" i="11"/>
  <c r="C1996" i="11"/>
  <c r="C1997" i="11"/>
  <c r="C1998" i="11"/>
  <c r="C1999" i="11"/>
  <c r="C2000" i="11"/>
  <c r="C2001" i="11"/>
  <c r="C2002" i="11"/>
  <c r="C2003" i="11"/>
  <c r="C2004" i="11"/>
  <c r="C2005" i="11"/>
  <c r="C2006" i="11"/>
  <c r="C2007" i="11"/>
  <c r="C2008" i="11"/>
  <c r="C2009" i="11"/>
  <c r="C2010" i="11"/>
  <c r="C2011" i="11"/>
  <c r="C2012" i="11"/>
  <c r="C2013" i="11"/>
  <c r="C2014" i="11"/>
  <c r="C2015" i="11"/>
  <c r="C2016" i="11"/>
  <c r="C2017" i="11"/>
  <c r="C2018" i="11"/>
  <c r="C2019" i="11"/>
  <c r="C2020" i="11"/>
  <c r="C2021" i="11"/>
  <c r="C2022" i="11"/>
  <c r="C2023" i="11"/>
  <c r="C2024" i="11"/>
  <c r="C2025" i="11"/>
  <c r="C2026" i="11"/>
  <c r="C2027" i="11"/>
  <c r="C2028" i="11"/>
  <c r="C2029" i="11"/>
  <c r="C2030" i="11"/>
  <c r="C2031" i="11"/>
  <c r="C2032" i="11"/>
  <c r="C2033" i="11"/>
  <c r="C2034" i="11"/>
  <c r="C2035" i="11"/>
  <c r="C2036" i="11"/>
  <c r="C2037" i="11"/>
  <c r="C2038" i="11"/>
  <c r="C2039" i="11"/>
  <c r="C2040" i="11"/>
  <c r="C2041" i="11"/>
  <c r="C2042" i="11"/>
  <c r="C2043" i="11"/>
  <c r="C2044" i="11"/>
  <c r="C2045" i="11"/>
  <c r="C2046" i="11"/>
  <c r="C2047" i="11"/>
  <c r="C2048" i="11"/>
  <c r="C2049" i="11"/>
  <c r="C2050" i="11"/>
  <c r="C2051" i="11"/>
  <c r="C2052" i="11"/>
  <c r="C2053" i="11"/>
  <c r="C2054" i="11"/>
  <c r="C2055" i="11"/>
  <c r="C2056" i="11"/>
  <c r="C2057" i="11"/>
  <c r="C2058" i="11"/>
  <c r="C2059" i="11"/>
  <c r="C2060" i="11"/>
  <c r="C2061" i="11"/>
  <c r="C2062" i="11"/>
  <c r="C2063" i="11"/>
  <c r="C2064" i="11"/>
  <c r="C2065" i="11"/>
  <c r="C2066" i="11"/>
  <c r="C2067" i="11"/>
  <c r="C2068" i="11"/>
  <c r="C2069" i="11"/>
  <c r="C2070" i="11"/>
  <c r="C2071" i="11"/>
  <c r="C2072" i="11"/>
  <c r="C2073" i="11"/>
  <c r="C2074" i="11"/>
  <c r="C2075" i="11"/>
  <c r="C2076" i="11"/>
  <c r="C2077" i="11"/>
  <c r="C2078" i="11"/>
  <c r="C2079" i="11"/>
  <c r="C2080" i="11"/>
  <c r="C2081" i="11"/>
  <c r="C2082" i="11"/>
  <c r="C2083" i="11"/>
  <c r="C2084" i="11"/>
  <c r="C2085" i="11"/>
  <c r="C2086" i="11"/>
  <c r="C2087" i="11"/>
  <c r="C2088" i="11"/>
  <c r="C2089" i="11"/>
  <c r="C2090" i="11"/>
  <c r="C2091" i="11"/>
  <c r="C2092" i="11"/>
  <c r="C2093" i="11"/>
  <c r="C2094" i="11"/>
  <c r="C2095" i="11"/>
  <c r="C2096" i="11"/>
  <c r="C2097" i="11"/>
  <c r="C2098" i="11"/>
  <c r="C2099" i="11"/>
  <c r="C2100" i="11"/>
  <c r="C2101" i="11"/>
  <c r="C2102" i="11"/>
  <c r="C2103" i="11"/>
  <c r="C2104" i="11"/>
  <c r="C2105" i="11"/>
  <c r="C2106" i="11"/>
  <c r="C2107" i="11"/>
  <c r="C2108" i="11"/>
  <c r="C2109" i="11"/>
  <c r="C2110" i="11"/>
  <c r="C2111" i="11"/>
  <c r="C2112" i="11"/>
  <c r="C2113" i="11"/>
  <c r="C2114" i="11"/>
  <c r="C2115" i="11"/>
  <c r="C2116" i="11"/>
  <c r="C2117" i="11"/>
  <c r="C2118" i="11"/>
  <c r="C2119" i="11"/>
  <c r="C2120" i="11"/>
  <c r="C2121" i="11"/>
  <c r="C2122" i="11"/>
  <c r="C2123" i="11"/>
  <c r="C2124" i="11"/>
  <c r="C2125" i="11"/>
  <c r="C2126" i="11"/>
  <c r="C2127" i="11"/>
  <c r="C2128" i="11"/>
  <c r="C2129" i="11"/>
  <c r="C2130" i="11"/>
  <c r="C2131" i="11"/>
  <c r="C2132" i="11"/>
  <c r="C2133" i="11"/>
  <c r="C2134" i="11"/>
  <c r="C2135" i="11"/>
  <c r="C2136" i="11"/>
  <c r="C2137" i="11"/>
  <c r="C2138" i="11"/>
  <c r="C2139" i="11"/>
  <c r="C2140" i="11"/>
  <c r="C2141" i="11"/>
  <c r="C2142" i="11"/>
  <c r="C2143" i="11"/>
  <c r="C2144" i="11"/>
  <c r="C2145" i="11"/>
  <c r="C2146" i="11"/>
  <c r="C2147" i="11"/>
  <c r="C2148" i="11"/>
  <c r="C2149" i="11"/>
  <c r="C2150" i="11"/>
  <c r="C2151" i="11"/>
  <c r="C2152" i="11"/>
  <c r="C2153" i="11"/>
  <c r="C2154" i="11"/>
  <c r="C2155" i="11"/>
  <c r="C2156" i="11"/>
  <c r="C2157" i="11"/>
  <c r="C2158" i="11"/>
  <c r="C2159" i="11"/>
  <c r="C2160" i="11"/>
  <c r="C2161" i="11"/>
  <c r="C2162" i="11"/>
  <c r="C2163" i="11"/>
  <c r="C2164" i="11"/>
  <c r="C2165" i="11"/>
  <c r="C2166" i="11"/>
  <c r="C2167" i="11"/>
  <c r="C2168" i="11"/>
  <c r="C2169" i="11"/>
  <c r="C2170" i="11"/>
  <c r="C2171" i="11"/>
  <c r="C2172" i="11"/>
  <c r="C2173" i="11"/>
  <c r="C2174" i="11"/>
  <c r="C2175" i="11"/>
  <c r="C2176" i="11"/>
  <c r="C2177" i="11"/>
  <c r="C2178" i="11"/>
  <c r="C2179" i="11"/>
  <c r="C2180" i="11"/>
  <c r="C2181" i="11"/>
  <c r="C2182" i="11"/>
  <c r="C2183" i="11"/>
  <c r="C2184" i="11"/>
  <c r="C2185" i="11"/>
  <c r="C2186" i="11"/>
  <c r="C2187" i="11"/>
  <c r="C2188" i="11"/>
  <c r="C2189" i="11"/>
  <c r="C2190" i="11"/>
  <c r="C2191" i="11"/>
  <c r="C2192" i="11"/>
  <c r="C2193" i="11"/>
  <c r="C2194" i="11"/>
  <c r="C2195" i="11"/>
  <c r="C2196" i="11"/>
  <c r="C2197" i="11"/>
  <c r="C2198" i="11"/>
  <c r="C2199" i="11"/>
  <c r="C2200" i="11"/>
  <c r="C2201" i="11"/>
  <c r="C2202" i="11"/>
  <c r="C2203" i="11"/>
  <c r="C2204" i="11"/>
  <c r="C2205" i="11"/>
  <c r="C2206" i="11"/>
  <c r="C2207" i="11"/>
  <c r="C2208" i="11"/>
  <c r="C2209" i="11"/>
  <c r="C2210" i="11"/>
  <c r="C2211" i="11"/>
  <c r="C2212" i="11"/>
  <c r="C2213" i="11"/>
  <c r="C2214" i="11"/>
  <c r="C2215" i="11"/>
  <c r="C2216" i="11"/>
  <c r="C2217" i="11"/>
  <c r="C2218" i="11"/>
  <c r="C2219" i="11"/>
  <c r="C2220" i="11"/>
  <c r="C2221" i="11"/>
  <c r="C2222" i="11"/>
  <c r="C2223" i="11"/>
  <c r="C2224" i="11"/>
  <c r="C2225" i="11"/>
  <c r="C2226" i="11"/>
  <c r="C2227" i="11"/>
  <c r="C2228" i="11"/>
  <c r="C2229" i="11"/>
  <c r="C2230" i="11"/>
  <c r="C2231" i="11"/>
  <c r="C2232" i="11"/>
  <c r="C2233" i="11"/>
  <c r="C2234" i="11"/>
  <c r="C2235" i="11"/>
  <c r="C2236" i="11"/>
  <c r="C2237" i="11"/>
  <c r="C2238" i="11"/>
  <c r="C2239" i="11"/>
  <c r="C2240" i="11"/>
  <c r="C2241" i="11"/>
  <c r="C2242" i="11"/>
  <c r="C2243" i="11"/>
  <c r="C2244" i="11"/>
  <c r="C2245" i="11"/>
  <c r="C2246" i="11"/>
  <c r="C2247" i="11"/>
  <c r="C2248" i="11"/>
  <c r="C2249" i="11"/>
  <c r="C2250" i="11"/>
  <c r="C2251" i="11"/>
  <c r="C2252" i="11"/>
  <c r="C2253" i="11"/>
  <c r="C2254" i="11"/>
  <c r="C2255" i="11"/>
  <c r="C2256" i="11"/>
  <c r="C2257" i="11"/>
  <c r="C2258" i="11"/>
  <c r="C2259" i="11"/>
  <c r="C2260" i="11"/>
  <c r="C2261" i="11"/>
  <c r="C2262" i="11"/>
  <c r="C2263" i="11"/>
  <c r="C2264" i="11"/>
  <c r="C2265" i="11"/>
  <c r="C2266" i="11"/>
  <c r="C2267" i="11"/>
  <c r="C2268" i="11"/>
  <c r="C2269" i="11"/>
  <c r="C2270" i="11"/>
  <c r="C2271" i="11"/>
  <c r="C2272" i="11"/>
  <c r="C2273" i="11"/>
  <c r="C2274" i="11"/>
  <c r="C2275" i="11"/>
  <c r="C2276" i="11"/>
  <c r="C2277" i="11"/>
  <c r="C2278" i="11"/>
  <c r="C2279" i="11"/>
  <c r="C2280" i="11"/>
  <c r="C2281" i="11"/>
  <c r="C2282" i="11"/>
  <c r="C2283" i="11"/>
  <c r="C2284" i="11"/>
  <c r="C2285" i="11"/>
  <c r="C2286" i="11"/>
  <c r="C2287" i="11"/>
  <c r="C2288" i="11"/>
  <c r="C2289" i="11"/>
  <c r="C2290" i="11"/>
  <c r="C2291" i="11"/>
  <c r="C2292" i="11"/>
  <c r="C2293" i="11"/>
  <c r="C2294" i="11"/>
  <c r="C2295" i="11"/>
  <c r="C2296" i="11"/>
  <c r="C2297" i="11"/>
  <c r="C2298" i="11"/>
  <c r="C2299" i="11"/>
  <c r="C2300" i="11"/>
  <c r="C2301" i="11"/>
  <c r="C2302" i="11"/>
  <c r="C2303" i="11"/>
  <c r="C2304" i="11"/>
  <c r="C2305" i="11"/>
  <c r="C2306" i="11"/>
  <c r="C2307" i="11"/>
  <c r="C2308" i="11"/>
  <c r="C2309" i="11"/>
  <c r="C2310" i="11"/>
  <c r="C2311" i="11"/>
  <c r="C2312" i="11"/>
  <c r="C2313" i="11"/>
  <c r="C2314" i="11"/>
  <c r="C2315" i="11"/>
  <c r="C2316" i="11"/>
  <c r="C2317" i="11"/>
  <c r="C2318" i="11"/>
  <c r="C2319" i="11"/>
  <c r="C2320" i="11"/>
  <c r="C2321" i="11"/>
  <c r="C2322" i="11"/>
  <c r="C2323" i="11"/>
  <c r="C2324" i="11"/>
  <c r="C2325" i="11"/>
  <c r="C2326" i="11"/>
  <c r="C2327" i="11"/>
  <c r="C2328" i="11"/>
  <c r="C2329" i="11"/>
  <c r="C2330" i="11"/>
  <c r="C2331" i="11"/>
  <c r="C2332" i="11"/>
  <c r="C2333" i="11"/>
  <c r="C2334" i="11"/>
  <c r="C2335" i="11"/>
  <c r="C2336" i="11"/>
  <c r="C2337" i="11"/>
  <c r="C2338" i="11"/>
  <c r="C2339" i="11"/>
  <c r="C2340" i="11"/>
  <c r="C2341" i="11"/>
  <c r="C2342" i="11"/>
  <c r="C2343" i="11"/>
  <c r="C2344" i="11"/>
  <c r="C2345" i="11"/>
  <c r="C2346" i="11"/>
  <c r="C2347" i="11"/>
  <c r="C2348" i="11"/>
  <c r="C2349" i="11"/>
  <c r="C2350" i="11"/>
  <c r="C2351" i="11"/>
  <c r="C2352" i="11"/>
  <c r="C2353" i="11"/>
  <c r="C2354" i="11"/>
  <c r="C2355" i="11"/>
  <c r="C2356" i="11"/>
  <c r="C2357" i="11"/>
  <c r="C2358" i="11"/>
  <c r="C2359" i="11"/>
  <c r="C2360" i="11"/>
  <c r="C2361" i="11"/>
  <c r="C2362" i="11"/>
  <c r="C2363" i="11"/>
  <c r="C2364" i="11"/>
  <c r="C2365" i="11"/>
  <c r="C2366" i="11"/>
  <c r="C2367" i="11"/>
  <c r="C2368" i="11"/>
  <c r="C2369" i="11"/>
  <c r="C2370" i="11"/>
  <c r="C2371" i="11"/>
  <c r="C2372" i="11"/>
  <c r="C2373" i="11"/>
  <c r="C2374" i="11"/>
  <c r="C2375" i="11"/>
  <c r="C2376" i="11"/>
  <c r="C2377" i="11"/>
  <c r="C2378" i="11"/>
  <c r="C2379" i="11"/>
  <c r="C2380" i="11"/>
  <c r="C2381" i="11"/>
  <c r="C2382" i="11"/>
  <c r="C2383" i="11"/>
  <c r="C2384" i="11"/>
  <c r="C2385" i="11"/>
  <c r="C2386" i="11"/>
  <c r="C2387" i="11"/>
  <c r="C2388" i="11"/>
  <c r="C2389" i="11"/>
  <c r="C2390" i="11"/>
  <c r="C2391" i="11"/>
  <c r="C2392" i="11"/>
  <c r="C2393" i="11"/>
  <c r="C2394" i="11"/>
  <c r="C2395" i="11"/>
  <c r="C2396" i="11"/>
  <c r="C2397" i="11"/>
  <c r="C2398" i="11"/>
  <c r="C2399" i="11"/>
  <c r="C2400" i="11"/>
  <c r="C2401" i="11"/>
  <c r="C2402" i="11"/>
  <c r="C2403" i="11"/>
  <c r="C2404" i="11"/>
  <c r="C2405" i="11"/>
  <c r="C2406" i="11"/>
  <c r="C2407" i="11"/>
  <c r="C2408" i="11"/>
  <c r="C2409" i="11"/>
  <c r="C2410" i="11"/>
  <c r="C2411" i="11"/>
  <c r="C2412" i="11"/>
  <c r="C2413" i="11"/>
  <c r="C2414" i="11"/>
  <c r="C2415" i="11"/>
  <c r="C2416" i="11"/>
  <c r="C2417" i="11"/>
  <c r="C2418" i="11"/>
  <c r="C2419" i="11"/>
  <c r="C2420" i="11"/>
  <c r="C2421" i="11"/>
  <c r="C2422" i="11"/>
  <c r="C2423" i="11"/>
  <c r="C2424" i="11"/>
  <c r="C2425" i="11"/>
  <c r="C2426" i="11"/>
  <c r="C2427" i="11"/>
  <c r="C2428" i="11"/>
  <c r="C2429" i="11"/>
  <c r="C2430" i="11"/>
  <c r="C2431" i="11"/>
  <c r="C2432" i="11"/>
  <c r="C2433" i="11"/>
  <c r="C2434" i="11"/>
  <c r="C2435" i="11"/>
  <c r="C2436" i="11"/>
  <c r="C2437" i="11"/>
  <c r="C2438" i="11"/>
  <c r="C2439" i="11"/>
  <c r="C2440" i="11"/>
  <c r="C2441" i="11"/>
  <c r="C2442" i="11"/>
  <c r="C2443" i="11"/>
  <c r="C2444" i="11"/>
  <c r="C2445" i="11"/>
  <c r="C2446" i="11"/>
  <c r="C2447" i="11"/>
  <c r="C2448" i="11"/>
  <c r="C2449" i="11"/>
  <c r="C2450" i="11"/>
  <c r="C2451" i="11"/>
  <c r="C2452" i="11"/>
  <c r="C2453" i="11"/>
  <c r="C2454" i="11"/>
  <c r="C2455" i="11"/>
  <c r="C2456" i="11"/>
  <c r="C2457" i="11"/>
  <c r="C2458" i="11"/>
  <c r="C2459" i="11"/>
  <c r="C2460" i="11"/>
  <c r="C2461" i="11"/>
  <c r="C2462" i="11"/>
  <c r="C2463" i="11"/>
  <c r="C2464" i="11"/>
  <c r="C2465" i="11"/>
  <c r="C2466" i="11"/>
  <c r="C2467" i="11"/>
  <c r="C2468" i="11"/>
  <c r="C2469" i="11"/>
  <c r="C2470" i="11"/>
  <c r="C2471" i="11"/>
  <c r="C2472" i="11"/>
  <c r="C2473" i="11"/>
  <c r="C2474" i="11"/>
  <c r="C2475" i="11"/>
  <c r="C2476" i="11"/>
  <c r="C2477" i="11"/>
  <c r="C2478" i="11"/>
  <c r="C2479" i="11"/>
  <c r="C2480" i="11"/>
  <c r="C2481" i="11"/>
  <c r="C2482" i="11"/>
  <c r="C2483" i="11"/>
  <c r="C2484" i="11"/>
  <c r="C2485" i="11"/>
  <c r="C2486" i="11"/>
  <c r="C2487" i="11"/>
  <c r="C2488" i="11"/>
  <c r="C2489" i="11"/>
  <c r="C2490" i="11"/>
  <c r="C2491" i="11"/>
  <c r="C2492" i="11"/>
  <c r="C2493" i="11"/>
  <c r="C2494" i="11"/>
  <c r="C2495" i="11"/>
  <c r="C2496" i="11"/>
  <c r="C2497" i="11"/>
  <c r="C2498" i="11"/>
  <c r="C2499" i="11"/>
  <c r="C2500" i="11"/>
  <c r="C2501" i="11"/>
  <c r="C2502" i="11"/>
  <c r="C2503" i="11"/>
  <c r="C2504" i="11"/>
  <c r="C2505" i="11"/>
  <c r="C2506" i="11"/>
  <c r="C2507" i="11"/>
  <c r="C2508" i="11"/>
  <c r="C2509" i="11"/>
  <c r="C2510" i="11"/>
  <c r="C2511" i="11"/>
  <c r="C2512" i="11"/>
  <c r="C2513" i="11"/>
  <c r="C2514" i="11"/>
  <c r="C2515" i="11"/>
  <c r="C2516" i="11"/>
  <c r="C2517" i="11"/>
  <c r="C2518" i="11"/>
  <c r="C2519" i="11"/>
  <c r="C2520" i="11"/>
  <c r="C2521" i="11"/>
  <c r="C2522" i="11"/>
  <c r="C2523" i="11"/>
  <c r="C2524" i="11"/>
  <c r="C2525" i="11"/>
  <c r="C2526" i="11"/>
  <c r="C2527" i="11"/>
  <c r="C2528" i="11"/>
  <c r="C2529" i="11"/>
  <c r="C2530" i="11"/>
  <c r="C2531" i="11"/>
  <c r="C2532" i="11"/>
  <c r="C2533" i="11"/>
  <c r="C2534" i="11"/>
  <c r="C2535" i="11"/>
  <c r="C2536" i="11"/>
  <c r="C2537" i="11"/>
  <c r="C2538" i="11"/>
  <c r="C2539" i="11"/>
  <c r="C2540" i="11"/>
  <c r="C2541" i="11"/>
  <c r="C2542" i="11"/>
  <c r="C2543" i="11"/>
  <c r="C2544" i="11"/>
  <c r="C2545" i="11"/>
  <c r="C2546" i="11"/>
  <c r="C2547" i="11"/>
  <c r="C2548" i="11"/>
  <c r="C2549" i="11"/>
  <c r="C2550" i="11"/>
  <c r="C2551" i="11"/>
  <c r="C2552" i="11"/>
  <c r="C2553" i="11"/>
  <c r="C2554" i="11"/>
  <c r="C2555" i="11"/>
  <c r="C2556" i="11"/>
  <c r="C2557" i="11"/>
  <c r="C2558" i="11"/>
  <c r="C2559" i="11"/>
  <c r="C2560" i="11"/>
  <c r="C2561" i="11"/>
  <c r="C2562" i="11"/>
  <c r="C2563" i="11"/>
  <c r="C2564" i="11"/>
  <c r="C2565" i="11"/>
  <c r="C2566" i="11"/>
  <c r="C2567" i="11"/>
  <c r="C2568" i="11"/>
  <c r="C2569" i="11"/>
  <c r="C2570" i="11"/>
  <c r="C2571" i="11"/>
  <c r="C2572" i="11"/>
  <c r="C2573" i="11"/>
  <c r="C2574" i="11"/>
  <c r="C2575" i="11"/>
  <c r="C2576" i="11"/>
  <c r="C2577" i="11"/>
  <c r="C2578" i="11"/>
  <c r="C2579" i="11"/>
  <c r="C2580" i="11"/>
  <c r="C2581" i="11"/>
  <c r="C2582" i="11"/>
  <c r="C2583" i="11"/>
  <c r="C2584" i="11"/>
  <c r="C2585" i="11"/>
  <c r="C2586" i="11"/>
  <c r="C2587" i="11"/>
  <c r="C2588" i="11"/>
  <c r="C2589" i="11"/>
  <c r="C2590" i="11"/>
  <c r="C2591" i="11"/>
  <c r="C2592" i="11"/>
  <c r="C2593" i="11"/>
  <c r="C2594" i="11"/>
  <c r="C2595" i="11"/>
  <c r="C2596" i="11"/>
  <c r="C2597" i="11"/>
  <c r="C2598" i="11"/>
  <c r="C2599" i="11"/>
  <c r="C2600" i="11"/>
  <c r="C2601" i="11"/>
  <c r="C2602" i="11"/>
  <c r="C2603" i="11"/>
  <c r="C2604" i="11"/>
  <c r="C2605" i="11"/>
  <c r="C2606" i="11"/>
  <c r="C2607" i="11"/>
  <c r="C2608" i="11"/>
  <c r="C2609" i="11"/>
  <c r="C2610" i="11"/>
  <c r="C2611" i="11"/>
  <c r="C2612" i="11"/>
  <c r="C2613" i="11"/>
  <c r="C2614" i="11"/>
  <c r="C2615" i="11"/>
  <c r="C2616" i="11"/>
  <c r="C2617" i="11"/>
  <c r="C2618" i="11"/>
  <c r="C2619" i="11"/>
  <c r="C2620" i="11"/>
  <c r="C2621" i="11"/>
  <c r="C2622" i="11"/>
  <c r="C2623" i="11"/>
  <c r="C2624" i="11"/>
  <c r="C2625" i="11"/>
  <c r="C2626" i="11"/>
  <c r="C2627" i="11"/>
  <c r="C2628" i="11"/>
  <c r="C2" i="11"/>
  <c r="H24" i="2" l="1"/>
  <c r="X18" i="2"/>
  <c r="X17" i="2"/>
  <c r="X19" i="2" s="1"/>
  <c r="P18" i="2"/>
  <c r="H18" i="2"/>
  <c r="H19" i="2" s="1"/>
  <c r="H17" i="2"/>
  <c r="C17" i="2"/>
  <c r="G23" i="2"/>
  <c r="F23" i="2"/>
  <c r="E23" i="2"/>
  <c r="D23" i="2"/>
  <c r="C23" i="2"/>
  <c r="B23" i="2"/>
  <c r="W17" i="2"/>
  <c r="V17" i="2"/>
  <c r="U17" i="2"/>
  <c r="T17" i="2"/>
  <c r="S17" i="2"/>
  <c r="R17" i="2"/>
  <c r="O17" i="2"/>
  <c r="N17" i="2"/>
  <c r="M17" i="2"/>
  <c r="L17" i="2"/>
  <c r="K17" i="2"/>
  <c r="J17" i="2"/>
  <c r="G17" i="2"/>
  <c r="F17" i="2"/>
  <c r="E17" i="2"/>
  <c r="D17" i="2"/>
  <c r="B17" i="2"/>
  <c r="X13" i="2"/>
  <c r="P13" i="2"/>
  <c r="H13" i="2"/>
  <c r="X7" i="2"/>
  <c r="P7" i="2"/>
  <c r="H7" i="2"/>
  <c r="C11" i="2"/>
  <c r="W11" i="2"/>
  <c r="V11" i="2"/>
  <c r="U11" i="2"/>
  <c r="T11" i="2"/>
  <c r="S11" i="2"/>
  <c r="R11" i="2"/>
  <c r="O11" i="2"/>
  <c r="N11" i="2"/>
  <c r="M11" i="2"/>
  <c r="L11" i="2"/>
  <c r="K11" i="2"/>
  <c r="J11" i="2"/>
  <c r="G11" i="2"/>
  <c r="F11" i="2"/>
  <c r="E11" i="2"/>
  <c r="D11" i="2"/>
  <c r="B11" i="2"/>
  <c r="N5" i="2"/>
  <c r="W5" i="2"/>
  <c r="V5" i="2"/>
  <c r="U5" i="2"/>
  <c r="T5" i="2"/>
  <c r="S5" i="2"/>
  <c r="R5" i="2"/>
  <c r="O5" i="2"/>
  <c r="M5" i="2"/>
  <c r="L5" i="2"/>
  <c r="K5" i="2"/>
  <c r="J5" i="2"/>
  <c r="H23" i="2" l="1"/>
  <c r="H25" i="2" s="1"/>
  <c r="P17" i="2"/>
  <c r="P19" i="2" s="1"/>
  <c r="C5" i="2"/>
  <c r="D5" i="2"/>
  <c r="E5" i="2"/>
  <c r="F5" i="2"/>
  <c r="G5" i="2"/>
  <c r="B5" i="2"/>
  <c r="AB80" i="7"/>
  <c r="AB81" i="7"/>
  <c r="AB82" i="7"/>
  <c r="AB83" i="7"/>
  <c r="AB84" i="7"/>
  <c r="AB85" i="7"/>
  <c r="AB86" i="7"/>
  <c r="AB87" i="7"/>
  <c r="AB88" i="7"/>
  <c r="AB89" i="7"/>
  <c r="AB67" i="7"/>
  <c r="AB68" i="7"/>
  <c r="AB69" i="7"/>
  <c r="AB70" i="7"/>
  <c r="AB71" i="7"/>
  <c r="AB72" i="7"/>
  <c r="AB73" i="7"/>
  <c r="AB74" i="7"/>
  <c r="AB75" i="7"/>
  <c r="AB76" i="7"/>
  <c r="AB41" i="7"/>
  <c r="AB42" i="7"/>
  <c r="AB43" i="7"/>
  <c r="AB44" i="7"/>
  <c r="AB45" i="7"/>
  <c r="AB46" i="7"/>
  <c r="AB47" i="7"/>
  <c r="AB48" i="7"/>
  <c r="AB49" i="7"/>
  <c r="AB50" i="7"/>
  <c r="AB12" i="7"/>
  <c r="AB77" i="7" l="1"/>
  <c r="AB90" i="7"/>
  <c r="AB51" i="7"/>
  <c r="C55" i="7"/>
  <c r="C56" i="7"/>
  <c r="C57" i="7"/>
  <c r="C58" i="7"/>
  <c r="C59" i="7"/>
  <c r="C60" i="7"/>
  <c r="C61" i="7"/>
  <c r="C62" i="7"/>
  <c r="C63" i="7"/>
  <c r="C54" i="7"/>
  <c r="D64" i="7"/>
  <c r="AA64" i="7" l="1"/>
  <c r="U80" i="7"/>
  <c r="V80" i="7"/>
  <c r="W80" i="7"/>
  <c r="X80" i="7"/>
  <c r="Y80" i="7"/>
  <c r="Z80" i="7"/>
  <c r="AA80" i="7"/>
  <c r="U81" i="7"/>
  <c r="V81" i="7"/>
  <c r="W81" i="7"/>
  <c r="X81" i="7"/>
  <c r="Y81" i="7"/>
  <c r="Z81" i="7"/>
  <c r="AA81" i="7"/>
  <c r="U82" i="7"/>
  <c r="V82" i="7"/>
  <c r="W82" i="7"/>
  <c r="X82" i="7"/>
  <c r="Y82" i="7"/>
  <c r="Z82" i="7"/>
  <c r="AA82" i="7"/>
  <c r="U83" i="7"/>
  <c r="V83" i="7"/>
  <c r="W83" i="7"/>
  <c r="X83" i="7"/>
  <c r="Y83" i="7"/>
  <c r="Z83" i="7"/>
  <c r="AA83" i="7"/>
  <c r="U84" i="7"/>
  <c r="V84" i="7"/>
  <c r="W84" i="7"/>
  <c r="X84" i="7"/>
  <c r="Y84" i="7"/>
  <c r="Z84" i="7"/>
  <c r="AA84" i="7"/>
  <c r="U85" i="7"/>
  <c r="V85" i="7"/>
  <c r="W85" i="7"/>
  <c r="X85" i="7"/>
  <c r="Y85" i="7"/>
  <c r="Z85" i="7"/>
  <c r="AA85" i="7"/>
  <c r="U86" i="7"/>
  <c r="V86" i="7"/>
  <c r="W86" i="7"/>
  <c r="X86" i="7"/>
  <c r="Y86" i="7"/>
  <c r="Z86" i="7"/>
  <c r="AA86" i="7"/>
  <c r="U87" i="7"/>
  <c r="V87" i="7"/>
  <c r="W87" i="7"/>
  <c r="X87" i="7"/>
  <c r="Y87" i="7"/>
  <c r="Z87" i="7"/>
  <c r="AA87" i="7"/>
  <c r="U88" i="7"/>
  <c r="V88" i="7"/>
  <c r="W88" i="7"/>
  <c r="X88" i="7"/>
  <c r="Y88" i="7"/>
  <c r="Z88" i="7"/>
  <c r="AA88" i="7"/>
  <c r="U89" i="7"/>
  <c r="V89" i="7"/>
  <c r="W89" i="7"/>
  <c r="X89" i="7"/>
  <c r="Y89" i="7"/>
  <c r="Z89" i="7"/>
  <c r="AA89" i="7"/>
  <c r="V67" i="7"/>
  <c r="W67" i="7"/>
  <c r="X67" i="7"/>
  <c r="Y67" i="7"/>
  <c r="Z67" i="7"/>
  <c r="AA67" i="7"/>
  <c r="V68" i="7"/>
  <c r="W68" i="7"/>
  <c r="X68" i="7"/>
  <c r="Y68" i="7"/>
  <c r="Z68" i="7"/>
  <c r="AA68" i="7"/>
  <c r="V69" i="7"/>
  <c r="W69" i="7"/>
  <c r="X69" i="7"/>
  <c r="Y69" i="7"/>
  <c r="Z69" i="7"/>
  <c r="AA69" i="7"/>
  <c r="V70" i="7"/>
  <c r="W70" i="7"/>
  <c r="X70" i="7"/>
  <c r="Y70" i="7"/>
  <c r="Z70" i="7"/>
  <c r="AA70" i="7"/>
  <c r="V71" i="7"/>
  <c r="W71" i="7"/>
  <c r="X71" i="7"/>
  <c r="Y71" i="7"/>
  <c r="Z71" i="7"/>
  <c r="AA71" i="7"/>
  <c r="V72" i="7"/>
  <c r="W72" i="7"/>
  <c r="X72" i="7"/>
  <c r="Y72" i="7"/>
  <c r="Z72" i="7"/>
  <c r="AA72" i="7"/>
  <c r="V73" i="7"/>
  <c r="W73" i="7"/>
  <c r="X73" i="7"/>
  <c r="Y73" i="7"/>
  <c r="Z73" i="7"/>
  <c r="AA73" i="7"/>
  <c r="V74" i="7"/>
  <c r="W74" i="7"/>
  <c r="X74" i="7"/>
  <c r="Y74" i="7"/>
  <c r="Z74" i="7"/>
  <c r="AA74" i="7"/>
  <c r="V75" i="7"/>
  <c r="W75" i="7"/>
  <c r="X75" i="7"/>
  <c r="Y75" i="7"/>
  <c r="Z75" i="7"/>
  <c r="AA75" i="7"/>
  <c r="V76" i="7"/>
  <c r="W76" i="7"/>
  <c r="X76" i="7"/>
  <c r="Y76" i="7"/>
  <c r="Z76" i="7"/>
  <c r="AA76" i="7"/>
  <c r="E64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T64" i="7"/>
  <c r="U64" i="7"/>
  <c r="V64" i="7"/>
  <c r="W64" i="7"/>
  <c r="X64" i="7"/>
  <c r="Y64" i="7"/>
  <c r="Z64" i="7"/>
  <c r="V41" i="7"/>
  <c r="V42" i="7"/>
  <c r="V43" i="7"/>
  <c r="V44" i="7"/>
  <c r="V45" i="7"/>
  <c r="V46" i="7"/>
  <c r="V47" i="7"/>
  <c r="V48" i="7"/>
  <c r="V49" i="7"/>
  <c r="V50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T25" i="7"/>
  <c r="U25" i="7"/>
  <c r="V25" i="7"/>
  <c r="W25" i="7"/>
  <c r="X25" i="7"/>
  <c r="Y25" i="7"/>
  <c r="Z25" i="7"/>
  <c r="AA25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T12" i="7"/>
  <c r="U12" i="7"/>
  <c r="V12" i="7"/>
  <c r="W12" i="7"/>
  <c r="X12" i="7"/>
  <c r="Y12" i="7"/>
  <c r="Z12" i="7"/>
  <c r="AA12" i="7"/>
  <c r="V38" i="7"/>
  <c r="AB25" i="7"/>
  <c r="AC25" i="7"/>
  <c r="AD25" i="7"/>
  <c r="AE25" i="7"/>
  <c r="AF25" i="7"/>
  <c r="AG25" i="7"/>
  <c r="AH25" i="7"/>
  <c r="AI25" i="7"/>
  <c r="AJ25" i="7"/>
  <c r="AK25" i="7"/>
  <c r="AL25" i="7"/>
  <c r="AM25" i="7"/>
  <c r="AN25" i="7"/>
  <c r="AO25" i="7"/>
  <c r="E80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T80" i="7"/>
  <c r="E81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T81" i="7"/>
  <c r="E82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T82" i="7"/>
  <c r="E83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T83" i="7"/>
  <c r="E84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T84" i="7"/>
  <c r="E85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T85" i="7"/>
  <c r="E86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T86" i="7"/>
  <c r="E87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T87" i="7"/>
  <c r="E88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T88" i="7"/>
  <c r="D81" i="7"/>
  <c r="D82" i="7"/>
  <c r="D83" i="7"/>
  <c r="D84" i="7"/>
  <c r="D85" i="7"/>
  <c r="D86" i="7"/>
  <c r="D87" i="7"/>
  <c r="D88" i="7"/>
  <c r="D80" i="7"/>
  <c r="E67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T67" i="7"/>
  <c r="U67" i="7"/>
  <c r="E68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T68" i="7"/>
  <c r="U68" i="7"/>
  <c r="E69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T69" i="7"/>
  <c r="U69" i="7"/>
  <c r="E70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T70" i="7"/>
  <c r="U70" i="7"/>
  <c r="E71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T71" i="7"/>
  <c r="U71" i="7"/>
  <c r="E72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T72" i="7"/>
  <c r="U72" i="7"/>
  <c r="E73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T73" i="7"/>
  <c r="U73" i="7"/>
  <c r="E74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T74" i="7"/>
  <c r="U74" i="7"/>
  <c r="E75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T75" i="7"/>
  <c r="U75" i="7"/>
  <c r="E76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T76" i="7"/>
  <c r="U76" i="7"/>
  <c r="D68" i="7"/>
  <c r="D69" i="7"/>
  <c r="D70" i="7"/>
  <c r="D71" i="7"/>
  <c r="D72" i="7"/>
  <c r="D73" i="7"/>
  <c r="D74" i="7"/>
  <c r="D75" i="7"/>
  <c r="D76" i="7"/>
  <c r="D67" i="7"/>
  <c r="AO90" i="7"/>
  <c r="AN90" i="7"/>
  <c r="AM90" i="7"/>
  <c r="AL90" i="7"/>
  <c r="AK90" i="7"/>
  <c r="AJ90" i="7"/>
  <c r="AI90" i="7"/>
  <c r="AH90" i="7"/>
  <c r="AG90" i="7"/>
  <c r="AF90" i="7"/>
  <c r="AE90" i="7"/>
  <c r="AD90" i="7"/>
  <c r="AC90" i="7"/>
  <c r="AO77" i="7"/>
  <c r="AN77" i="7"/>
  <c r="AM77" i="7"/>
  <c r="AL77" i="7"/>
  <c r="AK77" i="7"/>
  <c r="AJ77" i="7"/>
  <c r="AI77" i="7"/>
  <c r="AH77" i="7"/>
  <c r="AG77" i="7"/>
  <c r="AF77" i="7"/>
  <c r="AE77" i="7"/>
  <c r="AD77" i="7"/>
  <c r="AC77" i="7"/>
  <c r="D41" i="7"/>
  <c r="E41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U41" i="7"/>
  <c r="W41" i="7"/>
  <c r="X41" i="7"/>
  <c r="D42" i="7"/>
  <c r="E42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W42" i="7"/>
  <c r="X42" i="7"/>
  <c r="D43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U43" i="7"/>
  <c r="W43" i="7"/>
  <c r="X43" i="7"/>
  <c r="D44" i="7"/>
  <c r="E44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T44" i="7"/>
  <c r="U44" i="7"/>
  <c r="W44" i="7"/>
  <c r="X44" i="7"/>
  <c r="D45" i="7"/>
  <c r="E45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T45" i="7"/>
  <c r="U45" i="7"/>
  <c r="W45" i="7"/>
  <c r="X45" i="7"/>
  <c r="D46" i="7"/>
  <c r="E46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T46" i="7"/>
  <c r="U46" i="7"/>
  <c r="W46" i="7"/>
  <c r="X46" i="7"/>
  <c r="D47" i="7"/>
  <c r="E47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T47" i="7"/>
  <c r="U47" i="7"/>
  <c r="W47" i="7"/>
  <c r="X47" i="7"/>
  <c r="D48" i="7"/>
  <c r="E48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W48" i="7"/>
  <c r="X48" i="7"/>
  <c r="D49" i="7"/>
  <c r="E49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T49" i="7"/>
  <c r="U49" i="7"/>
  <c r="W49" i="7"/>
  <c r="X49" i="7"/>
  <c r="Z41" i="7"/>
  <c r="AA41" i="7"/>
  <c r="Z42" i="7"/>
  <c r="AA42" i="7"/>
  <c r="Z43" i="7"/>
  <c r="AA43" i="7"/>
  <c r="Z44" i="7"/>
  <c r="AA44" i="7"/>
  <c r="Z45" i="7"/>
  <c r="AA45" i="7"/>
  <c r="Z46" i="7"/>
  <c r="AA46" i="7"/>
  <c r="Z47" i="7"/>
  <c r="AA47" i="7"/>
  <c r="Z48" i="7"/>
  <c r="AA48" i="7"/>
  <c r="Z49" i="7"/>
  <c r="AA49" i="7"/>
  <c r="Y41" i="7"/>
  <c r="Y42" i="7"/>
  <c r="Y43" i="7"/>
  <c r="Y44" i="7"/>
  <c r="Y45" i="7"/>
  <c r="Y46" i="7"/>
  <c r="Y47" i="7"/>
  <c r="Y48" i="7"/>
  <c r="Y49" i="7"/>
  <c r="AH64" i="7"/>
  <c r="C64" i="7"/>
  <c r="AO64" i="7"/>
  <c r="AN64" i="7"/>
  <c r="AM64" i="7"/>
  <c r="AL64" i="7"/>
  <c r="AK64" i="7"/>
  <c r="AJ64" i="7"/>
  <c r="AI64" i="7"/>
  <c r="AG64" i="7"/>
  <c r="AF64" i="7"/>
  <c r="AE64" i="7"/>
  <c r="AD64" i="7"/>
  <c r="AC64" i="7"/>
  <c r="AB64" i="7"/>
  <c r="AO38" i="7"/>
  <c r="AN38" i="7"/>
  <c r="AM38" i="7"/>
  <c r="AL38" i="7"/>
  <c r="AK38" i="7"/>
  <c r="AJ38" i="7"/>
  <c r="AI38" i="7"/>
  <c r="AH38" i="7"/>
  <c r="AG38" i="7"/>
  <c r="AF38" i="7"/>
  <c r="AE38" i="7"/>
  <c r="AD38" i="7"/>
  <c r="AC38" i="7"/>
  <c r="AR49" i="7" l="1"/>
  <c r="AQ49" i="7"/>
  <c r="AS49" i="7"/>
  <c r="AR48" i="7"/>
  <c r="AQ48" i="7"/>
  <c r="AS48" i="7"/>
  <c r="AR47" i="7"/>
  <c r="AQ47" i="7"/>
  <c r="AS47" i="7"/>
  <c r="AR46" i="7"/>
  <c r="AQ46" i="7"/>
  <c r="AS46" i="7"/>
  <c r="AR45" i="7"/>
  <c r="AQ45" i="7"/>
  <c r="AS45" i="7"/>
  <c r="AR44" i="7"/>
  <c r="AS44" i="7"/>
  <c r="AQ44" i="7"/>
  <c r="AR43" i="7"/>
  <c r="AS43" i="7"/>
  <c r="AQ43" i="7"/>
  <c r="AR42" i="7"/>
  <c r="AQ42" i="7"/>
  <c r="AS42" i="7"/>
  <c r="AR41" i="7"/>
  <c r="AS41" i="7"/>
  <c r="AQ41" i="7"/>
  <c r="AP41" i="7"/>
  <c r="AA90" i="7"/>
  <c r="AA77" i="7"/>
  <c r="Z77" i="7"/>
  <c r="Z90" i="7"/>
  <c r="Y90" i="7"/>
  <c r="Y77" i="7"/>
  <c r="X90" i="7"/>
  <c r="X77" i="7"/>
  <c r="W90" i="7"/>
  <c r="W77" i="7"/>
  <c r="V90" i="7"/>
  <c r="V77" i="7"/>
  <c r="U77" i="7"/>
  <c r="U90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V51" i="7"/>
  <c r="C69" i="7"/>
  <c r="C84" i="7"/>
  <c r="C85" i="7"/>
  <c r="C71" i="7"/>
  <c r="C83" i="7"/>
  <c r="C70" i="7"/>
  <c r="C82" i="7"/>
  <c r="C81" i="7"/>
  <c r="C76" i="7"/>
  <c r="C75" i="7"/>
  <c r="C88" i="7"/>
  <c r="C87" i="7"/>
  <c r="C74" i="7"/>
  <c r="C73" i="7"/>
  <c r="C72" i="7"/>
  <c r="C80" i="7"/>
  <c r="C86" i="7"/>
  <c r="C68" i="7"/>
  <c r="C67" i="7"/>
  <c r="AB38" i="7"/>
  <c r="C77" i="7" l="1"/>
  <c r="AR54" i="7"/>
  <c r="AR40" i="7"/>
  <c r="AA38" i="7" l="1"/>
  <c r="Z38" i="7"/>
  <c r="F4" i="10" l="1"/>
  <c r="F5" i="10"/>
  <c r="AA5" i="10" s="1"/>
  <c r="F6" i="10"/>
  <c r="F7" i="10"/>
  <c r="AA7" i="10" s="1"/>
  <c r="F8" i="10"/>
  <c r="F9" i="10"/>
  <c r="F10" i="10"/>
  <c r="F11" i="10"/>
  <c r="F12" i="10"/>
  <c r="F13" i="10"/>
  <c r="AA13" i="10" s="1"/>
  <c r="F14" i="10"/>
  <c r="AA14" i="10" s="1"/>
  <c r="F15" i="10"/>
  <c r="AA15" i="10" s="1"/>
  <c r="F16" i="10"/>
  <c r="F17" i="10"/>
  <c r="AA17" i="10" s="1"/>
  <c r="F18" i="10"/>
  <c r="AA18" i="10" s="1"/>
  <c r="F19" i="10"/>
  <c r="AA19" i="10" s="1"/>
  <c r="F20" i="10"/>
  <c r="F21" i="10"/>
  <c r="F22" i="10"/>
  <c r="F23" i="10"/>
  <c r="AA23" i="10" s="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3" i="10"/>
  <c r="AA8" i="10"/>
  <c r="AA9" i="10"/>
  <c r="AA12" i="10"/>
  <c r="AA16" i="10"/>
  <c r="AA20" i="10"/>
  <c r="AA22" i="10"/>
  <c r="AA24" i="10"/>
  <c r="AA21" i="10"/>
  <c r="X336" i="10"/>
  <c r="X338" i="10"/>
  <c r="X339" i="10"/>
  <c r="X346" i="10"/>
  <c r="X350" i="10"/>
  <c r="X351" i="10"/>
  <c r="X359" i="10"/>
  <c r="X360" i="10"/>
  <c r="X362" i="10"/>
  <c r="X363" i="10"/>
  <c r="X372" i="10"/>
  <c r="X375" i="10"/>
  <c r="X384" i="10"/>
  <c r="X386" i="10"/>
  <c r="X387" i="10"/>
  <c r="X395" i="10"/>
  <c r="X396" i="10"/>
  <c r="X397" i="10"/>
  <c r="X398" i="10"/>
  <c r="X399" i="10"/>
  <c r="X408" i="10"/>
  <c r="X410" i="10"/>
  <c r="X411" i="10"/>
  <c r="X329" i="10"/>
  <c r="X330" i="10"/>
  <c r="X331" i="10"/>
  <c r="X341" i="10"/>
  <c r="X342" i="10"/>
  <c r="X343" i="10"/>
  <c r="X348" i="10"/>
  <c r="X353" i="10"/>
  <c r="X355" i="10"/>
  <c r="X365" i="10"/>
  <c r="X371" i="10"/>
  <c r="X373" i="10"/>
  <c r="X377" i="10"/>
  <c r="X378" i="10"/>
  <c r="X379" i="10"/>
  <c r="X385" i="10"/>
  <c r="X389" i="10"/>
  <c r="X390" i="10"/>
  <c r="X391" i="10"/>
  <c r="X401" i="10"/>
  <c r="X402" i="10"/>
  <c r="X403" i="10"/>
  <c r="X414" i="10"/>
  <c r="X415" i="10"/>
  <c r="X337" i="10"/>
  <c r="X354" i="10"/>
  <c r="X361" i="10"/>
  <c r="X366" i="10"/>
  <c r="X409" i="10"/>
  <c r="X334" i="10"/>
  <c r="X335" i="10"/>
  <c r="X340" i="10"/>
  <c r="X344" i="10"/>
  <c r="X345" i="10"/>
  <c r="X347" i="10"/>
  <c r="X349" i="10"/>
  <c r="X357" i="10"/>
  <c r="X367" i="10"/>
  <c r="X374" i="10"/>
  <c r="X383" i="10"/>
  <c r="X393" i="10"/>
  <c r="K45" i="8"/>
  <c r="X5" i="10"/>
  <c r="Y5" i="10"/>
  <c r="Z5" i="10"/>
  <c r="AB5" i="10"/>
  <c r="AC5" i="10"/>
  <c r="AD5" i="10"/>
  <c r="AE5" i="10"/>
  <c r="AF5" i="10"/>
  <c r="AG5" i="10"/>
  <c r="X6" i="10"/>
  <c r="Y6" i="10"/>
  <c r="Z6" i="10"/>
  <c r="AB6" i="10"/>
  <c r="AC6" i="10"/>
  <c r="AD6" i="10"/>
  <c r="AE6" i="10"/>
  <c r="AF6" i="10"/>
  <c r="AG6" i="10"/>
  <c r="X7" i="10"/>
  <c r="Y7" i="10"/>
  <c r="Z7" i="10"/>
  <c r="AB7" i="10"/>
  <c r="AC7" i="10"/>
  <c r="AD7" i="10"/>
  <c r="AE7" i="10"/>
  <c r="AF7" i="10"/>
  <c r="AG7" i="10"/>
  <c r="X8" i="10"/>
  <c r="Y8" i="10"/>
  <c r="Z8" i="10"/>
  <c r="AB8" i="10"/>
  <c r="AC8" i="10"/>
  <c r="AD8" i="10"/>
  <c r="AE8" i="10"/>
  <c r="AF8" i="10"/>
  <c r="AG8" i="10"/>
  <c r="X9" i="10"/>
  <c r="Y9" i="10"/>
  <c r="Z9" i="10"/>
  <c r="AB9" i="10"/>
  <c r="AC9" i="10"/>
  <c r="AD9" i="10"/>
  <c r="AE9" i="10"/>
  <c r="AF9" i="10"/>
  <c r="AG9" i="10"/>
  <c r="X10" i="10"/>
  <c r="Y10" i="10"/>
  <c r="Z10" i="10"/>
  <c r="AB10" i="10"/>
  <c r="AC10" i="10"/>
  <c r="AD10" i="10"/>
  <c r="AE10" i="10"/>
  <c r="AF10" i="10"/>
  <c r="AG10" i="10"/>
  <c r="X11" i="10"/>
  <c r="Y11" i="10"/>
  <c r="Z11" i="10"/>
  <c r="AB11" i="10"/>
  <c r="AC11" i="10"/>
  <c r="AD11" i="10"/>
  <c r="AE11" i="10"/>
  <c r="AF11" i="10"/>
  <c r="AG11" i="10"/>
  <c r="X12" i="10"/>
  <c r="Y12" i="10"/>
  <c r="Z12" i="10"/>
  <c r="AB12" i="10"/>
  <c r="AC12" i="10"/>
  <c r="AD12" i="10"/>
  <c r="AE12" i="10"/>
  <c r="AF12" i="10"/>
  <c r="AG12" i="10"/>
  <c r="X13" i="10"/>
  <c r="Y13" i="10"/>
  <c r="Z13" i="10"/>
  <c r="AB13" i="10"/>
  <c r="AC13" i="10"/>
  <c r="AD13" i="10"/>
  <c r="AE13" i="10"/>
  <c r="AF13" i="10"/>
  <c r="AG13" i="10"/>
  <c r="X14" i="10"/>
  <c r="Y14" i="10"/>
  <c r="Z14" i="10"/>
  <c r="AB14" i="10"/>
  <c r="AC14" i="10"/>
  <c r="AD14" i="10"/>
  <c r="AE14" i="10"/>
  <c r="AF14" i="10"/>
  <c r="AG14" i="10"/>
  <c r="X15" i="10"/>
  <c r="Y15" i="10"/>
  <c r="Z15" i="10"/>
  <c r="AB15" i="10"/>
  <c r="AC15" i="10"/>
  <c r="AD15" i="10"/>
  <c r="AE15" i="10"/>
  <c r="AF15" i="10"/>
  <c r="AG15" i="10"/>
  <c r="X16" i="10"/>
  <c r="Y16" i="10"/>
  <c r="Z16" i="10"/>
  <c r="AB16" i="10"/>
  <c r="AC16" i="10"/>
  <c r="AD16" i="10"/>
  <c r="AE16" i="10"/>
  <c r="AF16" i="10"/>
  <c r="AG16" i="10"/>
  <c r="X17" i="10"/>
  <c r="Y17" i="10"/>
  <c r="Z17" i="10"/>
  <c r="AB17" i="10"/>
  <c r="AC17" i="10"/>
  <c r="AD17" i="10"/>
  <c r="AE17" i="10"/>
  <c r="AF17" i="10"/>
  <c r="AG17" i="10"/>
  <c r="X18" i="10"/>
  <c r="Y18" i="10"/>
  <c r="Z18" i="10"/>
  <c r="AB18" i="10"/>
  <c r="AC18" i="10"/>
  <c r="AD18" i="10"/>
  <c r="AE18" i="10"/>
  <c r="AF18" i="10"/>
  <c r="AG18" i="10"/>
  <c r="X19" i="10"/>
  <c r="Y19" i="10"/>
  <c r="Z19" i="10"/>
  <c r="AB19" i="10"/>
  <c r="AC19" i="10"/>
  <c r="AD19" i="10"/>
  <c r="AE19" i="10"/>
  <c r="AF19" i="10"/>
  <c r="AG19" i="10"/>
  <c r="X20" i="10"/>
  <c r="Y20" i="10"/>
  <c r="Z20" i="10"/>
  <c r="AB20" i="10"/>
  <c r="AC20" i="10"/>
  <c r="AD20" i="10"/>
  <c r="AE20" i="10"/>
  <c r="AF20" i="10"/>
  <c r="AG20" i="10"/>
  <c r="X21" i="10"/>
  <c r="Y21" i="10"/>
  <c r="Z21" i="10"/>
  <c r="AB21" i="10"/>
  <c r="AC21" i="10"/>
  <c r="AD21" i="10"/>
  <c r="AE21" i="10"/>
  <c r="AF21" i="10"/>
  <c r="AG21" i="10"/>
  <c r="X22" i="10"/>
  <c r="Y22" i="10"/>
  <c r="Z22" i="10"/>
  <c r="AB22" i="10"/>
  <c r="AC22" i="10"/>
  <c r="AD22" i="10"/>
  <c r="AE22" i="10"/>
  <c r="AF22" i="10"/>
  <c r="AG22" i="10"/>
  <c r="X23" i="10"/>
  <c r="Y23" i="10"/>
  <c r="Z23" i="10"/>
  <c r="AB23" i="10"/>
  <c r="AC23" i="10"/>
  <c r="AD23" i="10"/>
  <c r="AE23" i="10"/>
  <c r="AF23" i="10"/>
  <c r="AG23" i="10"/>
  <c r="X24" i="10"/>
  <c r="Y24" i="10"/>
  <c r="Z24" i="10"/>
  <c r="AB24" i="10"/>
  <c r="AC24" i="10"/>
  <c r="AD24" i="10"/>
  <c r="AE24" i="10"/>
  <c r="AF24" i="10"/>
  <c r="AG24" i="10"/>
  <c r="AG4" i="10"/>
  <c r="Y4" i="10"/>
  <c r="Z4" i="10"/>
  <c r="AB4" i="10"/>
  <c r="AC4" i="10"/>
  <c r="AD4" i="10"/>
  <c r="AE4" i="10"/>
  <c r="AF4" i="10"/>
  <c r="X4" i="10"/>
  <c r="V329" i="10"/>
  <c r="W329" i="10"/>
  <c r="Y329" i="10"/>
  <c r="Z329" i="10"/>
  <c r="AA329" i="10"/>
  <c r="AB329" i="10"/>
  <c r="AC329" i="10"/>
  <c r="V330" i="10"/>
  <c r="W330" i="10"/>
  <c r="Y330" i="10"/>
  <c r="Z330" i="10"/>
  <c r="AA330" i="10"/>
  <c r="AB330" i="10"/>
  <c r="AC330" i="10"/>
  <c r="V331" i="10"/>
  <c r="W331" i="10"/>
  <c r="Y331" i="10"/>
  <c r="Z331" i="10"/>
  <c r="AA331" i="10"/>
  <c r="AB331" i="10"/>
  <c r="AC331" i="10"/>
  <c r="V332" i="10"/>
  <c r="W332" i="10"/>
  <c r="X332" i="10"/>
  <c r="Y332" i="10"/>
  <c r="Z332" i="10"/>
  <c r="AA332" i="10"/>
  <c r="AB332" i="10"/>
  <c r="AC332" i="10"/>
  <c r="V333" i="10"/>
  <c r="W333" i="10"/>
  <c r="X333" i="10"/>
  <c r="Y333" i="10"/>
  <c r="Z333" i="10"/>
  <c r="AA333" i="10"/>
  <c r="AB333" i="10"/>
  <c r="AC333" i="10"/>
  <c r="V334" i="10"/>
  <c r="W334" i="10"/>
  <c r="Y334" i="10"/>
  <c r="Z334" i="10"/>
  <c r="AA334" i="10"/>
  <c r="AB334" i="10"/>
  <c r="AC334" i="10"/>
  <c r="V335" i="10"/>
  <c r="W335" i="10"/>
  <c r="Y335" i="10"/>
  <c r="Z335" i="10"/>
  <c r="AA335" i="10"/>
  <c r="AB335" i="10"/>
  <c r="AC335" i="10"/>
  <c r="V336" i="10"/>
  <c r="W336" i="10"/>
  <c r="Y336" i="10"/>
  <c r="Z336" i="10"/>
  <c r="AA336" i="10"/>
  <c r="AB336" i="10"/>
  <c r="AC336" i="10"/>
  <c r="V337" i="10"/>
  <c r="W337" i="10"/>
  <c r="Y337" i="10"/>
  <c r="Z337" i="10"/>
  <c r="AA337" i="10"/>
  <c r="AB337" i="10"/>
  <c r="AC337" i="10"/>
  <c r="V338" i="10"/>
  <c r="W338" i="10"/>
  <c r="Y338" i="10"/>
  <c r="Z338" i="10"/>
  <c r="AA338" i="10"/>
  <c r="AB338" i="10"/>
  <c r="AC338" i="10"/>
  <c r="V339" i="10"/>
  <c r="W339" i="10"/>
  <c r="Y339" i="10"/>
  <c r="Z339" i="10"/>
  <c r="AA339" i="10"/>
  <c r="AB339" i="10"/>
  <c r="AC339" i="10"/>
  <c r="V340" i="10"/>
  <c r="W340" i="10"/>
  <c r="Y340" i="10"/>
  <c r="Z340" i="10"/>
  <c r="AA340" i="10"/>
  <c r="AB340" i="10"/>
  <c r="AC340" i="10"/>
  <c r="V341" i="10"/>
  <c r="W341" i="10"/>
  <c r="Y341" i="10"/>
  <c r="Z341" i="10"/>
  <c r="AA341" i="10"/>
  <c r="AB341" i="10"/>
  <c r="AC341" i="10"/>
  <c r="V342" i="10"/>
  <c r="W342" i="10"/>
  <c r="Y342" i="10"/>
  <c r="Z342" i="10"/>
  <c r="AA342" i="10"/>
  <c r="AB342" i="10"/>
  <c r="AC342" i="10"/>
  <c r="V343" i="10"/>
  <c r="W343" i="10"/>
  <c r="Y343" i="10"/>
  <c r="Z343" i="10"/>
  <c r="AA343" i="10"/>
  <c r="AB343" i="10"/>
  <c r="AC343" i="10"/>
  <c r="V344" i="10"/>
  <c r="W344" i="10"/>
  <c r="Y344" i="10"/>
  <c r="Z344" i="10"/>
  <c r="AA344" i="10"/>
  <c r="AB344" i="10"/>
  <c r="AC344" i="10"/>
  <c r="V345" i="10"/>
  <c r="W345" i="10"/>
  <c r="Y345" i="10"/>
  <c r="Z345" i="10"/>
  <c r="AA345" i="10"/>
  <c r="AB345" i="10"/>
  <c r="AC345" i="10"/>
  <c r="V346" i="10"/>
  <c r="W346" i="10"/>
  <c r="Y346" i="10"/>
  <c r="Z346" i="10"/>
  <c r="AA346" i="10"/>
  <c r="AB346" i="10"/>
  <c r="AC346" i="10"/>
  <c r="V347" i="10"/>
  <c r="W347" i="10"/>
  <c r="Y347" i="10"/>
  <c r="Z347" i="10"/>
  <c r="AA347" i="10"/>
  <c r="AB347" i="10"/>
  <c r="AC347" i="10"/>
  <c r="V348" i="10"/>
  <c r="W348" i="10"/>
  <c r="Y348" i="10"/>
  <c r="Z348" i="10"/>
  <c r="AA348" i="10"/>
  <c r="AB348" i="10"/>
  <c r="AC348" i="10"/>
  <c r="V349" i="10"/>
  <c r="W349" i="10"/>
  <c r="Y349" i="10"/>
  <c r="Z349" i="10"/>
  <c r="AA349" i="10"/>
  <c r="AB349" i="10"/>
  <c r="AC349" i="10"/>
  <c r="V350" i="10"/>
  <c r="W350" i="10"/>
  <c r="Y350" i="10"/>
  <c r="Z350" i="10"/>
  <c r="AA350" i="10"/>
  <c r="AB350" i="10"/>
  <c r="AC350" i="10"/>
  <c r="V351" i="10"/>
  <c r="W351" i="10"/>
  <c r="Y351" i="10"/>
  <c r="Z351" i="10"/>
  <c r="AA351" i="10"/>
  <c r="AB351" i="10"/>
  <c r="AC351" i="10"/>
  <c r="V352" i="10"/>
  <c r="W352" i="10"/>
  <c r="X352" i="10"/>
  <c r="Y352" i="10"/>
  <c r="Z352" i="10"/>
  <c r="AA352" i="10"/>
  <c r="AB352" i="10"/>
  <c r="AC352" i="10"/>
  <c r="V353" i="10"/>
  <c r="W353" i="10"/>
  <c r="Y353" i="10"/>
  <c r="Z353" i="10"/>
  <c r="AA353" i="10"/>
  <c r="AB353" i="10"/>
  <c r="AC353" i="10"/>
  <c r="V354" i="10"/>
  <c r="W354" i="10"/>
  <c r="Y354" i="10"/>
  <c r="Z354" i="10"/>
  <c r="AA354" i="10"/>
  <c r="AB354" i="10"/>
  <c r="AC354" i="10"/>
  <c r="V355" i="10"/>
  <c r="W355" i="10"/>
  <c r="Y355" i="10"/>
  <c r="Z355" i="10"/>
  <c r="AA355" i="10"/>
  <c r="AB355" i="10"/>
  <c r="AC355" i="10"/>
  <c r="V356" i="10"/>
  <c r="W356" i="10"/>
  <c r="X356" i="10"/>
  <c r="Y356" i="10"/>
  <c r="Z356" i="10"/>
  <c r="AA356" i="10"/>
  <c r="AB356" i="10"/>
  <c r="AC356" i="10"/>
  <c r="V357" i="10"/>
  <c r="W357" i="10"/>
  <c r="Y357" i="10"/>
  <c r="Z357" i="10"/>
  <c r="AA357" i="10"/>
  <c r="AB357" i="10"/>
  <c r="AC357" i="10"/>
  <c r="V358" i="10"/>
  <c r="W358" i="10"/>
  <c r="X358" i="10"/>
  <c r="Y358" i="10"/>
  <c r="Z358" i="10"/>
  <c r="AA358" i="10"/>
  <c r="AB358" i="10"/>
  <c r="AC358" i="10"/>
  <c r="V359" i="10"/>
  <c r="W359" i="10"/>
  <c r="Y359" i="10"/>
  <c r="Z359" i="10"/>
  <c r="AA359" i="10"/>
  <c r="AB359" i="10"/>
  <c r="AC359" i="10"/>
  <c r="V360" i="10"/>
  <c r="W360" i="10"/>
  <c r="Y360" i="10"/>
  <c r="Z360" i="10"/>
  <c r="AA360" i="10"/>
  <c r="AB360" i="10"/>
  <c r="AC360" i="10"/>
  <c r="V361" i="10"/>
  <c r="W361" i="10"/>
  <c r="Y361" i="10"/>
  <c r="Z361" i="10"/>
  <c r="AA361" i="10"/>
  <c r="AB361" i="10"/>
  <c r="AC361" i="10"/>
  <c r="V362" i="10"/>
  <c r="W362" i="10"/>
  <c r="Y362" i="10"/>
  <c r="Z362" i="10"/>
  <c r="AA362" i="10"/>
  <c r="AB362" i="10"/>
  <c r="AC362" i="10"/>
  <c r="V363" i="10"/>
  <c r="W363" i="10"/>
  <c r="Y363" i="10"/>
  <c r="Z363" i="10"/>
  <c r="AA363" i="10"/>
  <c r="AB363" i="10"/>
  <c r="AC363" i="10"/>
  <c r="V364" i="10"/>
  <c r="W364" i="10"/>
  <c r="X364" i="10"/>
  <c r="Y364" i="10"/>
  <c r="Z364" i="10"/>
  <c r="AA364" i="10"/>
  <c r="AB364" i="10"/>
  <c r="AC364" i="10"/>
  <c r="V365" i="10"/>
  <c r="W365" i="10"/>
  <c r="Y365" i="10"/>
  <c r="Z365" i="10"/>
  <c r="AA365" i="10"/>
  <c r="AB365" i="10"/>
  <c r="AC365" i="10"/>
  <c r="V366" i="10"/>
  <c r="W366" i="10"/>
  <c r="Y366" i="10"/>
  <c r="Z366" i="10"/>
  <c r="AA366" i="10"/>
  <c r="AB366" i="10"/>
  <c r="AC366" i="10"/>
  <c r="V367" i="10"/>
  <c r="W367" i="10"/>
  <c r="Y367" i="10"/>
  <c r="Z367" i="10"/>
  <c r="AA367" i="10"/>
  <c r="AB367" i="10"/>
  <c r="AC367" i="10"/>
  <c r="V368" i="10"/>
  <c r="W368" i="10"/>
  <c r="X368" i="10"/>
  <c r="Y368" i="10"/>
  <c r="Z368" i="10"/>
  <c r="AA368" i="10"/>
  <c r="AB368" i="10"/>
  <c r="AC368" i="10"/>
  <c r="V369" i="10"/>
  <c r="W369" i="10"/>
  <c r="X369" i="10"/>
  <c r="Y369" i="10"/>
  <c r="Z369" i="10"/>
  <c r="AA369" i="10"/>
  <c r="AB369" i="10"/>
  <c r="AC369" i="10"/>
  <c r="V370" i="10"/>
  <c r="W370" i="10"/>
  <c r="X370" i="10"/>
  <c r="Y370" i="10"/>
  <c r="Z370" i="10"/>
  <c r="AA370" i="10"/>
  <c r="AB370" i="10"/>
  <c r="AC370" i="10"/>
  <c r="V371" i="10"/>
  <c r="W371" i="10"/>
  <c r="Y371" i="10"/>
  <c r="Z371" i="10"/>
  <c r="AA371" i="10"/>
  <c r="AB371" i="10"/>
  <c r="AC371" i="10"/>
  <c r="V372" i="10"/>
  <c r="W372" i="10"/>
  <c r="Y372" i="10"/>
  <c r="Z372" i="10"/>
  <c r="AA372" i="10"/>
  <c r="AB372" i="10"/>
  <c r="AC372" i="10"/>
  <c r="V373" i="10"/>
  <c r="W373" i="10"/>
  <c r="Y373" i="10"/>
  <c r="Z373" i="10"/>
  <c r="AA373" i="10"/>
  <c r="AB373" i="10"/>
  <c r="AC373" i="10"/>
  <c r="V374" i="10"/>
  <c r="W374" i="10"/>
  <c r="Y374" i="10"/>
  <c r="Z374" i="10"/>
  <c r="AA374" i="10"/>
  <c r="AB374" i="10"/>
  <c r="AC374" i="10"/>
  <c r="V375" i="10"/>
  <c r="W375" i="10"/>
  <c r="Y375" i="10"/>
  <c r="Z375" i="10"/>
  <c r="AA375" i="10"/>
  <c r="AB375" i="10"/>
  <c r="AC375" i="10"/>
  <c r="V376" i="10"/>
  <c r="W376" i="10"/>
  <c r="X376" i="10"/>
  <c r="Y376" i="10"/>
  <c r="Z376" i="10"/>
  <c r="AA376" i="10"/>
  <c r="AB376" i="10"/>
  <c r="AC376" i="10"/>
  <c r="V377" i="10"/>
  <c r="W377" i="10"/>
  <c r="Y377" i="10"/>
  <c r="Z377" i="10"/>
  <c r="AA377" i="10"/>
  <c r="AB377" i="10"/>
  <c r="AC377" i="10"/>
  <c r="V378" i="10"/>
  <c r="W378" i="10"/>
  <c r="Y378" i="10"/>
  <c r="Z378" i="10"/>
  <c r="AA378" i="10"/>
  <c r="AB378" i="10"/>
  <c r="AC378" i="10"/>
  <c r="V379" i="10"/>
  <c r="W379" i="10"/>
  <c r="Y379" i="10"/>
  <c r="Z379" i="10"/>
  <c r="AA379" i="10"/>
  <c r="AB379" i="10"/>
  <c r="AC379" i="10"/>
  <c r="V380" i="10"/>
  <c r="W380" i="10"/>
  <c r="X380" i="10"/>
  <c r="Y380" i="10"/>
  <c r="Z380" i="10"/>
  <c r="AA380" i="10"/>
  <c r="AB380" i="10"/>
  <c r="AC380" i="10"/>
  <c r="V381" i="10"/>
  <c r="W381" i="10"/>
  <c r="X381" i="10"/>
  <c r="Y381" i="10"/>
  <c r="Z381" i="10"/>
  <c r="AA381" i="10"/>
  <c r="AB381" i="10"/>
  <c r="AC381" i="10"/>
  <c r="V382" i="10"/>
  <c r="W382" i="10"/>
  <c r="X382" i="10"/>
  <c r="Y382" i="10"/>
  <c r="Z382" i="10"/>
  <c r="AA382" i="10"/>
  <c r="AB382" i="10"/>
  <c r="AC382" i="10"/>
  <c r="V383" i="10"/>
  <c r="W383" i="10"/>
  <c r="Y383" i="10"/>
  <c r="Z383" i="10"/>
  <c r="AA383" i="10"/>
  <c r="AB383" i="10"/>
  <c r="AC383" i="10"/>
  <c r="V384" i="10"/>
  <c r="W384" i="10"/>
  <c r="Y384" i="10"/>
  <c r="Z384" i="10"/>
  <c r="AA384" i="10"/>
  <c r="AB384" i="10"/>
  <c r="AC384" i="10"/>
  <c r="V385" i="10"/>
  <c r="W385" i="10"/>
  <c r="Y385" i="10"/>
  <c r="Z385" i="10"/>
  <c r="AA385" i="10"/>
  <c r="AB385" i="10"/>
  <c r="AC385" i="10"/>
  <c r="V386" i="10"/>
  <c r="W386" i="10"/>
  <c r="Y386" i="10"/>
  <c r="Z386" i="10"/>
  <c r="AA386" i="10"/>
  <c r="AB386" i="10"/>
  <c r="AC386" i="10"/>
  <c r="V387" i="10"/>
  <c r="W387" i="10"/>
  <c r="Y387" i="10"/>
  <c r="Z387" i="10"/>
  <c r="AA387" i="10"/>
  <c r="AB387" i="10"/>
  <c r="AC387" i="10"/>
  <c r="V388" i="10"/>
  <c r="W388" i="10"/>
  <c r="X388" i="10"/>
  <c r="Y388" i="10"/>
  <c r="Z388" i="10"/>
  <c r="AA388" i="10"/>
  <c r="AB388" i="10"/>
  <c r="AC388" i="10"/>
  <c r="V389" i="10"/>
  <c r="W389" i="10"/>
  <c r="Y389" i="10"/>
  <c r="Z389" i="10"/>
  <c r="AA389" i="10"/>
  <c r="AB389" i="10"/>
  <c r="AC389" i="10"/>
  <c r="V390" i="10"/>
  <c r="W390" i="10"/>
  <c r="Y390" i="10"/>
  <c r="Z390" i="10"/>
  <c r="AA390" i="10"/>
  <c r="AB390" i="10"/>
  <c r="AC390" i="10"/>
  <c r="V391" i="10"/>
  <c r="W391" i="10"/>
  <c r="Y391" i="10"/>
  <c r="Z391" i="10"/>
  <c r="AA391" i="10"/>
  <c r="AB391" i="10"/>
  <c r="AC391" i="10"/>
  <c r="V392" i="10"/>
  <c r="W392" i="10"/>
  <c r="X392" i="10"/>
  <c r="Y392" i="10"/>
  <c r="Z392" i="10"/>
  <c r="AA392" i="10"/>
  <c r="AB392" i="10"/>
  <c r="AC392" i="10"/>
  <c r="V393" i="10"/>
  <c r="W393" i="10"/>
  <c r="Y393" i="10"/>
  <c r="Z393" i="10"/>
  <c r="AA393" i="10"/>
  <c r="AB393" i="10"/>
  <c r="AC393" i="10"/>
  <c r="V394" i="10"/>
  <c r="W394" i="10"/>
  <c r="X394" i="10"/>
  <c r="Y394" i="10"/>
  <c r="Z394" i="10"/>
  <c r="AA394" i="10"/>
  <c r="AB394" i="10"/>
  <c r="AC394" i="10"/>
  <c r="V395" i="10"/>
  <c r="W395" i="10"/>
  <c r="Y395" i="10"/>
  <c r="Z395" i="10"/>
  <c r="AA395" i="10"/>
  <c r="AB395" i="10"/>
  <c r="AC395" i="10"/>
  <c r="V396" i="10"/>
  <c r="W396" i="10"/>
  <c r="Y396" i="10"/>
  <c r="Z396" i="10"/>
  <c r="AA396" i="10"/>
  <c r="AB396" i="10"/>
  <c r="AC396" i="10"/>
  <c r="V397" i="10"/>
  <c r="W397" i="10"/>
  <c r="Y397" i="10"/>
  <c r="Z397" i="10"/>
  <c r="AA397" i="10"/>
  <c r="AB397" i="10"/>
  <c r="AC397" i="10"/>
  <c r="V398" i="10"/>
  <c r="W398" i="10"/>
  <c r="Y398" i="10"/>
  <c r="Z398" i="10"/>
  <c r="AA398" i="10"/>
  <c r="AB398" i="10"/>
  <c r="AC398" i="10"/>
  <c r="V399" i="10"/>
  <c r="W399" i="10"/>
  <c r="Y399" i="10"/>
  <c r="Z399" i="10"/>
  <c r="AA399" i="10"/>
  <c r="AB399" i="10"/>
  <c r="AC399" i="10"/>
  <c r="V400" i="10"/>
  <c r="W400" i="10"/>
  <c r="X400" i="10"/>
  <c r="Y400" i="10"/>
  <c r="Z400" i="10"/>
  <c r="AA400" i="10"/>
  <c r="AB400" i="10"/>
  <c r="AC400" i="10"/>
  <c r="V401" i="10"/>
  <c r="W401" i="10"/>
  <c r="Y401" i="10"/>
  <c r="Z401" i="10"/>
  <c r="AA401" i="10"/>
  <c r="AB401" i="10"/>
  <c r="AC401" i="10"/>
  <c r="V402" i="10"/>
  <c r="W402" i="10"/>
  <c r="Y402" i="10"/>
  <c r="Z402" i="10"/>
  <c r="AA402" i="10"/>
  <c r="AB402" i="10"/>
  <c r="AC402" i="10"/>
  <c r="V403" i="10"/>
  <c r="W403" i="10"/>
  <c r="Y403" i="10"/>
  <c r="Z403" i="10"/>
  <c r="AA403" i="10"/>
  <c r="AB403" i="10"/>
  <c r="AC403" i="10"/>
  <c r="V404" i="10"/>
  <c r="W404" i="10"/>
  <c r="X404" i="10"/>
  <c r="Y404" i="10"/>
  <c r="Z404" i="10"/>
  <c r="AA404" i="10"/>
  <c r="AB404" i="10"/>
  <c r="AC404" i="10"/>
  <c r="V405" i="10"/>
  <c r="W405" i="10"/>
  <c r="X405" i="10"/>
  <c r="Y405" i="10"/>
  <c r="Z405" i="10"/>
  <c r="AA405" i="10"/>
  <c r="AB405" i="10"/>
  <c r="AC405" i="10"/>
  <c r="V406" i="10"/>
  <c r="W406" i="10"/>
  <c r="X406" i="10"/>
  <c r="Y406" i="10"/>
  <c r="Z406" i="10"/>
  <c r="AA406" i="10"/>
  <c r="AB406" i="10"/>
  <c r="AC406" i="10"/>
  <c r="V407" i="10"/>
  <c r="W407" i="10"/>
  <c r="X407" i="10"/>
  <c r="Y407" i="10"/>
  <c r="Z407" i="10"/>
  <c r="AA407" i="10"/>
  <c r="AB407" i="10"/>
  <c r="AC407" i="10"/>
  <c r="V408" i="10"/>
  <c r="W408" i="10"/>
  <c r="Y408" i="10"/>
  <c r="Z408" i="10"/>
  <c r="AA408" i="10"/>
  <c r="AB408" i="10"/>
  <c r="AC408" i="10"/>
  <c r="V409" i="10"/>
  <c r="W409" i="10"/>
  <c r="Y409" i="10"/>
  <c r="Z409" i="10"/>
  <c r="AA409" i="10"/>
  <c r="AB409" i="10"/>
  <c r="AC409" i="10"/>
  <c r="V410" i="10"/>
  <c r="W410" i="10"/>
  <c r="Y410" i="10"/>
  <c r="Z410" i="10"/>
  <c r="AA410" i="10"/>
  <c r="AB410" i="10"/>
  <c r="AC410" i="10"/>
  <c r="V411" i="10"/>
  <c r="W411" i="10"/>
  <c r="Y411" i="10"/>
  <c r="Z411" i="10"/>
  <c r="AA411" i="10"/>
  <c r="AB411" i="10"/>
  <c r="AC411" i="10"/>
  <c r="V412" i="10"/>
  <c r="W412" i="10"/>
  <c r="X412" i="10"/>
  <c r="Y412" i="10"/>
  <c r="Z412" i="10"/>
  <c r="AA412" i="10"/>
  <c r="AB412" i="10"/>
  <c r="AC412" i="10"/>
  <c r="V413" i="10"/>
  <c r="W413" i="10"/>
  <c r="X413" i="10"/>
  <c r="Y413" i="10"/>
  <c r="Z413" i="10"/>
  <c r="AA413" i="10"/>
  <c r="AB413" i="10"/>
  <c r="AC413" i="10"/>
  <c r="V414" i="10"/>
  <c r="W414" i="10"/>
  <c r="Y414" i="10"/>
  <c r="Z414" i="10"/>
  <c r="AA414" i="10"/>
  <c r="AB414" i="10"/>
  <c r="AC414" i="10"/>
  <c r="V415" i="10"/>
  <c r="W415" i="10"/>
  <c r="Y415" i="10"/>
  <c r="Z415" i="10"/>
  <c r="AA415" i="10"/>
  <c r="AB415" i="10"/>
  <c r="AC415" i="10"/>
  <c r="V416" i="10"/>
  <c r="W416" i="10"/>
  <c r="X416" i="10"/>
  <c r="Y416" i="10"/>
  <c r="Z416" i="10"/>
  <c r="AA416" i="10"/>
  <c r="AB416" i="10"/>
  <c r="AC416" i="10"/>
  <c r="AC328" i="10"/>
  <c r="AB328" i="10"/>
  <c r="AA328" i="10"/>
  <c r="W328" i="10"/>
  <c r="X328" i="10"/>
  <c r="Y328" i="10"/>
  <c r="Z328" i="10"/>
  <c r="V328" i="10"/>
  <c r="N45" i="8"/>
  <c r="B45" i="8"/>
  <c r="E45" i="8"/>
  <c r="H45" i="8"/>
  <c r="AA11" i="10" l="1"/>
  <c r="AA10" i="10"/>
  <c r="AA6" i="10"/>
  <c r="AA4" i="10"/>
  <c r="X38" i="7" l="1"/>
  <c r="Y38" i="7"/>
  <c r="AQ63" i="7" l="1"/>
  <c r="AS55" i="7"/>
  <c r="C41" i="7"/>
  <c r="AS63" i="7"/>
  <c r="AR63" i="7"/>
  <c r="AS62" i="7"/>
  <c r="AQ62" i="7"/>
  <c r="AR62" i="7"/>
  <c r="AS61" i="7"/>
  <c r="AR61" i="7"/>
  <c r="AQ61" i="7"/>
  <c r="AS60" i="7"/>
  <c r="AQ60" i="7"/>
  <c r="AR60" i="7"/>
  <c r="AS59" i="7"/>
  <c r="AR59" i="7"/>
  <c r="AQ59" i="7"/>
  <c r="AS58" i="7"/>
  <c r="AR58" i="7"/>
  <c r="AQ58" i="7"/>
  <c r="AS57" i="7"/>
  <c r="AQ57" i="7"/>
  <c r="AR57" i="7"/>
  <c r="AS56" i="7"/>
  <c r="AQ56" i="7"/>
  <c r="AR56" i="7"/>
  <c r="AR55" i="7"/>
  <c r="AQ55" i="7"/>
  <c r="L38" i="7" l="1"/>
  <c r="M38" i="7"/>
  <c r="N38" i="7"/>
  <c r="O38" i="7"/>
  <c r="P38" i="7"/>
  <c r="Q38" i="7"/>
  <c r="R38" i="7"/>
  <c r="S38" i="7"/>
  <c r="T38" i="7"/>
  <c r="U38" i="7"/>
  <c r="W38" i="7"/>
  <c r="K38" i="7"/>
  <c r="C3" i="7" l="1"/>
  <c r="C4" i="7"/>
  <c r="C5" i="7"/>
  <c r="C6" i="7"/>
  <c r="C7" i="7"/>
  <c r="C8" i="7"/>
  <c r="C9" i="7"/>
  <c r="C10" i="7"/>
  <c r="C11" i="7"/>
  <c r="C2" i="7"/>
  <c r="C16" i="7"/>
  <c r="C17" i="7"/>
  <c r="C18" i="7"/>
  <c r="C19" i="7"/>
  <c r="C20" i="7"/>
  <c r="C21" i="7"/>
  <c r="C22" i="7"/>
  <c r="C23" i="7"/>
  <c r="C15" i="7"/>
  <c r="E38" i="7"/>
  <c r="F38" i="7"/>
  <c r="G38" i="7"/>
  <c r="H38" i="7"/>
  <c r="I38" i="7"/>
  <c r="J38" i="7"/>
  <c r="C29" i="7"/>
  <c r="C30" i="7"/>
  <c r="C31" i="7"/>
  <c r="C32" i="7"/>
  <c r="C33" i="7"/>
  <c r="C34" i="7"/>
  <c r="C35" i="7"/>
  <c r="C36" i="7"/>
  <c r="C37" i="7"/>
  <c r="C28" i="7"/>
  <c r="D38" i="7"/>
  <c r="AQ2" i="7"/>
  <c r="AP15" i="7" l="1"/>
  <c r="AP49" i="7"/>
  <c r="AP48" i="7"/>
  <c r="AP47" i="7"/>
  <c r="AP46" i="7"/>
  <c r="AP45" i="7"/>
  <c r="AP44" i="7"/>
  <c r="AP43" i="7"/>
  <c r="AP42" i="7"/>
  <c r="C45" i="7"/>
  <c r="C49" i="7"/>
  <c r="C48" i="7"/>
  <c r="C47" i="7"/>
  <c r="C46" i="7"/>
  <c r="C44" i="7"/>
  <c r="C43" i="7"/>
  <c r="C42" i="7"/>
  <c r="C38" i="7"/>
  <c r="AP23" i="7"/>
  <c r="AP22" i="7"/>
  <c r="C12" i="7"/>
  <c r="AP16" i="7"/>
  <c r="AP17" i="7"/>
  <c r="AP18" i="7"/>
  <c r="AP19" i="7"/>
  <c r="AP20" i="7"/>
  <c r="AP21" i="7"/>
  <c r="AQ15" i="7" l="1"/>
  <c r="Q50" i="7"/>
  <c r="Q51" i="7" s="1"/>
  <c r="K50" i="7"/>
  <c r="K51" i="7" s="1"/>
  <c r="O50" i="7"/>
  <c r="O51" i="7" s="1"/>
  <c r="T89" i="7"/>
  <c r="T90" i="7" s="1"/>
  <c r="W50" i="7"/>
  <c r="W51" i="7" s="1"/>
  <c r="H89" i="7"/>
  <c r="H90" i="7" s="1"/>
  <c r="U50" i="7"/>
  <c r="U51" i="7" s="1"/>
  <c r="G50" i="7"/>
  <c r="G51" i="7" s="1"/>
  <c r="N50" i="7"/>
  <c r="N51" i="7" s="1"/>
  <c r="M89" i="7"/>
  <c r="M90" i="7" s="1"/>
  <c r="T50" i="7"/>
  <c r="T51" i="7" s="1"/>
  <c r="L89" i="7"/>
  <c r="L90" i="7" s="1"/>
  <c r="M50" i="7"/>
  <c r="M51" i="7" s="1"/>
  <c r="E50" i="7"/>
  <c r="E51" i="7" s="1"/>
  <c r="P89" i="7"/>
  <c r="P90" i="7" s="1"/>
  <c r="AA50" i="7"/>
  <c r="AA51" i="7" s="1"/>
  <c r="I89" i="7"/>
  <c r="I90" i="7" s="1"/>
  <c r="D50" i="7"/>
  <c r="D51" i="7" s="1"/>
  <c r="H50" i="7"/>
  <c r="D89" i="7"/>
  <c r="D90" i="7" s="1"/>
  <c r="K89" i="7"/>
  <c r="K90" i="7" s="1"/>
  <c r="O89" i="7"/>
  <c r="O90" i="7" s="1"/>
  <c r="J89" i="7"/>
  <c r="J90" i="7" s="1"/>
  <c r="F89" i="7"/>
  <c r="F90" i="7" s="1"/>
  <c r="Z50" i="7"/>
  <c r="Z51" i="7" s="1"/>
  <c r="N89" i="7"/>
  <c r="N90" i="7" s="1"/>
  <c r="S89" i="7"/>
  <c r="S90" i="7" s="1"/>
  <c r="Q89" i="7"/>
  <c r="Q90" i="7" s="1"/>
  <c r="Y50" i="7"/>
  <c r="Y51" i="7" s="1"/>
  <c r="S50" i="7"/>
  <c r="S51" i="7" s="1"/>
  <c r="L50" i="7"/>
  <c r="L51" i="7" s="1"/>
  <c r="J50" i="7"/>
  <c r="J51" i="7" s="1"/>
  <c r="F50" i="7"/>
  <c r="F51" i="7" s="1"/>
  <c r="G89" i="7"/>
  <c r="G90" i="7" s="1"/>
  <c r="R89" i="7"/>
  <c r="R90" i="7" s="1"/>
  <c r="E89" i="7"/>
  <c r="E90" i="7" s="1"/>
  <c r="R50" i="7"/>
  <c r="R51" i="7" s="1"/>
  <c r="P50" i="7"/>
  <c r="P51" i="7" s="1"/>
  <c r="X50" i="7"/>
  <c r="X51" i="7" s="1"/>
  <c r="C24" i="7"/>
  <c r="C25" i="7" s="1"/>
  <c r="AP25" i="7" s="1"/>
  <c r="I50" i="7"/>
  <c r="I51" i="7" s="1"/>
  <c r="H51" i="7" l="1"/>
  <c r="AQ51" i="7" s="1"/>
  <c r="AR50" i="7"/>
  <c r="AR52" i="7" s="1"/>
  <c r="AQ50" i="7"/>
  <c r="AQ52" i="7" s="1"/>
  <c r="AS50" i="7"/>
  <c r="AS52" i="7" s="1"/>
  <c r="AQ65" i="7"/>
  <c r="AQ28" i="7"/>
  <c r="AQ29" i="7"/>
  <c r="AS66" i="7"/>
  <c r="AQ30" i="7"/>
  <c r="AS65" i="7"/>
  <c r="AP24" i="7"/>
  <c r="AR64" i="7"/>
  <c r="C89" i="7"/>
  <c r="C90" i="7" s="1"/>
  <c r="AR66" i="7"/>
  <c r="AQ66" i="7"/>
  <c r="AR65" i="7"/>
  <c r="AQ64" i="7"/>
  <c r="AP50" i="7"/>
  <c r="AS64" i="7"/>
  <c r="C50" i="7"/>
  <c r="C51" i="7" s="1"/>
  <c r="AP51" i="7" l="1"/>
  <c r="AR51" i="7" s="1"/>
  <c r="AS51" i="7"/>
  <c r="AQ31" i="7"/>
  <c r="AQ32" i="7"/>
</calcChain>
</file>

<file path=xl/sharedStrings.xml><?xml version="1.0" encoding="utf-8"?>
<sst xmlns="http://schemas.openxmlformats.org/spreadsheetml/2006/main" count="6019" uniqueCount="2848">
  <si>
    <t>pos</t>
  </si>
  <si>
    <t>gf</t>
  </si>
  <si>
    <t>INTER</t>
  </si>
  <si>
    <t>NAPOLI</t>
  </si>
  <si>
    <t>COMO</t>
  </si>
  <si>
    <t>ATALANTA</t>
  </si>
  <si>
    <t>MILAN</t>
  </si>
  <si>
    <t>SASSUOLO</t>
  </si>
  <si>
    <t>P</t>
  </si>
  <si>
    <t>D</t>
  </si>
  <si>
    <t>C</t>
  </si>
  <si>
    <t>A</t>
  </si>
  <si>
    <t>Virtus</t>
  </si>
  <si>
    <t>Meca</t>
  </si>
  <si>
    <t>Stella</t>
  </si>
  <si>
    <t>Lupa</t>
  </si>
  <si>
    <t>Barcelloneta</t>
  </si>
  <si>
    <t>Atletico</t>
  </si>
  <si>
    <t>Turbolenta</t>
  </si>
  <si>
    <t>Real G.</t>
  </si>
  <si>
    <t>Anxanum</t>
  </si>
  <si>
    <t>Costantia</t>
  </si>
  <si>
    <t>Punteggi giornata: 6</t>
  </si>
  <si>
    <t>Punteggi giornata: 1</t>
  </si>
  <si>
    <t>Punteggi giornata: 2</t>
  </si>
  <si>
    <t>Punteggi giornata: 3</t>
  </si>
  <si>
    <t>Punteggi giornata: 4</t>
  </si>
  <si>
    <t>Punteggi giornata: 5</t>
  </si>
  <si>
    <t>Punteggi giornata: 7</t>
  </si>
  <si>
    <t>Punteggi giornata: 8</t>
  </si>
  <si>
    <t>Punteggi giornata: 9</t>
  </si>
  <si>
    <t>Punteggi giornata: 10</t>
  </si>
  <si>
    <t>Punteggi giornata: 11</t>
  </si>
  <si>
    <t>Punteggi giornata: 12</t>
  </si>
  <si>
    <t>Punteggi giornata: 13</t>
  </si>
  <si>
    <t>Punteggi giornata: 14</t>
  </si>
  <si>
    <t>Punteggi giornata: 15</t>
  </si>
  <si>
    <t>Punteggi giornata: 16</t>
  </si>
  <si>
    <t>Punteggi giornata: 17</t>
  </si>
  <si>
    <t>Punteggi giornata: 18</t>
  </si>
  <si>
    <t>Punteggi giornata: 19</t>
  </si>
  <si>
    <t>avg</t>
  </si>
  <si>
    <t>ass</t>
  </si>
  <si>
    <t>min</t>
  </si>
  <si>
    <t>Punteggi giornata: 20</t>
  </si>
  <si>
    <t>prima</t>
  </si>
  <si>
    <t>dalla 10 in poi è stato testato</t>
  </si>
  <si>
    <t>&gt;0</t>
  </si>
  <si>
    <t>&lt;0</t>
  </si>
  <si>
    <t>Punteggi giornata: 21</t>
  </si>
  <si>
    <t>Punteggi giornata: 22</t>
  </si>
  <si>
    <t>g2</t>
  </si>
  <si>
    <t>10|5|4|5|20|80|25|10</t>
  </si>
  <si>
    <t>10|5|4|5|20|80|25|15</t>
  </si>
  <si>
    <t>10|5|4|5|20|80|25|20</t>
  </si>
  <si>
    <t>10|5|4|5|20|80|25|25</t>
  </si>
  <si>
    <t>10|5|4|5|20|80|25|30</t>
  </si>
  <si>
    <t>10|5|4|5|20|90|25|10</t>
  </si>
  <si>
    <t>10|5|4|5|20|90|25|15</t>
  </si>
  <si>
    <t>10|5|4|5|20|90|25|20</t>
  </si>
  <si>
    <t>10|5|4|5|20|90|25|25</t>
  </si>
  <si>
    <t>10|5|4|5|20|90|25|30</t>
  </si>
  <si>
    <t>10|5|4|5|20|100|25|10</t>
  </si>
  <si>
    <t>10|5|4|5|20|100|25|15</t>
  </si>
  <si>
    <t>10|5|4|5|20|100|25|20</t>
  </si>
  <si>
    <t>10|5|4|5|20|100|25|25</t>
  </si>
  <si>
    <t>10|5|4|5|20|100|25|30</t>
  </si>
  <si>
    <t>10|5|4|5|20|110|25|10</t>
  </si>
  <si>
    <t>10|5|4|5|20|110|25|15</t>
  </si>
  <si>
    <t>10|5|4|5|20|110|25|20</t>
  </si>
  <si>
    <t>10|5|4|5|20|110|25|25</t>
  </si>
  <si>
    <t>10|5|4|5|20|110|25|30</t>
  </si>
  <si>
    <t>10|5|4|5|20|120|25|10</t>
  </si>
  <si>
    <t>10|5|4|5|20|120|25|15</t>
  </si>
  <si>
    <t>10|5|4|5|20|120|25|20</t>
  </si>
  <si>
    <t>10|5|4|5|20|120|25|25</t>
  </si>
  <si>
    <t>10|5|4|5|20|120|25|30</t>
  </si>
  <si>
    <t>10|5|4|5|20|80|40|15</t>
  </si>
  <si>
    <t>10|5|4|5|20|80|40|20</t>
  </si>
  <si>
    <t>10|5|4|5|20|80|40|25</t>
  </si>
  <si>
    <t>10|5|4|5|20|80|40|30</t>
  </si>
  <si>
    <t>10|5|4|5|20|90|40|10</t>
  </si>
  <si>
    <t>10|5|4|5|20|90|40|15</t>
  </si>
  <si>
    <t>10|5|4|5|20|90|40|20</t>
  </si>
  <si>
    <t>10|5|4|5|20|90|40|25</t>
  </si>
  <si>
    <t>10|5|4|5|20|90|40|30</t>
  </si>
  <si>
    <t>10|5|4|5|20|100|40|10</t>
  </si>
  <si>
    <t>10|5|4|5|20|100|40|15</t>
  </si>
  <si>
    <t>10|5|4|5|20|100|40|20</t>
  </si>
  <si>
    <t>10|5|4|5|20|100|40|25</t>
  </si>
  <si>
    <t>10|5|4|5|20|100|40|30</t>
  </si>
  <si>
    <t>10|5|4|5|20|110|40|10</t>
  </si>
  <si>
    <t>10|5|4|5|20|110|40|15</t>
  </si>
  <si>
    <t>10|5|4|5|20|110|40|20</t>
  </si>
  <si>
    <t>10|5|4|5|20|110|40|25</t>
  </si>
  <si>
    <t>10|5|4|5|20|110|40|30</t>
  </si>
  <si>
    <t>10|5|4|5|20|120|40|10</t>
  </si>
  <si>
    <t>10|5|4|5|20|120|40|15</t>
  </si>
  <si>
    <t>10|5|4|5|20|120|40|20</t>
  </si>
  <si>
    <t>10|5|4|5|20|120|40|25</t>
  </si>
  <si>
    <t>10|5|4|5|20|120|40|30</t>
  </si>
  <si>
    <t>10|5|4|5|20|110|55|15</t>
  </si>
  <si>
    <t>10|5|4|5|20|110|55|20</t>
  </si>
  <si>
    <t>10|5|4|5|20|110|55|25</t>
  </si>
  <si>
    <t>10|5|4|5|20|110|55|30</t>
  </si>
  <si>
    <t>10|5|4|5|20|120|55|10</t>
  </si>
  <si>
    <t>10|5|4|5|20|120|55|15</t>
  </si>
  <si>
    <t>10|5|4|5|20|120|55|20</t>
  </si>
  <si>
    <t>10|5|4|5|20|120|55|25</t>
  </si>
  <si>
    <t>10|5|4|5|20|120|55|30</t>
  </si>
  <si>
    <t>ga</t>
  </si>
  <si>
    <t>CREMONESE</t>
  </si>
  <si>
    <t>CAGLIARI</t>
  </si>
  <si>
    <t>GENOA</t>
  </si>
  <si>
    <t>VANDEPUTTE</t>
  </si>
  <si>
    <t>BASTONI</t>
  </si>
  <si>
    <t>LUPERTO</t>
  </si>
  <si>
    <t>TOMORI</t>
  </si>
  <si>
    <t>Punteggi giornata: 23</t>
  </si>
  <si>
    <t>Punteggi giornata: 24</t>
  </si>
  <si>
    <t>Punteggi giornata: 25</t>
  </si>
  <si>
    <t>item</t>
  </si>
  <si>
    <t>LAZIO</t>
  </si>
  <si>
    <t>FIORENTINA</t>
  </si>
  <si>
    <t>ROMA</t>
  </si>
  <si>
    <t>59,2|TW:32|MODW:5|ROLEW:15|HPD:6|HPW:2|POSS:5|HPOSD:30|AVGW:90|POSW:90|LASTW:45</t>
  </si>
  <si>
    <t>59,2|TW:32|MODW:5|ROLEW:15|HPD:6|HPW:2|POSS:5|HPOSD:30|AVGW:90|POSW:90|LASTW:35</t>
  </si>
  <si>
    <t>59,2|TW:32|MODW:5|ROLEW:15|HPD:6|HPW:2|POSS:5|HPOSD:30|AVGW:80|POSW:90|LASTW:45</t>
  </si>
  <si>
    <t>59,2|TW:32|MODW:5|ROLEW:15|HPD:6|HPW:2|POSS:5|HPOSD:30|AVGW:70|POSW:90|LASTW:35</t>
  </si>
  <si>
    <t>59,2|TW:32|MODW:5|ROLEW:15|HPD:6|HPW:2|POSS:5|HPOSD:30|AVGW:70|POSW:90|LASTW:25</t>
  </si>
  <si>
    <t>59,2|TW:32|MODW:5|ROLEW:15|HPD:6|HPW:2|POSS:5|HPOSD:30|AVGW:90|POSW:75|LASTW:45</t>
  </si>
  <si>
    <t>59,2|TW:32|MODW:5|ROLEW:15|HPD:6|HPW:2|POSS:5|HPOSD:30|AVGW:90|POSW:75|LASTW:35</t>
  </si>
  <si>
    <t>59,2|TW:32|MODW:5|ROLEW:15|HPD:6|HPW:2|POSS:5|HPOSD:30|AVGW:90|POSW:75|LASTW:25</t>
  </si>
  <si>
    <t>59,2|TW:32|MODW:5|ROLEW:15|HPD:6|HPW:2|POSS:5|HPOSD:30|AVGW:80|POSW:75|LASTW:45</t>
  </si>
  <si>
    <t>59,2|TW:32|MODW:5|ROLEW:15|HPD:6|HPW:2|POSS:5|HPOSD:30|AVGW:80|POSW:75|LASTW:35</t>
  </si>
  <si>
    <t>59,2|TW:32|MODW:5|ROLEW:15|HPD:6|HPW:2|POSS:5|HPOSD:30|AVGW:80|POSW:75|LASTW:25</t>
  </si>
  <si>
    <t>59,2|TW:32|MODW:5|ROLEW:15|HPD:6|HPW:2|POSS:5|HPOSD:30|AVGW:70|POSW:75|LASTW:45</t>
  </si>
  <si>
    <t>59,2|TW:32|MODW:5|ROLEW:15|HPD:6|HPW:2|POSS:5|HPOSD:30|AVGW:70|POSW:75|LASTW:35</t>
  </si>
  <si>
    <t>59,2|TW:32|MODW:5|ROLEW:15|HPD:6|HPW:2|POSS:5|HPOSD:30|AVGW:70|POSW:75|LASTW:25</t>
  </si>
  <si>
    <t>59,2|TW:32|MODW:5|ROLEW:15|HPD:6|HPW:2|POSS:5|HPOSD:30|AVGW:90|POSW:60|LASTW:45</t>
  </si>
  <si>
    <t>59,2|TW:32|MODW:5|ROLEW:15|HPD:6|HPW:2|POSS:5|HPOSD:30|AVGW:90|POSW:60|LASTW:35</t>
  </si>
  <si>
    <t>59,2|TW:32|MODW:5|ROLEW:15|HPD:6|HPW:2|POSS:5|HPOSD:30|AVGW:90|POSW:60|LASTW:25</t>
  </si>
  <si>
    <t>59,2|TW:32|MODW:5|ROLEW:15|HPD:6|HPW:2|POSS:5|HPOSD:30|AVGW:80|POSW:60|LASTW:45</t>
  </si>
  <si>
    <t>59,2|TW:32|MODW:5|ROLEW:15|HPD:6|HPW:2|POSS:5|HPOSD:30|AVGW:70|POSW:60|LASTW:45</t>
  </si>
  <si>
    <t>59,2|TW:32|MODW:5|ROLEW:15|HPD:6|HPW:2|POSS:5|HPOSD:30|AVGW:70|POSW:60|LASTW:25</t>
  </si>
  <si>
    <t>59,2|TW:32|MODW:5|ROLEW:15|HPD:6|HPW:2|POSS:5|HPOSD:25|AVGW:90|POSW:90|LASTW:45</t>
  </si>
  <si>
    <t>59,2|TW:32|MODW:5|ROLEW:15|HPD:6|HPW:2|POSS:5|HPOSD:25|AVGW:90|POSW:90|LASTW:35</t>
  </si>
  <si>
    <t>59,2|TW:32|MODW:5|ROLEW:15|HPD:6|HPW:2|POSS:5|HPOSD:25|AVGW:90|POSW:90|LASTW:25</t>
  </si>
  <si>
    <t>59,2|TW:32|MODW:5|ROLEW:15|HPD:6|HPW:2|POSS:5|HPOSD:25|AVGW:80|POSW:90|LASTW:45</t>
  </si>
  <si>
    <t>59,2|TW:32|MODW:5|ROLEW:15|HPD:6|HPW:2|POSS:5|HPOSD:25|AVGW:80|POSW:90|LASTW:35</t>
  </si>
  <si>
    <t>59,2|TW:32|MODW:5|ROLEW:15|HPD:6|HPW:2|POSS:5|HPOSD:25|AVGW:70|POSW:90|LASTW:45</t>
  </si>
  <si>
    <t>59,2|TW:32|MODW:5|ROLEW:15|HPD:6|HPW:2|POSS:5|HPOSD:25|AVGW:70|POSW:90|LASTW:25</t>
  </si>
  <si>
    <t>59,2|TW:32|MODW:5|ROLEW:15|HPD:6|HPW:2|POSS:5|HPOSD:25|AVGW:90|POSW:75|LASTW:25</t>
  </si>
  <si>
    <t>59,2|TW:32|MODW:5|ROLEW:15|HPD:6|HPW:2|POSS:5|HPOSD:25|AVGW:80|POSW:75|LASTW:35</t>
  </si>
  <si>
    <t>59,2|TW:32|MODW:5|ROLEW:15|HPD:6|HPW:2|POSS:5|HPOSD:25|AVGW:80|POSW:75|LASTW:25</t>
  </si>
  <si>
    <t>59,2|TW:32|MODW:5|ROLEW:15|HPD:6|HPW:2|POSS:5|HPOSD:25|AVGW:70|POSW:75|LASTW:45</t>
  </si>
  <si>
    <t>59,2|TW:32|MODW:5|ROLEW:15|HPD:6|HPW:2|POSS:5|HPOSD:25|AVGW:70|POSW:75|LASTW:25</t>
  </si>
  <si>
    <t>59,2|TW:32|MODW:5|ROLEW:15|HPD:6|HPW:2|POSS:5|HPOSD:25|AVGW:90|POSW:60|LASTW:35</t>
  </si>
  <si>
    <t>59,2|TW:32|MODW:5|ROLEW:15|HPD:6|HPW:2|POSS:5|HPOSD:25|AVGW:90|POSW:60|LASTW:25</t>
  </si>
  <si>
    <t>59,2|TW:32|MODW:5|ROLEW:15|HPD:6|HPW:2|POSS:5|HPOSD:25|AVGW:80|POSW:60|LASTW:45</t>
  </si>
  <si>
    <t>59,2|TW:32|MODW:5|ROLEW:15|HPD:6|HPW:2|POSS:5|HPOSD:25|AVGW:80|POSW:60|LASTW:35</t>
  </si>
  <si>
    <t>59,2|TW:32|MODW:5|ROLEW:15|HPD:6|HPW:2|POSS:5|HPOSD:25|AVGW:80|POSW:60|LASTW:25</t>
  </si>
  <si>
    <t>59,2|TW:32|MODW:5|ROLEW:15|HPD:6|HPW:2|POSS:5|HPOSD:25|AVGW:70|POSW:60|LASTW:45</t>
  </si>
  <si>
    <t>59,9|TW:32|MODW:5|ROLEW:15|HPD:6|HPW:2|POSS:5|HPOSD:20|AVGW:90|POSW:90|LASTW:45</t>
  </si>
  <si>
    <t>59,9|TW:32|MODW:5|ROLEW:15|HPD:6|HPW:2|POSS:5|HPOSD:20|AVGW:90|POSW:90|LASTW:25</t>
  </si>
  <si>
    <t>59,9|TW:32|MODW:5|ROLEW:15|HPD:6|HPW:2|POSS:5|HPOSD:20|AVGW:80|POSW:90|LASTW:35</t>
  </si>
  <si>
    <t>59,9|TW:32|MODW:5|ROLEW:15|HPD:6|HPW:2|POSS:5|HPOSD:20|AVGW:70|POSW:90|LASTW:35</t>
  </si>
  <si>
    <t>59,9|TW:32|MODW:5|ROLEW:15|HPD:6|HPW:2|POSS:5|HPOSD:20|AVGW:70|POSW:90|LASTW:25</t>
  </si>
  <si>
    <t>59,9|TW:32|MODW:5|ROLEW:15|HPD:6|HPW:2|POSS:5|HPOSD:20|AVGW:80|POSW:75|LASTW:45</t>
  </si>
  <si>
    <t>59,9|TW:32|MODW:5|ROLEW:15|HPD:6|HPW:2|POSS:5|HPOSD:20|AVGW:80|POSW:75|LASTW:25</t>
  </si>
  <si>
    <t>59,9|TW:32|MODW:5|ROLEW:15|HPD:6|HPW:2|POSS:5|HPOSD:20|AVGW:70|POSW:75|LASTW:35</t>
  </si>
  <si>
    <t>59,9|TW:32|MODW:5|ROLEW:15|HPD:6|HPW:2|POSS:5|HPOSD:20|AVGW:70|POSW:75|LASTW:25</t>
  </si>
  <si>
    <t>59,9|TW:32|MODW:5|ROLEW:15|HPD:6|HPW:2|POSS:5|HPOSD:20|AVGW:90|POSW:60|LASTW:25</t>
  </si>
  <si>
    <t>59,9|TW:32|MODW:5|ROLEW:15|HPD:6|HPW:2|POSS:5|HPOSD:20|AVGW:80|POSW:60|LASTW:45</t>
  </si>
  <si>
    <t>59,9|TW:32|MODW:5|ROLEW:15|HPD:6|HPW:2|POSS:5|HPOSD:20|AVGW:80|POSW:60|LASTW:25</t>
  </si>
  <si>
    <t>59,9|TW:32|MODW:5|ROLEW:15|HPD:6|HPW:2|POSS:5|HPOSD:20|AVGW:70|POSW:60|LASTW:35</t>
  </si>
  <si>
    <t>59,9|TW:32|MODW:5|ROLEW:15|HPD:6|HPW:2|POSS:5|HPOSD:20|AVGW:70|POSW:60|LASTW:25</t>
  </si>
  <si>
    <t>59,2|TW:32|MODW:5|ROLEW:10|HPD:6|HPW:2|POSS:5|HPOSD:30|AVGW:90|POSW:90|LASTW:45</t>
  </si>
  <si>
    <t>59,2|TW:32|MODW:5|ROLEW:10|HPD:6|HPW:2|POSS:5|HPOSD:30|AVGW:90|POSW:90|LASTW:25</t>
  </si>
  <si>
    <t>59,2|TW:32|MODW:5|ROLEW:10|HPD:6|HPW:2|POSS:5|HPOSD:30|AVGW:80|POSW:90|LASTW:35</t>
  </si>
  <si>
    <t>59,2|TW:32|MODW:5|ROLEW:10|HPD:6|HPW:2|POSS:5|HPOSD:30|AVGW:70|POSW:90|LASTW:45</t>
  </si>
  <si>
    <t>59,2|TW:32|MODW:5|ROLEW:10|HPD:6|HPW:2|POSS:5|HPOSD:30|AVGW:70|POSW:90|LASTW:25</t>
  </si>
  <si>
    <t>59,2|TW:32|MODW:5|ROLEW:10|HPD:6|HPW:2|POSS:5|HPOSD:30|AVGW:90|POSW:75|LASTW:45</t>
  </si>
  <si>
    <t>59,2|TW:32|MODW:5|ROLEW:10|HPD:6|HPW:2|POSS:5|HPOSD:30|AVGW:90|POSW:75|LASTW:35</t>
  </si>
  <si>
    <t>59,2|TW:32|MODW:5|ROLEW:10|HPD:6|HPW:2|POSS:5|HPOSD:30|AVGW:90|POSW:75|LASTW:25</t>
  </si>
  <si>
    <t>59,2|TW:32|MODW:5|ROLEW:10|HPD:6|HPW:2|POSS:5|HPOSD:30|AVGW:80|POSW:75|LASTW:35</t>
  </si>
  <si>
    <t>59,2|TW:32|MODW:5|ROLEW:10|HPD:6|HPW:2|POSS:5|HPOSD:30|AVGW:80|POSW:75|LASTW:25</t>
  </si>
  <si>
    <t>59,2|TW:32|MODW:5|ROLEW:10|HPD:6|HPW:2|POSS:5|HPOSD:30|AVGW:70|POSW:75|LASTW:25</t>
  </si>
  <si>
    <t>59,2|TW:32|MODW:5|ROLEW:10|HPD:6|HPW:2|POSS:5|HPOSD:30|AVGW:90|POSW:60|LASTW:35</t>
  </si>
  <si>
    <t>59,2|TW:32|MODW:5|ROLEW:10|HPD:6|HPW:2|POSS:5|HPOSD:30|AVGW:90|POSW:60|LASTW:25</t>
  </si>
  <si>
    <t>59,2|TW:32|MODW:5|ROLEW:10|HPD:6|HPW:2|POSS:5|HPOSD:30|AVGW:80|POSW:60|LASTW:45</t>
  </si>
  <si>
    <t>59,2|TW:32|MODW:5|ROLEW:10|HPD:6|HPW:2|POSS:5|HPOSD:30|AVGW:80|POSW:60|LASTW:35</t>
  </si>
  <si>
    <t>59,2|TW:32|MODW:5|ROLEW:10|HPD:6|HPW:2|POSS:5|HPOSD:30|AVGW:80|POSW:60|LASTW:25</t>
  </si>
  <si>
    <t>59,2|TW:32|MODW:5|ROLEW:10|HPD:6|HPW:2|POSS:5|HPOSD:30|AVGW:70|POSW:60|LASTW:45</t>
  </si>
  <si>
    <t>59,2|TW:32|MODW:5|ROLEW:10|HPD:6|HPW:2|POSS:5|HPOSD:30|AVGW:70|POSW:60|LASTW:35</t>
  </si>
  <si>
    <t>59,2|TW:32|MODW:5|ROLEW:10|HPD:6|HPW:2|POSS:5|HPOSD:30|AVGW:70|POSW:60|LASTW:25</t>
  </si>
  <si>
    <t>59,2|TW:32|MODW:5|ROLEW:10|HPD:6|HPW:2|POSS:5|HPOSD:25|AVGW:90|POSW:90|LASTW:45</t>
  </si>
  <si>
    <t>59,2|TW:32|MODW:5|ROLEW:10|HPD:6|HPW:2|POSS:5|HPOSD:25|AVGW:90|POSW:90|LASTW:35</t>
  </si>
  <si>
    <t>59,2|TW:32|MODW:5|ROLEW:10|HPD:6|HPW:2|POSS:5|HPOSD:25|AVGW:90|POSW:90|LASTW:25</t>
  </si>
  <si>
    <t>59,2|TW:32|MODW:5|ROLEW:10|HPD:6|HPW:2|POSS:5|HPOSD:25|AVGW:80|POSW:90|LASTW:45</t>
  </si>
  <si>
    <t>59,2|TW:32|MODW:5|ROLEW:10|HPD:6|HPW:2|POSS:5|HPOSD:25|AVGW:80|POSW:90|LASTW:25</t>
  </si>
  <si>
    <t>59,2|TW:32|MODW:5|ROLEW:10|HPD:6|HPW:2|POSS:5|HPOSD:25|AVGW:70|POSW:90|LASTW:35</t>
  </si>
  <si>
    <t>59,2|TW:32|MODW:5|ROLEW:10|HPD:6|HPW:2|POSS:5|HPOSD:25|AVGW:90|POSW:75|LASTW:45</t>
  </si>
  <si>
    <t>59,2|TW:32|MODW:5|ROLEW:10|HPD:6|HPW:2|POSS:5|HPOSD:25|AVGW:90|POSW:75|LASTW:35</t>
  </si>
  <si>
    <t>59,2|TW:32|MODW:5|ROLEW:10|HPD:6|HPW:2|POSS:5|HPOSD:25|AVGW:90|POSW:75|LASTW:25</t>
  </si>
  <si>
    <t>59,2|TW:32|MODW:5|ROLEW:10|HPD:6|HPW:2|POSS:5|HPOSD:25|AVGW:80|POSW:75|LASTW:45</t>
  </si>
  <si>
    <t>59,2|TW:32|MODW:5|ROLEW:10|HPD:6|HPW:2|POSS:5|HPOSD:25|AVGW:80|POSW:75|LASTW:35</t>
  </si>
  <si>
    <t>59,2|TW:32|MODW:5|ROLEW:10|HPD:6|HPW:2|POSS:5|HPOSD:25|AVGW:80|POSW:75|LASTW:25</t>
  </si>
  <si>
    <t>59,2|TW:32|MODW:5|ROLEW:10|HPD:6|HPW:2|POSS:5|HPOSD:25|AVGW:70|POSW:75|LASTW:35</t>
  </si>
  <si>
    <t>59,2|TW:32|MODW:5|ROLEW:10|HPD:6|HPW:2|POSS:5|HPOSD:25|AVGW:90|POSW:60|LASTW:45</t>
  </si>
  <si>
    <t>59,2|TW:32|MODW:5|ROLEW:10|HPD:6|HPW:2|POSS:5|HPOSD:25|AVGW:90|POSW:60|LASTW:25</t>
  </si>
  <si>
    <t>59,2|TW:32|MODW:5|ROLEW:10|HPD:6|HPW:2|POSS:5|HPOSD:25|AVGW:80|POSW:60|LASTW:35</t>
  </si>
  <si>
    <t>59,2|TW:32|MODW:5|ROLEW:10|HPD:6|HPW:2|POSS:5|HPOSD:25|AVGW:80|POSW:60|LASTW:25</t>
  </si>
  <si>
    <t>59,2|TW:32|MODW:5|ROLEW:10|HPD:6|HPW:2|POSS:5|HPOSD:25|AVGW:70|POSW:60|LASTW:35</t>
  </si>
  <si>
    <t>59,9|TW:32|MODW:5|ROLEW:10|HPD:6|HPW:2|POSS:5|HPOSD:20|AVGW:90|POSW:90|LASTW:45</t>
  </si>
  <si>
    <t>59,9|TW:32|MODW:5|ROLEW:10|HPD:6|HPW:2|POSS:5|HPOSD:20|AVGW:80|POSW:90|LASTW:45</t>
  </si>
  <si>
    <t>59,9|TW:32|MODW:5|ROLEW:10|HPD:6|HPW:2|POSS:5|HPOSD:20|AVGW:80|POSW:90|LASTW:35</t>
  </si>
  <si>
    <t>59,9|TW:32|MODW:5|ROLEW:10|HPD:6|HPW:2|POSS:5|HPOSD:20|AVGW:80|POSW:90|LASTW:25</t>
  </si>
  <si>
    <t>59,9|TW:32|MODW:5|ROLEW:10|HPD:6|HPW:2|POSS:5|HPOSD:20|AVGW:70|POSW:90|LASTW:45</t>
  </si>
  <si>
    <t>59,9|TW:32|MODW:5|ROLEW:10|HPD:6|HPW:2|POSS:5|HPOSD:20|AVGW:70|POSW:90|LASTW:35</t>
  </si>
  <si>
    <t>59,9|TW:32|MODW:5|ROLEW:10|HPD:6|HPW:2|POSS:5|HPOSD:20|AVGW:70|POSW:90|LASTW:25</t>
  </si>
  <si>
    <t>59,9|TW:32|MODW:5|ROLEW:10|HPD:6|HPW:2|POSS:5|HPOSD:20|AVGW:90|POSW:75|LASTW:45</t>
  </si>
  <si>
    <t>59,9|TW:32|MODW:5|ROLEW:10|HPD:6|HPW:2|POSS:5|HPOSD:20|AVGW:90|POSW:75|LASTW:35</t>
  </si>
  <si>
    <t>59,9|TW:32|MODW:5|ROLEW:10|HPD:6|HPW:2|POSS:5|HPOSD:20|AVGW:90|POSW:75|LASTW:25</t>
  </si>
  <si>
    <t>59,9|TW:32|MODW:5|ROLEW:10|HPD:6|HPW:2|POSS:5|HPOSD:20|AVGW:80|POSW:75|LASTW:45</t>
  </si>
  <si>
    <t>59,9|TW:32|MODW:5|ROLEW:10|HPD:6|HPW:2|POSS:5|HPOSD:20|AVGW:80|POSW:75|LASTW:35</t>
  </si>
  <si>
    <t>59,9|TW:32|MODW:5|ROLEW:10|HPD:6|HPW:2|POSS:5|HPOSD:20|AVGW:80|POSW:75|LASTW:25</t>
  </si>
  <si>
    <t>59,9|TW:32|MODW:5|ROLEW:10|HPD:6|HPW:2|POSS:5|HPOSD:20|AVGW:70|POSW:75|LASTW:45</t>
  </si>
  <si>
    <t>59,9|TW:32|MODW:5|ROLEW:10|HPD:6|HPW:2|POSS:5|HPOSD:20|AVGW:70|POSW:75|LASTW:35</t>
  </si>
  <si>
    <t>59,9|TW:32|MODW:5|ROLEW:10|HPD:6|HPW:2|POSS:5|HPOSD:20|AVGW:90|POSW:60|LASTW:35</t>
  </si>
  <si>
    <t>59,9|TW:32|MODW:5|ROLEW:10|HPD:6|HPW:2|POSS:5|HPOSD:20|AVGW:80|POSW:60|LASTW:45</t>
  </si>
  <si>
    <t>59,9|TW:32|MODW:5|ROLEW:10|HPD:6|HPW:2|POSS:5|HPOSD:20|AVGW:80|POSW:60|LASTW:35</t>
  </si>
  <si>
    <t>59,9|TW:32|MODW:5|ROLEW:10|HPD:6|HPW:2|POSS:5|HPOSD:20|AVGW:80|POSW:60|LASTW:25</t>
  </si>
  <si>
    <t>59,9|TW:32|MODW:5|ROLEW:10|HPD:6|HPW:2|POSS:5|HPOSD:20|AVGW:70|POSW:60|LASTW:45</t>
  </si>
  <si>
    <t>59,9|TW:32|MODW:5|ROLEW:10|HPD:6|HPW:2|POSS:5|HPOSD:20|AVGW:70|POSW:60|LASTW:35</t>
  </si>
  <si>
    <t>59,9|TW:32|MODW:5|ROLEW:10|HPD:6|HPW:2|POSS:5|HPOSD:20|AVGW:70|POSW:60|LASTW:25</t>
  </si>
  <si>
    <t>59,2|TW:32|MODW:5|ROLEW:15|HPD:6|HPW:2|POSS:5|HPOSD:30|AVGW:80|POSW:90|LASTW:25</t>
  </si>
  <si>
    <t>59,2|TW:32|MODW:5|ROLEW:15|HPD:6|HPW:2|POSS:5|HPOSD:25|AVGW:70|POSW:60|LASTW:25</t>
  </si>
  <si>
    <t>59,2|TW:32|MODW:5|ROLEW:10|HPD:6|HPW:2|POSS:5|HPOSD:30|AVGW:90|POSW:90|LASTW:35</t>
  </si>
  <si>
    <t>59,2|TW:32|MODW:5|ROLEW:10|HPD:6|HPW:2|POSS:5|HPOSD:30|AVGW:80|POSW:90|LASTW:45</t>
  </si>
  <si>
    <t>59,2|TW:32|MODW:5|ROLEW:10|HPD:6|HPW:2|POSS:5|HPOSD:30|AVGW:80|POSW:90|LASTW:25</t>
  </si>
  <si>
    <t>59,2|TW:32|MODW:5|ROLEW:10|HPD:6|HPW:2|POSS:5|HPOSD:30|AVGW:70|POSW:90|LASTW:35</t>
  </si>
  <si>
    <t>59,2|TW:32|MODW:5|ROLEW:10|HPD:6|HPW:2|POSS:5|HPOSD:25|AVGW:70|POSW:75|LASTW:45</t>
  </si>
  <si>
    <t>59,2|TW:32|MODW:5|ROLEW:10|HPD:6|HPW:2|POSS:5|HPOSD:25|AVGW:70|POSW:75|LASTW:25</t>
  </si>
  <si>
    <t>59,2|TW:32|MODW:5|ROLEW:10|HPD:6|HPW:2|POSS:5|HPOSD:25|AVGW:90|POSW:60|LASTW:35</t>
  </si>
  <si>
    <t>59,2|TW:32|MODW:5|ROLEW:10|HPD:6|HPW:2|POSS:5|HPOSD:25|AVGW:80|POSW:60|LASTW:45</t>
  </si>
  <si>
    <t>59,9|TW:32|MODW:5|ROLEW:10|HPD:6|HPW:2|POSS:5|HPOSD:20|AVGW:70|POSW:75|LASTW:25</t>
  </si>
  <si>
    <t>59,9|TW:32|MODW:5|ROLEW:10|HPD:6|HPW:2|POSS:5|HPOSD:20|AVGW:90|POSW:60|LASTW:45</t>
  </si>
  <si>
    <t>59,9|TW:32|MODW:5|ROLEW:10|HPD:6|HPW:2|POSS:5|HPOSD:20|AVGW:90|POSW:60|LASTW:25</t>
  </si>
  <si>
    <t>59,2|TW:32|MODW:5|ROLEW:15|HPD:6|HPW:2|POSS:5|HPOSD:30|AVGW:70|POSW:90|LASTW:45</t>
  </si>
  <si>
    <t>59,2|TW:32|MODW:5|ROLEW:15|HPD:6|HPW:2|POSS:5|HPOSD:30|AVGW:80|POSW:60|LASTW:25</t>
  </si>
  <si>
    <t>59,2|TW:32|MODW:5|ROLEW:15|HPD:6|HPW:2|POSS:5|HPOSD:25|AVGW:70|POSW:75|LASTW:35</t>
  </si>
  <si>
    <t>59,2|TW:32|MODW:5|ROLEW:15|HPD:6|HPW:2|POSS:5|HPOSD:25|AVGW:90|POSW:60|LASTW:45</t>
  </si>
  <si>
    <t>59,9|TW:32|MODW:5|ROLEW:15|HPD:6|HPW:2|POSS:5|HPOSD:20|AVGW:90|POSW:75|LASTW:45</t>
  </si>
  <si>
    <t>59,9|TW:32|MODW:5|ROLEW:15|HPD:6|HPW:2|POSS:5|HPOSD:20|AVGW:90|POSW:75|LASTW:25</t>
  </si>
  <si>
    <t>59,9|TW:32|MODW:5|ROLEW:15|HPD:6|HPW:2|POSS:5|HPOSD:20|AVGW:80|POSW:75|LASTW:35</t>
  </si>
  <si>
    <t>59,2|TW:32|MODW:5|ROLEW:10|HPD:6|HPW:2|POSS:5|HPOSD:25|AVGW:70|POSW:60|LASTW:45</t>
  </si>
  <si>
    <t>59,2|TW:32|MODW:5|ROLEW:10|HPD:6|HPW:2|POSS:5|HPOSD:25|AVGW:70|POSW:60|LASTW:25</t>
  </si>
  <si>
    <t>59,9|TW:32|MODW:5|ROLEW:10|HPD:6|HPW:2|POSS:5|HPOSD:20|AVGW:90|POSW:90|LASTW:35</t>
  </si>
  <si>
    <t>59,9|TW:32|MODW:5|ROLEW:10|HPD:6|HPW:2|POSS:5|HPOSD:20|AVGW:90|POSW:90|LASTW:25</t>
  </si>
  <si>
    <t>59,2|TW:32|MODW:5|ROLEW:15|HPD:6|HPW:2|POSS:5|HPOSD:30|AVGW:90|POSW:90|LASTW:25</t>
  </si>
  <si>
    <t>59,2|TW:32|MODW:5|ROLEW:15|HPD:6|HPW:2|POSS:5|HPOSD:30|AVGW:80|POSW:60|LASTW:35</t>
  </si>
  <si>
    <t>59,2|TW:32|MODW:5|ROLEW:15|HPD:6|HPW:2|POSS:5|HPOSD:30|AVGW:70|POSW:60|LASTW:35</t>
  </si>
  <si>
    <t>59,2|TW:32|MODW:5|ROLEW:15|HPD:6|HPW:2|POSS:5|HPOSD:25|AVGW:80|POSW:90|LASTW:25</t>
  </si>
  <si>
    <t>59,2|TW:32|MODW:5|ROLEW:15|HPD:6|HPW:2|POSS:5|HPOSD:25|AVGW:70|POSW:90|LASTW:35</t>
  </si>
  <si>
    <t>59,2|TW:32|MODW:5|ROLEW:15|HPD:6|HPW:2|POSS:5|HPOSD:25|AVGW:90|POSW:75|LASTW:45</t>
  </si>
  <si>
    <t>59,2|TW:32|MODW:5|ROLEW:15|HPD:6|HPW:2|POSS:5|HPOSD:25|AVGW:90|POSW:75|LASTW:35</t>
  </si>
  <si>
    <t>59,2|TW:32|MODW:5|ROLEW:15|HPD:6|HPW:2|POSS:5|HPOSD:25|AVGW:80|POSW:75|LASTW:45</t>
  </si>
  <si>
    <t>59,9|TW:32|MODW:5|ROLEW:15|HPD:6|HPW:2|POSS:5|HPOSD:20|AVGW:90|POSW:60|LASTW:45</t>
  </si>
  <si>
    <t>59,9|TW:32|MODW:5|ROLEW:15|HPD:6|HPW:2|POSS:5|HPOSD:20|AVGW:90|POSW:60|LASTW:35</t>
  </si>
  <si>
    <t>59,9|TW:32|MODW:5|ROLEW:15|HPD:6|HPW:2|POSS:5|HPOSD:20|AVGW:80|POSW:60|LASTW:35</t>
  </si>
  <si>
    <t>59,9|TW:32|MODW:5|ROLEW:15|HPD:6|HPW:2|POSS:5|HPOSD:20|AVGW:70|POSW:60|LASTW:45</t>
  </si>
  <si>
    <t>59,2|TW:32|MODW:5|ROLEW:10|HPD:6|HPW:2|POSS:5|HPOSD:30|AVGW:80|POSW:75|LASTW:45</t>
  </si>
  <si>
    <t>59,2|TW:32|MODW:5|ROLEW:10|HPD:6|HPW:2|POSS:5|HPOSD:30|AVGW:70|POSW:75|LASTW:45</t>
  </si>
  <si>
    <t>59,2|TW:32|MODW:5|ROLEW:10|HPD:6|HPW:2|POSS:5|HPOSD:30|AVGW:70|POSW:75|LASTW:35</t>
  </si>
  <si>
    <t>59,2|TW:32|MODW:5|ROLEW:10|HPD:6|HPW:2|POSS:5|HPOSD:30|AVGW:90|POSW:60|LASTW:45</t>
  </si>
  <si>
    <t>59,2|TW:32|MODW:5|ROLEW:10|HPD:6|HPW:2|POSS:5|HPOSD:25|AVGW:80|POSW:90|LASTW:35</t>
  </si>
  <si>
    <t>59,2|TW:32|MODW:5|ROLEW:10|HPD:6|HPW:2|POSS:5|HPOSD:25|AVGW:70|POSW:90|LASTW:45</t>
  </si>
  <si>
    <t>59,2|TW:32|MODW:5|ROLEW:15|HPD:6|HPW:2|POSS:5|HPOSD:25|AVGW:70|POSW:60|LASTW:35</t>
  </si>
  <si>
    <t>59,9|TW:32|MODW:5|ROLEW:15|HPD:6|HPW:2|POSS:5|HPOSD:20|AVGW:90|POSW:90|LASTW:35</t>
  </si>
  <si>
    <t>59,9|TW:32|MODW:5|ROLEW:15|HPD:6|HPW:2|POSS:5|HPOSD:20|AVGW:80|POSW:90|LASTW:45</t>
  </si>
  <si>
    <t>59,9|TW:32|MODW:5|ROLEW:15|HPD:6|HPW:2|POSS:5|HPOSD:20|AVGW:80|POSW:90|LASTW:25</t>
  </si>
  <si>
    <t>59,9|TW:32|MODW:5|ROLEW:15|HPD:6|HPW:2|POSS:5|HPOSD:20|AVGW:70|POSW:90|LASTW:45</t>
  </si>
  <si>
    <t>59,2|TW:32|MODW:5|ROLEW:10|HPD:6|HPW:2|POSS:5|HPOSD:25|AVGW:70|POSW:90|LASTW:25</t>
  </si>
  <si>
    <t>59,2|TW:32|MODW:5|ROLEW:15|HPD:6|HPW:2|POSS:5|HPOSD:30|AVGW:80|POSW:90|LASTW:35</t>
  </si>
  <si>
    <t>59,9|TW:32|MODW:5|ROLEW:15|HPD:6|HPW:2|POSS:5|HPOSD:20|AVGW:90|POSW:75|LASTW:35</t>
  </si>
  <si>
    <t>59,9|TW:32|MODW:5|ROLEW:15|HPD:6|HPW:2|POSS:5|HPOSD:20|AVGW:70|POSW:75|LASTW:45</t>
  </si>
  <si>
    <t>TW:32|MODW:5|ROLEW:15|HPD:6|HPW:2|POSS:5|HPOSD:20|AVGW:90|POSW:90|LASTW:25</t>
  </si>
  <si>
    <t>TW:32|MODW:5|ROLEW:15|HPD:6|HPW:2|POSS:5|HPOSD:20|AVGW:70|POSW:90|LASTW:35</t>
  </si>
  <si>
    <t>TW:32|MODW:5|ROLEW:15|HPD:6|HPW:2|POSS:5|HPOSD:20|AVGW:90|POSW:75|LASTW:45</t>
  </si>
  <si>
    <t>TW:32|MODW:5|ROLEW:15|HPD:6|HPW:2|POSS:5|HPOSD:20|AVGW:80|POSW:75|LASTW:45</t>
  </si>
  <si>
    <t>TW:32|MODW:5|ROLEW:15|HPD:6|HPW:2|POSS:5|HPOSD:20|AVGW:70|POSW:75|LASTW:25</t>
  </si>
  <si>
    <t>TW:32|MODW:5|ROLEW:15|HPD:6|HPW:2|POSS:5|HPOSD:20|AVGW:80|POSW:60|LASTW:35</t>
  </si>
  <si>
    <t>TW:32|MODW:5|ROLEW:10|HPD:6|HPW:2|POSS:5|HPOSD:20|AVGW:90|POSW:90|LASTW:25</t>
  </si>
  <si>
    <t>TW:32|MODW:5|ROLEW:10|HPD:6|HPW:2|POSS:5|HPOSD:20|AVGW:70|POSW:90|LASTW:45</t>
  </si>
  <si>
    <t>TW:32|MODW:5|ROLEW:10|HPD:6|HPW:2|POSS:5|HPOSD:20|AVGW:70|POSW:90|LASTW:25</t>
  </si>
  <si>
    <t>TW:32|MODW:5|ROLEW:10|HPD:6|HPW:2|POSS:5|HPOSD:20|AVGW:80|POSW:75|LASTW:45</t>
  </si>
  <si>
    <t>TW:32|MODW:5|ROLEW:10|HPD:6|HPW:2|POSS:5|HPOSD:20|AVGW:70|POSW:75|LASTW:35</t>
  </si>
  <si>
    <t>TW:32|MODW:5|ROLEW:10|HPD:6|HPW:2|POSS:5|HPOSD:20|AVGW:90|POSW:60|LASTW:45</t>
  </si>
  <si>
    <t>TW:32|MODW:5|ROLEW:10|HPD:6|HPW:2|POSS:5|HPOSD:20|AVGW:80|POSW:60|LASTW:35</t>
  </si>
  <si>
    <t>TW:32|MODW:5|ROLEW:10|HPD:6|HPW:2|POSS:5|HPOSD:20|AVGW:70|POSW:60|LASTW:25</t>
  </si>
  <si>
    <t>TW:32|MODW:5|ROLEW:15|HPD:6|HPW:2|POSS:5|HPOSD:20|AVGW:90|POSW:90|LASTW:35</t>
  </si>
  <si>
    <t>TW:32|MODW:5|ROLEW:15|HPD:6|HPW:2|POSS:5|HPOSD:20|AVGW:80|POSW:90|LASTW:25</t>
  </si>
  <si>
    <t>TW:32|MODW:5|ROLEW:15|HPD:6|HPW:2|POSS:5|HPOSD:20|AVGW:90|POSW:75|LASTW:25</t>
  </si>
  <si>
    <t>TW:32|MODW:5|ROLEW:15|HPD:6|HPW:2|POSS:5|HPOSD:20|AVGW:70|POSW:75|LASTW:35</t>
  </si>
  <si>
    <t>TW:32|MODW:5|ROLEW:15|HPD:6|HPW:2|POSS:5|HPOSD:20|AVGW:90|POSW:60|LASTW:25</t>
  </si>
  <si>
    <t>TW:32|MODW:5|ROLEW:15|HPD:6|HPW:2|POSS:5|HPOSD:20|AVGW:70|POSW:60|LASTW:45</t>
  </si>
  <si>
    <t>TW:32|MODW:5|ROLEW:10|HPD:6|HPW:2|POSS:5|HPOSD:20|AVGW:90|POSW:90|LASTW:45</t>
  </si>
  <si>
    <t>TW:32|MODW:5|ROLEW:10|HPD:6|HPW:2|POSS:5|HPOSD:20|AVGW:80|POSW:90|LASTW:35</t>
  </si>
  <si>
    <t>TW:32|MODW:5|ROLEW:10|HPD:6|HPW:2|POSS:5|HPOSD:20|AVGW:90|POSW:75|LASTW:45</t>
  </si>
  <si>
    <t>TW:32|MODW:5|ROLEW:10|HPD:6|HPW:2|POSS:5|HPOSD:20|AVGW:80|POSW:75|LASTW:35</t>
  </si>
  <si>
    <t>TW:32|MODW:5|ROLEW:10|HPD:6|HPW:2|POSS:5|HPOSD:20|AVGW:80|POSW:60|LASTW:45</t>
  </si>
  <si>
    <t>TW:32|MODW:5|ROLEW:10|HPD:6|HPW:2|POSS:5|HPOSD:20|AVGW:70|POSW:60|LASTW:35</t>
  </si>
  <si>
    <t>TW:32|MODW:5|ROLEW:15|HPD:6|HPW:2|POSS:5|HPOSD:20|AVGW:90|POSW:90|LASTW:45</t>
  </si>
  <si>
    <t>TW:32|MODW:5|ROLEW:15|HPD:6|HPW:2|POSS:5|HPOSD:20|AVGW:80|POSW:90|LASTW:35</t>
  </si>
  <si>
    <t>TW:32|MODW:5|ROLEW:15|HPD:6|HPW:2|POSS:5|HPOSD:20|AVGW:70|POSW:90|LASTW:25</t>
  </si>
  <si>
    <t>TW:32|MODW:5|ROLEW:15|HPD:6|HPW:2|POSS:5|HPOSD:20|AVGW:90|POSW:75|LASTW:35</t>
  </si>
  <si>
    <t>TW:32|MODW:5|ROLEW:15|HPD:6|HPW:2|POSS:5|HPOSD:20|AVGW:80|POSW:75|LASTW:25</t>
  </si>
  <si>
    <t>TW:32|MODW:5|ROLEW:15|HPD:6|HPW:2|POSS:5|HPOSD:20|AVGW:90|POSW:60|LASTW:45</t>
  </si>
  <si>
    <t>TW:32|MODW:5|ROLEW:15|HPD:6|HPW:2|POSS:5|HPOSD:20|AVGW:80|POSW:60|LASTW:45</t>
  </si>
  <si>
    <t>TW:32|MODW:5|ROLEW:15|HPD:6|HPW:2|POSS:5|HPOSD:20|AVGW:70|POSW:60|LASTW:25</t>
  </si>
  <si>
    <t>TW:32|MODW:5|ROLEW:10|HPD:6|HPW:2|POSS:5|HPOSD:20|AVGW:90|POSW:90|LASTW:35</t>
  </si>
  <si>
    <t>TW:32|MODW:5|ROLEW:10|HPD:6|HPW:2|POSS:5|HPOSD:20|AVGW:80|POSW:90|LASTW:25</t>
  </si>
  <si>
    <t>TW:32|MODW:5|ROLEW:10|HPD:6|HPW:2|POSS:5|HPOSD:20|AVGW:90|POSW:75|LASTW:35</t>
  </si>
  <si>
    <t>TW:32|MODW:5|ROLEW:10|HPD:6|HPW:2|POSS:5|HPOSD:20|AVGW:80|POSW:75|LASTW:25</t>
  </si>
  <si>
    <t>TW:32|MODW:5|ROLEW:10|HPD:6|HPW:2|POSS:5|HPOSD:20|AVGW:70|POSW:75|LASTW:25</t>
  </si>
  <si>
    <t>TW:32|MODW:5|ROLEW:10|HPD:6|HPW:2|POSS:5|HPOSD:20|AVGW:90|POSW:60|LASTW:25</t>
  </si>
  <si>
    <t>TW:32|MODW:5|ROLEW:10|HPD:6|HPW:2|POSS:5|HPOSD:20|AVGW:80|POSW:60|LASTW:25</t>
  </si>
  <si>
    <t>TW:32|MODW:5|ROLEW:15|HPD:6|HPW:2|POSS:5|HPOSD:20|AVGW:80|POSW:90|LASTW:45</t>
  </si>
  <si>
    <t>TW:32|MODW:5|ROLEW:15|HPD:6|HPW:2|POSS:5|HPOSD:20|AVGW:70|POSW:90|LASTW:45</t>
  </si>
  <si>
    <t>TW:32|MODW:5|ROLEW:15|HPD:6|HPW:2|POSS:5|HPOSD:20|AVGW:80|POSW:75|LASTW:35</t>
  </si>
  <si>
    <t>TW:32|MODW:5|ROLEW:15|HPD:6|HPW:2|POSS:5|HPOSD:20|AVGW:70|POSW:75|LASTW:45</t>
  </si>
  <si>
    <t>TW:32|MODW:5|ROLEW:15|HPD:6|HPW:2|POSS:5|HPOSD:20|AVGW:90|POSW:60|LASTW:35</t>
  </si>
  <si>
    <t>TW:32|MODW:5|ROLEW:15|HPD:6|HPW:2|POSS:5|HPOSD:20|AVGW:80|POSW:60|LASTW:25</t>
  </si>
  <si>
    <t>TW:32|MODW:5|ROLEW:15|HPD:6|HPW:2|POSS:5|HPOSD:20|AVGW:70|POSW:60|LASTW:35</t>
  </si>
  <si>
    <t>TW:32|MODW:5|ROLEW:10|HPD:6|HPW:2|POSS:5|HPOSD:20|AVGW:80|POSW:90|LASTW:45</t>
  </si>
  <si>
    <t>TW:32|MODW:5|ROLEW:10|HPD:6|HPW:2|POSS:5|HPOSD:20|AVGW:70|POSW:90|LASTW:35</t>
  </si>
  <si>
    <t>TW:32|MODW:5|ROLEW:10|HPD:6|HPW:2|POSS:5|HPOSD:20|AVGW:90|POSW:75|LASTW:25</t>
  </si>
  <si>
    <t>TW:32|MODW:5|ROLEW:10|HPD:6|HPW:2|POSS:5|HPOSD:20|AVGW:70|POSW:75|LASTW:45</t>
  </si>
  <si>
    <t>TW:32|MODW:5|ROLEW:10|HPD:6|HPW:2|POSS:5|HPOSD:20|AVGW:90|POSW:60|LASTW:35</t>
  </si>
  <si>
    <t>TW:32|MODW:5|ROLEW:10|HPD:6|HPW:2|POSS:5|HPOSD:20|AVGW:70|POSW:60|LASTW:45</t>
  </si>
  <si>
    <t>TW:32|MODW:5|ROLEW:15|HPD:6|HPW:2|POSS:5|HPOSD:30|AVGW:90|POSW:75|LASTW:45</t>
  </si>
  <si>
    <t>TW:32|MODW:5|ROLEW:15|HPD:6|HPW:2|POSS:5|HPOSD:30|AVGW:90|POSW:60|LASTW:35</t>
  </si>
  <si>
    <t>TW:32|MODW:5|ROLEW:15|HPD:6|HPW:2|POSS:5|HPOSD:25|AVGW:90|POSW:90|LASTW:25</t>
  </si>
  <si>
    <t>TW:32|MODW:5|ROLEW:15|HPD:6|HPW:2|POSS:5|HPOSD:25|AVGW:80|POSW:75|LASTW:45</t>
  </si>
  <si>
    <t>TW:32|MODW:5|ROLEW:15|HPD:6|HPW:2|POSS:5|HPOSD:25|AVGW:80|POSW:60|LASTW:35</t>
  </si>
  <si>
    <t>TW:32|MODW:5|ROLEW:10|HPD:6|HPW:2|POSS:5|HPOSD:30|AVGW:80|POSW:90|LASTW:25</t>
  </si>
  <si>
    <t>TW:32|MODW:5|ROLEW:10|HPD:6|HPW:2|POSS:5|HPOSD:30|AVGW:70|POSW:75|LASTW:45</t>
  </si>
  <si>
    <t>TW:32|MODW:5|ROLEW:10|HPD:6|HPW:2|POSS:5|HPOSD:30|AVGW:70|POSW:75|LASTW:25</t>
  </si>
  <si>
    <t>TW:32|MODW:5|ROLEW:10|HPD:6|HPW:2|POSS:5|HPOSD:30|AVGW:70|POSW:60|LASTW:35</t>
  </si>
  <si>
    <t>TW:32|MODW:5|ROLEW:10|HPD:6|HPW:2|POSS:5|HPOSD:25|AVGW:70|POSW:90|LASTW:25</t>
  </si>
  <si>
    <t>TW:32|MODW:5|ROLEW:10|HPD:6|HPW:2|POSS:5|HPOSD:25|AVGW:90|POSW:60|LASTW:45</t>
  </si>
  <si>
    <t>TW:30|MODW:0|ROLEW:15|HPD:8|HPW:1|POSS:5|HPOSD:20|AVGW:80|POSW:60|LASTW:35</t>
  </si>
  <si>
    <t>TW:30|MODW:0|ROLEW:15|HPD:6|HPW:2|POSS:5|HPOSD:30|AVGW:80|POSW:90|LASTW:25</t>
  </si>
  <si>
    <t>TW:30|MODW:0|ROLEW:15|HPD:6|HPW:2|POSS:5|HPOSD:30|AVGW:70|POSW:75|LASTW:45</t>
  </si>
  <si>
    <t>TW:30|MODW:0|ROLEW:15|HPD:6|HPW:2|POSS:5|HPOSD:30|AVGW:70|POSW:60|LASTW:35</t>
  </si>
  <si>
    <t>TW:30|MODW:0|ROLEW:15|HPD:6|HPW:2|POSS:5|HPOSD:25|AVGW:70|POSW:90|LASTW:25</t>
  </si>
  <si>
    <t>TW:30|MODW:0|ROLEW:15|HPD:6|HPW:2|POSS:5|HPOSD:25|AVGW:90|POSW:60|LASTW:45</t>
  </si>
  <si>
    <t>TW:30|MODW:0|ROLEW:15|HPD:6|HPW:2|POSS:5|HPOSD:25|AVGW:80|POSW:60|LASTW:25</t>
  </si>
  <si>
    <t>TW:30|MODW:0|ROLEW:15|HPD:6|HPW:2|POSS:5|HPOSD:25|AVGW:70|POSW:60|LASTW:25</t>
  </si>
  <si>
    <t>TW:30|MODW:0|ROLEW:15|HPD:6|HPW:1|POSS:5|HPOSD:30|AVGW:80|POSW:90|LASTW:35</t>
  </si>
  <si>
    <t>TW:30|MODW:0|ROLEW:15|HPD:6|HPW:1|POSS:5|HPOSD:30|AVGW:80|POSW:75|LASTW:25</t>
  </si>
  <si>
    <t>TW:30|MODW:0|ROLEW:15|HPD:6|HPW:1|POSS:5|HPOSD:30|AVGW:70|POSW:60|LASTW:45</t>
  </si>
  <si>
    <t>TW:30|MODW:0|ROLEW:15|HPD:6|HPW:1|POSS:5|HPOSD:25|AVGW:70|POSW:90|LASTW:35</t>
  </si>
  <si>
    <t>TW:30|MODW:0|ROLEW:15|HPD:6|HPW:1|POSS:5|HPOSD:25|AVGW:70|POSW:75|LASTW:25</t>
  </si>
  <si>
    <t>TW:30|MODW:0|ROLEW:15|HPD:6|HPW:1|POSS:5|HPOSD:20|AVGW:90|POSW:75|LASTW:35</t>
  </si>
  <si>
    <t>TW:30|MODW:0|ROLEW:15|HPD:6|HPW:1|POSS:5|HPOSD:20|AVGW:80|POSW:75|LASTW:45</t>
  </si>
  <si>
    <t>TW:30|MODW:0|ROLEW:15|HPD:6|HPW:1|POSS:5|HPOSD:20|AVGW:90|POSW:60|LASTW:25</t>
  </si>
  <si>
    <t>TW:30|MODW:0|ROLEW:10|HPD:8|HPW:2|POSS:5|HPOSD:30|AVGW:80|POSW:90|LASTW:45</t>
  </si>
  <si>
    <t>TW:30|MODW:0|ROLEW:10|HPD:8|HPW:2|POSS:5|HPOSD:30|AVGW:80|POSW:75|LASTW:35</t>
  </si>
  <si>
    <t>TW:30|MODW:0|ROLEW:10|HPD:8|HPW:2|POSS:5|HPOSD:30|AVGW:80|POSW:60|LASTW:25</t>
  </si>
  <si>
    <t>TW:30|MODW:0|ROLEW:10|HPD:8|HPW:2|POSS:5|HPOSD:25|AVGW:70|POSW:90|LASTW:45</t>
  </si>
  <si>
    <t>TW:30|MODW:0|ROLEW:10|HPD:8|HPW:2|POSS:5|HPOSD:25|AVGW:70|POSW:75|LASTW:35</t>
  </si>
  <si>
    <t>TW:30|MODW:0|ROLEW:10|HPD:8|HPW:2|POSS:5|HPOSD:25|AVGW:70|POSW:60|LASTW:25</t>
  </si>
  <si>
    <t>TW:30|MODW:0|ROLEW:10|HPD:8|HPW:2|POSS:5|HPOSD:20|AVGW:90|POSW:60|LASTW:35</t>
  </si>
  <si>
    <t>TW:30|MODW:0|ROLEW:10|HPD:8|HPW:1|POSS:5|HPOSD:30|AVGW:90|POSW:90|LASTW:25</t>
  </si>
  <si>
    <t>TW:30|MODW:0|ROLEW:10|HPD:8|HPW:1|POSS:5|HPOSD:30|AVGW:80|POSW:75|LASTW:45</t>
  </si>
  <si>
    <t>TW:30|MODW:0|ROLEW:10|HPD:8|HPW:1|POSS:5|HPOSD:30|AVGW:90|POSW:60|LASTW:25</t>
  </si>
  <si>
    <t>TW:30|MODW:0|ROLEW:10|HPD:8|HPW:1|POSS:5|HPOSD:30|AVGW:80|POSW:60|LASTW:35</t>
  </si>
  <si>
    <t>TW:30|MODW:0|ROLEW:10|HPD:8|HPW:1|POSS:5|HPOSD:25|AVGW:80|POSW:90|LASTW:25</t>
  </si>
  <si>
    <t>TW:30|MODW:0|ROLEW:10|HPD:8|HPW:1|POSS:5|HPOSD:25|AVGW:70|POSW:75|LASTW:45</t>
  </si>
  <si>
    <t>TW:30|MODW:0|ROLEW:10|HPD:8|HPW:1|POSS:5|HPOSD:25|AVGW:70|POSW:60|LASTW:35</t>
  </si>
  <si>
    <t>TW:30|MODW:0|ROLEW:10|HPD:8|HPW:1|POSS:5|HPOSD:20|AVGW:90|POSW:60|LASTW:45</t>
  </si>
  <si>
    <t>TW:30|MODW:0|ROLEW:10|HPD:6|HPW:2|POSS:5|HPOSD:30|AVGW:90|POSW:90|LASTW:35</t>
  </si>
  <si>
    <t>TW:30|MODW:0|ROLEW:10|HPD:6|HPW:2|POSS:5|HPOSD:30|AVGW:90|POSW:75|LASTW:25</t>
  </si>
  <si>
    <t>TW:30|MODW:0|ROLEW:10|HPD:6|HPW:2|POSS:5|HPOSD:30|AVGW:80|POSW:60|LASTW:45</t>
  </si>
  <si>
    <t>TW:30|MODW:0|ROLEW:10|HPD:6|HPW:2|POSS:5|HPOSD:30|AVGW:70|POSW:60|LASTW:35</t>
  </si>
  <si>
    <t>TW:30|MODW:0|ROLEW:10|HPD:6|HPW:2|POSS:5|HPOSD:25|AVGW:80|POSW:90|LASTW:35</t>
  </si>
  <si>
    <t>TW:30|MODW:0|ROLEW:10|HPD:6|HPW:2|POSS:5|HPOSD:25|AVGW:80|POSW:75|LASTW:25</t>
  </si>
  <si>
    <t>TW:30|MODW:0|ROLEW:10|HPD:6|HPW:2|POSS:5|HPOSD:25|AVGW:90|POSW:60|LASTW:35</t>
  </si>
  <si>
    <t>TW:30|MODW:0|ROLEW:10|HPD:6|HPW:2|POSS:5|HPOSD:25|AVGW:70|POSW:60|LASTW:45</t>
  </si>
  <si>
    <t>TW:30|MODW:0|ROLEW:10|HPD:6|HPW:1|POSS:5|HPOSD:30|AVGW:90|POSW:90|LASTW:45</t>
  </si>
  <si>
    <t>TW:30|MODW:0|ROLEW:10|HPD:6|HPW:1|POSS:5|HPOSD:30|AVGW:90|POSW:75|LASTW:35</t>
  </si>
  <si>
    <t>TW:30|MODW:0|ROLEW:10|HPD:6|HPW:1|POSS:5|HPOSD:30|AVGW:90|POSW:60|LASTW:25</t>
  </si>
  <si>
    <t>TW:30|MODW:0|ROLEW:10|HPD:6|HPW:1|POSS:5|HPOSD:30|AVGW:80|POSW:60|LASTW:35</t>
  </si>
  <si>
    <t>TW:30|MODW:0|ROLEW:10|HPD:6|HPW:1|POSS:5|HPOSD:25|AVGW:80|POSW:90|LASTW:45</t>
  </si>
  <si>
    <t>TW:30|MODW:0|ROLEW:10|HPD:6|HPW:1|POSS:5|HPOSD:25|AVGW:80|POSW:75|LASTW:35</t>
  </si>
  <si>
    <t>TW:30|MODW:0|ROLEW:10|HPD:6|HPW:1|POSS:5|HPOSD:25|AVGW:70|POSW:75|LASTW:25</t>
  </si>
  <si>
    <t>TW:30|MODW:0|ROLEW:10|HPD:6|HPW:1|POSS:5|HPOSD:25|AVGW:80|POSW:60|LASTW:25</t>
  </si>
  <si>
    <t>TW:30|MODW:0|ROLEW:10|HPD:6|HPW:1|POSS:5|HPOSD:20|AVGW:70|POSW:75|LASTW:35</t>
  </si>
  <si>
    <t>TW:30|MODW:0|ROLEW:10|HPD:6|HPW:1|POSS:5|HPOSD:20|AVGW:70|POSW:75|LASTW:25</t>
  </si>
  <si>
    <t>TW:30|MODW:0|ROLEW:10|HPD:6|HPW:1|POSS:5|HPOSD:20|AVGW:70|POSW:60|LASTW:25</t>
  </si>
  <si>
    <t>TW:34|MODW:5|ROLEW:15|HPD:8|HPW:2|POSS:5|HPOSD:30|AVGW:90|POSW:60|LASTW:35</t>
  </si>
  <si>
    <t>TW:34|MODW:5|ROLEW:15|HPD:8|HPW:1|POSS:5|HPOSD:30|AVGW:80|POSW:90|LASTW:45</t>
  </si>
  <si>
    <t>TW:34|MODW:5|ROLEW:10|HPD:6|HPW:1|POSS:5|HPOSD:30|AVGW:80|POSW:90|LASTW:25</t>
  </si>
  <si>
    <t>TW:34|MODW:0|ROLEW:15|HPD:8|HPW:2|POSS:5|HPOSD:30|AVGW:90|POSW:60|LASTW:45</t>
  </si>
  <si>
    <t>TW:34|MODW:0|ROLEW:15|HPD:8|HPW:2|POSS:5|HPOSD:25|AVGW:80|POSW:90|LASTW:35</t>
  </si>
  <si>
    <t>TW:34|MODW:0|ROLEW:15|HPD:8|HPW:1|POSS:5|HPOSD:30|AVGW:70|POSW:90|LASTW:45</t>
  </si>
  <si>
    <t>TW:34|MODW:0|ROLEW:15|HPD:6|HPW:2|POSS:5|HPOSD:25|AVGW:90|POSW:75|LASTW:25</t>
  </si>
  <si>
    <t>TW:34|MODW:0|ROLEW:15|HPD:6|HPW:1|POSS:5|HPOSD:30|AVGW:80|POSW:75|LASTW:35</t>
  </si>
  <si>
    <t>TW:34|MODW:0|ROLEW:15|HPD:6|HPW:1|POSS:5|HPOSD:25|AVGW:70|POSW:60|LASTW:45</t>
  </si>
  <si>
    <t>TW:34|MODW:0|ROLEW:10|HPD:8|HPW:1|POSS:5|HPOSD:25|AVGW:90|POSW:75|LASTW:25</t>
  </si>
  <si>
    <t>TW:34|MODW:0|ROLEW:10|HPD:8|HPW:1|POSS:5|HPOSD:20|AVGW:70|POSW:60|LASTW:45</t>
  </si>
  <si>
    <t>TW:34|MODW:0|ROLEW:10|HPD:6|HPW:2|POSS:5|HPOSD:30|AVGW:70|POSW:75|LASTW:35</t>
  </si>
  <si>
    <t>TW:32|MODW:5|ROLEW:15|HPD:8|HPW:1|POSS:5|HPOSD:25|AVGW:90|POSW:75|LASTW:35</t>
  </si>
  <si>
    <t>TW:32|MODW:5|ROLEW:10|HPD:8|HPW:2|POSS:5|HPOSD:25|AVGW:70|POSW:75|LASTW:45</t>
  </si>
  <si>
    <t>TW:32|MODW:5|ROLEW:10|HPD:8|HPW:2|POSS:5|HPOSD:25|AVGW:70|POSW:60|LASTW:35</t>
  </si>
  <si>
    <t>TW:32|MODW:5|ROLEW:10|HPD:8|HPW:1|POSS:5|HPOSD:30|AVGW:80|POSW:60|LASTW:45</t>
  </si>
  <si>
    <t>TW:32|MODW:5|ROLEW:10|HPD:8|HPW:1|POSS:5|HPOSD:20|AVGW:80|POSW:60|LASTW:25</t>
  </si>
  <si>
    <t>TW:32|MODW:5|ROLEW:10|HPD:6|HPW:2|POSS:5|HPOSD:30|AVGW:90|POSW:90|LASTW:45</t>
  </si>
  <si>
    <t>TW:32|MODW:5|ROLEW:10|HPD:6|HPW:2|POSS:5|HPOSD:25|AVGW:70|POSW:60|LASTW:25</t>
  </si>
  <si>
    <t>TW:32|MODW:5|ROLEW:10|HPD:6|HPW:1|POSS:5|HPOSD:20|AVGW:80|POSW:75|LASTW:25</t>
  </si>
  <si>
    <t>TW:32|MODW:0|ROLEW:15|HPD:8|HPW:2|POSS:5|HPOSD:25|AVGW:80|POSW:75|LASTW:45</t>
  </si>
  <si>
    <t>TW:32|MODW:0|ROLEW:15|HPD:6|HPW:2|POSS:5|HPOSD:30|AVGW:80|POSW:90|LASTW:25</t>
  </si>
  <si>
    <t>TW:32|MODW:0|ROLEW:15|HPD:6|HPW:2|POSS:5|HPOSD:25|AVGW:80|POSW:75|LASTW:45</t>
  </si>
  <si>
    <t>TW:32|MODW:0|ROLEW:15|HPD:6|HPW:2|POSS:5|HPOSD:25|AVGW:90|POSW:60|LASTW:45</t>
  </si>
  <si>
    <t>TW:32|MODW:0|ROLEW:15|HPD:6|HPW:1|POSS:5|HPOSD:25|AVGW:90|POSW:90|LASTW:25</t>
  </si>
  <si>
    <t>TW:32|MODW:0|ROLEW:10|HPD:8|HPW:2|POSS:5|HPOSD:25|AVGW:70|POSW:75|LASTW:45</t>
  </si>
  <si>
    <t>TW:32|MODW:0|ROLEW:10|HPD:8|HPW:2|POSS:5|HPOSD:25|AVGW:70|POSW:60|LASTW:45</t>
  </si>
  <si>
    <t>TW:32|MODW:0|ROLEW:10|HPD:8|HPW:1|POSS:5|HPOSD:30|AVGW:80|POSW:60|LASTW:45</t>
  </si>
  <si>
    <t>TW:32|MODW:0|ROLEW:10|HPD:6|HPW:1|POSS:5|HPOSD:30|AVGW:90|POSW:60|LASTW:25</t>
  </si>
  <si>
    <t>TW:32|MODW:0|ROLEW:10|HPD:6|HPW:1|POSS:5|HPOSD:30|AVGW:80|POSW:60|LASTW:25</t>
  </si>
  <si>
    <t>TW:32|MODW:0|ROLEW:10|HPD:6|HPW:1|POSS:5|HPOSD:25|AVGW:70|POSW:60|LASTW:45</t>
  </si>
  <si>
    <t>TW:30|MODW:5|ROLEW:15|HPD:8|HPW:1|POSS:5|HPOSD:25|AVGW:70|POSW:75|LASTW:45</t>
  </si>
  <si>
    <t>TW:30|MODW:5|ROLEW:15|HPD:6|HPW:2|POSS:5|HPOSD:25|AVGW:80|POSW:90|LASTW:45</t>
  </si>
  <si>
    <t>TW:30|MODW:0|ROLEW:15|HPD:6|HPW:1|POSS:5|HPOSD:25|AVGW:80|POSW:75|LASTW:35</t>
  </si>
  <si>
    <t>TW:30|MODW:0|ROLEW:10|HPD:8|HPW:2|POSS:5|HPOSD:30|AVGW:70|POSW:75|LASTW:45</t>
  </si>
  <si>
    <t>TW:30|MODW:0|ROLEW:10|HPD:8|HPW:2|POSS:5|HPOSD:25|AVGW:70|POSW:90|LASTW:35</t>
  </si>
  <si>
    <t>TW:30|MODW:0|ROLEW:10|HPD:8|HPW:2|POSS:5|HPOSD:20|AVGW:70|POSW:60|LASTW:45</t>
  </si>
  <si>
    <t>TW:30|MODW:0|ROLEW:10|HPD:6|HPW:2|POSS:5|HPOSD:25|AVGW:70|POSW:90|LASTW:45</t>
  </si>
  <si>
    <t>TW:30|MODW:0|ROLEW:10|HPD:6|HPW:1|POSS:5|HPOSD:20|AVGW:90|POSW:60|LASTW:25</t>
  </si>
  <si>
    <t>TW:34|MODW:5|ROLEW:15|HPD:8|HPW:2|POSS:5|HPOSD:30|AVGW:80|POSW:75|LASTW:35</t>
  </si>
  <si>
    <t>TW:34|MODW:5|ROLEW:15|HPD:8|HPW:2|POSS:5|HPOSD:30|AVGW:90|POSW:60|LASTW:25</t>
  </si>
  <si>
    <t>TW:34|MODW:5|ROLEW:15|HPD:8|HPW:1|POSS:5|HPOSD:25|AVGW:90|POSW:60|LASTW:45</t>
  </si>
  <si>
    <t>TW:34|MODW:5|ROLEW:10|HPD:8|HPW:1|POSS:5|HPOSD:25|AVGW:80|POSW:60|LASTW:25</t>
  </si>
  <si>
    <t>TW:34|MODW:5|ROLEW:10|HPD:6|HPW:1|POSS:5|HPOSD:30|AVGW:90|POSW:90|LASTW:35</t>
  </si>
  <si>
    <t>TW:34|MODW:5|ROLEW:10|HPD:6|HPW:1|POSS:5|HPOSD:30|AVGW:80|POSW:75|LASTW:35</t>
  </si>
  <si>
    <t>TW:34|MODW:0|ROLEW:10|HPD:8|HPW:2|POSS:5|HPOSD:30|AVGW:70|POSW:75|LASTW:35</t>
  </si>
  <si>
    <t>TW:34|MODW:0|ROLEW:10|HPD:8|HPW:2|POSS:5|HPOSD:25|AVGW:90|POSW:75|LASTW:45</t>
  </si>
  <si>
    <t>TW:34|MODW:0|ROLEW:10|HPD:8|HPW:2|POSS:5|HPOSD:25|AVGW:80|POSW:60|LASTW:35</t>
  </si>
  <si>
    <t>TW:34|MODW:0|ROLEW:10|HPD:6|HPW:1|POSS:5|HPOSD:25|AVGW:80|POSW:75|LASTW:35</t>
  </si>
  <si>
    <t>TW:34|MODW:0|ROLEW:10|HPD:6|HPW:1|POSS:5|HPOSD:20|AVGW:80|POSW:75|LASTW:25</t>
  </si>
  <si>
    <t>TW:32|MODW:5|ROLEW:15|HPD:8|HPW:1|POSS:5|HPOSD:25|AVGW:70|POSW:75|LASTW:45</t>
  </si>
  <si>
    <t>TW:32|MODW:5|ROLEW:15|HPD:6|HPW:1|POSS:5|HPOSD:30|AVGW:80|POSW:90|LASTW:35</t>
  </si>
  <si>
    <t>TW:32|MODW:5|ROLEW:15|HPD:6|HPW:1|POSS:5|HPOSD:30|AVGW:90|POSW:75|LASTW:35</t>
  </si>
  <si>
    <t>TW:32|MODW:5|ROLEW:15|HPD:6|HPW:1|POSS:5|HPOSD:30|AVGW:80|POSW:60|LASTW:45</t>
  </si>
  <si>
    <t>TW:32|MODW:5|ROLEW:15|HPD:6|HPW:1|POSS:5|HPOSD:20|AVGW:90|POSW:75|LASTW:45</t>
  </si>
  <si>
    <t>TW:32|MODW:5|ROLEW:10|HPD:8|HPW:2|POSS:5|HPOSD:30|AVGW:80|POSW:75|LASTW:45</t>
  </si>
  <si>
    <t>TW:32|MODW:5|ROLEW:10|HPD:8|HPW:1|POSS:5|HPOSD:25|AVGW:70|POSW:75|LASTW:35</t>
  </si>
  <si>
    <t>TW:32|MODW:5|ROLEW:10|HPD:8|HPW:1|POSS:5|HPOSD:25|AVGW:80|POSW:60|LASTW:45</t>
  </si>
  <si>
    <t>TW:32|MODW:5|ROLEW:10|HPD:6|HPW:2|POSS:5|HPOSD:30|AVGW:90|POSW:90|LASTW:35</t>
  </si>
  <si>
    <t>TW:32|MODW:5|ROLEW:10|HPD:6|HPW:2|POSS:5|HPOSD:25|AVGW:80|POSW:75|LASTW:25</t>
  </si>
  <si>
    <t>TW:32|MODW:5|ROLEW:10|HPD:6|HPW:1|POSS:5|HPOSD:25|AVGW:80|POSW:90|LASTW:35</t>
  </si>
  <si>
    <t>TW:32|MODW:0|ROLEW:15|HPD:8|HPW:1|POSS:5|HPOSD:30|AVGW:80|POSW:90|LASTW:45</t>
  </si>
  <si>
    <t>TW:32|MODW:0|ROLEW:15|HPD:8|HPW:1|POSS:5|HPOSD:30|AVGW:70|POSW:60|LASTW:45</t>
  </si>
  <si>
    <t>TW:32|MODW:0|ROLEW:15|HPD:8|HPW:1|POSS:5|HPOSD:25|AVGW:80|POSW:60|LASTW:45</t>
  </si>
  <si>
    <t>TW:32|MODW:0|ROLEW:15|HPD:8|HPW:1|POSS:5|HPOSD:20|AVGW:90|POSW:60|LASTW:25</t>
  </si>
  <si>
    <t>TW:32|MODW:0|ROLEW:15|HPD:6|HPW:1|POSS:5|HPOSD:30|AVGW:90|POSW:75|LASTW:45</t>
  </si>
  <si>
    <t>TW:32|MODW:0|ROLEW:15|HPD:6|HPW:1|POSS:5|HPOSD:20|AVGW:70|POSW:75|LASTW:25</t>
  </si>
  <si>
    <t>TW:32|MODW:0|ROLEW:10|HPD:8|HPW:2|POSS:5|HPOSD:30|AVGW:80|POSW:60|LASTW:45</t>
  </si>
  <si>
    <t>TW:32|MODW:0|ROLEW:10|HPD:8|HPW:1|POSS:5|HPOSD:20|AVGW:80|POSW:60|LASTW:25</t>
  </si>
  <si>
    <t>TW:30|MODW:5|ROLEW:15|HPD:6|HPW:1|POSS:5|HPOSD:30|AVGW:80|POSW:90|LASTW:45</t>
  </si>
  <si>
    <t>TW:30|MODW:5|ROLEW:15|HPD:6|HPW:1|POSS:5|HPOSD:25|AVGW:70|POSW:75|LASTW:25</t>
  </si>
  <si>
    <t>TW:30|MODW:5|ROLEW:10|HPD:8|HPW:2|POSS:5|HPOSD:25|AVGW:70|POSW:90|LASTW:45</t>
  </si>
  <si>
    <t>TW:30|MODW:5|ROLEW:10|HPD:8|HPW:1|POSS:5|HPOSD:30|AVGW:80|POSW:75|LASTW:45</t>
  </si>
  <si>
    <t>TW:30|MODW:5|ROLEW:10|HPD:8|HPW:1|POSS:5|HPOSD:30|AVGW:90|POSW:60|LASTW:35</t>
  </si>
  <si>
    <t>TW:30|MODW:5|ROLEW:10|HPD:8|HPW:1|POSS:5|HPOSD:30|AVGW:80|POSW:60|LASTW:45</t>
  </si>
  <si>
    <t>TW:30|MODW:5|ROLEW:10|HPD:8|HPW:1|POSS:5|HPOSD:25|AVGW:90|POSW:75|LASTW:45</t>
  </si>
  <si>
    <t>TW:30|MODW:5|ROLEW:10|HPD:6|HPW:2|POSS:5|HPOSD:30|AVGW:80|POSW:60|LASTW:25</t>
  </si>
  <si>
    <t>TW:30|MODW:5|ROLEW:10|HPD:6|HPW:1|POSS:5|HPOSD:30|AVGW:70|POSW:90|LASTW:35</t>
  </si>
  <si>
    <t>TW:30|MODW:5|ROLEW:10|HPD:6|HPW:1|POSS:5|HPOSD:25|AVGW:80|POSW:90|LASTW:45</t>
  </si>
  <si>
    <t>TW:30|MODW:5|ROLEW:10|HPD:6|HPW:1|POSS:5|HPOSD:25|AVGW:80|POSW:60|LASTW:35</t>
  </si>
  <si>
    <t>TW:30|MODW:0|ROLEW:15|HPD:8|HPW:2|POSS:5|HPOSD:30|AVGW:80|POSW:75|LASTW:45</t>
  </si>
  <si>
    <t>TW:30|MODW:0|ROLEW:15|HPD:8|HPW:1|POSS:5|HPOSD:25|AVGW:70|POSW:90|LASTW:45</t>
  </si>
  <si>
    <t>TW:30|MODW:0|ROLEW:15|HPD:6|HPW:2|POSS:5|HPOSD:30|AVGW:80|POSW:75|LASTW:35</t>
  </si>
  <si>
    <t>TW:30|MODW:0|ROLEW:15|HPD:6|HPW:1|POSS:5|HPOSD:25|AVGW:70|POSW:75|LASTW:35</t>
  </si>
  <si>
    <t>TW:30|MODW:0|ROLEW:15|HPD:6|HPW:1|POSS:5|HPOSD:25|AVGW:90|POSW:60|LASTW:25</t>
  </si>
  <si>
    <t>TW:30|MODW:0|ROLEW:15|HPD:6|HPW:1|POSS:5|HPOSD:20|AVGW:90|POSW:75|LASTW:25</t>
  </si>
  <si>
    <t>TW:30|MODW:0|ROLEW:10|HPD:8|HPW:2|POSS:5|HPOSD:30|AVGW:90|POSW:60|LASTW:35</t>
  </si>
  <si>
    <t>TW:30|MODW:0|ROLEW:10|HPD:8|HPW:2|POSS:5|HPOSD:25|AVGW:80|POSW:90|LASTW:45</t>
  </si>
  <si>
    <t>TW:30|MODW:0|ROLEW:10|HPD:8|HPW:2|POSS:5|HPOSD:25|AVGW:90|POSW:60|LASTW:35</t>
  </si>
  <si>
    <t>TW:30|MODW:0|ROLEW:10|HPD:8|HPW:1|POSS:5|HPOSD:25|AVGW:80|POSW:60|LASTW:25</t>
  </si>
  <si>
    <t>TW:30|MODW:0|ROLEW:10|HPD:6|HPW:2|POSS:5|HPOSD:25|AVGW:70|POSW:75|LASTW:35</t>
  </si>
  <si>
    <t>TW:30|MODW:0|ROLEW:10|HPD:6|HPW:1|POSS:5|HPOSD:30|AVGW:70|POSW:90|LASTW:35</t>
  </si>
  <si>
    <t>TW:30|MODW:0|ROLEW:10|HPD:6|HPW:1|POSS:5|HPOSD:30|AVGW:80|POSW:75|LASTW:45</t>
  </si>
  <si>
    <t>TW:30|MODW:0|ROLEW:10|HPD:6|HPW:1|POSS:5|HPOSD:30|AVGW:90|POSW:60|LASTW:45</t>
  </si>
  <si>
    <t>TW:30|MODW:0|ROLEW:10|HPD:6|HPW:1|POSS:5|HPOSD:20|AVGW:70|POSW:60|LASTW:35</t>
  </si>
  <si>
    <t>TW:34|MODW:5|ROLEW:15|HPD:8|HPW:2|POSS:5|HPOSD:30|AVGW:80|POSW:60|LASTW:25</t>
  </si>
  <si>
    <t>TW:34|MODW:5|ROLEW:15|HPD:8|HPW:1|POSS:5|HPOSD:30|AVGW:70|POSW:75|LASTW:45</t>
  </si>
  <si>
    <t>TW:34|MODW:5|ROLEW:15|HPD:6|HPW:2|POSS:5|HPOSD:25|AVGW:90|POSW:90|LASTW:25</t>
  </si>
  <si>
    <t>TW:34|MODW:5|ROLEW:15|HPD:6|HPW:2|POSS:5|HPOSD:25|AVGW:80|POSW:60|LASTW:35</t>
  </si>
  <si>
    <t>TW:34|MODW:5|ROLEW:15|HPD:6|HPW:1|POSS:5|HPOSD:25|AVGW:70|POSW:90|LASTW:45</t>
  </si>
  <si>
    <t>TW:34|MODW:5|ROLEW:15|HPD:6|HPW:1|POSS:5|HPOSD:20|AVGW:80|POSW:60|LASTW:35</t>
  </si>
  <si>
    <t>TW:34|MODW:5|ROLEW:10|HPD:6|HPW:1|POSS:5|HPOSD:25|AVGW:90|POSW:90|LASTW:25</t>
  </si>
  <si>
    <t>TW:34|MODW:5|ROLEW:10|HPD:6|HPW:1|POSS:5|HPOSD:25|AVGW:80|POSW:60|LASTW:35</t>
  </si>
  <si>
    <t>TW:34|MODW:0|ROLEW:15|HPD:8|HPW:2|POSS:5|HPOSD:25|AVGW:80|POSW:60|LASTW:25</t>
  </si>
  <si>
    <t>TW:34|MODW:0|ROLEW:15|HPD:8|HPW:1|POSS:5|HPOSD:30|AVGW:70|POSW:75|LASTW:25</t>
  </si>
  <si>
    <t>TW:34|MODW:0|ROLEW:15|HPD:6|HPW:2|POSS:5|HPOSD:30|AVGW:90|POSW:90|LASTW:25</t>
  </si>
  <si>
    <t>TW:34|MODW:0|ROLEW:15|HPD:6|HPW:2|POSS:5|HPOSD:25|AVGW:90|POSW:90|LASTW:25</t>
  </si>
  <si>
    <t>TW:34|MODW:0|ROLEW:15|HPD:6|HPW:1|POSS:5|HPOSD:30|AVGW:90|POSW:90|LASTW:35</t>
  </si>
  <si>
    <t>TW:34|MODW:0|ROLEW:15|HPD:6|HPW:1|POSS:5|HPOSD:30|AVGW:90|POSW:75|LASTW:25</t>
  </si>
  <si>
    <t>TW:34|MODW:0|ROLEW:15|HPD:6|HPW:1|POSS:5|HPOSD:20|AVGW:70|POSW:75|LASTW:25</t>
  </si>
  <si>
    <t>TW:34|MODW:0|ROLEW:10|HPD:8|HPW:2|POSS:5|HPOSD:30|AVGW:90|POSW:60|LASTW:35</t>
  </si>
  <si>
    <t>TW:34|MODW:0|ROLEW:10|HPD:6|HPW:1|POSS:5|HPOSD:30|AVGW:80|POSW:90|LASTW:45</t>
  </si>
  <si>
    <t>TW:32|MODW:5|ROLEW:15|HPD:6|HPW:1|POSS:5|HPOSD:25|AVGW:80|POSW:90|LASTW:25</t>
  </si>
  <si>
    <t>TW:32|MODW:5|ROLEW:10|HPD:8|HPW:2|POSS:5|HPOSD:30|AVGW:80|POSW:90|LASTW:35</t>
  </si>
  <si>
    <t>TW:32|MODW:5|ROLEW:10|HPD:8|HPW:1|POSS:5|HPOSD:30|AVGW:80|POSW:75|LASTW:45</t>
  </si>
  <si>
    <t>TW:32|MODW:5|ROLEW:10|HPD:8|HPW:1|POSS:5|HPOSD:30|AVGW:70|POSW:60|LASTW:35</t>
  </si>
  <si>
    <t>TW:32|MODW:5|ROLEW:10|HPD:8|HPW:1|POSS:5|HPOSD:20|AVGW:90|POSW:60|LASTW:25</t>
  </si>
  <si>
    <t>TW:32|MODW:5|ROLEW:10|HPD:6|HPW:2|POSS:5|HPOSD:30|AVGW:90|POSW:75|LASTW:35</t>
  </si>
  <si>
    <t>TW:32|MODW:5|ROLEW:10|HPD:6|HPW:2|POSS:5|HPOSD:25|AVGW:80|POSW:75|LASTW:35</t>
  </si>
  <si>
    <t>TW:32|MODW:5|ROLEW:10|HPD:6|HPW:1|POSS:5|HPOSD:25|AVGW:90|POSW:75|LASTW:25</t>
  </si>
  <si>
    <t>TW:32|MODW:5|ROLEW:10|HPD:6|HPW:1|POSS:5|HPOSD:20|AVGW:80|POSW:60|LASTW:35</t>
  </si>
  <si>
    <t>TW:32|MODW:0|ROLEW:15|HPD:6|HPW:2|POSS:5|HPOSD:30|AVGW:70|POSW:75|LASTW:45</t>
  </si>
  <si>
    <t>TW:32|MODW:0|ROLEW:10|HPD:8|HPW:1|POSS:5|HPOSD:25|AVGW:90|POSW:60|LASTW:35</t>
  </si>
  <si>
    <t>TW:32|MODW:0|ROLEW:10|HPD:6|HPW:2|POSS:5|HPOSD:25|AVGW:80|POSW:75|LASTW:25</t>
  </si>
  <si>
    <t>TW:32|MODW:0|ROLEW:10|HPD:6|HPW:2|POSS:5|HPOSD:25|AVGW:80|POSW:60|LASTW:45</t>
  </si>
  <si>
    <t>TW:32|MODW:0|ROLEW:10|HPD:6|HPW:1|POSS:5|HPOSD:30|AVGW:80|POSW:90|LASTW:45</t>
  </si>
  <si>
    <t>TW:30|MODW:5|ROLEW:15|HPD:8|HPW:2|POSS:5|HPOSD:25|AVGW:80|POSW:60|LASTW:45</t>
  </si>
  <si>
    <t>TW:30|MODW:5|ROLEW:15|HPD:8|HPW:1|POSS:5|HPOSD:30|AVGW:70|POSW:75|LASTW:25</t>
  </si>
  <si>
    <t>TW:30|MODW:5|ROLEW:15|HPD:6|HPW:1|POSS:5|HPOSD:25|AVGW:90|POSW:60|LASTW:25</t>
  </si>
  <si>
    <t>TW:30|MODW:5|ROLEW:15|HPD:6|HPW:1|POSS:5|HPOSD:20|AVGW:80|POSW:60|LASTW:35</t>
  </si>
  <si>
    <t>TW:30|MODW:5|ROLEW:10|HPD:8|HPW:2|POSS:5|HPOSD:30|AVGW:80|POSW:90|LASTW:45</t>
  </si>
  <si>
    <t>TW:30|MODW:5|ROLEW:10|HPD:6|HPW:1|POSS:5|HPOSD:20|AVGW:80|POSW:75|LASTW:45</t>
  </si>
  <si>
    <t>TW:30|MODW:0|ROLEW:15|HPD:8|HPW:2|POSS:5|HPOSD:30|AVGW:70|POSW:60|LASTW:45</t>
  </si>
  <si>
    <t>TW:30|MODW:0|ROLEW:15|HPD:8|HPW:1|POSS:5|HPOSD:30|AVGW:90|POSW:60|LASTW:45</t>
  </si>
  <si>
    <t>TW:30|MODW:0|ROLEW:15|HPD:8|HPW:1|POSS:5|HPOSD:30|AVGW:70|POSW:60|LASTW:45</t>
  </si>
  <si>
    <t>TW:30|MODW:0|ROLEW:15|HPD:6|HPW:1|POSS:5|HPOSD:30|AVGW:80|POSW:60|LASTW:45</t>
  </si>
  <si>
    <t>TW:30|MODW:0|ROLEW:10|HPD:8|HPW:1|POSS:5|HPOSD:30|AVGW:90|POSW:60|LASTW:35</t>
  </si>
  <si>
    <t>TW:30|MODW:0|ROLEW:10|HPD:6|HPW:2|POSS:5|HPOSD:25|AVGW:90|POSW:90|LASTW:25</t>
  </si>
  <si>
    <t>TW:30|MODW:0|ROLEW:10|HPD:6|HPW:2|POSS:5|HPOSD:25|AVGW:70|POSW:90|LASTW:35</t>
  </si>
  <si>
    <t>TW:30|MODW:0|ROLEW:10|HPD:6|HPW:2|POSS:5|HPOSD:25|AVGW:90|POSW:60|LASTW:45</t>
  </si>
  <si>
    <t>TW:30|MODW:0|ROLEW:10|HPD:6|HPW:1|POSS:5|HPOSD:30|AVGW:80|POSW:90|LASTW:35</t>
  </si>
  <si>
    <t>TW:30|MODW:0|ROLEW:10|HPD:6|HPW:1|POSS:5|HPOSD:20|AVGW:80|POSW:60|LASTW:35</t>
  </si>
  <si>
    <t>TW:34|MODW:5|ROLEW:15|HPD:8|HPW:2|POSS:5|HPOSD:25|AVGW:70|POSW:75|LASTW:35</t>
  </si>
  <si>
    <t>TW:34|MODW:5|ROLEW:15|HPD:8|HPW:1|POSS:5|HPOSD:30|AVGW:80|POSW:60|LASTW:25</t>
  </si>
  <si>
    <t>TW:34|MODW:5|ROLEW:15|HPD:6|HPW:1|POSS:5|HPOSD:25|AVGW:80|POSW:90|LASTW:25</t>
  </si>
  <si>
    <t>TW:34|MODW:5|ROLEW:10|HPD:8|HPW:1|POSS:5|HPOSD:30|AVGW:70|POSW:90|LASTW:35</t>
  </si>
  <si>
    <t>TW:34|MODW:5|ROLEW:10|HPD:8|HPW:1|POSS:5|HPOSD:25|AVGW:70|POSW:90|LASTW:35</t>
  </si>
  <si>
    <t>TW:34|MODW:5|ROLEW:10|HPD:8|HPW:1|POSS:5|HPOSD:25|AVGW:80|POSW:60|LASTW:45</t>
  </si>
  <si>
    <t>TW:34|MODW:5|ROLEW:10|HPD:6|HPW:2|POSS:5|HPOSD:30|AVGW:80|POSW:75|LASTW:25</t>
  </si>
  <si>
    <t>TW:34|MODW:0|ROLEW:15|HPD:8|HPW:2|POSS:5|HPOSD:25|AVGW:90|POSW:60|LASTW:45</t>
  </si>
  <si>
    <t>TW:34|MODW:0|ROLEW:15|HPD:8|HPW:1|POSS:5|HPOSD:30|AVGW:80|POSW:60|LASTW:25</t>
  </si>
  <si>
    <t>TW:34|MODW:0|ROLEW:15|HPD:8|HPW:1|POSS:5|HPOSD:25|AVGW:80|POSW:90|LASTW:35</t>
  </si>
  <si>
    <t>TW:34|MODW:0|ROLEW:15|HPD:8|HPW:1|POSS:5|HPOSD:20|AVGW:90|POSW:75|LASTW:45</t>
  </si>
  <si>
    <t>TW:34|MODW:0|ROLEW:15|HPD:6|HPW:2|POSS:5|HPOSD:30|AVGW:70|POSW:60|LASTW:35</t>
  </si>
  <si>
    <t>TW:34|MODW:0|ROLEW:15|HPD:6|HPW:1|POSS:5|HPOSD:30|AVGW:80|POSW:90|LASTW:35</t>
  </si>
  <si>
    <t>TW:34|MODW:0|ROLEW:15|HPD:6|HPW:1|POSS:5|HPOSD:30|AVGW:80|POSW:60|LASTW:25</t>
  </si>
  <si>
    <t>TW:34|MODW:0|ROLEW:15|HPD:6|HPW:1|POSS:5|HPOSD:25|AVGW:70|POSW:75|LASTW:45</t>
  </si>
  <si>
    <t>TW:34|MODW:0|ROLEW:15|HPD:6|HPW:1|POSS:5|HPOSD:20|AVGW:90|POSW:60|LASTW:45</t>
  </si>
  <si>
    <t>TW:34|MODW:0|ROLEW:10|HPD:8|HPW:1|POSS:5|HPOSD:25|AVGW:90|POSW:75|LASTW:35</t>
  </si>
  <si>
    <t>TW:32|MODW:5|ROLEW:15|HPD:8|HPW:1|POSS:5|HPOSD:30|AVGW:70|POSW:75|LASTW:35</t>
  </si>
  <si>
    <t>TW:32|MODW:5|ROLEW:15|HPD:6|HPW:2|POSS:5|HPOSD:30|AVGW:90|POSW:60|LASTW:25</t>
  </si>
  <si>
    <t>TW:32|MODW:5|ROLEW:15|HPD:6|HPW:1|POSS:5|HPOSD:30|AVGW:70|POSW:90|LASTW:35</t>
  </si>
  <si>
    <t>TW:32|MODW:5|ROLEW:15|HPD:6|HPW:1|POSS:5|HPOSD:25|AVGW:70|POSW:60|LASTW:45</t>
  </si>
  <si>
    <t>TW:32|MODW:5|ROLEW:10|HPD:6|HPW:2|POSS:5|HPOSD:25|AVGW:70|POSW:90|LASTW:45</t>
  </si>
  <si>
    <t>TW:32|MODW:5|ROLEW:10|HPD:6|HPW:1|POSS:5|HPOSD:30|AVGW:80|POSW:75|LASTW:45</t>
  </si>
  <si>
    <t>TW:32|MODW:0|ROLEW:15|HPD:8|HPW:1|POSS:5|HPOSD:25|AVGW:80|POSW:75|LASTW:45</t>
  </si>
  <si>
    <t>TW:32|MODW:0|ROLEW:15|HPD:8|HPW:1|POSS:5|HPOSD:25|AVGW:80|POSW:75|LASTW:25</t>
  </si>
  <si>
    <t>TW:32|MODW:0|ROLEW:15|HPD:8|HPW:1|POSS:5|HPOSD:25|AVGW:70|POSW:75|LASTW:35</t>
  </si>
  <si>
    <t>TW:32|MODW:0|ROLEW:15|HPD:6|HPW:2|POSS:5|HPOSD:25|AVGW:80|POSW:90|LASTW:45</t>
  </si>
  <si>
    <t>TW:32|MODW:0|ROLEW:10|HPD:8|HPW:2|POSS:5|HPOSD:30|AVGW:90|POSW:75|LASTW:35</t>
  </si>
  <si>
    <t>TW:32|MODW:0|ROLEW:10|HPD:6|HPW:1|POSS:5|HPOSD:25|AVGW:80|POSW:90|LASTW:25</t>
  </si>
  <si>
    <t>TW:32|MODW:0|ROLEW:10|HPD:6|HPW:1|POSS:5|HPOSD:25|AVGW:70|POSW:90|LASTW:35</t>
  </si>
  <si>
    <t>TW:32|MODW:0|ROLEW:10|HPD:6|HPW:1|POSS:5|HPOSD:25|AVGW:80|POSW:75|LASTW:35</t>
  </si>
  <si>
    <t>TW:30|MODW:5|ROLEW:15|HPD:6|HPW:2|POSS:5|HPOSD:25|AVGW:90|POSW:90|LASTW:45</t>
  </si>
  <si>
    <t>TW:30|MODW:5|ROLEW:15|HPD:6|HPW:1|POSS:5|HPOSD:30|AVGW:70|POSW:75|LASTW:25</t>
  </si>
  <si>
    <t>TW:30|MODW:5|ROLEW:15|HPD:6|HPW:1|POSS:5|HPOSD:20|AVGW:90|POSW:75|LASTW:25</t>
  </si>
  <si>
    <t>TW:30|MODW:5|ROLEW:10|HPD:8|HPW:2|POSS:5|HPOSD:30|AVGW:80|POSW:75|LASTW:35</t>
  </si>
  <si>
    <t>TW:30|MODW:5|ROLEW:10|HPD:6|HPW:1|POSS:5|HPOSD:20|AVGW:90|POSW:60|LASTW:25</t>
  </si>
  <si>
    <t>TW:30|MODW:0|ROLEW:15|HPD:8|HPW:2|POSS:5|HPOSD:25|AVGW:70|POSW:60|LASTW:35</t>
  </si>
  <si>
    <t>TW:30|MODW:0|ROLEW:15|HPD:8|HPW:1|POSS:5|HPOSD:30|AVGW:90|POSW:75|LASTW:25</t>
  </si>
  <si>
    <t>TW:30|MODW:0|ROLEW:15|HPD:8|HPW:1|POSS:5|HPOSD:30|AVGW:90|POSW:60|LASTW:35</t>
  </si>
  <si>
    <t>TW:30|MODW:0|ROLEW:15|HPD:8|HPW:1|POSS:5|HPOSD:20|AVGW:90|POSW:75|LASTW:35</t>
  </si>
  <si>
    <t>TW:30|MODW:0|ROLEW:15|HPD:6|HPW:1|POSS:5|HPOSD:25|AVGW:70|POSW:90|LASTW:45</t>
  </si>
  <si>
    <t>TW:30|MODW:0|ROLEW:10|HPD:8|HPW:2|POSS:5|HPOSD:30|AVGW:80|POSW:75|LASTW:25</t>
  </si>
  <si>
    <t>TW:30|MODW:0|ROLEW:10|HPD:8|HPW:2|POSS:5|HPOSD:30|AVGW:70|POSW:60|LASTW:45</t>
  </si>
  <si>
    <t>TW:30|MODW:0|ROLEW:10|HPD:8|HPW:1|POSS:5|HPOSD:30|AVGW:80|POSW:75|LASTW:25</t>
  </si>
  <si>
    <t>TW:30|MODW:0|ROLEW:10|HPD:8|HPW:1|POSS:5|HPOSD:25|AVGW:90|POSW:60|LASTW:25</t>
  </si>
  <si>
    <t>TW:30|MODW:0|ROLEW:10|HPD:6|HPW:2|POSS:5|HPOSD:30|AVGW:80|POSW:90|LASTW:45</t>
  </si>
  <si>
    <t>TW:30|MODW:0|ROLEW:10|HPD:6|HPW:2|POSS:5|HPOSD:30|AVGW:70|POSW:90|LASTW:35</t>
  </si>
  <si>
    <t>TW:30|MODW:0|ROLEW:10|HPD:6|HPW:2|POSS:5|HPOSD:30|AVGW:80|POSW:75|LASTW:35</t>
  </si>
  <si>
    <t>TW:30|MODW:0|ROLEW:10|HPD:6|HPW:2|POSS:5|HPOSD:30|AVGW:70|POSW:60|LASTW:25</t>
  </si>
  <si>
    <t>TW:30|MODW:0|ROLEW:10|HPD:6|HPW:1|POSS:5|HPOSD:30|AVGW:90|POSW:90|LASTW:25</t>
  </si>
  <si>
    <t>TW:30|MODW:0|ROLEW:10|HPD:6|HPW:1|POSS:5|HPOSD:30|AVGW:70|POSW:60|LASTW:35</t>
  </si>
  <si>
    <t>TW:30|MODW:0|ROLEW:10|HPD:6|HPW:1|POSS:5|HPOSD:20|AVGW:80|POSW:60|LASTW:25</t>
  </si>
  <si>
    <t>TW:34|MODW:5|ROLEW:15|HPD:6|HPW:1|POSS:5|HPOSD:30|AVGW:90|POSW:60|LASTW:35</t>
  </si>
  <si>
    <t>TW:34|MODW:5|ROLEW:10|HPD:8|HPW:2|POSS:5|HPOSD:25|AVGW:70|POSW:75|LASTW:25</t>
  </si>
  <si>
    <t>TW:34|MODW:5|ROLEW:10|HPD:6|HPW:2|POSS:5|HPOSD:25|AVGW:80|POSW:90|LASTW:45</t>
  </si>
  <si>
    <t>TW:34|MODW:5|ROLEW:10|HPD:6|HPW:2|POSS:5|HPOSD:25|AVGW:80|POSW:60|LASTW:25</t>
  </si>
  <si>
    <t>TW:34|MODW:5|ROLEW:10|HPD:6|HPW:1|POSS:5|HPOSD:25|AVGW:70|POSW:60|LASTW:35</t>
  </si>
  <si>
    <t>TW:34|MODW:0|ROLEW:15|HPD:8|HPW:2|POSS:5|HPOSD:30|AVGW:70|POSW:90|LASTW:35</t>
  </si>
  <si>
    <t>TW:34|MODW:0|ROLEW:15|HPD:8|HPW:2|POSS:5|HPOSD:25|AVGW:70|POSW:90|LASTW:35</t>
  </si>
  <si>
    <t>TW:34|MODW:0|ROLEW:15|HPD:8|HPW:2|POSS:5|HPOSD:20|AVGW:90|POSW:60|LASTW:45</t>
  </si>
  <si>
    <t>TW:34|MODW:0|ROLEW:15|HPD:8|HPW:1|POSS:5|HPOSD:25|AVGW:70|POSW:60|LASTW:45</t>
  </si>
  <si>
    <t>TW:34|MODW:0|ROLEW:15|HPD:6|HPW:2|POSS:5|HPOSD:25|AVGW:80|POSW:75|LASTW:25</t>
  </si>
  <si>
    <t>TW:34|MODW:0|ROLEW:15|HPD:6|HPW:1|POSS:5|HPOSD:25|AVGW:70|POSW:60|LASTW:25</t>
  </si>
  <si>
    <t>TW:34|MODW:0|ROLEW:15|HPD:6|HPW:1|POSS:5|HPOSD:20|AVGW:90|POSW:60|LASTW:25</t>
  </si>
  <si>
    <t>TW:34|MODW:0|ROLEW:10|HPD:8|HPW:1|POSS:5|HPOSD:20|AVGW:90|POSW:60|LASTW:45</t>
  </si>
  <si>
    <t>TW:34|MODW:0|ROLEW:10|HPD:6|HPW:2|POSS:5|HPOSD:30|AVGW:90|POSW:90|LASTW:45</t>
  </si>
  <si>
    <t>TW:34|MODW:0|ROLEW:10|HPD:6|HPW:1|POSS:5|HPOSD:25|AVGW:80|POSW:90|LASTW:45</t>
  </si>
  <si>
    <t>TW:32|MODW:5|ROLEW:15|HPD:8|HPW:1|POSS:5|HPOSD:25|AVGW:70|POSW:60|LASTW:45</t>
  </si>
  <si>
    <t>TW:32|MODW:5|ROLEW:10|HPD:8|HPW:1|POSS:5|HPOSD:30|AVGW:70|POSW:90|LASTW:35</t>
  </si>
  <si>
    <t>TW:32|MODW:0|ROLEW:15|HPD:6|HPW:2|POSS:5|HPOSD:30|AVGW:90|POSW:90|LASTW:25</t>
  </si>
  <si>
    <t>TW:32|MODW:0|ROLEW:15|HPD:6|HPW:2|POSS:5|HPOSD:30|AVGW:70|POSW:75|LASTW:25</t>
  </si>
  <si>
    <t>TW:32|MODW:0|ROLEW:15|HPD:6|HPW:1|POSS:5|HPOSD:25|AVGW:90|POSW:75|LASTW:45</t>
  </si>
  <si>
    <t>TW:32|MODW:0|ROLEW:15|HPD:6|HPW:1|POSS:5|HPOSD:20|AVGW:80|POSW:60|LASTW:45</t>
  </si>
  <si>
    <t>TW:32|MODW:0|ROLEW:10|HPD:8|HPW:2|POSS:5|HPOSD:30|AVGW:90|POSW:90|LASTW:45</t>
  </si>
  <si>
    <t>TW:32|MODW:0|ROLEW:10|HPD:6|HPW:2|POSS:5|HPOSD:30|AVGW:80|POSW:90|LASTW:45</t>
  </si>
  <si>
    <t>TW:32|MODW:0|ROLEW:10|HPD:6|HPW:2|POSS:5|HPOSD:30|AVGW:70|POSW:60|LASTW:35</t>
  </si>
  <si>
    <t>TW:32|MODW:0|ROLEW:10|HPD:6|HPW:1|POSS:5|HPOSD:30|AVGW:80|POSW:90|LASTW:25</t>
  </si>
  <si>
    <t>TW:32|MODW:0|ROLEW:10|HPD:6|HPW:1|POSS:5|HPOSD:25|AVGW:70|POSW:60|LASTW:25</t>
  </si>
  <si>
    <t>TW:32|MODW:0|ROLEW:10|HPD:6|HPW:1|POSS:5|HPOSD:20|AVGW:70|POSW:75|LASTW:45</t>
  </si>
  <si>
    <t>TW:30|MODW:5|ROLEW:15|HPD:8|HPW:2|POSS:5|HPOSD:30|AVGW:70|POSW:60|LASTW:45</t>
  </si>
  <si>
    <t>TW:30|MODW:5|ROLEW:15|HPD:8|HPW:1|POSS:5|HPOSD:30|AVGW:70|POSW:75|LASTW:35</t>
  </si>
  <si>
    <t>TW:30|MODW:5|ROLEW:15|HPD:6|HPW:2|POSS:5|HPOSD:30|AVGW:90|POSW:90|LASTW:45</t>
  </si>
  <si>
    <t>TW:30|MODW:5|ROLEW:15|HPD:6|HPW:1|POSS:5|HPOSD:25|AVGW:80|POSW:60|LASTW:25</t>
  </si>
  <si>
    <t>TW:30|MODW:5|ROLEW:10|HPD:8|HPW:2|POSS:5|HPOSD:25|AVGW:70|POSW:75|LASTW:35</t>
  </si>
  <si>
    <t>TW:30|MODW:5|ROLEW:10|HPD:8|HPW:1|POSS:5|HPOSD:30|AVGW:80|POSW:90|LASTW:45</t>
  </si>
  <si>
    <t>TW:30|MODW:5|ROLEW:10|HPD:8|HPW:1|POSS:5|HPOSD:30|AVGW:90|POSW:60|LASTW:45</t>
  </si>
  <si>
    <t>TW:30|MODW:5|ROLEW:10|HPD:8|HPW:1|POSS:5|HPOSD:25|AVGW:90|POSW:75|LASTW:35</t>
  </si>
  <si>
    <t>TW:30|MODW:5|ROLEW:10|HPD:8|HPW:1|POSS:5|HPOSD:20|AVGW:80|POSW:60|LASTW:35</t>
  </si>
  <si>
    <t>TW:30|MODW:5|ROLEW:10|HPD:6|HPW:2|POSS:5|HPOSD:25|AVGW:90|POSW:90|LASTW:45</t>
  </si>
  <si>
    <t>TW:30|MODW:5|ROLEW:10|HPD:6|HPW:2|POSS:5|HPOSD:25|AVGW:80|POSW:90|LASTW:35</t>
  </si>
  <si>
    <t>TW:30|MODW:0|ROLEW:15|HPD:8|HPW:1|POSS:5|HPOSD:20|AVGW:90|POSW:60|LASTW:35</t>
  </si>
  <si>
    <t>TW:30|MODW:0|ROLEW:15|HPD:6|HPW:2|POSS:5|HPOSD:25|AVGW:80|POSW:60|LASTW:45</t>
  </si>
  <si>
    <t>TW:30|MODW:0|ROLEW:15|HPD:6|HPW:1|POSS:5|HPOSD:30|AVGW:80|POSW:75|LASTW:35</t>
  </si>
  <si>
    <t>TW:30|MODW:0|ROLEW:15|HPD:6|HPW:1|POSS:5|HPOSD:25|AVGW:90|POSW:90|LASTW:35</t>
  </si>
  <si>
    <t>TW:30|MODW:0|ROLEW:15|HPD:6|HPW:1|POSS:5|HPOSD:25|AVGW:80|POSW:75|LASTW:25</t>
  </si>
  <si>
    <t>TW:30|MODW:0|ROLEW:10|HPD:8|HPW:1|POSS:5|HPOSD:30|AVGW:80|POSW:75|LASTW:35</t>
  </si>
  <si>
    <t>TW:30|MODW:0|ROLEW:10|HPD:8|HPW:1|POSS:5|HPOSD:30|AVGW:70|POSW:60|LASTW:35</t>
  </si>
  <si>
    <t>TW:30|MODW:0|ROLEW:10|HPD:8|HPW:1|POSS:5|HPOSD:25|AVGW:90|POSW:60|LASTW:35</t>
  </si>
  <si>
    <t>TW:30|MODW:0|ROLEW:10|HPD:8|HPW:1|POSS:5|HPOSD:20|AVGW:70|POSW:60|LASTW:35</t>
  </si>
  <si>
    <t>TW:30|MODW:0|ROLEW:10|HPD:6|HPW:1|POSS:5|HPOSD:20|AVGW:90|POSW:60|LASTW:35</t>
  </si>
  <si>
    <t>TW:34|MODW:5|ROLEW:15|HPD:8|HPW:1|POSS:5|HPOSD:30|AVGW:80|POSW:60|LASTW:35</t>
  </si>
  <si>
    <t>TW:34|MODW:5|ROLEW:15|HPD:6|HPW:1|POSS:5|HPOSD:30|AVGW:90|POSW:90|LASTW:25</t>
  </si>
  <si>
    <t>TW:34|MODW:5|ROLEW:10|HPD:8|HPW:2|POSS:5|HPOSD:25|AVGW:80|POSW:60|LASTW:35</t>
  </si>
  <si>
    <t>TW:34|MODW:5|ROLEW:10|HPD:6|HPW:2|POSS:5|HPOSD:30|AVGW:70|POSW:90|LASTW:35</t>
  </si>
  <si>
    <t>TW:34|MODW:5|ROLEW:10|HPD:6|HPW:1|POSS:5|HPOSD:25|AVGW:90|POSW:75|LASTW:45</t>
  </si>
  <si>
    <t>TW:34|MODW:0|ROLEW:15|HPD:8|HPW:2|POSS:5|HPOSD:30|AVGW:80|POSW:60|LASTW:35</t>
  </si>
  <si>
    <t>TW:34|MODW:0|ROLEW:15|HPD:8|HPW:1|POSS:5|HPOSD:30|AVGW:80|POSW:90|LASTW:35</t>
  </si>
  <si>
    <t>TW:34|MODW:0|ROLEW:10|HPD:8|HPW:2|POSS:5|HPOSD:25|AVGW:80|POSW:75|LASTW:35</t>
  </si>
  <si>
    <t>TW:34|MODW:0|ROLEW:10|HPD:8|HPW:1|POSS:5|HPOSD:20|AVGW:80|POSW:75|LASTW:25</t>
  </si>
  <si>
    <t>TW:34|MODW:0|ROLEW:10|HPD:6|HPW:2|POSS:5|HPOSD:30|AVGW:90|POSW:75|LASTW:45</t>
  </si>
  <si>
    <t>TW:34|MODW:0|ROLEW:10|HPD:6|HPW:1|POSS:5|HPOSD:25|AVGW:90|POSW:90|LASTW:35</t>
  </si>
  <si>
    <t>TW:34|MODW:0|ROLEW:10|HPD:6|HPW:1|POSS:5|HPOSD:20|AVGW:70|POSW:75|LASTW:35</t>
  </si>
  <si>
    <t>TW:34|MODW:0|ROLEW:10|HPD:6|HPW:1|POSS:5|HPOSD:20|AVGW:70|POSW:60|LASTW:25</t>
  </si>
  <si>
    <t>TW:32|MODW:5|ROLEW:15|HPD:8|HPW:1|POSS:5|HPOSD:30|AVGW:90|POSW:60|LASTW:45</t>
  </si>
  <si>
    <t>TW:32|MODW:5|ROLEW:10|HPD:8|HPW:1|POSS:5|HPOSD:25|AVGW:90|POSW:60|LASTW:25</t>
  </si>
  <si>
    <t>TW:32|MODW:5|ROLEW:10|HPD:6|HPW:2|POSS:5|HPOSD:25|AVGW:90|POSW:75|LASTW:25</t>
  </si>
  <si>
    <t>TW:32|MODW:5|ROLEW:10|HPD:6|HPW:1|POSS:5|HPOSD:30|AVGW:90|POSW:90|LASTW:35</t>
  </si>
  <si>
    <t>TW:32|MODW:5|ROLEW:10|HPD:6|HPW:1|POSS:5|HPOSD:30|AVGW:70|POSW:90|LASTW:35</t>
  </si>
  <si>
    <t>TW:32|MODW:0|ROLEW:15|HPD:8|HPW:2|POSS:5|HPOSD:30|AVGW:90|POSW:75|LASTW:45</t>
  </si>
  <si>
    <t>TW:32|MODW:0|ROLEW:15|HPD:8|HPW:2|POSS:5|HPOSD:25|AVGW:90|POSW:75|LASTW:35</t>
  </si>
  <si>
    <t>TW:32|MODW:0|ROLEW:15|HPD:8|HPW:1|POSS:5|HPOSD:30|AVGW:80|POSW:75|LASTW:35</t>
  </si>
  <si>
    <t>TW:32|MODW:0|ROLEW:15|HPD:8|HPW:1|POSS:5|HPOSD:30|AVGW:90|POSW:60|LASTW:35</t>
  </si>
  <si>
    <t>TW:32|MODW:0|ROLEW:15|HPD:8|HPW:1|POSS:5|HPOSD:20|AVGW:80|POSW:60|LASTW:45</t>
  </si>
  <si>
    <t>TW:32|MODW:0|ROLEW:15|HPD:6|HPW:2|POSS:5|HPOSD:30|AVGW:90|POSW:60|LASTW:35</t>
  </si>
  <si>
    <t>TW:32|MODW:0|ROLEW:10|HPD:8|HPW:1|POSS:5|HPOSD:20|AVGW:80|POSW:60|LASTW:45</t>
  </si>
  <si>
    <t>TW:32|MODW:0|ROLEW:10|HPD:6|HPW:1|POSS:5|HPOSD:25|AVGW:80|POSW:90|LASTW:45</t>
  </si>
  <si>
    <t>TW:32|MODW:0|ROLEW:10|HPD:6|HPW:1|POSS:5|HPOSD:20|AVGW:70|POSW:60|LASTW:45</t>
  </si>
  <si>
    <t>TW:30|MODW:5|ROLEW:15|HPD:8|HPW:1|POSS:5|HPOSD:30|AVGW:80|POSW:90|LASTW:45</t>
  </si>
  <si>
    <t>TW:30|MODW:5|ROLEW:15|HPD:6|HPW:2|POSS:5|HPOSD:30|AVGW:90|POSW:90|LASTW:25</t>
  </si>
  <si>
    <t>TW:30|MODW:5|ROLEW:15|HPD:6|HPW:1|POSS:5|HPOSD:25|AVGW:70|POSW:90|LASTW:45</t>
  </si>
  <si>
    <t>TW:30|MODW:5|ROLEW:10|HPD:6|HPW:2|POSS:5|HPOSD:25|AVGW:80|POSW:75|LASTW:25</t>
  </si>
  <si>
    <t>TW:30|MODW:5|ROLEW:10|HPD:6|HPW:2|POSS:5|HPOSD:25|AVGW:70|POSW:60|LASTW:35</t>
  </si>
  <si>
    <t>TW:30|MODW:0|ROLEW:15|HPD:8|HPW:2|POSS:5|HPOSD:30|AVGW:70|POSW:75|LASTW:45</t>
  </si>
  <si>
    <t>TW:30|MODW:0|ROLEW:15|HPD:8|HPW:2|POSS:5|HPOSD:25|AVGW:80|POSW:75|LASTW:45</t>
  </si>
  <si>
    <t>TW:30|MODW:0|ROLEW:15|HPD:8|HPW:1|POSS:5|HPOSD:30|AVGW:70|POSW:75|LASTW:25</t>
  </si>
  <si>
    <t>TW:30|MODW:0|ROLEW:15|HPD:6|HPW:2|POSS:5|HPOSD:30|AVGW:90|POSW:75|LASTW:25</t>
  </si>
  <si>
    <t>TW:30|MODW:0|ROLEW:15|HPD:6|HPW:1|POSS:5|HPOSD:25|AVGW:80|POSW:60|LASTW:35</t>
  </si>
  <si>
    <t>TW:30|MODW:0|ROLEW:10|HPD:8|HPW:2|POSS:5|HPOSD:25|AVGW:80|POSW:90|LASTW:35</t>
  </si>
  <si>
    <t>TW:30|MODW:0|ROLEW:10|HPD:8|HPW:2|POSS:5|HPOSD:25|AVGW:90|POSW:60|LASTW:45</t>
  </si>
  <si>
    <t>TW:30|MODW:0|ROLEW:10|HPD:8|HPW:1|POSS:5|HPOSD:30|AVGW:80|POSW:90|LASTW:45</t>
  </si>
  <si>
    <t>TW:30|MODW:0|ROLEW:10|HPD:6|HPW:2|POSS:5|HPOSD:25|AVGW:80|POSW:75|LASTW:45</t>
  </si>
  <si>
    <t>TW:30|MODW:0|ROLEW:10|HPD:6|HPW:1|POSS:5|HPOSD:30|AVGW:90|POSW:75|LASTW:25</t>
  </si>
  <si>
    <t>TW:30|MODW:0|ROLEW:10|HPD:6|HPW:1|POSS:5|HPOSD:25|AVGW:80|POSW:90|LASTW:35</t>
  </si>
  <si>
    <t>TW:30|MODW:0|ROLEW:10|HPD:6|HPW:1|POSS:5|HPOSD:20|AVGW:70|POSW:60|LASTW:45</t>
  </si>
  <si>
    <t>TW:34|MODW:5|ROLEW:15|HPD:8|HPW:1|POSS:5|HPOSD:25|AVGW:90|POSW:75|LASTW:25</t>
  </si>
  <si>
    <t>TW:34|MODW:5|ROLEW:15|HPD:6|HPW:2|POSS:5|HPOSD:25|AVGW:80|POSW:60|LASTW:25</t>
  </si>
  <si>
    <t>TW:34|MODW:5|ROLEW:15|HPD:6|HPW:1|POSS:5|HPOSD:30|AVGW:70|POSW:90|LASTW:35</t>
  </si>
  <si>
    <t>TW:34|MODW:5|ROLEW:15|HPD:6|HPW:1|POSS:5|HPOSD:25|AVGW:80|POSW:60|LASTW:25</t>
  </si>
  <si>
    <t>TW:34|MODW:5|ROLEW:10|HPD:6|HPW:1|POSS:5|HPOSD:25|AVGW:80|POSW:75|LASTW:25</t>
  </si>
  <si>
    <t>TW:34|MODW:5|ROLEW:10|HPD:6|HPW:1|POSS:5|HPOSD:20|AVGW:80|POSW:75|LASTW:25</t>
  </si>
  <si>
    <t>TW:34|MODW:5|ROLEW:10|HPD:6|HPW:1|POSS:5|HPOSD:20|AVGW:80|POSW:60|LASTW:45</t>
  </si>
  <si>
    <t>TW:34|MODW:0|ROLEW:15|HPD:8|HPW:2|POSS:5|HPOSD:30|AVGW:70|POSW:60|LASTW:25</t>
  </si>
  <si>
    <t>TW:34|MODW:0|ROLEW:15|HPD:8|HPW:1|POSS:5|HPOSD:20|AVGW:90|POSW:75|LASTW:35</t>
  </si>
  <si>
    <t>TW:34|MODW:0|ROLEW:15|HPD:8|HPW:1|POSS:5|HPOSD:20|AVGW:90|POSW:60|LASTW:25</t>
  </si>
  <si>
    <t>TW:34|MODW:0|ROLEW:15|HPD:6|HPW:2|POSS:5|HPOSD:30|AVGW:70|POSW:75|LASTW:35</t>
  </si>
  <si>
    <t>TW:34|MODW:0|ROLEW:15|HPD:6|HPW:2|POSS:5|HPOSD:25|AVGW:80|POSW:75|LASTW:45</t>
  </si>
  <si>
    <t>TW:34|MODW:0|ROLEW:15|HPD:6|HPW:1|POSS:5|HPOSD:20|AVGW:90|POSW:75|LASTW:35</t>
  </si>
  <si>
    <t>TW:34|MODW:0|ROLEW:10|HPD:8|HPW:2|POSS:5|HPOSD:30|AVGW:80|POSW:90|LASTW:45</t>
  </si>
  <si>
    <t>TW:34|MODW:0|ROLEW:10|HPD:8|HPW:2|POSS:5|HPOSD:25|AVGW:80|POSW:75|LASTW:25</t>
  </si>
  <si>
    <t>TW:34|MODW:0|ROLEW:10|HPD:6|HPW:1|POSS:5|HPOSD:30|AVGW:70|POSW:60|LASTW:35</t>
  </si>
  <si>
    <t>TW:32|MODW:5|ROLEW:15|HPD:6|HPW:2|POSS:5|HPOSD:30|AVGW:70|POSW:75|LASTW:25</t>
  </si>
  <si>
    <t>TW:32|MODW:5|ROLEW:15|HPD:6|HPW:2|POSS:5|HPOSD:25|AVGW:90|POSW:60|LASTW:35</t>
  </si>
  <si>
    <t>TW:32|MODW:5|ROLEW:10|HPD:8|HPW:1|POSS:5|HPOSD:25|AVGW:70|POSW:90|LASTW:25</t>
  </si>
  <si>
    <t>TW:32|MODW:5|ROLEW:10|HPD:8|HPW:1|POSS:5|HPOSD:25|AVGW:70|POSW:60|LASTW:35</t>
  </si>
  <si>
    <t>TW:32|MODW:5|ROLEW:10|HPD:8|HPW:1|POSS:5|HPOSD:20|AVGW:70|POSW:60|LASTW:25</t>
  </si>
  <si>
    <t>TW:32|MODW:5|ROLEW:10|HPD:6|HPW:1|POSS:5|HPOSD:30|AVGW:90|POSW:60|LASTW:45</t>
  </si>
  <si>
    <t>TW:32|MODW:0|ROLEW:15|HPD:8|HPW:2|POSS:5|HPOSD:30|AVGW:70|POSW:75|LASTW:35</t>
  </si>
  <si>
    <t>TW:32|MODW:0|ROLEW:15|HPD:6|HPW:2|POSS:5|HPOSD:25|AVGW:80|POSW:60|LASTW:45</t>
  </si>
  <si>
    <t>TW:32|MODW:0|ROLEW:15|HPD:6|HPW:1|POSS:5|HPOSD:25|AVGW:70|POSW:90|LASTW:45</t>
  </si>
  <si>
    <t>TW:30|MODW:5|ROLEW:15|HPD:6|HPW:2|POSS:5|HPOSD:25|AVGW:80|POSW:60|LASTW:45</t>
  </si>
  <si>
    <t>TW:30|MODW:5|ROLEW:15|HPD:6|HPW:1|POSS:5|HPOSD:20|AVGW:80|POSW:60|LASTW:25</t>
  </si>
  <si>
    <t>TW:30|MODW:5|ROLEW:10|HPD:8|HPW:2|POSS:5|HPOSD:30|AVGW:80|POSW:60|LASTW:35</t>
  </si>
  <si>
    <t>TW:30|MODW:5|ROLEW:10|HPD:8|HPW:1|POSS:5|HPOSD:25|AVGW:70|POSW:90|LASTW:45</t>
  </si>
  <si>
    <t>TW:30|MODW:5|ROLEW:10|HPD:6|HPW:2|POSS:5|HPOSD:25|AVGW:70|POSW:90|LASTW:45</t>
  </si>
  <si>
    <t>TW:30|MODW:5|ROLEW:10|HPD:6|HPW:1|POSS:5|HPOSD:30|AVGW:90|POSW:90|LASTW:25</t>
  </si>
  <si>
    <t>TW:30|MODW:0|ROLEW:15|HPD:6|HPW:1|POSS:5|HPOSD:30|AVGW:90|POSW:60|LASTW:35</t>
  </si>
  <si>
    <t>TW:30|MODW:0|ROLEW:15|HPD:6|HPW:1|POSS:5|HPOSD:20|AVGW:70|POSW:75|LASTW:45</t>
  </si>
  <si>
    <t>TW:30|MODW:0|ROLEW:15|HPD:6|HPW:1|POSS:5|HPOSD:20|AVGW:80|POSW:60|LASTW:45</t>
  </si>
  <si>
    <t>TW:30|MODW:0|ROLEW:10|HPD:8|HPW:1|POSS:5|HPOSD:30|AVGW:70|POSW:75|LASTW:25</t>
  </si>
  <si>
    <t>TW:30|MODW:0|ROLEW:10|HPD:8|HPW:1|POSS:5|HPOSD:20|AVGW:90|POSW:60|LASTW:35</t>
  </si>
  <si>
    <t>TW:30|MODW:0|ROLEW:10|HPD:6|HPW:2|POSS:5|HPOSD:30|AVGW:90|POSW:60|LASTW:45</t>
  </si>
  <si>
    <t>TW:30|MODW:0|ROLEW:10|HPD:6|HPW:2|POSS:5|HPOSD:30|AVGW:80|POSW:60|LASTW:25</t>
  </si>
  <si>
    <t>TW:30|MODW:0|ROLEW:10|HPD:6|HPW:1|POSS:5|HPOSD:20|AVGW:90|POSW:60|LASTW:45</t>
  </si>
  <si>
    <t>TW:34|MODW:5|ROLEW:15|HPD:8|HPW:2|POSS:5|HPOSD:30|AVGW:90|POSW:75|LASTW:35</t>
  </si>
  <si>
    <t>TW:34|MODW:5|ROLEW:15|HPD:8|HPW:1|POSS:5|HPOSD:30|AVGW:90|POSW:60|LASTW:35</t>
  </si>
  <si>
    <t>TW:34|MODW:5|ROLEW:15|HPD:6|HPW:2|POSS:5|HPOSD:25|AVGW:70|POSW:60|LASTW:45</t>
  </si>
  <si>
    <t>TW:34|MODW:5|ROLEW:10|HPD:8|HPW:1|POSS:5|HPOSD:30|AVGW:90|POSW:75|LASTW:25</t>
  </si>
  <si>
    <t>TW:34|MODW:5|ROLEW:10|HPD:8|HPW:1|POSS:5|HPOSD:25|AVGW:90|POSW:90|LASTW:25</t>
  </si>
  <si>
    <t>TW:34|MODW:5|ROLEW:10|HPD:8|HPW:1|POSS:5|HPOSD:20|AVGW:70|POSW:60|LASTW:25</t>
  </si>
  <si>
    <t>TW:34|MODW:5|ROLEW:10|HPD:6|HPW:1|POSS:5|HPOSD:30|AVGW:90|POSW:60|LASTW:45</t>
  </si>
  <si>
    <t>TW:34|MODW:5|ROLEW:10|HPD:6|HPW:1|POSS:5|HPOSD:25|AVGW:90|POSW:75|LASTW:25</t>
  </si>
  <si>
    <t>TW:34|MODW:0|ROLEW:15|HPD:8|HPW:2|POSS:5|HPOSD:30|AVGW:80|POSW:75|LASTW:25</t>
  </si>
  <si>
    <t>TW:34|MODW:0|ROLEW:15|HPD:8|HPW:2|POSS:5|HPOSD:30|AVGW:80|POSW:60|LASTW:25</t>
  </si>
  <si>
    <t>TW:34|MODW:0|ROLEW:15|HPD:6|HPW:1|POSS:5|HPOSD:30|AVGW:90|POSW:90|LASTW:25</t>
  </si>
  <si>
    <t>TW:34|MODW:0|ROLEW:15|HPD:6|HPW:1|POSS:5|HPOSD:25|AVGW:80|POSW:90|LASTW:25</t>
  </si>
  <si>
    <t>TW:34|MODW:0|ROLEW:10|HPD:8|HPW:2|POSS:5|HPOSD:25|AVGW:90|POSW:90|LASTW:35</t>
  </si>
  <si>
    <t>TW:34|MODW:0|ROLEW:10|HPD:8|HPW:1|POSS:5|HPOSD:25|AVGW:80|POSW:75|LASTW:45</t>
  </si>
  <si>
    <t>TW:34|MODW:0|ROLEW:10|HPD:6|HPW:2|POSS:5|HPOSD:25|AVGW:70|POSW:90|LASTW:25</t>
  </si>
  <si>
    <t>TW:34|MODW:0|ROLEW:10|HPD:6|HPW:1|POSS:5|HPOSD:30|AVGW:90|POSW:75|LASTW:45</t>
  </si>
  <si>
    <t>TW:34|MODW:0|ROLEW:10|HPD:6|HPW:1|POSS:5|HPOSD:20|AVGW:80|POSW:75|LASTW:35</t>
  </si>
  <si>
    <t>TW:32|MODW:5|ROLEW:15|HPD:8|HPW:2|POSS:5|HPOSD:30|AVGW:90|POSW:75|LASTW:45</t>
  </si>
  <si>
    <t>TW:32|MODW:5|ROLEW:15|HPD:8|HPW:2|POSS:5|HPOSD:30|AVGW:90|POSW:60|LASTW:35</t>
  </si>
  <si>
    <t>TW:32|MODW:5|ROLEW:15|HPD:8|HPW:2|POSS:5|HPOSD:25|AVGW:70|POSW:75|LASTW:35</t>
  </si>
  <si>
    <t>TW:32|MODW:5|ROLEW:15|HPD:8|HPW:1|POSS:5|HPOSD:30|AVGW:80|POSW:90|LASTW:25</t>
  </si>
  <si>
    <t>TW:32|MODW:5|ROLEW:15|HPD:8|HPW:1|POSS:5|HPOSD:25|AVGW:80|POSW:90|LASTW:35</t>
  </si>
  <si>
    <t>TW:32|MODW:5|ROLEW:15|HPD:6|HPW:2|POSS:5|HPOSD:30|AVGW:90|POSW:90|LASTW:45</t>
  </si>
  <si>
    <t>TW:32|MODW:5|ROLEW:15|HPD:6|HPW:2|POSS:5|HPOSD:30|AVGW:80|POSW:90|LASTW:35</t>
  </si>
  <si>
    <t>TW:32|MODW:5|ROLEW:15|HPD:6|HPW:2|POSS:5|HPOSD:25|AVGW:90|POSW:60|LASTW:45</t>
  </si>
  <si>
    <t>TW:32|MODW:5|ROLEW:10|HPD:8|HPW:2|POSS:5|HPOSD:30|AVGW:70|POSW:75|LASTW:45</t>
  </si>
  <si>
    <t>TW:32|MODW:5|ROLEW:10|HPD:8|HPW:2|POSS:5|HPOSD:30|AVGW:70|POSW:60|LASTW:45</t>
  </si>
  <si>
    <t>TW:32|MODW:5|ROLEW:10|HPD:8|HPW:1|POSS:5|HPOSD:30|AVGW:80|POSW:90|LASTW:45</t>
  </si>
  <si>
    <t>TW:32|MODW:5|ROLEW:10|HPD:6|HPW:1|POSS:5|HPOSD:25|AVGW:90|POSW:90|LASTW:45</t>
  </si>
  <si>
    <t>TW:32|MODW:0|ROLEW:15|HPD:8|HPW:1|POSS:5|HPOSD:30|AVGW:80|POSW:75|LASTW:25</t>
  </si>
  <si>
    <t>TW:32|MODW:0|ROLEW:15|HPD:8|HPW:1|POSS:5|HPOSD:30|AVGW:70|POSW:75|LASTW:25</t>
  </si>
  <si>
    <t>TW:32|MODW:0|ROLEW:15|HPD:6|HPW:2|POSS:5|HPOSD:25|AVGW:90|POSW:75|LASTW:25</t>
  </si>
  <si>
    <t>TW:32|MODW:0|ROLEW:15|HPD:6|HPW:2|POSS:5|HPOSD:25|AVGW:90|POSW:60|LASTW:25</t>
  </si>
  <si>
    <t>TW:32|MODW:0|ROLEW:15|HPD:6|HPW:1|POSS:5|HPOSD:25|AVGW:70|POSW:75|LASTW:25</t>
  </si>
  <si>
    <t>TW:32|MODW:0|ROLEW:15|HPD:6|HPW:1|POSS:5|HPOSD:25|AVGW:90|POSW:60|LASTW:25</t>
  </si>
  <si>
    <t>TW:32|MODW:0|ROLEW:15|HPD:6|HPW:1|POSS:5|HPOSD:20|AVGW:80|POSW:75|LASTW:45</t>
  </si>
  <si>
    <t>TW:32|MODW:0|ROLEW:10|HPD:8|HPW:1|POSS:5|HPOSD:30|AVGW:70|POSW:60|LASTW:35</t>
  </si>
  <si>
    <t>TW:32|MODW:0|ROLEW:10|HPD:8|HPW:1|POSS:5|HPOSD:25|AVGW:80|POSW:75|LASTW:25</t>
  </si>
  <si>
    <t>TW:32|MODW:0|ROLEW:10|HPD:6|HPW:2|POSS:5|HPOSD:25|AVGW:80|POSW:90|LASTW:45</t>
  </si>
  <si>
    <t>TW:30|MODW:5|ROLEW:15|HPD:8|HPW:1|POSS:5|HPOSD:30|AVGW:90|POSW:75|LASTW:35</t>
  </si>
  <si>
    <t>TW:30|MODW:5|ROLEW:15|HPD:6|HPW:2|POSS:5|HPOSD:25|AVGW:80|POSW:60|LASTW:35</t>
  </si>
  <si>
    <t>TW:30|MODW:5|ROLEW:10|HPD:8|HPW:1|POSS:5|HPOSD:25|AVGW:70|POSW:75|LASTW:45</t>
  </si>
  <si>
    <t>TW:30|MODW:5|ROLEW:10|HPD:6|HPW:2|POSS:5|HPOSD:30|AVGW:90|POSW:75|LASTW:35</t>
  </si>
  <si>
    <t>TW:30|MODW:5|ROLEW:10|HPD:6|HPW:2|POSS:5|HPOSD:25|AVGW:70|POSW:75|LASTW:45</t>
  </si>
  <si>
    <t>TW:30|MODW:0|ROLEW:15|HPD:8|HPW:1|POSS:5|HPOSD:25|AVGW:80|POSW:60|LASTW:45</t>
  </si>
  <si>
    <t>TW:30|MODW:0|ROLEW:15|HPD:6|HPW:2|POSS:5|HPOSD:30|AVGW:80|POSW:60|LASTW:45</t>
  </si>
  <si>
    <t>TW:30|MODW:0|ROLEW:15|HPD:6|HPW:2|POSS:5|HPOSD:25|AVGW:70|POSW:75|LASTW:45</t>
  </si>
  <si>
    <t>TW:30|MODW:0|ROLEW:10|HPD:8|HPW:2|POSS:5|HPOSD:25|AVGW:80|POSW:75|LASTW:45</t>
  </si>
  <si>
    <t>TW:30|MODW:0|ROLEW:10|HPD:8|HPW:2|POSS:5|HPOSD:25|AVGW:80|POSW:60|LASTW:25</t>
  </si>
  <si>
    <t>TW:30|MODW:0|ROLEW:10|HPD:8|HPW:1|POSS:5|HPOSD:30|AVGW:90|POSW:90|LASTW:35</t>
  </si>
  <si>
    <t>TW:30|MODW:0|ROLEW:10|HPD:8|HPW:1|POSS:5|HPOSD:30|AVGW:80|POSW:90|LASTW:25</t>
  </si>
  <si>
    <t>TW:30|MODW:0|ROLEW:10|HPD:6|HPW:2|POSS:5|HPOSD:30|AVGW:90|POSW:60|LASTW:25</t>
  </si>
  <si>
    <t>TW:30|MODW:0|ROLEW:10|HPD:6|HPW:2|POSS:5|HPOSD:25|AVGW:80|POSW:90|LASTW:45</t>
  </si>
  <si>
    <t>TW:30|MODW:0|ROLEW:10|HPD:6|HPW:1|POSS:5|HPOSD:20|AVGW:70|POSW:75|LASTW:45</t>
  </si>
  <si>
    <t>TW:30|MODW:0|ROLEW:10|HPD:6|HPW:1|POSS:5|HPOSD:20|AVGW:80|POSW:60|LASTW:45</t>
  </si>
  <si>
    <t>TW:34|MODW:5|ROLEW:15|HPD:8|HPW:2|POSS:5|HPOSD:30|AVGW:70|POSW:75|LASTW:45</t>
  </si>
  <si>
    <t>TW:34|MODW:5|ROLEW:15|HPD:8|HPW:2|POSS:5|HPOSD:30|AVGW:80|POSW:60|LASTW:45</t>
  </si>
  <si>
    <t>TW:34|MODW:5|ROLEW:15|HPD:8|HPW:2|POSS:5|HPOSD:25|AVGW:90|POSW:60|LASTW:35</t>
  </si>
  <si>
    <t>TW:34|MODW:5|ROLEW:10|HPD:6|HPW:2|POSS:5|HPOSD:30|AVGW:70|POSW:60|LASTW:35</t>
  </si>
  <si>
    <t>TW:34|MODW:5|ROLEW:10|HPD:6|HPW:2|POSS:5|HPOSD:25|AVGW:90|POSW:60|LASTW:25</t>
  </si>
  <si>
    <t>TW:34|MODW:0|ROLEW:15|HPD:8|HPW:1|POSS:5|HPOSD:25|AVGW:90|POSW:75|LASTW:35</t>
  </si>
  <si>
    <t>TW:34|MODW:0|ROLEW:15|HPD:6|HPW:1|POSS:5|HPOSD:25|AVGW:80|POSW:75|LASTW:45</t>
  </si>
  <si>
    <t>TW:34|MODW:0|ROLEW:10|HPD:8|HPW:1|POSS:5|HPOSD:25|AVGW:70|POSW:90|LASTW:45</t>
  </si>
  <si>
    <t>TW:34|MODW:0|ROLEW:10|HPD:6|HPW:2|POSS:5|HPOSD:30|AVGW:90|POSW:60|LASTW:45</t>
  </si>
  <si>
    <t>TW:34|MODW:0|ROLEW:10|HPD:6|HPW:2|POSS:5|HPOSD:25|AVGW:80|POSW:90|LASTW:45</t>
  </si>
  <si>
    <t>TW:34|MODW:0|ROLEW:10|HPD:6|HPW:1|POSS:5|HPOSD:30|AVGW:80|POSW:60|LASTW:45</t>
  </si>
  <si>
    <t>TW:34|MODW:0|ROLEW:10|HPD:6|HPW:1|POSS:5|HPOSD:25|AVGW:80|POSW:75|LASTW:25</t>
  </si>
  <si>
    <t>TW:32|MODW:5|ROLEW:15|HPD:8|HPW:1|POSS:5|HPOSD:30|AVGW:70|POSW:60|LASTW:35</t>
  </si>
  <si>
    <t>TW:32|MODW:5|ROLEW:10|HPD:8|HPW:1|POSS:5|HPOSD:30|AVGW:80|POSW:60|LASTW:25</t>
  </si>
  <si>
    <t>TW:32|MODW:5|ROLEW:10|HPD:6|HPW:2|POSS:5|HPOSD:30|AVGW:70|POSW:60|LASTW:45</t>
  </si>
  <si>
    <t>TW:32|MODW:5|ROLEW:10|HPD:6|HPW:1|POSS:5|HPOSD:20|AVGW:90|POSW:75|LASTW:45</t>
  </si>
  <si>
    <t>TW:32|MODW:0|ROLEW:15|HPD:8|HPW:2|POSS:5|HPOSD:30|AVGW:70|POSW:90|LASTW:45</t>
  </si>
  <si>
    <t>TW:32|MODW:0|ROLEW:15|HPD:8|HPW:2|POSS:5|HPOSD:30|AVGW:80|POSW:60|LASTW:35</t>
  </si>
  <si>
    <t>TW:32|MODW:0|ROLEW:15|HPD:8|HPW:1|POSS:5|HPOSD:30|AVGW:70|POSW:90|LASTW:25</t>
  </si>
  <si>
    <t>TW:32|MODW:0|ROLEW:15|HPD:8|HPW:1|POSS:5|HPOSD:25|AVGW:90|POSW:90|LASTW:25</t>
  </si>
  <si>
    <t>TW:32|MODW:0|ROLEW:15|HPD:8|HPW:1|POSS:5|HPOSD:25|AVGW:70|POSW:90|LASTW:35</t>
  </si>
  <si>
    <t>TW:32|MODW:0|ROLEW:15|HPD:8|HPW:1|POSS:5|HPOSD:20|AVGW:80|POSW:60|LASTW:25</t>
  </si>
  <si>
    <t>TW:32|MODW:0|ROLEW:15|HPD:6|HPW:2|POSS:5|HPOSD:30|AVGW:80|POSW:60|LASTW:25</t>
  </si>
  <si>
    <t>TW:32|MODW:0|ROLEW:15|HPD:6|HPW:1|POSS:5|HPOSD:20|AVGW:90|POSW:75|LASTW:45</t>
  </si>
  <si>
    <t>TW:32|MODW:0|ROLEW:10|HPD:8|HPW:2|POSS:5|HPOSD:30|AVGW:80|POSW:90|LASTW:35</t>
  </si>
  <si>
    <t>TW:32|MODW:0|ROLEW:10|HPD:8|HPW:2|POSS:5|HPOSD:25|AVGW:70|POSW:60|LASTW:25</t>
  </si>
  <si>
    <t>TW:32|MODW:0|ROLEW:10|HPD:8|HPW:1|POSS:5|HPOSD:30|AVGW:90|POSW:90|LASTW:25</t>
  </si>
  <si>
    <t>TW:32|MODW:0|ROLEW:10|HPD:6|HPW:2|POSS:5|HPOSD:30|AVGW:90|POSW:60|LASTW:35</t>
  </si>
  <si>
    <t>TW:32|MODW:0|ROLEW:10|HPD:6|HPW:1|POSS:5|HPOSD:20|AVGW:70|POSW:75|LASTW:35</t>
  </si>
  <si>
    <t>TW:30|MODW:5|ROLEW:15|HPD:8|HPW:1|POSS:5|HPOSD:30|AVGW:90|POSW:60|LASTW:25</t>
  </si>
  <si>
    <t>TW:30|MODW:5|ROLEW:15|HPD:6|HPW:2|POSS:5|HPOSD:30|AVGW:90|POSW:90|LASTW:35</t>
  </si>
  <si>
    <t>TW:30|MODW:5|ROLEW:15|HPD:6|HPW:1|POSS:5|HPOSD:30|AVGW:80|POSW:90|LASTW:25</t>
  </si>
  <si>
    <t>TW:30|MODW:5|ROLEW:15|HPD:6|HPW:1|POSS:5|HPOSD:30|AVGW:80|POSW:60|LASTW:45</t>
  </si>
  <si>
    <t>TW:30|MODW:5|ROLEW:10|HPD:8|HPW:1|POSS:5|HPOSD:25|AVGW:90|POSW:90|LASTW:25</t>
  </si>
  <si>
    <t>TW:30|MODW:5|ROLEW:10|HPD:6|HPW:2|POSS:5|HPOSD:30|AVGW:80|POSW:90|LASTW:25</t>
  </si>
  <si>
    <t>TW:30|MODW:5|ROLEW:10|HPD:6|HPW:1|POSS:5|HPOSD:30|AVGW:80|POSW:90|LASTW:25</t>
  </si>
  <si>
    <t>TW:30|MODW:0|ROLEW:15|HPD:6|HPW:1|POSS:5|HPOSD:30|AVGW:80|POSW:75|LASTW:45</t>
  </si>
  <si>
    <t>TW:30|MODW:0|ROLEW:10|HPD:8|HPW:2|POSS:5|HPOSD:30|AVGW:70|POSW:90|LASTW:35</t>
  </si>
  <si>
    <t>TW:30|MODW:0|ROLEW:10|HPD:8|HPW:2|POSS:5|HPOSD:30|AVGW:90|POSW:60|LASTW:25</t>
  </si>
  <si>
    <t>TW:30|MODW:0|ROLEW:10|HPD:8|HPW:2|POSS:5|HPOSD:25|AVGW:80|POSW:75|LASTW:25</t>
  </si>
  <si>
    <t>TW:30|MODW:0|ROLEW:10|HPD:6|HPW:1|POSS:5|HPOSD:30|AVGW:70|POSW:90|LASTW:25</t>
  </si>
  <si>
    <t>TW:30|MODW:0|ROLEW:10|HPD:6|HPW:1|POSS:5|HPOSD:25|AVGW:70|POSW:90|LASTW:35</t>
  </si>
  <si>
    <t>TW:30|MODW:0|ROLEW:10|HPD:6|HPW:1|POSS:5|HPOSD:20|AVGW:80|POSW:75|LASTW:45</t>
  </si>
  <si>
    <t>TW:34|MODW:5|ROLEW:15|HPD:8|HPW:2|POSS:5|HPOSD:25|AVGW:70|POSW:75|LASTW:45</t>
  </si>
  <si>
    <t>TW:34|MODW:5|ROLEW:15|HPD:8|HPW:1|POSS:5|HPOSD:20|AVGW:70|POSW:60|LASTW:35</t>
  </si>
  <si>
    <t>TW:34|MODW:5|ROLEW:10|HPD:8|HPW:1|POSS:5|HPOSD:25|AVGW:80|POSW:75|LASTW:35</t>
  </si>
  <si>
    <t>TW:34|MODW:0|ROLEW:15|HPD:8|HPW:1|POSS:5|HPOSD:30|AVGW:80|POSW:90|LASTW:45</t>
  </si>
  <si>
    <t>TW:34|MODW:0|ROLEW:15|HPD:6|HPW:2|POSS:5|HPOSD:30|AVGW:70|POSW:90|LASTW:25</t>
  </si>
  <si>
    <t>TW:34|MODW:0|ROLEW:15|HPD:6|HPW:2|POSS:5|HPOSD:30|AVGW:70|POSW:75|LASTW:45</t>
  </si>
  <si>
    <t>TW:34|MODW:0|ROLEW:15|HPD:6|HPW:2|POSS:5|HPOSD:25|AVGW:70|POSW:60|LASTW:25</t>
  </si>
  <si>
    <t>TW:34|MODW:0|ROLEW:15|HPD:6|HPW:1|POSS:5|HPOSD:30|AVGW:90|POSW:60|LASTW:25</t>
  </si>
  <si>
    <t>TW:34|MODW:0|ROLEW:15|HPD:6|HPW:1|POSS:5|HPOSD:25|AVGW:80|POSW:75|LASTW:25</t>
  </si>
  <si>
    <t>TW:34|MODW:0|ROLEW:15|HPD:6|HPW:1|POSS:5|HPOSD:20|AVGW:80|POSW:60|LASTW:25</t>
  </si>
  <si>
    <t>TW:34|MODW:0|ROLEW:10|HPD:8|HPW:1|POSS:5|HPOSD:25|AVGW:90|POSW:90|LASTW:35</t>
  </si>
  <si>
    <t>TW:34|MODW:0|ROLEW:10|HPD:6|HPW:2|POSS:5|HPOSD:30|AVGW:90|POSW:60|LASTW:25</t>
  </si>
  <si>
    <t>TW:34|MODW:0|ROLEW:10|HPD:6|HPW:2|POSS:5|HPOSD:25|AVGW:90|POSW:75|LASTW:45</t>
  </si>
  <si>
    <t>TW:34|MODW:0|ROLEW:10|HPD:6|HPW:2|POSS:5|HPOSD:25|AVGW:80|POSW:75|LASTW:45</t>
  </si>
  <si>
    <t>TW:34|MODW:0|ROLEW:10|HPD:6|HPW:1|POSS:5|HPOSD:25|AVGW:90|POSW:90|LASTW:25</t>
  </si>
  <si>
    <t>TW:34|MODW:0|ROLEW:10|HPD:6|HPW:1|POSS:5|HPOSD:25|AVGW:90|POSW:75|LASTW:25</t>
  </si>
  <si>
    <t>TW:32|MODW:5|ROLEW:15|HPD:6|HPW:1|POSS:5|HPOSD:30|AVGW:70|POSW:75|LASTW:45</t>
  </si>
  <si>
    <t>TW:32|MODW:5|ROLEW:10|HPD:8|HPW:1|POSS:5|HPOSD:30|AVGW:90|POSW:90|LASTW:25</t>
  </si>
  <si>
    <t>TW:32|MODW:5|ROLEW:10|HPD:8|HPW:1|POSS:5|HPOSD:30|AVGW:80|POSW:75|LASTW:35</t>
  </si>
  <si>
    <t>TW:32|MODW:5|ROLEW:10|HPD:8|HPW:1|POSS:5|HPOSD:25|AVGW:80|POSW:90|LASTW:35</t>
  </si>
  <si>
    <t>TW:32|MODW:5|ROLEW:10|HPD:8|HPW:1|POSS:5|HPOSD:25|AVGW:80|POSW:75|LASTW:25</t>
  </si>
  <si>
    <t>TW:32|MODW:5|ROLEW:10|HPD:6|HPW:2|POSS:5|HPOSD:30|AVGW:70|POSW:60|LASTW:25</t>
  </si>
  <si>
    <t>TW:32|MODW:5|ROLEW:10|HPD:6|HPW:2|POSS:5|HPOSD:25|AVGW:90|POSW:75|LASTW:35</t>
  </si>
  <si>
    <t>TW:32|MODW:5|ROLEW:10|HPD:6|HPW:1|POSS:5|HPOSD:30|AVGW:90|POSW:90|LASTW:45</t>
  </si>
  <si>
    <t>TW:32|MODW:0|ROLEW:15|HPD:8|HPW:1|POSS:5|HPOSD:25|AVGW:90|POSW:75|LASTW:45</t>
  </si>
  <si>
    <t>TW:32|MODW:0|ROLEW:15|HPD:8|HPW:1|POSS:5|HPOSD:25|AVGW:70|POSW:75|LASTW:25</t>
  </si>
  <si>
    <t>TW:32|MODW:0|ROLEW:15|HPD:6|HPW:2|POSS:5|HPOSD:30|AVGW:80|POSW:90|LASTW:45</t>
  </si>
  <si>
    <t>TW:32|MODW:0|ROLEW:15|HPD:6|HPW:1|POSS:5|HPOSD:30|AVGW:70|POSW:90|LASTW:45</t>
  </si>
  <si>
    <t>TW:32|MODW:0|ROLEW:10|HPD:6|HPW:1|POSS:5|HPOSD:30|AVGW:70|POSW:75|LASTW:25</t>
  </si>
  <si>
    <t>TW:32|MODW:0|ROLEW:10|HPD:6|HPW:1|POSS:5|HPOSD:25|AVGW:80|POSW:60|LASTW:35</t>
  </si>
  <si>
    <t>TW:30|MODW:5|ROLEW:15|HPD:8|HPW:2|POSS:5|HPOSD:30|AVGW:90|POSW:60|LASTW:45</t>
  </si>
  <si>
    <t>TW:30|MODW:5|ROLEW:15|HPD:8|HPW:2|POSS:5|HPOSD:30|AVGW:80|POSW:60|LASTW:35</t>
  </si>
  <si>
    <t>TW:30|MODW:5|ROLEW:15|HPD:6|HPW:2|POSS:5|HPOSD:30|AVGW:90|POSW:60|LASTW:25</t>
  </si>
  <si>
    <t>TW:30|MODW:5|ROLEW:15|HPD:6|HPW:2|POSS:5|HPOSD:30|AVGW:70|POSW:60|LASTW:35</t>
  </si>
  <si>
    <t>TW:30|MODW:5|ROLEW:15|HPD:6|HPW:2|POSS:5|HPOSD:25|AVGW:90|POSW:75|LASTW:35</t>
  </si>
  <si>
    <t>TW:30|MODW:5|ROLEW:10|HPD:8|HPW:2|POSS:5|HPOSD:30|AVGW:90|POSW:75|LASTW:35</t>
  </si>
  <si>
    <t>TW:30|MODW:5|ROLEW:10|HPD:8|HPW:2|POSS:5|HPOSD:30|AVGW:70|POSW:75|LASTW:45</t>
  </si>
  <si>
    <t>TW:30|MODW:5|ROLEW:10|HPD:8|HPW:2|POSS:5|HPOSD:30|AVGW:90|POSW:60|LASTW:35</t>
  </si>
  <si>
    <t>TW:30|MODW:5|ROLEW:10|HPD:6|HPW:2|POSS:5|HPOSD:30|AVGW:70|POSW:90|LASTW:25</t>
  </si>
  <si>
    <t>TW:30|MODW:5|ROLEW:10|HPD:6|HPW:2|POSS:5|HPOSD:30|AVGW:70|POSW:75|LASTW:45</t>
  </si>
  <si>
    <t>TW:30|MODW:5|ROLEW:10|HPD:6|HPW:2|POSS:5|HPOSD:30|AVGW:70|POSW:60|LASTW:45</t>
  </si>
  <si>
    <t>TW:30|MODW:5|ROLEW:10|HPD:6|HPW:2|POSS:5|HPOSD:25|AVGW:80|POSW:75|LASTW:35</t>
  </si>
  <si>
    <t>TW:30|MODW:0|ROLEW:15|HPD:8|HPW:2|POSS:5|HPOSD:30|AVGW:80|POSW:90|LASTW:45</t>
  </si>
  <si>
    <t>TW:30|MODW:0|ROLEW:15|HPD:8|HPW:2|POSS:5|HPOSD:30|AVGW:80|POSW:60|LASTW:35</t>
  </si>
  <si>
    <t>TW:30|MODW:0|ROLEW:15|HPD:8|HPW:2|POSS:5|HPOSD:25|AVGW:70|POSW:90|LASTW:45</t>
  </si>
  <si>
    <t>TW:30|MODW:0|ROLEW:15|HPD:8|HPW:2|POSS:5|HPOSD:25|AVGW:90|POSW:75|LASTW:45</t>
  </si>
  <si>
    <t>TW:30|MODW:0|ROLEW:15|HPD:8|HPW:1|POSS:5|HPOSD:30|AVGW:80|POSW:75|LASTW:45</t>
  </si>
  <si>
    <t>TW:30|MODW:0|ROLEW:15|HPD:8|HPW:1|POSS:5|HPOSD:25|AVGW:70|POSW:75|LASTW:35</t>
  </si>
  <si>
    <t>TW:30|MODW:0|ROLEW:15|HPD:8|HPW:1|POSS:5|HPOSD:25|AVGW:90|POSW:60|LASTW:25</t>
  </si>
  <si>
    <t>TW:30|MODW:0|ROLEW:15|HPD:8|HPW:1|POSS:5|HPOSD:20|AVGW:90|POSW:60|LASTW:25</t>
  </si>
  <si>
    <t>TW:30|MODW:0|ROLEW:15|HPD:6|HPW:1|POSS:5|HPOSD:25|AVGW:90|POSW:60|LASTW:45</t>
  </si>
  <si>
    <t>TW:30|MODW:0|ROLEW:10|HPD:8|HPW:2|POSS:5|HPOSD:30|AVGW:80|POSW:75|LASTW:45</t>
  </si>
  <si>
    <t>TW:30|MODW:0|ROLEW:10|HPD:8|HPW:1|POSS:5|HPOSD:20|AVGW:90|POSW:75|LASTW:35</t>
  </si>
  <si>
    <t>TW:30|MODW:0|ROLEW:10|HPD:6|HPW:2|POSS:5|HPOSD:30|AVGW:70|POSW:90|LASTW:45</t>
  </si>
  <si>
    <t>TW:34|MODW:5|ROLEW:15|HPD:8|HPW:2|POSS:5|HPOSD:25|AVGW:90|POSW:60|LASTW:45</t>
  </si>
  <si>
    <t>TW:34|MODW:5|ROLEW:15|HPD:8|HPW:2|POSS:5|HPOSD:25|AVGW:70|POSW:60|LASTW:35</t>
  </si>
  <si>
    <t>TW:34|MODW:5|ROLEW:15|HPD:8|HPW:1|POSS:5|HPOSD:20|AVGW:90|POSW:60|LASTW:25</t>
  </si>
  <si>
    <t>TW:34|MODW:5|ROLEW:15|HPD:6|HPW:2|POSS:5|HPOSD:25|AVGW:70|POSW:75|LASTW:35</t>
  </si>
  <si>
    <t>TW:34|MODW:5|ROLEW:15|HPD:6|HPW:1|POSS:5|HPOSD:30|AVGW:90|POSW:75|LASTW:35</t>
  </si>
  <si>
    <t>TW:34|MODW:5|ROLEW:10|HPD:8|HPW:2|POSS:5|HPOSD:25|AVGW:90|POSW:90|LASTW:45</t>
  </si>
  <si>
    <t>TW:34|MODW:5|ROLEW:10|HPD:8|HPW:1|POSS:5|HPOSD:30|AVGW:80|POSW:60|LASTW:45</t>
  </si>
  <si>
    <t>TW:34|MODW:5|ROLEW:10|HPD:6|HPW:2|POSS:5|HPOSD:25|AVGW:70|POSW:90|LASTW:35</t>
  </si>
  <si>
    <t>TW:34|MODW:5|ROLEW:10|HPD:6|HPW:2|POSS:5|HPOSD:25|AVGW:80|POSW:60|LASTW:45</t>
  </si>
  <si>
    <t>TW:34|MODW:5|ROLEW:10|HPD:6|HPW:1|POSS:5|HPOSD:25|AVGW:90|POSW:90|LASTW:35</t>
  </si>
  <si>
    <t>TW:34|MODW:5|ROLEW:10|HPD:6|HPW:1|POSS:5|HPOSD:20|AVGW:90|POSW:75|LASTW:35</t>
  </si>
  <si>
    <t>TW:34|MODW:0|ROLEW:15|HPD:6|HPW:1|POSS:5|HPOSD:30|AVGW:80|POSW:60|LASTW:35</t>
  </si>
  <si>
    <t>TW:34|MODW:0|ROLEW:15|HPD:6|HPW:1|POSS:5|HPOSD:25|AVGW:80|POSW:90|LASTW:45</t>
  </si>
  <si>
    <t>TW:34|MODW:0|ROLEW:15|HPD:6|HPW:1|POSS:5|HPOSD:25|AVGW:70|POSW:90|LASTW:45</t>
  </si>
  <si>
    <t>TW:34|MODW:0|ROLEW:10|HPD:8|HPW:2|POSS:5|HPOSD:30|AVGW:80|POSW:60|LASTW:35</t>
  </si>
  <si>
    <t>TW:34|MODW:0|ROLEW:10|HPD:8|HPW:1|POSS:5|HPOSD:25|AVGW:70|POSW:75|LASTW:35</t>
  </si>
  <si>
    <t>TW:32|MODW:5|ROLEW:15|HPD:8|HPW:1|POSS:5|HPOSD:30|AVGW:90|POSW:75|LASTW:25</t>
  </si>
  <si>
    <t>TW:32|MODW:5|ROLEW:15|HPD:8|HPW:1|POSS:5|HPOSD:30|AVGW:80|POSW:60|LASTW:25</t>
  </si>
  <si>
    <t>TW:32|MODW:5|ROLEW:15|HPD:6|HPW:2|POSS:5|HPOSD:25|AVGW:70|POSW:90|LASTW:25</t>
  </si>
  <si>
    <t>TW:32|MODW:5|ROLEW:15|HPD:6|HPW:1|POSS:5|HPOSD:25|AVGW:70|POSW:90|LASTW:35</t>
  </si>
  <si>
    <t>TW:32|MODW:5|ROLEW:15|HPD:6|HPW:1|POSS:5|HPOSD:25|AVGW:70|POSW:75|LASTW:45</t>
  </si>
  <si>
    <t>TW:32|MODW:5|ROLEW:10|HPD:8|HPW:2|POSS:5|HPOSD:30|AVGW:80|POSW:60|LASTW:45</t>
  </si>
  <si>
    <t>TW:32|MODW:5|ROLEW:10|HPD:8|HPW:1|POSS:5|HPOSD:25|AVGW:70|POSW:90|LASTW:35</t>
  </si>
  <si>
    <t>TW:32|MODW:5|ROLEW:10|HPD:8|HPW:1|POSS:5|HPOSD:20|AVGW:90|POSW:60|LASTW:35</t>
  </si>
  <si>
    <t>TW:32|MODW:5|ROLEW:10|HPD:6|HPW:2|POSS:5|HPOSD:30|AVGW:90|POSW:75|LASTW:25</t>
  </si>
  <si>
    <t>TW:32|MODW:5|ROLEW:10|HPD:6|HPW:1|POSS:5|HPOSD:20|AVGW:80|POSW:60|LASTW:45</t>
  </si>
  <si>
    <t>TW:32|MODW:0|ROLEW:15|HPD:8|HPW:1|POSS:5|HPOSD:30|AVGW:90|POSW:90|LASTW:45</t>
  </si>
  <si>
    <t>TW:32|MODW:0|ROLEW:15|HPD:8|HPW:1|POSS:5|HPOSD:25|AVGW:90|POSW:75|LASTW:35</t>
  </si>
  <si>
    <t>TW:32|MODW:0|ROLEW:15|HPD:6|HPW:2|POSS:5|HPOSD:25|AVGW:90|POSW:90|LASTW:25</t>
  </si>
  <si>
    <t>TW:32|MODW:0|ROLEW:15|HPD:6|HPW:1|POSS:5|HPOSD:20|AVGW:80|POSW:75|LASTW:35</t>
  </si>
  <si>
    <t>TW:32|MODW:0|ROLEW:10|HPD:8|HPW:2|POSS:5|HPOSD:30|AVGW:80|POSW:75|LASTW:45</t>
  </si>
  <si>
    <t>TW:32|MODW:0|ROLEW:10|HPD:8|HPW:2|POSS:5|HPOSD:30|AVGW:70|POSW:60|LASTW:45</t>
  </si>
  <si>
    <t>TW:32|MODW:0|ROLEW:10|HPD:6|HPW:2|POSS:5|HPOSD:30|AVGW:90|POSW:60|LASTW:25</t>
  </si>
  <si>
    <t>TW:30|MODW:5|ROLEW:15|HPD:8|HPW:2|POSS:5|HPOSD:30|AVGW:80|POSW:75|LASTW:45</t>
  </si>
  <si>
    <t>TW:30|MODW:5|ROLEW:15|HPD:6|HPW:2|POSS:5|HPOSD:25|AVGW:90|POSW:60|LASTW:25</t>
  </si>
  <si>
    <t>TW:30|MODW:5|ROLEW:15|HPD:6|HPW:1|POSS:5|HPOSD:20|AVGW:70|POSW:60|LASTW:25</t>
  </si>
  <si>
    <t>TW:30|MODW:5|ROLEW:10|HPD:8|HPW:1|POSS:5|HPOSD:25|AVGW:80|POSW:90|LASTW:35</t>
  </si>
  <si>
    <t>TW:30|MODW:5|ROLEW:10|HPD:8|HPW:1|POSS:5|HPOSD:25|AVGW:90|POSW:60|LASTW:25</t>
  </si>
  <si>
    <t>TW:30|MODW:5|ROLEW:10|HPD:6|HPW:1|POSS:5|HPOSD:30|AVGW:90|POSW:60|LASTW:35</t>
  </si>
  <si>
    <t>TW:30|MODW:5|ROLEW:10|HPD:6|HPW:1|POSS:5|HPOSD:25|AVGW:90|POSW:75|LASTW:35</t>
  </si>
  <si>
    <t>TW:30|MODW:0|ROLEW:15|HPD:8|HPW:2|POSS:5|HPOSD:30|AVGW:90|POSW:60|LASTW:45</t>
  </si>
  <si>
    <t>TW:30|MODW:0|ROLEW:15|HPD:8|HPW:1|POSS:5|HPOSD:30|AVGW:90|POSW:90|LASTW:25</t>
  </si>
  <si>
    <t>TW:30|MODW:0|ROLEW:15|HPD:8|HPW:1|POSS:5|HPOSD:30|AVGW:80|POSW:60|LASTW:45</t>
  </si>
  <si>
    <t>TW:30|MODW:0|ROLEW:15|HPD:8|HPW:1|POSS:5|HPOSD:20|AVGW:90|POSW:60|LASTW:45</t>
  </si>
  <si>
    <t>TW:30|MODW:0|ROLEW:15|HPD:6|HPW:2|POSS:5|HPOSD:30|AVGW:90|POSW:60|LASTW:35</t>
  </si>
  <si>
    <t>TW:30|MODW:0|ROLEW:15|HPD:6|HPW:1|POSS:5|HPOSD:20|AVGW:90|POSW:60|LASTW:45</t>
  </si>
  <si>
    <t>TW:30|MODW:0|ROLEW:10|HPD:8|HPW:1|POSS:5|HPOSD:25|AVGW:90|POSW:90|LASTW:25</t>
  </si>
  <si>
    <t>TW:30|MODW:0|ROLEW:10|HPD:8|HPW:1|POSS:5|HPOSD:25|AVGW:70|POSW:60|LASTW:25</t>
  </si>
  <si>
    <t>TW:30|MODW:0|ROLEW:10|HPD:6|HPW:1|POSS:5|HPOSD:30|AVGW:80|POSW:60|LASTW:45</t>
  </si>
  <si>
    <t>TW:30|MODW:0|ROLEW:10|HPD:6|HPW:1|POSS:5|HPOSD:25|AVGW:90|POSW:60|LASTW:45</t>
  </si>
  <si>
    <t>TW:30|MODW:0|ROLEW:10|HPD:6|HPW:1|POSS:5|HPOSD:20|AVGW:90|POSW:75|LASTW:45</t>
  </si>
  <si>
    <t>TW:34|MODW:5|ROLEW:15|HPD:8|HPW:2|POSS:5|HPOSD:30|AVGW:80|POSW:90|LASTW:35</t>
  </si>
  <si>
    <t>TW:34|MODW:5|ROLEW:15|HPD:8|HPW:2|POSS:5|HPOSD:30|AVGW:80|POSW:60|LASTW:35</t>
  </si>
  <si>
    <t>TW:34|MODW:5|ROLEW:15|HPD:8|HPW:1|POSS:5|HPOSD:25|AVGW:70|POSW:90|LASTW:45</t>
  </si>
  <si>
    <t>TW:34|MODW:5|ROLEW:15|HPD:6|HPW:2|POSS:5|HPOSD:30|AVGW:70|POSW:75|LASTW:25</t>
  </si>
  <si>
    <t>TW:34|MODW:5|ROLEW:15|HPD:6|HPW:1|POSS:5|HPOSD:30|AVGW:80|POSW:90|LASTW:45</t>
  </si>
  <si>
    <t>TW:34|MODW:5|ROLEW:10|HPD:8|HPW:2|POSS:5|HPOSD:25|AVGW:90|POSW:90|LASTW:35</t>
  </si>
  <si>
    <t>TW:34|MODW:5|ROLEW:10|HPD:8|HPW:2|POSS:5|HPOSD:25|AVGW:80|POSW:60|LASTW:45</t>
  </si>
  <si>
    <t>TW:34|MODW:5|ROLEW:10|HPD:6|HPW:2|POSS:5|HPOSD:30|AVGW:70|POSW:75|LASTW:45</t>
  </si>
  <si>
    <t>TW:34|MODW:5|ROLEW:10|HPD:6|HPW:1|POSS:5|HPOSD:30|AVGW:80|POSW:90|LASTW:45</t>
  </si>
  <si>
    <t>TW:34|MODW:5|ROLEW:10|HPD:6|HPW:1|POSS:5|HPOSD:25|AVGW:80|POSW:75|LASTW:45</t>
  </si>
  <si>
    <t>TW:34|MODW:5|ROLEW:10|HPD:6|HPW:1|POSS:5|HPOSD:20|AVGW:80|POSW:75|LASTW:35</t>
  </si>
  <si>
    <t>TW:34|MODW:0|ROLEW:15|HPD:8|HPW:2|POSS:5|HPOSD:30|AVGW:70|POSW:60|LASTW:45</t>
  </si>
  <si>
    <t>TW:34|MODW:0|ROLEW:15|HPD:8|HPW:1|POSS:5|HPOSD:25|AVGW:80|POSW:75|LASTW:45</t>
  </si>
  <si>
    <t>TW:34|MODW:0|ROLEW:15|HPD:8|HPW:1|POSS:5|HPOSD:25|AVGW:70|POSW:60|LASTW:35</t>
  </si>
  <si>
    <t>TW:34|MODW:0|ROLEW:15|HPD:6|HPW:2|POSS:5|HPOSD:30|AVGW:90|POSW:90|LASTW:35</t>
  </si>
  <si>
    <t>TW:34|MODW:0|ROLEW:15|HPD:6|HPW:2|POSS:5|HPOSD:25|AVGW:80|POSW:90|LASTW:45</t>
  </si>
  <si>
    <t>TW:34|MODW:0|ROLEW:15|HPD:6|HPW:1|POSS:5|HPOSD:30|AVGW:90|POSW:60|LASTW:45</t>
  </si>
  <si>
    <t>TW:34|MODW:0|ROLEW:10|HPD:6|HPW:1|POSS:5|HPOSD:30|AVGW:80|POSW:60|LASTW:25</t>
  </si>
  <si>
    <t>TW:32|MODW:5|ROLEW:15|HPD:8|HPW:1|POSS:5|HPOSD:25|AVGW:90|POSW:90|LASTW:45</t>
  </si>
  <si>
    <t>TW:32|MODW:5|ROLEW:15|HPD:6|HPW:2|POSS:5|HPOSD:25|AVGW:90|POSW:75|LASTW:25</t>
  </si>
  <si>
    <t>TW:32|MODW:5|ROLEW:10|HPD:8|HPW:2|POSS:5|HPOSD:30|AVGW:70|POSW:60|LASTW:25</t>
  </si>
  <si>
    <t>TW:32|MODW:5|ROLEW:10|HPD:6|HPW:2|POSS:5|HPOSD:25|AVGW:80|POSW:90|LASTW:45</t>
  </si>
  <si>
    <t>TW:32|MODW:5|ROLEW:10|HPD:6|HPW:2|POSS:5|HPOSD:25|AVGW:90|POSW:60|LASTW:25</t>
  </si>
  <si>
    <t>TW:32|MODW:5|ROLEW:10|HPD:6|HPW:1|POSS:5|HPOSD:30|AVGW:80|POSW:60|LASTW:25</t>
  </si>
  <si>
    <t>TW:32|MODW:5|ROLEW:10|HPD:6|HPW:1|POSS:5|HPOSD:20|AVGW:70|POSW:60|LASTW:25</t>
  </si>
  <si>
    <t>TW:32|MODW:0|ROLEW:15|HPD:8|HPW:2|POSS:5|HPOSD:25|AVGW:80|POSW:60|LASTW:35</t>
  </si>
  <si>
    <t>TW:32|MODW:0|ROLEW:15|HPD:8|HPW:1|POSS:5|HPOSD:25|AVGW:80|POSW:60|LASTW:25</t>
  </si>
  <si>
    <t>TW:32|MODW:0|ROLEW:15|HPD:6|HPW:2|POSS:5|HPOSD:30|AVGW:80|POSW:75|LASTW:25</t>
  </si>
  <si>
    <t>TW:32|MODW:0|ROLEW:15|HPD:6|HPW:1|POSS:5|HPOSD:25|AVGW:70|POSW:90|LASTW:35</t>
  </si>
  <si>
    <t>TW:32|MODW:0|ROLEW:10|HPD:8|HPW:1|POSS:5|HPOSD:30|AVGW:80|POSW:75|LASTW:25</t>
  </si>
  <si>
    <t>TW:32|MODW:0|ROLEW:10|HPD:8|HPW:1|POSS:5|HPOSD:25|AVGW:80|POSW:90|LASTW:45</t>
  </si>
  <si>
    <t>TW:32|MODW:0|ROLEW:10|HPD:6|HPW:2|POSS:5|HPOSD:30|AVGW:70|POSW:90|LASTW:45</t>
  </si>
  <si>
    <t>TW:32|MODW:0|ROLEW:10|HPD:6|HPW:2|POSS:5|HPOSD:30|AVGW:90|POSW:75|LASTW:25</t>
  </si>
  <si>
    <t>TW:32|MODW:0|ROLEW:10|HPD:6|HPW:1|POSS:5|HPOSD:30|AVGW:80|POSW:90|LASTW:35</t>
  </si>
  <si>
    <t>TW:32|MODW:0|ROLEW:10|HPD:6|HPW:1|POSS:5|HPOSD:30|AVGW:70|POSW:90|LASTW:25</t>
  </si>
  <si>
    <t>TW:32|MODW:0|ROLEW:10|HPD:6|HPW:1|POSS:5|HPOSD:25|AVGW:90|POSW:60|LASTW:45</t>
  </si>
  <si>
    <t>TW:30|MODW:5|ROLEW:15|HPD:6|HPW:2|POSS:5|HPOSD:30|AVGW:90|POSW:75|LASTW:45</t>
  </si>
  <si>
    <t>TW:30|MODW:5|ROLEW:15|HPD:6|HPW:1|POSS:5|HPOSD:25|AVGW:90|POSW:60|LASTW:45</t>
  </si>
  <si>
    <t>TW:30|MODW:5|ROLEW:15|HPD:6|HPW:1|POSS:5|HPOSD:25|AVGW:70|POSW:60|LASTW:45</t>
  </si>
  <si>
    <t>TW:30|MODW:5|ROLEW:15|HPD:6|HPW:1|POSS:5|HPOSD:20|AVGW:90|POSW:75|LASTW:45</t>
  </si>
  <si>
    <t>TW:30|MODW:5|ROLEW:10|HPD:6|HPW:2|POSS:5|HPOSD:30|AVGW:70|POSW:60|LASTW:25</t>
  </si>
  <si>
    <t>TW:30|MODW:5|ROLEW:10|HPD:6|HPW:1|POSS:5|HPOSD:25|AVGW:70|POSW:60|LASTW:25</t>
  </si>
  <si>
    <t>TW:30|MODW:0|ROLEW:15|HPD:8|HPW:1|POSS:5|HPOSD:25|AVGW:80|POSW:90|LASTW:45</t>
  </si>
  <si>
    <t>TW:30|MODW:0|ROLEW:15|HPD:6|HPW:2|POSS:5|HPOSD:25|AVGW:90|POSW:90|LASTW:35</t>
  </si>
  <si>
    <t>TW:30|MODW:0|ROLEW:15|HPD:6|HPW:1|POSS:5|HPOSD:30|AVGW:70|POSW:75|LASTW:45</t>
  </si>
  <si>
    <t>TW:30|MODW:0|ROLEW:15|HPD:6|HPW:1|POSS:5|HPOSD:25|AVGW:70|POSW:60|LASTW:25</t>
  </si>
  <si>
    <t>TW:30|MODW:0|ROLEW:15|HPD:6|HPW:1|POSS:5|HPOSD:20|AVGW:70|POSW:60|LASTW:25</t>
  </si>
  <si>
    <t>TW:30|MODW:0|ROLEW:10|HPD:8|HPW:2|POSS:5|HPOSD:30|AVGW:80|POSW:60|LASTW:45</t>
  </si>
  <si>
    <t>TW:30|MODW:0|ROLEW:10|HPD:8|HPW:1|POSS:5|HPOSD:30|AVGW:80|POSW:90|LASTW:35</t>
  </si>
  <si>
    <t>TW:30|MODW:0|ROLEW:10|HPD:6|HPW:1|POSS:5|HPOSD:30|AVGW:90|POSW:75|LASTW:45</t>
  </si>
  <si>
    <t>TW:30|MODW:0|ROLEW:10|HPD:6|HPW:1|POSS:5|HPOSD:30|AVGW:70|POSW:75|LASTW:45</t>
  </si>
  <si>
    <t>TW:34|MODW:5|ROLEW:15|HPD:8|HPW:2|POSS:5|HPOSD:30|AVGW:70|POSW:75|LASTW:35</t>
  </si>
  <si>
    <t>TW:34|MODW:5|ROLEW:15|HPD:8|HPW:2|POSS:5|HPOSD:30|AVGW:90|POSW:60|LASTW:45</t>
  </si>
  <si>
    <t>TW:34|MODW:5|ROLEW:15|HPD:8|HPW:2|POSS:5|HPOSD:25|AVGW:80|POSW:60|LASTW:35</t>
  </si>
  <si>
    <t>TW:34|MODW:5|ROLEW:15|HPD:6|HPW:2|POSS:5|HPOSD:30|AVGW:80|POSW:75|LASTW:35</t>
  </si>
  <si>
    <t>TW:34|MODW:5|ROLEW:15|HPD:6|HPW:1|POSS:5|HPOSD:30|AVGW:80|POSW:75|LASTW:45</t>
  </si>
  <si>
    <t>TW:34|MODW:5|ROLEW:15|HPD:6|HPW:1|POSS:5|HPOSD:30|AVGW:90|POSW:60|LASTW:45</t>
  </si>
  <si>
    <t>TW:34|MODW:5|ROLEW:15|HPD:6|HPW:1|POSS:5|HPOSD:25|AVGW:70|POSW:60|LASTW:45</t>
  </si>
  <si>
    <t>TW:34|MODW:5|ROLEW:15|HPD:6|HPW:1|POSS:5|HPOSD:20|AVGW:70|POSW:60|LASTW:35</t>
  </si>
  <si>
    <t>TW:34|MODW:5|ROLEW:10|HPD:8|HPW:2|POSS:5|HPOSD:30|AVGW:90|POSW:60|LASTW:25</t>
  </si>
  <si>
    <t>TW:34|MODW:5|ROLEW:10|HPD:6|HPW:1|POSS:5|HPOSD:30|AVGW:70|POSW:60|LASTW:25</t>
  </si>
  <si>
    <t>TW:34|MODW:0|ROLEW:15|HPD:6|HPW:1|POSS:5|HPOSD:25|AVGW:90|POSW:60|LASTW:25</t>
  </si>
  <si>
    <t>TW:34|MODW:0|ROLEW:15|HPD:6|HPW:1|POSS:5|HPOSD:20|AVGW:80|POSW:75|LASTW:25</t>
  </si>
  <si>
    <t>TW:34|MODW:0|ROLEW:10|HPD:8|HPW:2|POSS:5|HPOSD:25|AVGW:70|POSW:90|LASTW:35</t>
  </si>
  <si>
    <t>TW:34|MODW:0|ROLEW:10|HPD:8|HPW:2|POSS:5|HPOSD:25|AVGW:90|POSW:60|LASTW:25</t>
  </si>
  <si>
    <t>TW:34|MODW:0|ROLEW:10|HPD:8|HPW:1|POSS:5|HPOSD:25|AVGW:90|POSW:60|LASTW:35</t>
  </si>
  <si>
    <t>TW:34|MODW:0|ROLEW:10|HPD:8|HPW:1|POSS:5|HPOSD:25|AVGW:70|POSW:60|LASTW:35</t>
  </si>
  <si>
    <t>TW:34|MODW:0|ROLEW:10|HPD:6|HPW:2|POSS:5|HPOSD:30|AVGW:70|POSW:60|LASTW:35</t>
  </si>
  <si>
    <t>TW:34|MODW:0|ROLEW:10|HPD:6|HPW:1|POSS:5|HPOSD:30|AVGW:70|POSW:90|LASTW:45</t>
  </si>
  <si>
    <t>TW:34|MODW:0|ROLEW:10|HPD:6|HPW:1|POSS:5|HPOSD:25|AVGW:80|POSW:60|LASTW:45</t>
  </si>
  <si>
    <t>TW:34|MODW:0|ROLEW:10|HPD:6|HPW:1|POSS:5|HPOSD:20|AVGW:80|POSW:60|LASTW:35</t>
  </si>
  <si>
    <t>TW:32|MODW:5|ROLEW:15|HPD:8|HPW:1|POSS:5|HPOSD:30|AVGW:80|POSW:60|LASTW:35</t>
  </si>
  <si>
    <t>TW:32|MODW:5|ROLEW:15|HPD:6|HPW:1|POSS:5|HPOSD:25|AVGW:90|POSW:90|LASTW:25</t>
  </si>
  <si>
    <t>TW:32|MODW:5|ROLEW:10|HPD:8|HPW:2|POSS:5|HPOSD:30|AVGW:80|POSW:90|LASTW:45</t>
  </si>
  <si>
    <t>TW:32|MODW:5|ROLEW:10|HPD:8|HPW:2|POSS:5|HPOSD:20|AVGW:80|POSW:60|LASTW:45</t>
  </si>
  <si>
    <t>TW:32|MODW:5|ROLEW:10|HPD:8|HPW:1|POSS:5|HPOSD:25|AVGW:90|POSW:60|LASTW:45</t>
  </si>
  <si>
    <t>TW:32|MODW:5|ROLEW:10|HPD:6|HPW:2|POSS:5|HPOSD:30|AVGW:70|POSW:90|LASTW:25</t>
  </si>
  <si>
    <t>TW:32|MODW:0|ROLEW:15|HPD:8|HPW:2|POSS:5|HPOSD:30|AVGW:90|POSW:60|LASTW:45</t>
  </si>
  <si>
    <t>TW:32|MODW:0|ROLEW:15|HPD:8|HPW:1|POSS:5|HPOSD:30|AVGW:80|POSW:60|LASTW:45</t>
  </si>
  <si>
    <t>TW:32|MODW:0|ROLEW:15|HPD:8|HPW:1|POSS:5|HPOSD:25|AVGW:90|POSW:90|LASTW:45</t>
  </si>
  <si>
    <t>TW:32|MODW:0|ROLEW:15|HPD:6|HPW:1|POSS:5|HPOSD:25|AVGW:90|POSW:90|LASTW:35</t>
  </si>
  <si>
    <t>TW:32|MODW:0|ROLEW:15|HPD:6|HPW:1|POSS:5|HPOSD:20|AVGW:90|POSW:60|LASTW:35</t>
  </si>
  <si>
    <t>TW:32|MODW:0|ROLEW:10|HPD:8|HPW:2|POSS:5|HPOSD:30|AVGW:80|POSW:75|LASTW:35</t>
  </si>
  <si>
    <t>TW:30|MODW:5|ROLEW:15|HPD:8|HPW:1|POSS:5|HPOSD:25|AVGW:80|POSW:90|LASTW:25</t>
  </si>
  <si>
    <t>TW:30|MODW:5|ROLEW:15|HPD:6|HPW:2|POSS:5|HPOSD:30|AVGW:70|POSW:75|LASTW:35</t>
  </si>
  <si>
    <t>TW:30|MODW:5|ROLEW:15|HPD:6|HPW:2|POSS:5|HPOSD:25|AVGW:80|POSW:75|LASTW:45</t>
  </si>
  <si>
    <t>TW:30|MODW:5|ROLEW:10|HPD:8|HPW:1|POSS:5|HPOSD:25|AVGW:70|POSW:90|LASTW:25</t>
  </si>
  <si>
    <t>TW:30|MODW:5|ROLEW:10|HPD:6|HPW:1|POSS:5|HPOSD:30|AVGW:90|POSW:60|LASTW:25</t>
  </si>
  <si>
    <t>TW:30|MODW:5|ROLEW:10|HPD:6|HPW:1|POSS:5|HPOSD:20|AVGW:90|POSW:75|LASTW:45</t>
  </si>
  <si>
    <t>TW:30|MODW:0|ROLEW:15|HPD:8|HPW:1|POSS:5|HPOSD:30|AVGW:80|POSW:75|LASTW:35</t>
  </si>
  <si>
    <t>TW:30|MODW:0|ROLEW:15|HPD:8|HPW:1|POSS:5|HPOSD:30|AVGW:90|POSW:60|LASTW:25</t>
  </si>
  <si>
    <t>TW:30|MODW:0|ROLEW:15|HPD:8|HPW:1|POSS:5|HPOSD:25|AVGW:90|POSW:90|LASTW:35</t>
  </si>
  <si>
    <t>TW:30|MODW:0|ROLEW:15|HPD:8|HPW:1|POSS:5|HPOSD:25|AVGW:70|POSW:90|LASTW:25</t>
  </si>
  <si>
    <t>TW:30|MODW:0|ROLEW:15|HPD:8|HPW:1|POSS:5|HPOSD:25|AVGW:70|POSW:75|LASTW:45</t>
  </si>
  <si>
    <t>TW:30|MODW:0|ROLEW:15|HPD:6|HPW:2|POSS:5|HPOSD:30|AVGW:90|POSW:60|LASTW:25</t>
  </si>
  <si>
    <t>TW:30|MODW:0|ROLEW:15|HPD:6|HPW:2|POSS:5|HPOSD:25|AVGW:80|POSW:90|LASTW:35</t>
  </si>
  <si>
    <t>TW:30|MODW:0|ROLEW:10|HPD:8|HPW:2|POSS:5|HPOSD:30|AVGW:90|POSW:90|LASTW:45</t>
  </si>
  <si>
    <t>TW:30|MODW:0|ROLEW:10|HPD:8|HPW:2|POSS:5|HPOSD:25|AVGW:90|POSW:75|LASTW:45</t>
  </si>
  <si>
    <t>TW:30|MODW:0|ROLEW:10|HPD:8|HPW:2|POSS:5|HPOSD:20|AVGW:80|POSW:60|LASTW:45</t>
  </si>
  <si>
    <t>TW:30|MODW:0|ROLEW:10|HPD:8|HPW:2|POSS:5|HPOSD:20|AVGW:70|POSW:60|LASTW:35</t>
  </si>
  <si>
    <t>TW:30|MODW:0|ROLEW:10|HPD:8|HPW:1|POSS:5|HPOSD:30|AVGW:90|POSW:75|LASTW:35</t>
  </si>
  <si>
    <t>TW:30|MODW:0|ROLEW:10|HPD:8|HPW:1|POSS:5|HPOSD:25|AVGW:70|POSW:75|LASTW:35</t>
  </si>
  <si>
    <t>TW:30|MODW:0|ROLEW:10|HPD:6|HPW:1|POSS:5|HPOSD:25|AVGW:90|POSW:90|LASTW:45</t>
  </si>
  <si>
    <t>TW:30|MODW:0|ROLEW:10|HPD:6|HPW:1|POSS:5|HPOSD:25|AVGW:80|POSW:60|LASTW:35</t>
  </si>
  <si>
    <t>TW:30|MODW:0|ROLEW:10|HPD:6|HPW:1|POSS:5|HPOSD:20|AVGW:80|POSW:75|LASTW:35</t>
  </si>
  <si>
    <t>TW:34|MODW:5|ROLEW:15|HPD:8|HPW:2|POSS:5|HPOSD:30|AVGW:70|POSW:60|LASTW:45</t>
  </si>
  <si>
    <t>TW:34|MODW:5|ROLEW:15|HPD:8|HPW:2|POSS:5|HPOSD:25|AVGW:80|POSW:60|LASTW:45</t>
  </si>
  <si>
    <t>TW:34|MODW:5|ROLEW:15|HPD:8|HPW:1|POSS:5|HPOSD:30|AVGW:80|POSW:60|LASTW:45</t>
  </si>
  <si>
    <t>TW:34|MODW:5|ROLEW:15|HPD:6|HPW:2|POSS:5|HPOSD:25|AVGW:90|POSW:75|LASTW:25</t>
  </si>
  <si>
    <t>TW:34|MODW:5|ROLEW:15|HPD:6|HPW:2|POSS:5|HPOSD:25|AVGW:90|POSW:60|LASTW:35</t>
  </si>
  <si>
    <t>TW:34|MODW:5|ROLEW:15|HPD:6|HPW:1|POSS:5|HPOSD:25|AVGW:80|POSW:90|LASTW:35</t>
  </si>
  <si>
    <t>TW:34|MODW:5|ROLEW:10|HPD:6|HPW:2|POSS:5|HPOSD:25|AVGW:80|POSW:60|LASTW:35</t>
  </si>
  <si>
    <t>TW:34|MODW:5|ROLEW:10|HPD:6|HPW:1|POSS:5|HPOSD:30|AVGW:70|POSW:90|LASTW:25</t>
  </si>
  <si>
    <t>TW:34|MODW:0|ROLEW:15|HPD:8|HPW:1|POSS:5|HPOSD:20|AVGW:90|POSW:75|LASTW:25</t>
  </si>
  <si>
    <t>TW:34|MODW:0|ROLEW:10|HPD:8|HPW:2|POSS:5|HPOSD:30|AVGW:80|POSW:90|LASTW:35</t>
  </si>
  <si>
    <t>TW:34|MODW:0|ROLEW:10|HPD:8|HPW:2|POSS:5|HPOSD:25|AVGW:90|POSW:90|LASTW:45</t>
  </si>
  <si>
    <t>TW:34|MODW:0|ROLEW:10|HPD:8|HPW:2|POSS:5|HPOSD:20|AVGW:80|POSW:60|LASTW:35</t>
  </si>
  <si>
    <t>TW:34|MODW:0|ROLEW:10|HPD:8|HPW:1|POSS:5|HPOSD:30|AVGW:90|POSW:60|LASTW:45</t>
  </si>
  <si>
    <t>TW:34|MODW:0|ROLEW:10|HPD:6|HPW:1|POSS:5|HPOSD:30|AVGW:90|POSW:90|LASTW:35</t>
  </si>
  <si>
    <t>TW:32|MODW:5|ROLEW:15|HPD:8|HPW:2|POSS:5|HPOSD:25|AVGW:90|POSW:75|LASTW:45</t>
  </si>
  <si>
    <t>TW:32|MODW:5|ROLEW:15|HPD:8|HPW:1|POSS:5|HPOSD:30|AVGW:90|POSW:75|LASTW:45</t>
  </si>
  <si>
    <t>TW:32|MODW:5|ROLEW:15|HPD:6|HPW:2|POSS:5|HPOSD:25|AVGW:80|POSW:90|LASTW:35</t>
  </si>
  <si>
    <t>TW:32|MODW:5|ROLEW:15|HPD:6|HPW:1|POSS:5|HPOSD:20|AVGW:80|POSW:60|LASTW:35</t>
  </si>
  <si>
    <t>TW:32|MODW:5|ROLEW:10|HPD:8|HPW:2|POSS:5|HPOSD:30|AVGW:90|POSW:75|LASTW:35</t>
  </si>
  <si>
    <t>TW:32|MODW:5|ROLEW:10|HPD:8|HPW:2|POSS:5|HPOSD:25|AVGW:80|POSW:60|LASTW:25</t>
  </si>
  <si>
    <t>TW:32|MODW:5|ROLEW:10|HPD:8|HPW:1|POSS:5|HPOSD:25|AVGW:70|POSW:90|LASTW:45</t>
  </si>
  <si>
    <t>TW:32|MODW:0|ROLEW:15|HPD:6|HPW:2|POSS:5|HPOSD:30|AVGW:70|POSW:90|LASTW:45</t>
  </si>
  <si>
    <t>TW:32|MODW:0|ROLEW:15|HPD:6|HPW:1|POSS:5|HPOSD:30|AVGW:80|POSW:60|LASTW:35</t>
  </si>
  <si>
    <t>TW:32|MODW:0|ROLEW:15|HPD:6|HPW:1|POSS:5|HPOSD:25|AVGW:80|POSW:75|LASTW:25</t>
  </si>
  <si>
    <t>TW:32|MODW:0|ROLEW:15|HPD:6|HPW:1|POSS:5|HPOSD:20|AVGW:80|POSW:60|LASTW:35</t>
  </si>
  <si>
    <t>TW:32|MODW:0|ROLEW:10|HPD:8|HPW:2|POSS:5|HPOSD:30|AVGW:80|POSW:60|LASTW:25</t>
  </si>
  <si>
    <t>TW:32|MODW:0|ROLEW:10|HPD:8|HPW:1|POSS:5|HPOSD:30|AVGW:80|POSW:90|LASTW:25</t>
  </si>
  <si>
    <t>TW:32|MODW:0|ROLEW:10|HPD:8|HPW:1|POSS:5|HPOSD:30|AVGW:70|POSW:75|LASTW:25</t>
  </si>
  <si>
    <t>TW:32|MODW:0|ROLEW:10|HPD:8|HPW:1|POSS:5|HPOSD:20|AVGW:90|POSW:60|LASTW:25</t>
  </si>
  <si>
    <t>TW:32|MODW:0|ROLEW:10|HPD:6|HPW:2|POSS:5|HPOSD:25|AVGW:90|POSW:75|LASTW:45</t>
  </si>
  <si>
    <t>TW:32|MODW:0|ROLEW:10|HPD:6|HPW:1|POSS:5|HPOSD:30|AVGW:70|POSW:75|LASTW:45</t>
  </si>
  <si>
    <t>TW:32|MODW:0|ROLEW:10|HPD:6|HPW:1|POSS:5|HPOSD:20|AVGW:80|POSW:60|LASTW:25</t>
  </si>
  <si>
    <t>TW:30|MODW:5|ROLEW:15|HPD:8|HPW:1|POSS:5|HPOSD:30|AVGW:90|POSW:90|LASTW:45</t>
  </si>
  <si>
    <t>TW:30|MODW:5|ROLEW:15|HPD:8|HPW:1|POSS:5|HPOSD:30|AVGW:80|POSW:75|LASTW:35</t>
  </si>
  <si>
    <t>TW:30|MODW:5|ROLEW:15|HPD:6|HPW:1|POSS:5|HPOSD:25|AVGW:80|POSW:75|LASTW:45</t>
  </si>
  <si>
    <t>TW:30|MODW:5|ROLEW:10|HPD:8|HPW:1|POSS:5|HPOSD:25|AVGW:90|POSW:75|LASTW:25</t>
  </si>
  <si>
    <t>TW:30|MODW:5|ROLEW:10|HPD:6|HPW:1|POSS:5|HPOSD:30|AVGW:70|POSW:75|LASTW:35</t>
  </si>
  <si>
    <t>TW:30|MODW:0|ROLEW:15|HPD:8|HPW:2|POSS:5|HPOSD:30|AVGW:80|POSW:75|LASTW:35</t>
  </si>
  <si>
    <t>TW:30|MODW:0|ROLEW:15|HPD:8|HPW:2|POSS:5|HPOSD:30|AVGW:70|POSW:60|LASTW:35</t>
  </si>
  <si>
    <t>TW:30|MODW:0|ROLEW:15|HPD:8|HPW:2|POSS:5|HPOSD:25|AVGW:90|POSW:60|LASTW:45</t>
  </si>
  <si>
    <t>TW:30|MODW:0|ROLEW:15|HPD:8|HPW:1|POSS:5|HPOSD:25|AVGW:80|POSW:75|LASTW:35</t>
  </si>
  <si>
    <t>TW:30|MODW:0|ROLEW:15|HPD:6|HPW:2|POSS:5|HPOSD:30|AVGW:90|POSW:90|LASTW:45</t>
  </si>
  <si>
    <t>TW:30|MODW:0|ROLEW:15|HPD:6|HPW:1|POSS:5|HPOSD:30|AVGW:80|POSW:60|LASTW:35</t>
  </si>
  <si>
    <t>TW:30|MODW:0|ROLEW:15|HPD:6|HPW:1|POSS:5|HPOSD:25|AVGW:90|POSW:75|LASTW:35</t>
  </si>
  <si>
    <t>TW:30|MODW:0|ROLEW:10|HPD:8|HPW:2|POSS:5|HPOSD:25|AVGW:80|POSW:60|LASTW:35</t>
  </si>
  <si>
    <t>TW:30|MODW:0|ROLEW:10|HPD:8|HPW:1|POSS:5|HPOSD:30|AVGW:70|POSW:90|LASTW:45</t>
  </si>
  <si>
    <t>TW:30|MODW:0|ROLEW:10|HPD:6|HPW:1|POSS:5|HPOSD:20|AVGW:90|POSW:75|LASTW:25</t>
  </si>
  <si>
    <t>TW:34|MODW:5|ROLEW:15|HPD:6|HPW:2|POSS:5|HPOSD:25|AVGW:80|POSW:90|LASTW:35</t>
  </si>
  <si>
    <t>TW:34|MODW:5|ROLEW:15|HPD:6|HPW:2|POSS:5|HPOSD:25|AVGW:70|POSW:75|LASTW:45</t>
  </si>
  <si>
    <t>TW:34|MODW:5|ROLEW:15|HPD:6|HPW:1|POSS:5|HPOSD:25|AVGW:80|POSW:75|LASTW:25</t>
  </si>
  <si>
    <t>TW:34|MODW:5|ROLEW:15|HPD:6|HPW:1|POSS:5|HPOSD:20|AVGW:70|POSW:60|LASTW:25</t>
  </si>
  <si>
    <t>TW:34|MODW:5|ROLEW:10|HPD:8|HPW:2|POSS:5|HPOSD:30|AVGW:70|POSW:75|LASTW:45</t>
  </si>
  <si>
    <t>TW:34|MODW:5|ROLEW:10|HPD:8|HPW:2|POSS:5|HPOSD:25|AVGW:80|POSW:90|LASTW:35</t>
  </si>
  <si>
    <t>TW:34|MODW:5|ROLEW:10|HPD:8|HPW:2|POSS:5|HPOSD:25|AVGW:80|POSW:75|LASTW:25</t>
  </si>
  <si>
    <t>TW:34|MODW:5|ROLEW:10|HPD:8|HPW:1|POSS:5|HPOSD:30|AVGW:90|POSW:90|LASTW:35</t>
  </si>
  <si>
    <t>TW:34|MODW:5|ROLEW:10|HPD:8|HPW:1|POSS:5|HPOSD:30|AVGW:90|POSW:60|LASTW:35</t>
  </si>
  <si>
    <t>TW:34|MODW:5|ROLEW:10|HPD:8|HPW:1|POSS:5|HPOSD:30|AVGW:70|POSW:60|LASTW:25</t>
  </si>
  <si>
    <t>TW:34|MODW:5|ROLEW:10|HPD:8|HPW:1|POSS:5|HPOSD:25|AVGW:70|POSW:60|LASTW:25</t>
  </si>
  <si>
    <t>TW:34|MODW:5|ROLEW:10|HPD:6|HPW:2|POSS:5|HPOSD:30|AVGW:80|POSW:75|LASTW:45</t>
  </si>
  <si>
    <t>TW:34|MODW:5|ROLEW:10|HPD:6|HPW:2|POSS:5|HPOSD:25|AVGW:90|POSW:75|LASTW:35</t>
  </si>
  <si>
    <t>TW:34|MODW:5|ROLEW:10|HPD:6|HPW:1|POSS:5|HPOSD:30|AVGW:90|POSW:60|LASTW:35</t>
  </si>
  <si>
    <t>TW:34|MODW:5|ROLEW:10|HPD:6|HPW:1|POSS:5|HPOSD:25|AVGW:70|POSW:90|LASTW:25</t>
  </si>
  <si>
    <t>TW:34|MODW:5|ROLEW:10|HPD:6|HPW:1|POSS:5|HPOSD:25|AVGW:90|POSW:60|LASTW:25</t>
  </si>
  <si>
    <t>TW:34|MODW:0|ROLEW:15|HPD:8|HPW:2|POSS:5|HPOSD:30|AVGW:90|POSW:90|LASTW:45</t>
  </si>
  <si>
    <t>TW:34|MODW:0|ROLEW:15|HPD:8|HPW:2|POSS:5|HPOSD:30|AVGW:70|POSW:75|LASTW:45</t>
  </si>
  <si>
    <t>TW:34|MODW:0|ROLEW:15|HPD:8|HPW:2|POSS:5|HPOSD:25|AVGW:90|POSW:75|LASTW:35</t>
  </si>
  <si>
    <t>TW:34|MODW:0|ROLEW:15|HPD:8|HPW:2|POSS:5|HPOSD:25|AVGW:80|POSW:60|LASTW:45</t>
  </si>
  <si>
    <t>TW:34|MODW:0|ROLEW:15|HPD:8|HPW:1|POSS:5|HPOSD:30|AVGW:90|POSW:75|LASTW:35</t>
  </si>
  <si>
    <t>TW:34|MODW:0|ROLEW:15|HPD:6|HPW:1|POSS:5|HPOSD:25|AVGW:70|POSW:60|LASTW:35</t>
  </si>
  <si>
    <t>TW:34|MODW:0|ROLEW:15|HPD:6|HPW:1|POSS:5|HPOSD:20|AVGW:70|POSW:60|LASTW:45</t>
  </si>
  <si>
    <t>TW:34|MODW:0|ROLEW:10|HPD:8|HPW:2|POSS:5|HPOSD:30|AVGW:90|POSW:90|LASTW:35</t>
  </si>
  <si>
    <t>TW:34|MODW:0|ROLEW:10|HPD:8|HPW:1|POSS:5|HPOSD:30|AVGW:90|POSW:75|LASTW:25</t>
  </si>
  <si>
    <t>TW:34|MODW:0|ROLEW:10|HPD:8|HPW:1|POSS:5|HPOSD:25|AVGW:80|POSW:60|LASTW:45</t>
  </si>
  <si>
    <t>TW:34|MODW:0|ROLEW:10|HPD:8|HPW:1|POSS:5|HPOSD:20|AVGW:90|POSW:75|LASTW:45</t>
  </si>
  <si>
    <t>TW:34|MODW:0|ROLEW:10|HPD:6|HPW:2|POSS:5|HPOSD:30|AVGW:70|POSW:60|LASTW:45</t>
  </si>
  <si>
    <t>TW:34|MODW:0|ROLEW:10|HPD:6|HPW:1|POSS:5|HPOSD:20|AVGW:80|POSW:60|LASTW:25</t>
  </si>
  <si>
    <t>TW:32|MODW:5|ROLEW:15|HPD:8|HPW:2|POSS:5|HPOSD:30|AVGW:70|POSW:75|LASTW:35</t>
  </si>
  <si>
    <t>TW:32|MODW:5|ROLEW:15|HPD:8|HPW:1|POSS:5|HPOSD:20|AVGW:90|POSW:60|LASTW:35</t>
  </si>
  <si>
    <t>TW:32|MODW:5|ROLEW:15|HPD:6|HPW:1|POSS:5|HPOSD:20|AVGW:80|POSW:60|LASTW:45</t>
  </si>
  <si>
    <t>TW:32|MODW:5|ROLEW:15|HPD:6|HPW:1|POSS:5|HPOSD:20|AVGW:80|POSW:60|LASTW:25</t>
  </si>
  <si>
    <t>TW:32|MODW:5|ROLEW:10|HPD:8|HPW:2|POSS:5|HPOSD:30|AVGW:80|POSW:60|LASTW:35</t>
  </si>
  <si>
    <t>TW:32|MODW:5|ROLEW:10|HPD:8|HPW:2|POSS:5|HPOSD:25|AVGW:70|POSW:75|LASTW:35</t>
  </si>
  <si>
    <t>TW:32|MODW:5|ROLEW:10|HPD:8|HPW:1|POSS:5|HPOSD:20|AVGW:90|POSW:60|LASTW:45</t>
  </si>
  <si>
    <t>TW:32|MODW:5|ROLEW:10|HPD:6|HPW:2|POSS:5|HPOSD:30|AVGW:70|POSW:90|LASTW:35</t>
  </si>
  <si>
    <t>TW:32|MODW:5|ROLEW:10|HPD:6|HPW:1|POSS:5|HPOSD:30|AVGW:70|POSW:75|LASTW:35</t>
  </si>
  <si>
    <t>TW:32|MODW:5|ROLEW:10|HPD:6|HPW:1|POSS:5|HPOSD:25|AVGW:90|POSW:60|LASTW:45</t>
  </si>
  <si>
    <t>TW:32|MODW:0|ROLEW:15|HPD:6|HPW:2|POSS:5|HPOSD:25|AVGW:90|POSW:75|LASTW:35</t>
  </si>
  <si>
    <t>TW:32|MODW:0|ROLEW:15|HPD:6|HPW:1|POSS:5|HPOSD:30|AVGW:90|POSW:60|LASTW:45</t>
  </si>
  <si>
    <t>TW:32|MODW:0|ROLEW:15|HPD:6|HPW:1|POSS:5|HPOSD:25|AVGW:80|POSW:60|LASTW:35</t>
  </si>
  <si>
    <t>TW:32|MODW:0|ROLEW:15|HPD:6|HPW:1|POSS:5|HPOSD:20|AVGW:90|POSW:75|LASTW:35</t>
  </si>
  <si>
    <t>TW:32|MODW:0|ROLEW:10|HPD:8|HPW:1|POSS:5|HPOSD:30|AVGW:80|POSW:60|LASTW:35</t>
  </si>
  <si>
    <t>TW:32|MODW:0|ROLEW:10|HPD:6|HPW:2|POSS:5|HPOSD:30|AVGW:90|POSW:75|LASTW:45</t>
  </si>
  <si>
    <t>TW:32|MODW:0|ROLEW:10|HPD:6|HPW:2|POSS:5|HPOSD:25|AVGW:70|POSW:90|LASTW:45</t>
  </si>
  <si>
    <t>TW:32|MODW:0|ROLEW:10|HPD:6|HPW:1|POSS:5|HPOSD:25|AVGW:70|POSW:90|LASTW:25</t>
  </si>
  <si>
    <t>TW:32|MODW:0|ROLEW:10|HPD:6|HPW:1|POSS:5|HPOSD:25|AVGW:70|POSW:75|LASTW:45</t>
  </si>
  <si>
    <t>TW:30|MODW:5|ROLEW:15|HPD:8|HPW:1|POSS:5|HPOSD:25|AVGW:80|POSW:75|LASTW:45</t>
  </si>
  <si>
    <t>TW:30|MODW:5|ROLEW:10|HPD:8|HPW:2|POSS:5|HPOSD:25|AVGW:70|POSW:60|LASTW:35</t>
  </si>
  <si>
    <t>TW:30|MODW:5|ROLEW:10|HPD:8|HPW:1|POSS:5|HPOSD:30|AVGW:90|POSW:90|LASTW:25</t>
  </si>
  <si>
    <t>TW:30|MODW:5|ROLEW:10|HPD:6|HPW:2|POSS:5|HPOSD:25|AVGW:70|POSW:75|LASTW:35</t>
  </si>
  <si>
    <t>TW:30|MODW:5|ROLEW:10|HPD:6|HPW:1|POSS:5|HPOSD:25|AVGW:70|POSW:90|LASTW:35</t>
  </si>
  <si>
    <t>TW:30|MODW:0|ROLEW:15|HPD:8|HPW:2|POSS:5|HPOSD:30|AVGW:90|POSW:75|LASTW:45</t>
  </si>
  <si>
    <t>TW:30|MODW:0|ROLEW:15|HPD:6|HPW:2|POSS:5|HPOSD:30|AVGW:90|POSW:90|LASTW:25</t>
  </si>
  <si>
    <t>TW:30|MODW:0|ROLEW:15|HPD:6|HPW:2|POSS:5|HPOSD:30|AVGW:80|POSW:75|LASTW:25</t>
  </si>
  <si>
    <t>TW:30|MODW:0|ROLEW:15|HPD:6|HPW:1|POSS:5|HPOSD:30|AVGW:80|POSW:60|LASTW:25</t>
  </si>
  <si>
    <t>TW:30|MODW:0|ROLEW:10|HPD:6|HPW:1|POSS:5|HPOSD:30|AVGW:80|POSW:90|LASTW:25</t>
  </si>
  <si>
    <t>TW:30|MODW:0|ROLEW:10|HPD:6|HPW:1|POSS:5|HPOSD:30|AVGW:70|POSW:75|LASTW:25</t>
  </si>
  <si>
    <t>TW:30|MODW:0|ROLEW:10|HPD:6|HPW:1|POSS:5|HPOSD:30|AVGW:80|POSW:60|LASTW:25</t>
  </si>
  <si>
    <t>TW:30|MODW:0|ROLEW:10|HPD:6|HPW:1|POSS:5|HPOSD:25|AVGW:90|POSW:90|LASTW:25</t>
  </si>
  <si>
    <t>TW:30|MODW:0|ROLEW:10|HPD:6|HPW:1|POSS:5|HPOSD:25|AVGW:70|POSW:75|LASTW:35</t>
  </si>
  <si>
    <t>TW:30|MODW:0|ROLEW:10|HPD:6|HPW:1|POSS:5|HPOSD:25|AVGW:90|POSW:60|LASTW:25</t>
  </si>
  <si>
    <t>TW:30|MODW:0|ROLEW:10|HPD:6|HPW:1|POSS:5|HPOSD:25|AVGW:70|POSW:60|LASTW:25</t>
  </si>
  <si>
    <t>TW:30|MODW:0|ROLEW:10|HPD:6|HPW:1|POSS:5|HPOSD:20|AVGW:90|POSW:75|LASTW:35</t>
  </si>
  <si>
    <t>TW:34|MODW:5|ROLEW:15|HPD:8|HPW:2|POSS:5|HPOSD:25|AVGW:80|POSW:90|LASTW:45</t>
  </si>
  <si>
    <t>TW:34|MODW:5|ROLEW:15|HPD:8|HPW:1|POSS:5|HPOSD:30|AVGW:90|POSW:75|LASTW:45</t>
  </si>
  <si>
    <t>TW:34|MODW:5|ROLEW:15|HPD:8|HPW:1|POSS:5|HPOSD:30|AVGW:90|POSW:75|LASTW:25</t>
  </si>
  <si>
    <t>TW:34|MODW:5|ROLEW:15|HPD:6|HPW:2|POSS:5|HPOSD:25|AVGW:70|POSW:90|LASTW:45</t>
  </si>
  <si>
    <t>TW:34|MODW:5|ROLEW:10|HPD:8|HPW:2|POSS:5|HPOSD:30|AVGW:70|POSW:90|LASTW:45</t>
  </si>
  <si>
    <t>TW:34|MODW:5|ROLEW:10|HPD:8|HPW:2|POSS:5|HPOSD:25|AVGW:70|POSW:60|LASTW:45</t>
  </si>
  <si>
    <t>TW:34|MODW:5|ROLEW:10|HPD:8|HPW:1|POSS:5|HPOSD:25|AVGW:90|POSW:60|LASTW:35</t>
  </si>
  <si>
    <t>TW:34|MODW:5|ROLEW:10|HPD:6|HPW:2|POSS:5|HPOSD:25|AVGW:70|POSW:75|LASTW:25</t>
  </si>
  <si>
    <t>TW:34|MODW:5|ROLEW:10|HPD:6|HPW:1|POSS:5|HPOSD:25|AVGW:70|POSW:90|LASTW:35</t>
  </si>
  <si>
    <t>TW:34|MODW:5|ROLEW:10|HPD:6|HPW:1|POSS:5|HPOSD:20|AVGW:90|POSW:60|LASTW:35</t>
  </si>
  <si>
    <t>TW:34|MODW:0|ROLEW:15|HPD:8|HPW:2|POSS:5|HPOSD:25|AVGW:90|POSW:90|LASTW:35</t>
  </si>
  <si>
    <t>TW:34|MODW:0|ROLEW:15|HPD:8|HPW:1|POSS:5|HPOSD:30|AVGW:90|POSW:90|LASTW:35</t>
  </si>
  <si>
    <t>TW:34|MODW:0|ROLEW:15|HPD:8|HPW:1|POSS:5|HPOSD:30|AVGW:90|POSW:75|LASTW:45</t>
  </si>
  <si>
    <t>TW:34|MODW:0|ROLEW:15|HPD:8|HPW:1|POSS:5|HPOSD:25|AVGW:80|POSW:90|LASTW:25</t>
  </si>
  <si>
    <t>TW:34|MODW:0|ROLEW:15|HPD:8|HPW:1|POSS:5|HPOSD:25|AVGW:70|POSW:75|LASTW:45</t>
  </si>
  <si>
    <t>TW:34|MODW:0|ROLEW:15|HPD:8|HPW:1|POSS:5|HPOSD:20|AVGW:90|POSW:60|LASTW:45</t>
  </si>
  <si>
    <t>TW:34|MODW:0|ROLEW:15|HPD:6|HPW:2|POSS:5|HPOSD:30|AVGW:70|POSW:90|LASTW:45</t>
  </si>
  <si>
    <t>TW:34|MODW:0|ROLEW:10|HPD:8|HPW:2|POSS:5|HPOSD:30|AVGW:70|POSW:90|LASTW:45</t>
  </si>
  <si>
    <t>TW:34|MODW:0|ROLEW:10|HPD:8|HPW:2|POSS:5|HPOSD:30|AVGW:70|POSW:75|LASTW:25</t>
  </si>
  <si>
    <t>TW:34|MODW:0|ROLEW:10|HPD:8|HPW:2|POSS:5|HPOSD:25|AVGW:90|POSW:75|LASTW:25</t>
  </si>
  <si>
    <t>TW:34|MODW:0|ROLEW:10|HPD:8|HPW:1|POSS:5|HPOSD:20|AVGW:80|POSW:60|LASTW:25</t>
  </si>
  <si>
    <t>TW:34|MODW:0|ROLEW:10|HPD:6|HPW:2|POSS:5|HPOSD:30|AVGW:90|POSW:90|LASTW:25</t>
  </si>
  <si>
    <t>TW:34|MODW:0|ROLEW:10|HPD:6|HPW:1|POSS:5|HPOSD:25|AVGW:70|POSW:60|LASTW:45</t>
  </si>
  <si>
    <t>TW:32|MODW:5|ROLEW:15|HPD:6|HPW:1|POSS:5|HPOSD:30|AVGW:90|POSW:90|LASTW:45</t>
  </si>
  <si>
    <t>TW:32|MODW:5|ROLEW:15|HPD:6|HPW:1|POSS:5|HPOSD:25|AVGW:80|POSW:90|LASTW:35</t>
  </si>
  <si>
    <t>TW:32|MODW:5|ROLEW:15|HPD:6|HPW:1|POSS:5|HPOSD:25|AVGW:70|POSW:75|LASTW:35</t>
  </si>
  <si>
    <t>TW:32|MODW:5|ROLEW:10|HPD:8|HPW:2|POSS:5|HPOSD:30|AVGW:90|POSW:75|LASTW:45</t>
  </si>
  <si>
    <t>TW:32|MODW:5|ROLEW:10|HPD:8|HPW:2|POSS:5|HPOSD:30|AVGW:70|POSW:60|LASTW:35</t>
  </si>
  <si>
    <t>TW:32|MODW:5|ROLEW:10|HPD:8|HPW:2|POSS:5|HPOSD:25|AVGW:80|POSW:90|LASTW:45</t>
  </si>
  <si>
    <t>TW:32|MODW:5|ROLEW:10|HPD:8|HPW:2|POSS:5|HPOSD:25|AVGW:90|POSW:60|LASTW:35</t>
  </si>
  <si>
    <t>TW:32|MODW:5|ROLEW:10|HPD:8|HPW:1|POSS:5|HPOSD:30|AVGW:90|POSW:75|LASTW:45</t>
  </si>
  <si>
    <t>TW:32|MODW:5|ROLEW:10|HPD:8|HPW:1|POSS:5|HPOSD:25|AVGW:80|POSW:75|LASTW:45</t>
  </si>
  <si>
    <t>TW:32|MODW:5|ROLEW:10|HPD:6|HPW:1|POSS:5|HPOSD:30|AVGW:70|POSW:60|LASTW:35</t>
  </si>
  <si>
    <t>TW:32|MODW:5|ROLEW:10|HPD:6|HPW:1|POSS:5|HPOSD:25|AVGW:90|POSW:60|LASTW:25</t>
  </si>
  <si>
    <t>TW:32|MODW:0|ROLEW:15|HPD:8|HPW:1|POSS:5|HPOSD:25|AVGW:80|POSW:60|LASTW:35</t>
  </si>
  <si>
    <t>TW:32|MODW:0|ROLEW:15|HPD:6|HPW:1|POSS:5|HPOSD:30|AVGW:80|POSW:75|LASTW:45</t>
  </si>
  <si>
    <t>TW:32|MODW:0|ROLEW:15|HPD:6|HPW:1|POSS:5|HPOSD:25|AVGW:90|POSW:75|LASTW:35</t>
  </si>
  <si>
    <t>TW:32|MODW:0|ROLEW:10|HPD:8|HPW:1|POSS:5|HPOSD:25|AVGW:70|POSW:90|LASTW:45</t>
  </si>
  <si>
    <t>TW:32|MODW:0|ROLEW:10|HPD:8|HPW:1|POSS:5|HPOSD:25|AVGW:80|POSW:75|LASTW:35</t>
  </si>
  <si>
    <t>TW:32|MODW:0|ROLEW:10|HPD:6|HPW:1|POSS:5|HPOSD:20|AVGW:70|POSW:75|LASTW:25</t>
  </si>
  <si>
    <t>TW:30|MODW:5|ROLEW:15|HPD:8|HPW:1|POSS:5|HPOSD:25|AVGW:70|POSW:60|LASTW:35</t>
  </si>
  <si>
    <t>TW:30|MODW:5|ROLEW:15|HPD:8|HPW:1|POSS:5|HPOSD:20|AVGW:90|POSW:60|LASTW:35</t>
  </si>
  <si>
    <t>TW:30|MODW:5|ROLEW:15|HPD:6|HPW:2|POSS:5|HPOSD:25|AVGW:90|POSW:75|LASTW:25</t>
  </si>
  <si>
    <t>TW:30|MODW:5|ROLEW:15|HPD:6|HPW:1|POSS:5|HPOSD:30|AVGW:80|POSW:90|LASTW:35</t>
  </si>
  <si>
    <t>TW:30|MODW:5|ROLEW:15|HPD:6|HPW:1|POSS:5|HPOSD:30|AVGW:70|POSW:60|LASTW:45</t>
  </si>
  <si>
    <t>TW:30|MODW:5|ROLEW:10|HPD:8|HPW:2|POSS:5|HPOSD:30|AVGW:80|POSW:75|LASTW:45</t>
  </si>
  <si>
    <t>TW:30|MODW:5|ROLEW:10|HPD:8|HPW:2|POSS:5|HPOSD:25|AVGW:90|POSW:75|LASTW:45</t>
  </si>
  <si>
    <t>TW:30|MODW:5|ROLEW:10|HPD:6|HPW:2|POSS:5|HPOSD:30|AVGW:70|POSW:75|LASTW:25</t>
  </si>
  <si>
    <t>TW:30|MODW:5|ROLEW:10|HPD:6|HPW:1|POSS:5|HPOSD:20|AVGW:80|POSW:60|LASTW:35</t>
  </si>
  <si>
    <t>TW:30|MODW:0|ROLEW:15|HPD:8|HPW:2|POSS:5|HPOSD:25|AVGW:70|POSW:60|LASTW:25</t>
  </si>
  <si>
    <t>TW:30|MODW:0|ROLEW:15|HPD:8|HPW:1|POSS:5|HPOSD:25|AVGW:80|POSW:90|LASTW:35</t>
  </si>
  <si>
    <t>TW:30|MODW:0|ROLEW:15|HPD:8|HPW:1|POSS:5|HPOSD:20|AVGW:90|POSW:75|LASTW:45</t>
  </si>
  <si>
    <t>TW:30|MODW:0|ROLEW:15|HPD:6|HPW:2|POSS:5|HPOSD:25|AVGW:80|POSW:90|LASTW:25</t>
  </si>
  <si>
    <t>TW:30|MODW:0|ROLEW:15|HPD:6|HPW:1|POSS:5|HPOSD:25|AVGW:70|POSW:75|LASTW:45</t>
  </si>
  <si>
    <t>TW:30|MODW:0|ROLEW:10|HPD:6|HPW:1|POSS:5|HPOSD:30|AVGW:70|POSW:60|LASTW:25</t>
  </si>
  <si>
    <t>TW:30|MODW:0|ROLEW:10|HPD:6|HPW:1|POSS:5|HPOSD:20|AVGW:80|POSW:75|LASTW:25</t>
  </si>
  <si>
    <t>TW:34|MODW:5|ROLEW:15|HPD:8|HPW:1|POSS:5|HPOSD:25|AVGW:80|POSW:60|LASTW:25</t>
  </si>
  <si>
    <t>TW:34|MODW:5|ROLEW:15|HPD:6|HPW:2|POSS:5|HPOSD:30|AVGW:90|POSW:75|LASTW:45</t>
  </si>
  <si>
    <t>TW:34|MODW:5|ROLEW:15|HPD:6|HPW:2|POSS:5|HPOSD:30|AVGW:90|POSW:60|LASTW:25</t>
  </si>
  <si>
    <t>TW:34|MODW:5|ROLEW:15|HPD:6|HPW:1|POSS:5|HPOSD:25|AVGW:80|POSW:75|LASTW:45</t>
  </si>
  <si>
    <t>TW:34|MODW:5|ROLEW:15|HPD:6|HPW:1|POSS:5|HPOSD:25|AVGW:70|POSW:60|LASTW:25</t>
  </si>
  <si>
    <t>TW:34|MODW:0|ROLEW:10|HPD:8|HPW:2|POSS:5|HPOSD:30|AVGW:90|POSW:75|LASTW:25</t>
  </si>
  <si>
    <t>TW:34|MODW:0|ROLEW:10|HPD:6|HPW:1|POSS:5|HPOSD:30|AVGW:90|POSW:75|LASTW:35</t>
  </si>
  <si>
    <t>TW:34|MODW:0|ROLEW:10|HPD:6|HPW:1|POSS:5|HPOSD:25|AVGW:80|POSW:60|LASTW:25</t>
  </si>
  <si>
    <t>TW:34|MODW:0|ROLEW:10|HPD:6|HPW:1|POSS:5|HPOSD:20|AVGW:90|POSW:75|LASTW:45</t>
  </si>
  <si>
    <t>TW:32|MODW:5|ROLEW:15|HPD:8|HPW:2|POSS:5|HPOSD:30|AVGW:80|POSW:75|LASTW:45</t>
  </si>
  <si>
    <t>TW:32|MODW:5|ROLEW:15|HPD:8|HPW:1|POSS:5|HPOSD:20|AVGW:90|POSW:60|LASTW:45</t>
  </si>
  <si>
    <t>TW:32|MODW:5|ROLEW:15|HPD:6|HPW:2|POSS:5|HPOSD:30|AVGW:90|POSW:75|LASTW:25</t>
  </si>
  <si>
    <t>TW:32|MODW:5|ROLEW:15|HPD:6|HPW:2|POSS:5|HPOSD:30|AVGW:70|POSW:75|LASTW:45</t>
  </si>
  <si>
    <t>TW:32|MODW:5|ROLEW:15|HPD:6|HPW:1|POSS:5|HPOSD:25|AVGW:80|POSW:75|LASTW:45</t>
  </si>
  <si>
    <t>TW:32|MODW:5|ROLEW:15|HPD:6|HPW:1|POSS:5|HPOSD:25|AVGW:90|POSW:60|LASTW:45</t>
  </si>
  <si>
    <t>TW:32|MODW:5|ROLEW:15|HPD:6|HPW:1|POSS:5|HPOSD:20|AVGW:70|POSW:60|LASTW:35</t>
  </si>
  <si>
    <t>TW:32|MODW:5|ROLEW:10|HPD:8|HPW:2|POSS:5|HPOSD:30|AVGW:80|POSW:60|LASTW:25</t>
  </si>
  <si>
    <t>TW:32|MODW:5|ROLEW:10|HPD:6|HPW:2|POSS:5|HPOSD:30|AVGW:90|POSW:60|LASTW:35</t>
  </si>
  <si>
    <t>TW:32|MODW:5|ROLEW:10|HPD:6|HPW:2|POSS:5|HPOSD:25|AVGW:70|POSW:60|LASTW:35</t>
  </si>
  <si>
    <t>TW:32|MODW:5|ROLEW:10|HPD:6|HPW:1|POSS:5|HPOSD:30|AVGW:70|POSW:75|LASTW:25</t>
  </si>
  <si>
    <t>TW:32|MODW:5|ROLEW:10|HPD:6|HPW:1|POSS:5|HPOSD:25|AVGW:80|POSW:60|LASTW:25</t>
  </si>
  <si>
    <t>TW:32|MODW:0|ROLEW:15|HPD:8|HPW:2|POSS:5|HPOSD:25|AVGW:90|POSW:60|LASTW:45</t>
  </si>
  <si>
    <t>TW:32|MODW:0|ROLEW:15|HPD:6|HPW:2|POSS:5|HPOSD:30|AVGW:80|POSW:75|LASTW:45</t>
  </si>
  <si>
    <t>TW:32|MODW:0|ROLEW:15|HPD:6|HPW:1|POSS:5|HPOSD:20|AVGW:70|POSW:60|LASTW:35</t>
  </si>
  <si>
    <t>TW:32|MODW:0|ROLEW:10|HPD:8|HPW:2|POSS:5|HPOSD:20|AVGW:90|POSW:60|LASTW:45</t>
  </si>
  <si>
    <t>TW:32|MODW:0|ROLEW:10|HPD:8|HPW:1|POSS:5|HPOSD:30|AVGW:70|POSW:90|LASTW:45</t>
  </si>
  <si>
    <t>TW:32|MODW:0|ROLEW:10|HPD:8|HPW:1|POSS:5|HPOSD:30|AVGW:70|POSW:60|LASTW:45</t>
  </si>
  <si>
    <t>TW:30|MODW:5|ROLEW:15|HPD:8|HPW:2|POSS:5|HPOSD:25|AVGW:80|POSW:75|LASTW:35</t>
  </si>
  <si>
    <t>TW:30|MODW:5|ROLEW:15|HPD:8|HPW:1|POSS:5|HPOSD:25|AVGW:90|POSW:60|LASTW:35</t>
  </si>
  <si>
    <t>TW:30|MODW:5|ROLEW:15|HPD:6|HPW:2|POSS:5|HPOSD:25|AVGW:90|POSW:90|LASTW:25</t>
  </si>
  <si>
    <t>TW:30|MODW:5|ROLEW:15|HPD:6|HPW:1|POSS:5|HPOSD:25|AVGW:80|POSW:60|LASTW:45</t>
  </si>
  <si>
    <t>TW:30|MODW:5|ROLEW:10|HPD:8|HPW:1|POSS:5|HPOSD:25|AVGW:80|POSW:75|LASTW:25</t>
  </si>
  <si>
    <t>TW:30|MODW:5|ROLEW:10|HPD:6|HPW:2|POSS:5|HPOSD:30|AVGW:80|POSW:75|LASTW:45</t>
  </si>
  <si>
    <t>TW:30|MODW:5|ROLEW:10|HPD:6|HPW:1|POSS:5|HPOSD:30|AVGW:80|POSW:60|LASTW:25</t>
  </si>
  <si>
    <t>TW:30|MODW:0|ROLEW:15|HPD:8|HPW:1|POSS:5|HPOSD:25|AVGW:70|POSW:60|LASTW:45</t>
  </si>
  <si>
    <t>TW:30|MODW:0|ROLEW:15|HPD:6|HPW:2|POSS:5|HPOSD:25|AVGW:80|POSW:75|LASTW:25</t>
  </si>
  <si>
    <t>TW:30|MODW:0|ROLEW:10|HPD:8|HPW:1|POSS:5|HPOSD:25|AVGW:70|POSW:90|LASTW:25</t>
  </si>
  <si>
    <t>TW:30|MODW:0|ROLEW:10|HPD:8|HPW:1|POSS:5|HPOSD:25|AVGW:80|POSW:75|LASTW:45</t>
  </si>
  <si>
    <t>TW:30|MODW:0|ROLEW:10|HPD:8|HPW:1|POSS:5|HPOSD:25|AVGW:90|POSW:60|LASTW:45</t>
  </si>
  <si>
    <t>TW:30|MODW:0|ROLEW:10|HPD:6|HPW:1|POSS:5|HPOSD:30|AVGW:80|POSW:75|LASTW:25</t>
  </si>
  <si>
    <t>TW:30|MODW:0|ROLEW:10|HPD:6|HPW:1|POSS:5|HPOSD:25|AVGW:70|POSW:60|LASTW:45</t>
  </si>
  <si>
    <t>TW:34|MODW:5|ROLEW:15|HPD:8|HPW:2|POSS:5|HPOSD:30|AVGW:90|POSW:75|LASTW:45</t>
  </si>
  <si>
    <t>TW:34|MODW:5|ROLEW:15|HPD:8|HPW:2|POSS:5|HPOSD:25|AVGW:80|POSW:90|LASTW:35</t>
  </si>
  <si>
    <t>TW:34|MODW:5|ROLEW:15|HPD:8|HPW:2|POSS:5|HPOSD:25|AVGW:80|POSW:60|LASTW:25</t>
  </si>
  <si>
    <t>TW:34|MODW:5|ROLEW:15|HPD:8|HPW:1|POSS:5|HPOSD:30|AVGW:80|POSW:75|LASTW:25</t>
  </si>
  <si>
    <t>TW:34|MODW:5|ROLEW:15|HPD:8|HPW:1|POSS:5|HPOSD:25|AVGW:80|POSW:90|LASTW:25</t>
  </si>
  <si>
    <t>TW:34|MODW:5|ROLEW:15|HPD:8|HPW:1|POSS:5|HPOSD:25|AVGW:70|POSW:75|LASTW:25</t>
  </si>
  <si>
    <t>TW:34|MODW:5|ROLEW:15|HPD:6|HPW:2|POSS:5|HPOSD:30|AVGW:90|POSW:75|LASTW:35</t>
  </si>
  <si>
    <t>TW:34|MODW:5|ROLEW:15|HPD:6|HPW:1|POSS:5|HPOSD:30|AVGW:70|POSW:75|LASTW:25</t>
  </si>
  <si>
    <t>TW:34|MODW:5|ROLEW:10|HPD:8|HPW:2|POSS:5|HPOSD:30|AVGW:90|POSW:75|LASTW:45</t>
  </si>
  <si>
    <t>TW:34|MODW:5|ROLEW:10|HPD:8|HPW:2|POSS:5|HPOSD:30|AVGW:80|POSW:60|LASTW:45</t>
  </si>
  <si>
    <t>TW:34|MODW:5|ROLEW:10|HPD:8|HPW:2|POSS:5|HPOSD:25|AVGW:70|POSW:75|LASTW:45</t>
  </si>
  <si>
    <t>TW:34|MODW:5|ROLEW:10|HPD:8|HPW:1|POSS:5|HPOSD:30|AVGW:90|POSW:60|LASTW:25</t>
  </si>
  <si>
    <t>TW:34|MODW:5|ROLEW:10|HPD:8|HPW:1|POSS:5|HPOSD:20|AVGW:70|POSW:60|LASTW:35</t>
  </si>
  <si>
    <t>TW:34|MODW:5|ROLEW:10|HPD:6|HPW:2|POSS:5|HPOSD:30|AVGW:80|POSW:60|LASTW:35</t>
  </si>
  <si>
    <t>TW:34|MODW:0|ROLEW:15|HPD:8|HPW:2|POSS:5|HPOSD:20|AVGW:70|POSW:60|LASTW:45</t>
  </si>
  <si>
    <t>TW:34|MODW:0|ROLEW:15|HPD:8|HPW:1|POSS:5|HPOSD:30|AVGW:80|POSW:75|LASTW:35</t>
  </si>
  <si>
    <t>TW:34|MODW:0|ROLEW:15|HPD:8|HPW:1|POSS:5|HPOSD:30|AVGW:70|POSW:75|LASTW:45</t>
  </si>
  <si>
    <t>TW:34|MODW:0|ROLEW:15|HPD:8|HPW:1|POSS:5|HPOSD:25|AVGW:90|POSW:60|LASTW:25</t>
  </si>
  <si>
    <t>TW:34|MODW:0|ROLEW:15|HPD:6|HPW:2|POSS:5|HPOSD:30|AVGW:80|POSW:90|LASTW:45</t>
  </si>
  <si>
    <t>TW:34|MODW:0|ROLEW:15|HPD:6|HPW:2|POSS:5|HPOSD:30|AVGW:90|POSW:75|LASTW:35</t>
  </si>
  <si>
    <t>TW:34|MODW:0|ROLEW:15|HPD:6|HPW:2|POSS:5|HPOSD:25|AVGW:70|POSW:90|LASTW:45</t>
  </si>
  <si>
    <t>TW:34|MODW:0|ROLEW:10|HPD:6|HPW:1|POSS:5|HPOSD:20|AVGW:80|POSW:60|LASTW:45</t>
  </si>
  <si>
    <t>TW:32|MODW:5|ROLEW:15|HPD:8|HPW:1|POSS:5|HPOSD:30|AVGW:70|POSW:60|LASTW:25</t>
  </si>
  <si>
    <t>TW:32|MODW:5|ROLEW:15|HPD:6|HPW:1|POSS:5|HPOSD:25|AVGW:80|POSW:75|LASTW:25</t>
  </si>
  <si>
    <t>TW:32|MODW:5|ROLEW:15|HPD:6|HPW:1|POSS:5|HPOSD:20|AVGW:90|POSW:60|LASTW:35</t>
  </si>
  <si>
    <t>TW:32|MODW:5|ROLEW:10|HPD:8|HPW:2|POSS:5|HPOSD:25|AVGW:90|POSW:60|LASTW:45</t>
  </si>
  <si>
    <t>TW:32|MODW:5|ROLEW:10|HPD:8|HPW:1|POSS:5|HPOSD:30|AVGW:80|POSW:90|LASTW:25</t>
  </si>
  <si>
    <t>TW:32|MODW:0|ROLEW:15|HPD:8|HPW:2|POSS:5|HPOSD:30|AVGW:80|POSW:60|LASTW:45</t>
  </si>
  <si>
    <t>TW:32|MODW:0|ROLEW:15|HPD:8|HPW:2|POSS:5|HPOSD:25|AVGW:80|POSW:60|LASTW:45</t>
  </si>
  <si>
    <t>TW:32|MODW:0|ROLEW:15|HPD:8|HPW:1|POSS:5|HPOSD:25|AVGW:90|POSW:90|LASTW:35</t>
  </si>
  <si>
    <t>TW:32|MODW:0|ROLEW:15|HPD:8|HPW:1|POSS:5|HPOSD:25|AVGW:90|POSW:75|LASTW:25</t>
  </si>
  <si>
    <t>TW:32|MODW:0|ROLEW:15|HPD:8|HPW:1|POSS:5|HPOSD:20|AVGW:90|POSW:60|LASTW:35</t>
  </si>
  <si>
    <t>TW:32|MODW:0|ROLEW:15|HPD:6|HPW:2|POSS:5|HPOSD:30|AVGW:80|POSW:75|LASTW:35</t>
  </si>
  <si>
    <t>TW:32|MODW:0|ROLEW:15|HPD:6|HPW:1|POSS:5|HPOSD:30|AVGW:70|POSW:60|LASTW:25</t>
  </si>
  <si>
    <t>TW:32|MODW:0|ROLEW:15|HPD:6|HPW:1|POSS:5|HPOSD:25|AVGW:90|POSW:60|LASTW:45</t>
  </si>
  <si>
    <t>TW:32|MODW:0|ROLEW:10|HPD:8|HPW:2|POSS:5|HPOSD:30|AVGW:90|POSW:60|LASTW:45</t>
  </si>
  <si>
    <t>TW:32|MODW:0|ROLEW:10|HPD:6|HPW:1|POSS:5|HPOSD:25|AVGW:80|POSW:75|LASTW:45</t>
  </si>
  <si>
    <t>TW:30|MODW:5|ROLEW:15|HPD:8|HPW:1|POSS:5|HPOSD:25|AVGW:70|POSW:60|LASTW:45</t>
  </si>
  <si>
    <t>TW:30|MODW:5|ROLEW:15|HPD:6|HPW:2|POSS:5|HPOSD:25|AVGW:90|POSW:75|LASTW:45</t>
  </si>
  <si>
    <t>TW:30|MODW:5|ROLEW:15|HPD:6|HPW:1|POSS:5|HPOSD:30|AVGW:80|POSW:75|LASTW:35</t>
  </si>
  <si>
    <t>TW:30|MODW:5|ROLEW:10|HPD:8|HPW:2|POSS:5|HPOSD:30|AVGW:70|POSW:90|LASTW:45</t>
  </si>
  <si>
    <t>TW:30|MODW:5|ROLEW:10|HPD:6|HPW:2|POSS:5|HPOSD:30|AVGW:80|POSW:60|LASTW:35</t>
  </si>
  <si>
    <t>TW:30|MODW:5|ROLEW:10|HPD:6|HPW:2|POSS:5|HPOSD:25|AVGW:70|POSW:90|LASTW:25</t>
  </si>
  <si>
    <t>TW:30|MODW:5|ROLEW:10|HPD:6|HPW:1|POSS:5|HPOSD:30|AVGW:80|POSW:75|LASTW:45</t>
  </si>
  <si>
    <t>TW:30|MODW:5|ROLEW:10|HPD:6|HPW:1|POSS:5|HPOSD:30|AVGW:70|POSW:75|LASTW:45</t>
  </si>
  <si>
    <t>TW:30|MODW:5|ROLEW:10|HPD:6|HPW:1|POSS:5|HPOSD:30|AVGW:80|POSW:60|LASTW:35</t>
  </si>
  <si>
    <t>TW:30|MODW:5|ROLEW:10|HPD:6|HPW:1|POSS:5|HPOSD:25|AVGW:70|POSW:90|LASTW:45</t>
  </si>
  <si>
    <t>TW:30|MODW:0|ROLEW:15|HPD:8|HPW:2|POSS:5|HPOSD:30|AVGW:70|POSW:75|LASTW:35</t>
  </si>
  <si>
    <t>TW:30|MODW:0|ROLEW:15|HPD:8|HPW:2|POSS:5|HPOSD:30|AVGW:70|POSW:60|LASTW:25</t>
  </si>
  <si>
    <t>TW:30|MODW:0|ROLEW:15|HPD:8|HPW:2|POSS:5|HPOSD:20|AVGW:80|POSW:60|LASTW:45</t>
  </si>
  <si>
    <t>TW:30|MODW:0|ROLEW:15|HPD:8|HPW:1|POSS:5|HPOSD:30|AVGW:80|POSW:90|LASTW:45</t>
  </si>
  <si>
    <t>TW:30|MODW:0|ROLEW:15|HPD:8|HPW:1|POSS:5|HPOSD:30|AVGW:90|POSW:75|LASTW:35</t>
  </si>
  <si>
    <t>TW:30|MODW:0|ROLEW:15|HPD:6|HPW:2|POSS:5|HPOSD:25|AVGW:70|POSW:90|LASTW:35</t>
  </si>
  <si>
    <t>TW:30|MODW:0|ROLEW:15|HPD:6|HPW:1|POSS:5|HPOSD:30|AVGW:90|POSW:60|LASTW:25</t>
  </si>
  <si>
    <t>TW:30|MODW:0|ROLEW:10|HPD:8|HPW:1|POSS:5|HPOSD:25|AVGW:80|POSW:75|LASTW:35</t>
  </si>
  <si>
    <t>TW:34|MODW:5|ROLEW:15|HPD:8|HPW:1|POSS:5|HPOSD:25|AVGW:80|POSW:75|LASTW:25</t>
  </si>
  <si>
    <t>TW:34|MODW:5|ROLEW:15|HPD:8|HPW:1|POSS:5|HPOSD:25|AVGW:70|POSW:60|LASTW:25</t>
  </si>
  <si>
    <t>TW:34|MODW:5|ROLEW:15|HPD:6|HPW:2|POSS:5|HPOSD:30|AVGW:70|POSW:60|LASTW:25</t>
  </si>
  <si>
    <t>TW:34|MODW:5|ROLEW:15|HPD:6|HPW:2|POSS:5|HPOSD:25|AVGW:90|POSW:60|LASTW:25</t>
  </si>
  <si>
    <t>TW:34|MODW:5|ROLEW:15|HPD:6|HPW:1|POSS:5|HPOSD:30|AVGW:70|POSW:75|LASTW:35</t>
  </si>
  <si>
    <t>TW:34|MODW:5|ROLEW:15|HPD:6|HPW:1|POSS:5|HPOSD:25|AVGW:90|POSW:60|LASTW:35</t>
  </si>
  <si>
    <t>TW:34|MODW:5|ROLEW:10|HPD:8|HPW:2|POSS:5|HPOSD:25|AVGW:90|POSW:75|LASTW:35</t>
  </si>
  <si>
    <t>TW:34|MODW:5|ROLEW:10|HPD:8|HPW:2|POSS:5|HPOSD:25|AVGW:90|POSW:60|LASTW:35</t>
  </si>
  <si>
    <t>TW:34|MODW:5|ROLEW:10|HPD:8|HPW:1|POSS:5|HPOSD:25|AVGW:70|POSW:75|LASTW:25</t>
  </si>
  <si>
    <t>TW:34|MODW:5|ROLEW:10|HPD:8|HPW:1|POSS:5|HPOSD:20|AVGW:90|POSW:60|LASTW:25</t>
  </si>
  <si>
    <t>TW:34|MODW:0|ROLEW:10|HPD:8|HPW:2|POSS:5|HPOSD:30|AVGW:80|POSW:60|LASTW:45</t>
  </si>
  <si>
    <t>TW:34|MODW:0|ROLEW:10|HPD:6|HPW:2|POSS:5|HPOSD:25|AVGW:90|POSW:90|LASTW:45</t>
  </si>
  <si>
    <t>TW:32|MODW:5|ROLEW:15|HPD:8|HPW:1|POSS:5|HPOSD:25|AVGW:90|POSW:90|LASTW:35</t>
  </si>
  <si>
    <t>TW:32|MODW:5|ROLEW:15|HPD:6|HPW:2|POSS:5|HPOSD:30|AVGW:70|POSW:90|LASTW:45</t>
  </si>
  <si>
    <t>TW:32|MODW:5|ROLEW:10|HPD:8|HPW:1|POSS:5|HPOSD:25|AVGW:90|POSW:75|LASTW:35</t>
  </si>
  <si>
    <t>TW:32|MODW:5|ROLEW:10|HPD:6|HPW:1|POSS:5|HPOSD:30|AVGW:80|POSW:60|LASTW:45</t>
  </si>
  <si>
    <t>TW:32|MODW:0|ROLEW:15|HPD:8|HPW:1|POSS:5|HPOSD:30|AVGW:70|POSW:90|LASTW:35</t>
  </si>
  <si>
    <t>TW:32|MODW:0|ROLEW:15|HPD:8|HPW:1|POSS:5|HPOSD:20|AVGW:80|POSW:75|LASTW:45</t>
  </si>
  <si>
    <t>TW:32|MODW:0|ROLEW:15|HPD:6|HPW:1|POSS:5|HPOSD:25|AVGW:70|POSW:75|LASTW:35</t>
  </si>
  <si>
    <t>TW:32|MODW:0|ROLEW:10|HPD:8|HPW:1|POSS:5|HPOSD:30|AVGW:90|POSW:90|LASTW:45</t>
  </si>
  <si>
    <t>TW:32|MODW:0|ROLEW:10|HPD:6|HPW:2|POSS:5|HPOSD:25|AVGW:80|POSW:75|LASTW:45</t>
  </si>
  <si>
    <t>TW:32|MODW:0|ROLEW:10|HPD:6|HPW:2|POSS:5|HPOSD:25|AVGW:70|POSW:75|LASTW:35</t>
  </si>
  <si>
    <t>TW:32|MODW:0|ROLEW:10|HPD:6|HPW:1|POSS:5|HPOSD:20|AVGW:90|POSW:75|LASTW:35</t>
  </si>
  <si>
    <t>TW:30|MODW:5|ROLEW:15|HPD:8|HPW:1|POSS:5|HPOSD:25|AVGW:90|POSW:90|LASTW:45</t>
  </si>
  <si>
    <t>TW:30|MODW:5|ROLEW:15|HPD:6|HPW:1|POSS:5|HPOSD:30|AVGW:70|POSW:60|LASTW:25</t>
  </si>
  <si>
    <t>TW:30|MODW:5|ROLEW:10|HPD:8|HPW:1|POSS:5|HPOSD:30|AVGW:70|POSW:60|LASTW:45</t>
  </si>
  <si>
    <t>TW:30|MODW:5|ROLEW:10|HPD:6|HPW:2|POSS:5|HPOSD:25|AVGW:70|POSW:75|LASTW:25</t>
  </si>
  <si>
    <t>TW:30|MODW:0|ROLEW:15|HPD:8|HPW:2|POSS:5|HPOSD:30|AVGW:90|POSW:60|LASTW:35</t>
  </si>
  <si>
    <t>TW:30|MODW:0|ROLEW:15|HPD:8|HPW:1|POSS:5|HPOSD:30|AVGW:70|POSW:75|LASTW:45</t>
  </si>
  <si>
    <t>TW:30|MODW:0|ROLEW:15|HPD:6|HPW:2|POSS:5|HPOSD:30|AVGW:70|POSW:75|LASTW:35</t>
  </si>
  <si>
    <t>TW:30|MODW:0|ROLEW:15|HPD:6|HPW:2|POSS:5|HPOSD:25|AVGW:70|POSW:60|LASTW:45</t>
  </si>
  <si>
    <t>TW:30|MODW:0|ROLEW:15|HPD:6|HPW:1|POSS:5|HPOSD:30|AVGW:90|POSW:75|LASTW:45</t>
  </si>
  <si>
    <t>TW:30|MODW:0|ROLEW:10|HPD:8|HPW:2|POSS:5|HPOSD:25|AVGW:90|POSW:60|LASTW:25</t>
  </si>
  <si>
    <t>TW:30|MODW:0|ROLEW:10|HPD:8|HPW:1|POSS:5|HPOSD:30|AVGW:90|POSW:75|LASTW:45</t>
  </si>
  <si>
    <t>TW:30|MODW:0|ROLEW:10|HPD:8|HPW:1|POSS:5|HPOSD:20|AVGW:70|POSW:60|LASTW:25</t>
  </si>
  <si>
    <t>TW:34|MODW:5|ROLEW:15|HPD:8|HPW:1|POSS:5|HPOSD:20|AVGW:90|POSW:60|LASTW:35</t>
  </si>
  <si>
    <t>TW:34|MODW:5|ROLEW:15|HPD:6|HPW:2|POSS:5|HPOSD:30|AVGW:90|POSW:90|LASTW:45</t>
  </si>
  <si>
    <t>TW:34|MODW:5|ROLEW:15|HPD:6|HPW:1|POSS:5|HPOSD:25|AVGW:90|POSW:60|LASTW:45</t>
  </si>
  <si>
    <t>TW:34|MODW:5|ROLEW:10|HPD:8|HPW:1|POSS:5|HPOSD:30|AVGW:70|POSW:75|LASTW:45</t>
  </si>
  <si>
    <t>TW:34|MODW:5|ROLEW:10|HPD:6|HPW:2|POSS:5|HPOSD:30|AVGW:90|POSW:60|LASTW:45</t>
  </si>
  <si>
    <t>TW:34|MODW:5|ROLEW:10|HPD:6|HPW:2|POSS:5|HPOSD:25|AVGW:90|POSW:75|LASTW:25</t>
  </si>
  <si>
    <t>TW:34|MODW:0|ROLEW:15|HPD:8|HPW:1|POSS:5|HPOSD:30|AVGW:70|POSW:60|LASTW:35</t>
  </si>
  <si>
    <t>TW:34|MODW:0|ROLEW:15|HPD:8|HPW:1|POSS:5|HPOSD:25|AVGW:80|POSW:75|LASTW:35</t>
  </si>
  <si>
    <t>TW:34|MODW:0|ROLEW:15|HPD:6|HPW:1|POSS:5|HPOSD:30|AVGW:80|POSW:60|LASTW:45</t>
  </si>
  <si>
    <t>TW:34|MODW:0|ROLEW:10|HPD:8|HPW:2|POSS:5|HPOSD:30|AVGW:90|POSW:75|LASTW:35</t>
  </si>
  <si>
    <t>TW:34|MODW:0|ROLEW:10|HPD:8|HPW:2|POSS:5|HPOSD:30|AVGW:80|POSW:75|LASTW:25</t>
  </si>
  <si>
    <t>TW:32|MODW:5|ROLEW:15|HPD:6|HPW:2|POSS:5|HPOSD:30|AVGW:80|POSW:75|LASTW:25</t>
  </si>
  <si>
    <t>TW:32|MODW:5|ROLEW:15|HPD:6|HPW:2|POSS:5|HPOSD:30|AVGW:80|POSW:60|LASTW:25</t>
  </si>
  <si>
    <t>TW:32|MODW:5|ROLEW:15|HPD:6|HPW:2|POSS:5|HPOSD:25|AVGW:70|POSW:60|LASTW:45</t>
  </si>
  <si>
    <t>TW:32|MODW:5|ROLEW:15|HPD:6|HPW:1|POSS:5|HPOSD:30|AVGW:90|POSW:90|LASTW:25</t>
  </si>
  <si>
    <t>TW:32|MODW:5|ROLEW:15|HPD:6|HPW:1|POSS:5|HPOSD:25|AVGW:70|POSW:75|LASTW:25</t>
  </si>
  <si>
    <t>TW:32|MODW:5|ROLEW:10|HPD:8|HPW:2|POSS:5|HPOSD:30|AVGW:90|POSW:60|LASTW:45</t>
  </si>
  <si>
    <t>TW:32|MODW:5|ROLEW:10|HPD:8|HPW:1|POSS:5|HPOSD:30|AVGW:70|POSW:75|LASTW:45</t>
  </si>
  <si>
    <t>TW:32|MODW:0|ROLEW:15|HPD:8|HPW:1|POSS:5|HPOSD:30|AVGW:80|POSW:90|LASTW:35</t>
  </si>
  <si>
    <t>TW:32|MODW:0|ROLEW:15|HPD:8|HPW:1|POSS:5|HPOSD:25|AVGW:90|POSW:60|LASTW:45</t>
  </si>
  <si>
    <t>TW:32|MODW:0|ROLEW:15|HPD:8|HPW:1|POSS:5|HPOSD:20|AVGW:90|POSW:75|LASTW:35</t>
  </si>
  <si>
    <t>TW:32|MODW:0|ROLEW:15|HPD:6|HPW:1|POSS:5|HPOSD:25|AVGW:70|POSW:60|LASTW:45</t>
  </si>
  <si>
    <t>TW:32|MODW:0|ROLEW:10|HPD:8|HPW:2|POSS:5|HPOSD:20|AVGW:80|POSW:60|LASTW:45</t>
  </si>
  <si>
    <t>TW:32|MODW:0|ROLEW:10|HPD:8|HPW:1|POSS:5|HPOSD:30|AVGW:90|POSW:60|LASTW:35</t>
  </si>
  <si>
    <t>TW:32|MODW:0|ROLEW:10|HPD:8|HPW:1|POSS:5|HPOSD:30|AVGW:80|POSW:60|LASTW:25</t>
  </si>
  <si>
    <t>TW:32|MODW:0|ROLEW:10|HPD:8|HPW:1|POSS:5|HPOSD:25|AVGW:90|POSW:90|LASTW:45</t>
  </si>
  <si>
    <t>TW:32|MODW:0|ROLEW:10|HPD:8|HPW:1|POSS:5|HPOSD:25|AVGW:90|POSW:60|LASTW:25</t>
  </si>
  <si>
    <t>TW:32|MODW:0|ROLEW:10|HPD:6|HPW:2|POSS:5|HPOSD:30|AVGW:90|POSW:90|LASTW:45</t>
  </si>
  <si>
    <t>TW:32|MODW:0|ROLEW:10|HPD:6|HPW:2|POSS:5|HPOSD:30|AVGW:70|POSW:90|LASTW:25</t>
  </si>
  <si>
    <t>TW:32|MODW:0|ROLEW:10|HPD:6|HPW:2|POSS:5|HPOSD:25|AVGW:70|POSW:90|LASTW:25</t>
  </si>
  <si>
    <t>TW:32|MODW:0|ROLEW:10|HPD:6|HPW:1|POSS:5|HPOSD:20|AVGW:90|POSW:60|LASTW:25</t>
  </si>
  <si>
    <t>TW:30|MODW:5|ROLEW:15|HPD:8|HPW:1|POSS:5|HPOSD:30|AVGW:90|POSW:90|LASTW:25</t>
  </si>
  <si>
    <t>TW:30|MODW:5|ROLEW:15|HPD:6|HPW:1|POSS:5|HPOSD:30|AVGW:90|POSW:90|LASTW:45</t>
  </si>
  <si>
    <t>TW:30|MODW:5|ROLEW:15|HPD:6|HPW:1|POSS:5|HPOSD:30|AVGW:70|POSW:90|LASTW:45</t>
  </si>
  <si>
    <t>TW:30|MODW:5|ROLEW:15|HPD:6|HPW:1|POSS:5|HPOSD:30|AVGW:90|POSW:60|LASTW:25</t>
  </si>
  <si>
    <t>TW:30|MODW:5|ROLEW:15|HPD:6|HPW:1|POSS:5|HPOSD:25|AVGW:80|POSW:90|LASTW:35</t>
  </si>
  <si>
    <t>TW:30|MODW:5|ROLEW:15|HPD:6|HPW:1|POSS:5|HPOSD:25|AVGW:90|POSW:75|LASTW:25</t>
  </si>
  <si>
    <t>TW:30|MODW:5|ROLEW:15|HPD:6|HPW:1|POSS:5|HPOSD:20|AVGW:70|POSW:60|LASTW:45</t>
  </si>
  <si>
    <t>TW:30|MODW:5|ROLEW:10|HPD:6|HPW:2|POSS:5|HPOSD:25|AVGW:80|POSW:90|LASTW:25</t>
  </si>
  <si>
    <t>TW:30|MODW:5|ROLEW:10|HPD:6|HPW:2|POSS:5|HPOSD:25|AVGW:90|POSW:60|LASTW:45</t>
  </si>
  <si>
    <t>TW:30|MODW:5|ROLEW:10|HPD:6|HPW:2|POSS:5|HPOSD:25|AVGW:80|POSW:60|LASTW:25</t>
  </si>
  <si>
    <t>TW:30|MODW:0|ROLEW:15|HPD:8|HPW:2|POSS:5|HPOSD:25|AVGW:80|POSW:90|LASTW:35</t>
  </si>
  <si>
    <t>TW:30|MODW:0|ROLEW:15|HPD:6|HPW:2|POSS:5|HPOSD:25|AVGW:90|POSW:90|LASTW:25</t>
  </si>
  <si>
    <t>TW:30|MODW:0|ROLEW:15|HPD:6|HPW:2|POSS:5|HPOSD:25|AVGW:80|POSW:90|LASTW:45</t>
  </si>
  <si>
    <t>TW:30|MODW:0|ROLEW:15|HPD:6|HPW:1|POSS:5|HPOSD:30|AVGW:90|POSW:90|LASTW:35</t>
  </si>
  <si>
    <t>TW:30|MODW:0|ROLEW:15|HPD:6|HPW:1|POSS:5|HPOSD:25|AVGW:80|POSW:90|LASTW:25</t>
  </si>
  <si>
    <t>TW:30|MODW:0|ROLEW:10|HPD:8|HPW:2|POSS:5|HPOSD:20|AVGW:80|POSW:60|LASTW:35</t>
  </si>
  <si>
    <t>TW:30|MODW:0|ROLEW:10|HPD:6|HPW:2|POSS:5|HPOSD:30|AVGW:80|POSW:60|LASTW:35</t>
  </si>
  <si>
    <t>TW:30|MODW:0|ROLEW:10|HPD:6|HPW:2|POSS:5|HPOSD:25|AVGW:80|POSW:75|LASTW:35</t>
  </si>
  <si>
    <t>TW:30|MODW:0|ROLEW:10|HPD:6|HPW:2|POSS:5|HPOSD:25|AVGW:70|POSW:75|LASTW:25</t>
  </si>
  <si>
    <t>TW:34|MODW:5|ROLEW:15|HPD:8|HPW:2|POSS:5|HPOSD:30|AVGW:70|POSW:60|LASTW:25</t>
  </si>
  <si>
    <t>TW:34|MODW:5|ROLEW:15|HPD:8|HPW:1|POSS:5|HPOSD:25|AVGW:70|POSW:90|LASTW:35</t>
  </si>
  <si>
    <t>TW:34|MODW:5|ROLEW:15|HPD:6|HPW:2|POSS:5|HPOSD:25|AVGW:80|POSW:60|LASTW:45</t>
  </si>
  <si>
    <t>TW:34|MODW:5|ROLEW:10|HPD:8|HPW:2|POSS:5|HPOSD:25|AVGW:80|POSW:90|LASTW:45</t>
  </si>
  <si>
    <t>TW:34|MODW:5|ROLEW:10|HPD:8|HPW:1|POSS:5|HPOSD:25|AVGW:80|POSW:90|LASTW:45</t>
  </si>
  <si>
    <t>TW:34|MODW:5|ROLEW:10|HPD:6|HPW:2|POSS:5|HPOSD:30|AVGW:70|POSW:75|LASTW:25</t>
  </si>
  <si>
    <t>TW:34|MODW:5|ROLEW:10|HPD:6|HPW:2|POSS:5|HPOSD:25|AVGW:90|POSW:75|LASTW:45</t>
  </si>
  <si>
    <t>TW:34|MODW:5|ROLEW:10|HPD:6|HPW:1|POSS:5|HPOSD:25|AVGW:90|POSW:90|LASTW:45</t>
  </si>
  <si>
    <t>TW:34|MODW:5|ROLEW:10|HPD:6|HPW:1|POSS:5|HPOSD:20|AVGW:90|POSW:60|LASTW:45</t>
  </si>
  <si>
    <t>TW:34|MODW:0|ROLEW:15|HPD:8|HPW:1|POSS:5|HPOSD:30|AVGW:70|POSW:90|LASTW:35</t>
  </si>
  <si>
    <t>TW:34|MODW:0|ROLEW:15|HPD:8|HPW:1|POSS:5|HPOSD:20|AVGW:80|POSW:60|LASTW:25</t>
  </si>
  <si>
    <t>TW:34|MODW:0|ROLEW:15|HPD:6|HPW:2|POSS:5|HPOSD:25|AVGW:90|POSW:60|LASTW:35</t>
  </si>
  <si>
    <t>TW:34|MODW:0|ROLEW:10|HPD:8|HPW:2|POSS:5|HPOSD:30|AVGW:90|POSW:60|LASTW:25</t>
  </si>
  <si>
    <t>TW:34|MODW:0|ROLEW:10|HPD:8|HPW:2|POSS:5|HPOSD:25|AVGW:80|POSW:75|LASTW:45</t>
  </si>
  <si>
    <t>TW:34|MODW:0|ROLEW:10|HPD:8|HPW:2|POSS:5|HPOSD:25|AVGW:80|POSW:60|LASTW:25</t>
  </si>
  <si>
    <t>TW:34|MODW:0|ROLEW:10|HPD:6|HPW:2|POSS:5|HPOSD:30|AVGW:70|POSW:90|LASTW:45</t>
  </si>
  <si>
    <t>TW:34|MODW:0|ROLEW:10|HPD:6|HPW:2|POSS:5|HPOSD:25|AVGW:90|POSW:75|LASTW:25</t>
  </si>
  <si>
    <t>TW:34|MODW:0|ROLEW:10|HPD:6|HPW:1|POSS:5|HPOSD:30|AVGW:70|POSW:75|LASTW:35</t>
  </si>
  <si>
    <t>TW:34|MODW:0|ROLEW:10|HPD:6|HPW:1|POSS:5|HPOSD:25|AVGW:90|POSW:60|LASTW:35</t>
  </si>
  <si>
    <t>TW:32|MODW:5|ROLEW:15|HPD:8|HPW:2|POSS:5|HPOSD:25|AVGW:80|POSW:90|LASTW:45</t>
  </si>
  <si>
    <t>TW:32|MODW:5|ROLEW:15|HPD:8|HPW:1|POSS:5|HPOSD:25|AVGW:90|POSW:60|LASTW:35</t>
  </si>
  <si>
    <t>TW:32|MODW:5|ROLEW:15|HPD:6|HPW:2|POSS:5|HPOSD:25|AVGW:80|POSW:75|LASTW:35</t>
  </si>
  <si>
    <t>TW:32|MODW:5|ROLEW:15|HPD:6|HPW:2|POSS:5|HPOSD:25|AVGW:80|POSW:75|LASTW:25</t>
  </si>
  <si>
    <t>TW:32|MODW:5|ROLEW:15|HPD:6|HPW:1|POSS:5|HPOSD:30|AVGW:80|POSW:75|LASTW:45</t>
  </si>
  <si>
    <t>TW:32|MODW:5|ROLEW:15|HPD:6|HPW:1|POSS:5|HPOSD:20|AVGW:70|POSW:60|LASTW:25</t>
  </si>
  <si>
    <t>TW:32|MODW:5|ROLEW:10|HPD:6|HPW:2|POSS:5|HPOSD:30|AVGW:80|POSW:60|LASTW:25</t>
  </si>
  <si>
    <t>TW:32|MODW:5|ROLEW:10|HPD:6|HPW:2|POSS:5|HPOSD:25|AVGW:70|POSW:75|LASTW:45</t>
  </si>
  <si>
    <t>TW:32|MODW:5|ROLEW:10|HPD:6|HPW:1|POSS:5|HPOSD:25|AVGW:90|POSW:90|LASTW:35</t>
  </si>
  <si>
    <t>TW:32|MODW:5|ROLEW:10|HPD:6|HPW:1|POSS:5|HPOSD:20|AVGW:70|POSW:60|LASTW:35</t>
  </si>
  <si>
    <t>TW:32|MODW:0|ROLEW:10|HPD:8|HPW:2|POSS:5|HPOSD:30|AVGW:70|POSW:60|LASTW:35</t>
  </si>
  <si>
    <t>TW:32|MODW:0|ROLEW:10|HPD:8|HPW:1|POSS:5|HPOSD:25|AVGW:70|POSW:75|LASTW:45</t>
  </si>
  <si>
    <t>TW:32|MODW:0|ROLEW:10|HPD:8|HPW:1|POSS:5|HPOSD:20|AVGW:80|POSW:75|LASTW:45</t>
  </si>
  <si>
    <t>TW:32|MODW:0|ROLEW:10|HPD:6|HPW:2|POSS:5|HPOSD:30|AVGW:70|POSW:75|LASTW:35</t>
  </si>
  <si>
    <t>TW:32|MODW:0|ROLEW:10|HPD:6|HPW:2|POSS:5|HPOSD:30|AVGW:80|POSW:60|LASTW:45</t>
  </si>
  <si>
    <t>TW:32|MODW:0|ROLEW:10|HPD:6|HPW:1|POSS:5|HPOSD:20|AVGW:70|POSW:60|LASTW:35</t>
  </si>
  <si>
    <t>TW:30|MODW:5|ROLEW:15|HPD:8|HPW:2|POSS:5|HPOSD:30|AVGW:90|POSW:75|LASTW:45</t>
  </si>
  <si>
    <t>TW:30|MODW:5|ROLEW:10|HPD:8|HPW:2|POSS:5|HPOSD:25|AVGW:90|POSW:60|LASTW:35</t>
  </si>
  <si>
    <t>TW:30|MODW:5|ROLEW:10|HPD:6|HPW:2|POSS:5|HPOSD:30|AVGW:80|POSW:75|LASTW:35</t>
  </si>
  <si>
    <t>TW:30|MODW:5|ROLEW:10|HPD:6|HPW:2|POSS:5|HPOSD:25|AVGW:90|POSW:75|LASTW:45</t>
  </si>
  <si>
    <t>TW:30|MODW:0|ROLEW:15|HPD:8|HPW:2|POSS:5|HPOSD:25|AVGW:80|POSW:60|LASTW:45</t>
  </si>
  <si>
    <t>TW:30|MODW:0|ROLEW:15|HPD:8|HPW:1|POSS:5|HPOSD:30|AVGW:90|POSW:75|LASTW:45</t>
  </si>
  <si>
    <t>TW:30|MODW:0|ROLEW:10|HPD:8|HPW:2|POSS:5|HPOSD:25|AVGW:80|POSW:60|LASTW:45</t>
  </si>
  <si>
    <t>TW:30|MODW:0|ROLEW:10|HPD:8|HPW:1|POSS:5|HPOSD:25|AVGW:70|POSW:90|LASTW:35</t>
  </si>
  <si>
    <t>TW:30|MODW:0|ROLEW:10|HPD:6|HPW:2|POSS:5|HPOSD:30|AVGW:70|POSW:75|LASTW:45</t>
  </si>
  <si>
    <t>TW:30|MODW:0|ROLEW:10|HPD:6|HPW:1|POSS:5|HPOSD:25|AVGW:70|POSW:60|LASTW:35</t>
  </si>
  <si>
    <t>TW:34|MODW:5|ROLEW:15|HPD:8|HPW:1|POSS:5|HPOSD:30|AVGW:80|POSW:75|LASTW:45</t>
  </si>
  <si>
    <t>TW:34|MODW:5|ROLEW:15|HPD:6|HPW:1|POSS:5|HPOSD:30|AVGW:90|POSW:90|LASTW:45</t>
  </si>
  <si>
    <t>TW:34|MODW:5|ROLEW:15|HPD:6|HPW:1|POSS:5|HPOSD:25|AVGW:80|POSW:60|LASTW:35</t>
  </si>
  <si>
    <t>TW:34|MODW:5|ROLEW:10|HPD:8|HPW:2|POSS:5|HPOSD:25|AVGW:80|POSW:75|LASTW:35</t>
  </si>
  <si>
    <t>TW:34|MODW:5|ROLEW:10|HPD:8|HPW:1|POSS:5|HPOSD:25|AVGW:90|POSW:75|LASTW:25</t>
  </si>
  <si>
    <t>TW:34|MODW:5|ROLEW:10|HPD:6|HPW:2|POSS:5|HPOSD:25|AVGW:70|POSW:90|LASTW:45</t>
  </si>
  <si>
    <t>TW:34|MODW:5|ROLEW:10|HPD:6|HPW:2|POSS:5|HPOSD:25|AVGW:80|POSW:75|LASTW:35</t>
  </si>
  <si>
    <t>TW:34|MODW:5|ROLEW:10|HPD:6|HPW:2|POSS:5|HPOSD:25|AVGW:90|POSW:60|LASTW:45</t>
  </si>
  <si>
    <t>TW:34|MODW:5|ROLEW:10|HPD:6|HPW:1|POSS:5|HPOSD:30|AVGW:80|POSW:90|LASTW:35</t>
  </si>
  <si>
    <t>TW:34|MODW:5|ROLEW:10|HPD:6|HPW:1|POSS:5|HPOSD:20|AVGW:70|POSW:60|LASTW:35</t>
  </si>
  <si>
    <t>TW:34|MODW:0|ROLEW:15|HPD:8|HPW:2|POSS:5|HPOSD:30|AVGW:90|POSW:90|LASTW:35</t>
  </si>
  <si>
    <t>TW:34|MODW:0|ROLEW:15|HPD:8|HPW:1|POSS:5|HPOSD:25|AVGW:70|POSW:90|LASTW:45</t>
  </si>
  <si>
    <t>TW:34|MODW:0|ROLEW:15|HPD:8|HPW:1|POSS:5|HPOSD:25|AVGW:90|POSW:60|LASTW:35</t>
  </si>
  <si>
    <t>TW:34|MODW:0|ROLEW:15|HPD:6|HPW:1|POSS:5|HPOSD:30|AVGW:80|POSW:90|LASTW:45</t>
  </si>
  <si>
    <t>TW:34|MODW:0|ROLEW:15|HPD:6|HPW:1|POSS:5|HPOSD:30|AVGW:70|POSW:75|LASTW:25</t>
  </si>
  <si>
    <t>TW:34|MODW:0|ROLEW:15|HPD:6|HPW:1|POSS:5|HPOSD:25|AVGW:90|POSW:90|LASTW:35</t>
  </si>
  <si>
    <t>TW:34|MODW:0|ROLEW:10|HPD:6|HPW:2|POSS:5|HPOSD:25|AVGW:80|POSW:60|LASTW:35</t>
  </si>
  <si>
    <t>TW:34|MODW:0|ROLEW:10|HPD:6|HPW:1|POSS:5|HPOSD:25|AVGW:70|POSW:90|LASTW:25</t>
  </si>
  <si>
    <t>TW:32|MODW:5|ROLEW:15|HPD:8|HPW:2|POSS:5|HPOSD:30|AVGW:90|POSW:60|LASTW:45</t>
  </si>
  <si>
    <t>TW:32|MODW:5|ROLEW:15|HPD:8|HPW:2|POSS:5|HPOSD:25|AVGW:90|POSW:75|LASTW:35</t>
  </si>
  <si>
    <t>TW:32|MODW:5|ROLEW:15|HPD:8|HPW:1|POSS:5|HPOSD:30|AVGW:70|POSW:90|LASTW:35</t>
  </si>
  <si>
    <t>TW:32|MODW:5|ROLEW:15|HPD:6|HPW:2|POSS:5|HPOSD:25|AVGW:80|POSW:90|LASTW:25</t>
  </si>
  <si>
    <t>TW:32|MODW:5|ROLEW:10|HPD:8|HPW:2|POSS:5|HPOSD:25|AVGW:80|POSW:60|LASTW:35</t>
  </si>
  <si>
    <t>TW:32|MODW:5|ROLEW:10|HPD:8|HPW:1|POSS:5|HPOSD:25|AVGW:90|POSW:90|LASTW:45</t>
  </si>
  <si>
    <t>TW:32|MODW:5|ROLEW:10|HPD:6|HPW:2|POSS:5|HPOSD:30|AVGW:80|POSW:75|LASTW:25</t>
  </si>
  <si>
    <t>TW:32|MODW:0|ROLEW:15|HPD:8|HPW:2|POSS:5|HPOSD:25|AVGW:70|POSW:60|LASTW:45</t>
  </si>
  <si>
    <t>TW:32|MODW:0|ROLEW:15|HPD:6|HPW:2|POSS:5|HPOSD:30|AVGW:90|POSW:75|LASTW:45</t>
  </si>
  <si>
    <t>TW:32|MODW:0|ROLEW:10|HPD:8|HPW:2|POSS:5|HPOSD:30|AVGW:70|POSW:75|LASTW:45</t>
  </si>
  <si>
    <t>TW:32|MODW:0|ROLEW:10|HPD:8|HPW:1|POSS:5|HPOSD:20|AVGW:90|POSW:60|LASTW:35</t>
  </si>
  <si>
    <t>TW:32|MODW:0|ROLEW:10|HPD:6|HPW:1|POSS:5|HPOSD:20|AVGW:80|POSW:75|LASTW:25</t>
  </si>
  <si>
    <t>TW:32|MODW:0|ROLEW:10|HPD:6|HPW:1|POSS:5|HPOSD:20|AVGW:70|POSW:60|LASTW:25</t>
  </si>
  <si>
    <t>TW:30|MODW:5|ROLEW:15|HPD:8|HPW:2|POSS:5|HPOSD:25|AVGW:80|POSW:90|LASTW:45</t>
  </si>
  <si>
    <t>TW:30|MODW:5|ROLEW:15|HPD:8|HPW:2|POSS:5|HPOSD:25|AVGW:80|POSW:75|LASTW:45</t>
  </si>
  <si>
    <t>TW:30|MODW:5|ROLEW:15|HPD:6|HPW:1|POSS:5|HPOSD:30|AVGW:70|POSW:75|LASTW:35</t>
  </si>
  <si>
    <t>TW:30|MODW:5|ROLEW:10|HPD:6|HPW:2|POSS:5|HPOSD:30|AVGW:90|POSW:75|LASTW:25</t>
  </si>
  <si>
    <t>TW:30|MODW:5|ROLEW:10|HPD:6|HPW:1|POSS:5|HPOSD:25|AVGW:70|POSW:75|LASTW:35</t>
  </si>
  <si>
    <t>TW:30|MODW:5|ROLEW:10|HPD:6|HPW:1|POSS:5|HPOSD:25|AVGW:70|POSW:60|LASTW:35</t>
  </si>
  <si>
    <t>TW:30|MODW:0|ROLEW:15|HPD:6|HPW:1|POSS:5|HPOSD:30|AVGW:70|POSW:75|LASTW:35</t>
  </si>
  <si>
    <t>TW:30|MODW:0|ROLEW:10|HPD:8|HPW:1|POSS:5|HPOSD:20|AVGW:80|POSW:60|LASTW:35</t>
  </si>
  <si>
    <t>TW:30|MODW:0|ROLEW:10|HPD:6|HPW:1|POSS:5|HPOSD:25|AVGW:80|POSW:60|LASTW:45</t>
  </si>
  <si>
    <t>TW:34|MODW:5|ROLEW:15|HPD:8|HPW:1|POSS:5|HPOSD:30|AVGW:90|POSW:60|LASTW:45</t>
  </si>
  <si>
    <t>TW:34|MODW:5|ROLEW:15|HPD:6|HPW:2|POSS:5|HPOSD:30|AVGW:70|POSW:90|LASTW:25</t>
  </si>
  <si>
    <t>TW:34|MODW:5|ROLEW:15|HPD:6|HPW:2|POSS:5|HPOSD:30|AVGW:80|POSW:60|LASTW:45</t>
  </si>
  <si>
    <t>TW:34|MODW:5|ROLEW:15|HPD:6|HPW:1|POSS:5|HPOSD:30|AVGW:80|POSW:60|LASTW:25</t>
  </si>
  <si>
    <t>TW:34|MODW:5|ROLEW:10|HPD:8|HPW:1|POSS:5|HPOSD:30|AVGW:80|POSW:90|LASTW:25</t>
  </si>
  <si>
    <t>TW:34|MODW:5|ROLEW:10|HPD:6|HPW:1|POSS:5|HPOSD:30|AVGW:80|POSW:60|LASTW:35</t>
  </si>
  <si>
    <t>TW:34|MODW:0|ROLEW:15|HPD:8|HPW:1|POSS:5|HPOSD:30|AVGW:80|POSW:75|LASTW:45</t>
  </si>
  <si>
    <t>TW:34|MODW:0|ROLEW:15|HPD:8|HPW:1|POSS:5|HPOSD:30|AVGW:70|POSW:75|LASTW:35</t>
  </si>
  <si>
    <t>TW:34|MODW:0|ROLEW:15|HPD:6|HPW:2|POSS:5|HPOSD:30|AVGW:80|POSW:75|LASTW:25</t>
  </si>
  <si>
    <t>TW:34|MODW:0|ROLEW:15|HPD:6|HPW:2|POSS:5|HPOSD:25|AVGW:70|POSW:90|LASTW:35</t>
  </si>
  <si>
    <t>TW:34|MODW:0|ROLEW:15|HPD:6|HPW:1|POSS:5|HPOSD:30|AVGW:90|POSW:60|LASTW:35</t>
  </si>
  <si>
    <t>TW:34|MODW:0|ROLEW:15|HPD:6|HPW:1|POSS:5|HPOSD:25|AVGW:80|POSW:90|LASTW:35</t>
  </si>
  <si>
    <t>TW:34|MODW:0|ROLEW:15|HPD:6|HPW:1|POSS:5|HPOSD:25|AVGW:80|POSW:60|LASTW:45</t>
  </si>
  <si>
    <t>TW:34|MODW:0|ROLEW:10|HPD:8|HPW:2|POSS:5|HPOSD:30|AVGW:70|POSW:60|LASTW:25</t>
  </si>
  <si>
    <t>TW:34|MODW:0|ROLEW:10|HPD:8|HPW:2|POSS:5|HPOSD:25|AVGW:90|POSW:60|LASTW:35</t>
  </si>
  <si>
    <t>TW:34|MODW:0|ROLEW:10|HPD:8|HPW:1|POSS:5|HPOSD:30|AVGW:90|POSW:60|LASTW:35</t>
  </si>
  <si>
    <t>TW:34|MODW:0|ROLEW:10|HPD:8|HPW:1|POSS:5|HPOSD:25|AVGW:80|POSW:90|LASTW:45</t>
  </si>
  <si>
    <t>TW:34|MODW:0|ROLEW:10|HPD:6|HPW:1|POSS:5|HPOSD:30|AVGW:70|POSW:60|LASTW:25</t>
  </si>
  <si>
    <t>TW:32|MODW:5|ROLEW:15|HPD:8|HPW:2|POSS:5|HPOSD:30|AVGW:70|POSW:60|LASTW:45</t>
  </si>
  <si>
    <t>TW:32|MODW:5|ROLEW:15|HPD:8|HPW:2|POSS:5|HPOSD:25|AVGW:80|POSW:60|LASTW:35</t>
  </si>
  <si>
    <t>TW:32|MODW:5|ROLEW:15|HPD:8|HPW:1|POSS:5|HPOSD:25|AVGW:70|POSW:75|LASTW:25</t>
  </si>
  <si>
    <t>TW:32|MODW:5|ROLEW:15|HPD:8|HPW:1|POSS:5|HPOSD:25|AVGW:70|POSW:60|LASTW:35</t>
  </si>
  <si>
    <t>TW:32|MODW:5|ROLEW:15|HPD:6|HPW:2|POSS:5|HPOSD:30|AVGW:90|POSW:90|LASTW:35</t>
  </si>
  <si>
    <t>TW:32|MODW:5|ROLEW:15|HPD:6|HPW:1|POSS:5|HPOSD:30|AVGW:90|POSW:75|LASTW:25</t>
  </si>
  <si>
    <t>TW:32|MODW:5|ROLEW:10|HPD:8|HPW:2|POSS:5|HPOSD:30|AVGW:70|POSW:75|LASTW:35</t>
  </si>
  <si>
    <t>TW:32|MODW:5|ROLEW:10|HPD:8|HPW:1|POSS:5|HPOSD:30|AVGW:90|POSW:90|LASTW:35</t>
  </si>
  <si>
    <t>TW:32|MODW:5|ROLEW:10|HPD:8|HPW:1|POSS:5|HPOSD:25|AVGW:80|POSW:75|LASTW:35</t>
  </si>
  <si>
    <t>TW:32|MODW:5|ROLEW:10|HPD:6|HPW:1|POSS:5|HPOSD:30|AVGW:90|POSW:75|LASTW:35</t>
  </si>
  <si>
    <t>TW:32|MODW:5|ROLEW:10|HPD:6|HPW:1|POSS:5|HPOSD:25|AVGW:70|POSW:90|LASTW:25</t>
  </si>
  <si>
    <t>TW:32|MODW:5|ROLEW:10|HPD:6|HPW:1|POSS:5|HPOSD:25|AVGW:70|POSW:60|LASTW:25</t>
  </si>
  <si>
    <t>TW:32|MODW:5|ROLEW:10|HPD:6|HPW:1|POSS:5|HPOSD:20|AVGW:70|POSW:60|LASTW:45</t>
  </si>
  <si>
    <t>TW:32|MODW:0|ROLEW:15|HPD:6|HPW:2|POSS:5|HPOSD:30|AVGW:90|POSW:60|LASTW:45</t>
  </si>
  <si>
    <t>TW:32|MODW:0|ROLEW:15|HPD:6|HPW:2|POSS:5|HPOSD:30|AVGW:70|POSW:60|LASTW:25</t>
  </si>
  <si>
    <t>TW:32|MODW:0|ROLEW:15|HPD:6|HPW:2|POSS:5|HPOSD:25|AVGW:70|POSW:75|LASTW:25</t>
  </si>
  <si>
    <t>TW:32|MODW:0|ROLEW:15|HPD:6|HPW:1|POSS:5|HPOSD:30|AVGW:80|POSW:90|LASTW:25</t>
  </si>
  <si>
    <t>TW:32|MODW:0|ROLEW:15|HPD:6|HPW:1|POSS:5|HPOSD:25|AVGW:70|POSW:90|LASTW:25</t>
  </si>
  <si>
    <t>TW:32|MODW:0|ROLEW:15|HPD:6|HPW:1|POSS:5|HPOSD:25|AVGW:80|POSW:60|LASTW:45</t>
  </si>
  <si>
    <t>TW:32|MODW:0|ROLEW:10|HPD:8|HPW:2|POSS:5|HPOSD:30|AVGW:80|POSW:60|LASTW:35</t>
  </si>
  <si>
    <t>TW:32|MODW:0|ROLEW:10|HPD:8|HPW:1|POSS:5|HPOSD:25|AVGW:90|POSW:90|LASTW:25</t>
  </si>
  <si>
    <t>TW:32|MODW:0|ROLEW:10|HPD:8|HPW:1|POSS:5|HPOSD:25|AVGW:80|POSW:75|LASTW:45</t>
  </si>
  <si>
    <t>TW:32|MODW:0|ROLEW:10|HPD:8|HPW:1|POSS:5|HPOSD:20|AVGW:90|POSW:75|LASTW:45</t>
  </si>
  <si>
    <t>TW:32|MODW:0|ROLEW:10|HPD:6|HPW:1|POSS:5|HPOSD:20|AVGW:80|POSW:60|LASTW:45</t>
  </si>
  <si>
    <t>TW:30|MODW:5|ROLEW:15|HPD:8|HPW:1|POSS:5|HPOSD:25|AVGW:90|POSW:60|LASTW:25</t>
  </si>
  <si>
    <t>TW:30|MODW:5|ROLEW:15|HPD:6|HPW:2|POSS:5|HPOSD:25|AVGW:70|POSW:90|LASTW:35</t>
  </si>
  <si>
    <t>TW:30|MODW:5|ROLEW:10|HPD:6|HPW:1|POSS:5|HPOSD:30|AVGW:70|POSW:75|LASTW:25</t>
  </si>
  <si>
    <t>TW:30|MODW:5|ROLEW:10|HPD:6|HPW:1|POSS:5|HPOSD:25|AVGW:90|POSW:90|LASTW:25</t>
  </si>
  <si>
    <t>TW:30|MODW:5|ROLEW:10|HPD:6|HPW:1|POSS:5|HPOSD:25|AVGW:80|POSW:75|LASTW:25</t>
  </si>
  <si>
    <t>TW:30|MODW:0|ROLEW:15|HPD:8|HPW:2|POSS:5|HPOSD:30|AVGW:90|POSW:90|LASTW:45</t>
  </si>
  <si>
    <t>TW:30|MODW:0|ROLEW:15|HPD:8|HPW:1|POSS:5|HPOSD:30|AVGW:80|POSW:90|LASTW:25</t>
  </si>
  <si>
    <t>TW:30|MODW:0|ROLEW:15|HPD:6|HPW:2|POSS:5|HPOSD:30|AVGW:80|POSW:90|LASTW:35</t>
  </si>
  <si>
    <t>TW:30|MODW:0|ROLEW:15|HPD:6|HPW:2|POSS:5|HPOSD:30|AVGW:80|POSW:75|LASTW:45</t>
  </si>
  <si>
    <t>TW:30|MODW:0|ROLEW:15|HPD:6|HPW:2|POSS:5|HPOSD:25|AVGW:90|POSW:75|LASTW:35</t>
  </si>
  <si>
    <t>TW:30|MODW:0|ROLEW:15|HPD:6|HPW:1|POSS:5|HPOSD:20|AVGW:70|POSW:60|LASTW:45</t>
  </si>
  <si>
    <t>TW:30|MODW:0|ROLEW:10|HPD:8|HPW:1|POSS:5|HPOSD:25|AVGW:80|POSW:75|LASTW:25</t>
  </si>
  <si>
    <t>TW:30|MODW:0|ROLEW:10|HPD:8|HPW:1|POSS:5|HPOSD:25|AVGW:80|POSW:60|LASTW:35</t>
  </si>
  <si>
    <t>TW:30|MODW:0|ROLEW:10|HPD:6|HPW:2|POSS:5|HPOSD:30|AVGW:90|POSW:60|LASTW:35</t>
  </si>
  <si>
    <t>TW:30|MODW:0|ROLEW:10|HPD:6|HPW:2|POSS:5|HPOSD:25|AVGW:70|POSW:60|LASTW:35</t>
  </si>
  <si>
    <t>TW:30|MODW:0|ROLEW:10|HPD:6|HPW:1|POSS:5|HPOSD:25|AVGW:80|POSW:75|LASTW:45</t>
  </si>
  <si>
    <t>TW:30|MODW:0|ROLEW:10|HPD:6|HPW:1|POSS:5|HPOSD:25|AVGW:90|POSW:60|LASTW:35</t>
  </si>
  <si>
    <t>TW:34|MODW:5|ROLEW:15|HPD:8|HPW:1|POSS:5|HPOSD:30|AVGW:70|POSW:90|LASTW:25</t>
  </si>
  <si>
    <t>TW:34|MODW:5|ROLEW:15|HPD:8|HPW:1|POSS:5|HPOSD:30|AVGW:80|POSW:75|LASTW:35</t>
  </si>
  <si>
    <t>TW:34|MODW:5|ROLEW:15|HPD:8|HPW:1|POSS:5|HPOSD:25|AVGW:90|POSW:90|LASTW:45</t>
  </si>
  <si>
    <t>TW:34|MODW:5|ROLEW:15|HPD:6|HPW:2|POSS:5|HPOSD:30|AVGW:70|POSW:90|LASTW:45</t>
  </si>
  <si>
    <t>TW:34|MODW:5|ROLEW:15|HPD:6|HPW:2|POSS:5|HPOSD:25|AVGW:70|POSW:75|LASTW:25</t>
  </si>
  <si>
    <t>TW:34|MODW:5|ROLEW:15|HPD:6|HPW:1|POSS:5|HPOSD:30|AVGW:90|POSW:75|LASTW:25</t>
  </si>
  <si>
    <t>TW:34|MODW:5|ROLEW:15|HPD:6|HPW:1|POSS:5|HPOSD:30|AVGW:80|POSW:60|LASTW:35</t>
  </si>
  <si>
    <t>TW:34|MODW:5|ROLEW:15|HPD:6|HPW:1|POSS:5|HPOSD:25|AVGW:70|POSW:60|LASTW:35</t>
  </si>
  <si>
    <t>TW:34|MODW:5|ROLEW:10|HPD:8|HPW:2|POSS:5|HPOSD:30|AVGW:70|POSW:60|LASTW:35</t>
  </si>
  <si>
    <t>TW:34|MODW:5|ROLEW:10|HPD:8|HPW:1|POSS:5|HPOSD:30|AVGW:90|POSW:90|LASTW:45</t>
  </si>
  <si>
    <t>TW:34|MODW:5|ROLEW:10|HPD:8|HPW:1|POSS:5|HPOSD:30|AVGW:80|POSW:90|LASTW:45</t>
  </si>
  <si>
    <t>TW:34|MODW:5|ROLEW:10|HPD:8|HPW:1|POSS:5|HPOSD:30|AVGW:70|POSW:75|LASTW:25</t>
  </si>
  <si>
    <t>TW:34|MODW:5|ROLEW:10|HPD:8|HPW:1|POSS:5|HPOSD:25|AVGW:70|POSW:90|LASTW:25</t>
  </si>
  <si>
    <t>TW:34|MODW:5|ROLEW:10|HPD:6|HPW:2|POSS:5|HPOSD:25|AVGW:70|POSW:75|LASTW:35</t>
  </si>
  <si>
    <t>TW:34|MODW:5|ROLEW:10|HPD:6|HPW:1|POSS:5|HPOSD:30|AVGW:70|POSW:75|LASTW:45</t>
  </si>
  <si>
    <t>TW:34|MODW:5|ROLEW:10|HPD:6|HPW:1|POSS:5|HPOSD:25|AVGW:90|POSW:60|LASTW:35</t>
  </si>
  <si>
    <t>TW:34|MODW:0|ROLEW:15|HPD:6|HPW:2|POSS:5|HPOSD:30|AVGW:80|POSW:90|LASTW:25</t>
  </si>
  <si>
    <t>TW:34|MODW:0|ROLEW:15|HPD:6|HPW:2|POSS:5|HPOSD:25|AVGW:70|POSW:60|LASTW:35</t>
  </si>
  <si>
    <t>TW:34|MODW:0|ROLEW:15|HPD:6|HPW:1|POSS:5|HPOSD:30|AVGW:90|POSW:90|LASTW:45</t>
  </si>
  <si>
    <t>TW:34|MODW:0|ROLEW:15|HPD:6|HPW:1|POSS:5|HPOSD:25|AVGW:90|POSW:75|LASTW:25</t>
  </si>
  <si>
    <t>TW:34|MODW:0|ROLEW:10|HPD:8|HPW:1|POSS:5|HPOSD:30|AVGW:80|POSW:60|LASTW:25</t>
  </si>
  <si>
    <t>TW:34|MODW:0|ROLEW:10|HPD:6|HPW:2|POSS:5|HPOSD:30|AVGW:80|POSW:60|LASTW:45</t>
  </si>
  <si>
    <t>TW:34|MODW:0|ROLEW:10|HPD:6|HPW:1|POSS:5|HPOSD:30|AVGW:90|POSW:60|LASTW:25</t>
  </si>
  <si>
    <t>TW:34|MODW:0|ROLEW:10|HPD:6|HPW:1|POSS:5|HPOSD:25|AVGW:70|POSW:90|LASTW:35</t>
  </si>
  <si>
    <t>TW:32|MODW:5|ROLEW:15|HPD:8|HPW:1|POSS:5|HPOSD:30|AVGW:70|POSW:60|LASTW:45</t>
  </si>
  <si>
    <t>TW:32|MODW:5|ROLEW:15|HPD:8|HPW:1|POSS:5|HPOSD:25|AVGW:70|POSW:90|LASTW:35</t>
  </si>
  <si>
    <t>TW:32|MODW:5|ROLEW:15|HPD:8|HPW:1|POSS:5|HPOSD:20|AVGW:80|POSW:60|LASTW:35</t>
  </si>
  <si>
    <t>TW:32|MODW:5|ROLEW:15|HPD:6|HPW:2|POSS:5|HPOSD:30|AVGW:80|POSW:75|LASTW:35</t>
  </si>
  <si>
    <t>TW:32|MODW:5|ROLEW:15|HPD:6|HPW:1|POSS:5|HPOSD:30|AVGW:90|POSW:90|LASTW:35</t>
  </si>
  <si>
    <t>TW:32|MODW:5|ROLEW:10|HPD:8|HPW:2|POSS:5|HPOSD:25|AVGW:70|POSW:60|LASTW:25</t>
  </si>
  <si>
    <t>TW:32|MODW:5|ROLEW:10|HPD:6|HPW:2|POSS:5|HPOSD:25|AVGW:70|POSW:60|LASTW:45</t>
  </si>
  <si>
    <t>TW:32|MODW:5|ROLEW:10|HPD:6|HPW:1|POSS:5|HPOSD:25|AVGW:90|POSW:75|LASTW:35</t>
  </si>
  <si>
    <t>TW:32|MODW:5|ROLEW:10|HPD:6|HPW:1|POSS:5|HPOSD:20|AVGW:80|POSW:75|LASTW:35</t>
  </si>
  <si>
    <t>TW:32|MODW:0|ROLEW:15|HPD:8|HPW:1|POSS:5|HPOSD:30|AVGW:80|POSW:90|LASTW:25</t>
  </si>
  <si>
    <t>TW:32|MODW:0|ROLEW:15|HPD:8|HPW:1|POSS:5|HPOSD:30|AVGW:90|POSW:60|LASTW:45</t>
  </si>
  <si>
    <t>TW:32|MODW:0|ROLEW:15|HPD:8|HPW:1|POSS:5|HPOSD:30|AVGW:70|POSW:60|LASTW:35</t>
  </si>
  <si>
    <t>TW:32|MODW:0|ROLEW:15|HPD:6|HPW:1|POSS:5|HPOSD:30|AVGW:80|POSW:75|LASTW:25</t>
  </si>
  <si>
    <t>TW:32|MODW:0|ROLEW:10|HPD:8|HPW:2|POSS:5|HPOSD:25|AVGW:70|POSW:75|LASTW:35</t>
  </si>
  <si>
    <t>TW:32|MODW:0|ROLEW:10|HPD:8|HPW:2|POSS:5|HPOSD:25|AVGW:90|POSW:60|LASTW:25</t>
  </si>
  <si>
    <t>TW:32|MODW:0|ROLEW:10|HPD:8|HPW:1|POSS:5|HPOSD:25|AVGW:70|POSW:90|LASTW:35</t>
  </si>
  <si>
    <t>TW:32|MODW:0|ROLEW:10|HPD:8|HPW:1|POSS:5|HPOSD:25|AVGW:70|POSW:60|LASTW:35</t>
  </si>
  <si>
    <t>TW:30|MODW:5|ROLEW:15|HPD:6|HPW:2|POSS:5|HPOSD:30|AVGW:70|POSW:90|LASTW:35</t>
  </si>
  <si>
    <t>TW:30|MODW:5|ROLEW:10|HPD:8|HPW:2|POSS:5|HPOSD:30|AVGW:70|POSW:60|LASTW:25</t>
  </si>
  <si>
    <t>TW:30|MODW:5|ROLEW:10|HPD:8|HPW:2|POSS:5|HPOSD:25|AVGW:80|POSW:60|LASTW:45</t>
  </si>
  <si>
    <t>TW:30|MODW:5|ROLEW:10|HPD:8|HPW:1|POSS:5|HPOSD:30|AVGW:70|POSW:75|LASTW:25</t>
  </si>
  <si>
    <t>TW:30|MODW:5|ROLEW:10|HPD:8|HPW:1|POSS:5|HPOSD:30|AVGW:80|POSW:60|LASTW:35</t>
  </si>
  <si>
    <t>TW:30|MODW:5|ROLEW:10|HPD:6|HPW:2|POSS:5|HPOSD:25|AVGW:70|POSW:90|LASTW:35</t>
  </si>
  <si>
    <t>TW:30|MODW:5|ROLEW:10|HPD:6|HPW:2|POSS:5|HPOSD:25|AVGW:90|POSW:60|LASTW:35</t>
  </si>
  <si>
    <t>TW:30|MODW:5|ROLEW:10|HPD:6|HPW:1|POSS:5|HPOSD:30|AVGW:70|POSW:60|LASTW:45</t>
  </si>
  <si>
    <t>TW:30|MODW:0|ROLEW:15|HPD:8|HPW:1|POSS:5|HPOSD:20|AVGW:80|POSW:75|LASTW:35</t>
  </si>
  <si>
    <t>TW:30|MODW:0|ROLEW:15|HPD:8|HPW:1|POSS:5|HPOSD:20|AVGW:70|POSW:60|LASTW:25</t>
  </si>
  <si>
    <t>TW:30|MODW:0|ROLEW:15|HPD:6|HPW:2|POSS:5|HPOSD:30|AVGW:70|POSW:60|LASTW:25</t>
  </si>
  <si>
    <t>TW:30|MODW:0|ROLEW:15|HPD:6|HPW:2|POSS:5|HPOSD:25|AVGW:70|POSW:75|LASTW:35</t>
  </si>
  <si>
    <t>TW:30|MODW:0|ROLEW:15|HPD:6|HPW:2|POSS:5|HPOSD:25|AVGW:90|POSW:60|LASTW:25</t>
  </si>
  <si>
    <t>TW:30|MODW:0|ROLEW:15|HPD:6|HPW:1|POSS:5|HPOSD:25|AVGW:90|POSW:75|LASTW:25</t>
  </si>
  <si>
    <t>TW:30|MODW:0|ROLEW:10|HPD:8|HPW:1|POSS:5|HPOSD:25|AVGW:90|POSW:90|LASTW:45</t>
  </si>
  <si>
    <t>TW:30|MODW:0|ROLEW:10|HPD:8|HPW:1|POSS:5|HPOSD:25|AVGW:70|POSW:75|LASTW:25</t>
  </si>
  <si>
    <t>TW:30|MODW:0|ROLEW:10|HPD:6|HPW:2|POSS:5|HPOSD:25|AVGW:90|POSW:75|LASTW:35</t>
  </si>
  <si>
    <t>TW:30|MODW:0|ROLEW:10|HPD:6|HPW:2|POSS:5|HPOSD:25|AVGW:80|POSW:60|LASTW:45</t>
  </si>
  <si>
    <t>TW:30|MODW:0|ROLEW:10|HPD:6|HPW:1|POSS:5|HPOSD:25|AVGW:80|POSW:75|LASTW:25</t>
  </si>
  <si>
    <t>TW:34|MODW:5|ROLEW:15|HPD:8|HPW:1|POSS:5|HPOSD:25|AVGW:90|POSW:90|LASTW:25</t>
  </si>
  <si>
    <t>TW:34|MODW:5|ROLEW:15|HPD:8|HPW:1|POSS:5|HPOSD:20|AVGW:70|POSW:60|LASTW:25</t>
  </si>
  <si>
    <t>TW:34|MODW:5|ROLEW:15|HPD:6|HPW:1|POSS:5|HPOSD:20|AVGW:80|POSW:60|LASTW:45</t>
  </si>
  <si>
    <t>TW:34|MODW:5|ROLEW:10|HPD:8|HPW:2|POSS:5|HPOSD:30|AVGW:80|POSW:90|LASTW:35</t>
  </si>
  <si>
    <t>TW:34|MODW:5|ROLEW:10|HPD:8|HPW:2|POSS:5|HPOSD:30|AVGW:80|POSW:60|LASTW:35</t>
  </si>
  <si>
    <t>TW:34|MODW:5|ROLEW:10|HPD:8|HPW:2|POSS:5|HPOSD:20|AVGW:90|POSW:60|LASTW:45</t>
  </si>
  <si>
    <t>TW:34|MODW:5|ROLEW:10|HPD:6|HPW:2|POSS:5|HPOSD:30|AVGW:80|POSW:60|LASTW:25</t>
  </si>
  <si>
    <t>TW:34|MODW:5|ROLEW:10|HPD:6|HPW:2|POSS:5|HPOSD:25|AVGW:90|POSW:60|LASTW:35</t>
  </si>
  <si>
    <t>TW:34|MODW:5|ROLEW:10|HPD:6|HPW:1|POSS:5|HPOSD:30|AVGW:90|POSW:90|LASTW:25</t>
  </si>
  <si>
    <t>TW:34|MODW:0|ROLEW:15|HPD:6|HPW:2|POSS:5|HPOSD:30|AVGW:80|POSW:60|LASTW:45</t>
  </si>
  <si>
    <t>TW:34|MODW:0|ROLEW:15|HPD:6|HPW:2|POSS:5|HPOSD:30|AVGW:70|POSW:60|LASTW:45</t>
  </si>
  <si>
    <t>TW:34|MODW:0|ROLEW:10|HPD:8|HPW:2|POSS:5|HPOSD:20|AVGW:70|POSW:60|LASTW:45</t>
  </si>
  <si>
    <t>TW:34|MODW:0|ROLEW:10|HPD:8|HPW:1|POSS:5|HPOSD:25|AVGW:90|POSW:60|LASTW:45</t>
  </si>
  <si>
    <t>TW:34|MODW:0|ROLEW:10|HPD:6|HPW:2|POSS:5|HPOSD:30|AVGW:80|POSW:60|LASTW:35</t>
  </si>
  <si>
    <t>TW:32|MODW:5|ROLEW:15|HPD:8|HPW:1|POSS:5|HPOSD:30|AVGW:80|POSW:75|LASTW:45</t>
  </si>
  <si>
    <t>TW:32|MODW:5|ROLEW:15|HPD:6|HPW:1|POSS:5|HPOSD:30|AVGW:70|POSW:90|LASTW:45</t>
  </si>
  <si>
    <t>TW:32|MODW:5|ROLEW:10|HPD:6|HPW:2|POSS:5|HPOSD:30|AVGW:70|POSW:75|LASTW:35</t>
  </si>
  <si>
    <t>TW:32|MODW:5|ROLEW:10|HPD:6|HPW:2|POSS:5|HPOSD:30|AVGW:80|POSW:60|LASTW:45</t>
  </si>
  <si>
    <t>TW:32|MODW:5|ROLEW:10|HPD:6|HPW:1|POSS:5|HPOSD:25|AVGW:80|POSW:75|LASTW:25</t>
  </si>
  <si>
    <t>TW:32|MODW:0|ROLEW:15|HPD:8|HPW:2|POSS:5|HPOSD:25|AVGW:70|POSW:60|LASTW:35</t>
  </si>
  <si>
    <t>TW:32|MODW:0|ROLEW:10|HPD:8|HPW:2|POSS:5|HPOSD:30|AVGW:70|POSW:90|LASTW:45</t>
  </si>
  <si>
    <t>TW:32|MODW:0|ROLEW:10|HPD:8|HPW:2|POSS:5|HPOSD:25|AVGW:80|POSW:90|LASTW:45</t>
  </si>
  <si>
    <t>TW:32|MODW:0|ROLEW:10|HPD:6|HPW:2|POSS:5|HPOSD:30|AVGW:90|POSW:90|LASTW:25</t>
  </si>
  <si>
    <t>TW:32|MODW:0|ROLEW:10|HPD:6|HPW:2|POSS:5|HPOSD:30|AVGW:80|POSW:75|LASTW:45</t>
  </si>
  <si>
    <t>TW:32|MODW:0|ROLEW:10|HPD:6|HPW:2|POSS:5|HPOSD:25|AVGW:80|POSW:90|LASTW:25</t>
  </si>
  <si>
    <t>TW:32|MODW:0|ROLEW:10|HPD:6|HPW:1|POSS:5|HPOSD:25|AVGW:90|POSW:75|LASTW:35</t>
  </si>
  <si>
    <t>TW:32|MODW:0|ROLEW:10|HPD:6|HPW:1|POSS:5|HPOSD:20|AVGW:90|POSW:75|LASTW:45</t>
  </si>
  <si>
    <t>TW:30|MODW:5|ROLEW:15|HPD:6|HPW:2|POSS:5|HPOSD:25|AVGW:80|POSW:75|LASTW:35</t>
  </si>
  <si>
    <t>TW:30|MODW:5|ROLEW:15|HPD:6|HPW:1|POSS:5|HPOSD:30|AVGW:90|POSW:75|LASTW:45</t>
  </si>
  <si>
    <t>TW:30|MODW:5|ROLEW:10|HPD:8|HPW:2|POSS:5|HPOSD:25|AVGW:90|POSW:90|LASTW:45</t>
  </si>
  <si>
    <t>TW:30|MODW:5|ROLEW:10|HPD:8|HPW:2|POSS:5|HPOSD:25|AVGW:80|POSW:75|LASTW:35</t>
  </si>
  <si>
    <t>TW:30|MODW:5|ROLEW:10|HPD:8|HPW:1|POSS:5|HPOSD:30|AVGW:70|POSW:60|LASTW:35</t>
  </si>
  <si>
    <t>TW:30|MODW:5|ROLEW:10|HPD:8|HPW:1|POSS:5|HPOSD:25|AVGW:80|POSW:90|LASTW:25</t>
  </si>
  <si>
    <t>TW:30|MODW:5|ROLEW:10|HPD:8|HPW:1|POSS:5|HPOSD:20|AVGW:90|POSW:60|LASTW:45</t>
  </si>
  <si>
    <t>TW:30|MODW:5|ROLEW:10|HPD:6|HPW:1|POSS:5|HPOSD:25|AVGW:90|POSW:60|LASTW:45</t>
  </si>
  <si>
    <t>TW:30|MODW:5|ROLEW:10|HPD:6|HPW:1|POSS:5|HPOSD:25|AVGW:70|POSW:60|LASTW:45</t>
  </si>
  <si>
    <t>TW:30|MODW:0|ROLEW:15|HPD:8|HPW:2|POSS:5|HPOSD:30|AVGW:90|POSW:75|LASTW:35</t>
  </si>
  <si>
    <t>TW:30|MODW:0|ROLEW:15|HPD:8|HPW:2|POSS:5|HPOSD:25|AVGW:70|POSW:60|LASTW:45</t>
  </si>
  <si>
    <t>TW:30|MODW:0|ROLEW:15|HPD:8|HPW:1|POSS:5|HPOSD:25|AVGW:80|POSW:75|LASTW:25</t>
  </si>
  <si>
    <t>TW:30|MODW:0|ROLEW:15|HPD:6|HPW:2|POSS:5|HPOSD:30|AVGW:70|POSW:90|LASTW:35</t>
  </si>
  <si>
    <t>TW:30|MODW:0|ROLEW:15|HPD:6|HPW:1|POSS:5|HPOSD:20|AVGW:80|POSW:60|LASTW:25</t>
  </si>
  <si>
    <t>TW:30|MODW:0|ROLEW:10|HPD:8|HPW:1|POSS:5|HPOSD:30|AVGW:70|POSW:60|LASTW:45</t>
  </si>
  <si>
    <t>TW:30|MODW:0|ROLEW:10|HPD:6|HPW:1|POSS:5|HPOSD:30|AVGW:90|POSW:90|LASTW:35</t>
  </si>
  <si>
    <t>TW:30|MODW:0|ROLEW:10|HPD:6|HPW:1|POSS:5|HPOSD:25|AVGW:70|POSW:75|LASTW:45</t>
  </si>
  <si>
    <t>TW:34|MODW:5|ROLEW:15|HPD:6|HPW:1|POSS:5|HPOSD:20|AVGW:90|POSW:60|LASTW:45</t>
  </si>
  <si>
    <t>TW:34|MODW:5|ROLEW:10|HPD:8|HPW:1|POSS:5|HPOSD:30|AVGW:70|POSW:90|LASTW:45</t>
  </si>
  <si>
    <t>TW:34|MODW:5|ROLEW:10|HPD:6|HPW:1|POSS:5|HPOSD:30|AVGW:70|POSW:75|LASTW:35</t>
  </si>
  <si>
    <t>TW:34|MODW:5|ROLEW:10|HPD:6|HPW:1|POSS:5|HPOSD:20|AVGW:80|POSW:60|LASTW:35</t>
  </si>
  <si>
    <t>TW:34|MODW:0|ROLEW:15|HPD:8|HPW:2|POSS:5|HPOSD:30|AVGW:80|POSW:75|LASTW:35</t>
  </si>
  <si>
    <t>TW:34|MODW:0|ROLEW:15|HPD:8|HPW:1|POSS:5|HPOSD:30|AVGW:90|POSW:90|LASTW:25</t>
  </si>
  <si>
    <t>TW:34|MODW:0|ROLEW:15|HPD:8|HPW:1|POSS:5|HPOSD:25|AVGW:80|POSW:75|LASTW:25</t>
  </si>
  <si>
    <t>TW:34|MODW:0|ROLEW:15|HPD:6|HPW:1|POSS:5|HPOSD:30|AVGW:80|POSW:90|LASTW:25</t>
  </si>
  <si>
    <t>TW:34|MODW:0|ROLEW:10|HPD:6|HPW:2|POSS:5|HPOSD:30|AVGW:90|POSW:90|LASTW:35</t>
  </si>
  <si>
    <t>TW:34|MODW:0|ROLEW:10|HPD:6|HPW:2|POSS:5|HPOSD:25|AVGW:90|POSW:90|LASTW:35</t>
  </si>
  <si>
    <t>TW:34|MODW:0|ROLEW:10|HPD:6|HPW:1|POSS:5|HPOSD:30|AVGW:90|POSW:75|LASTW:25</t>
  </si>
  <si>
    <t>TW:34|MODW:0|ROLEW:10|HPD:6|HPW:1|POSS:5|HPOSD:25|AVGW:90|POSW:90|LASTW:45</t>
  </si>
  <si>
    <t>TW:32|MODW:5|ROLEW:15|HPD:6|HPW:2|POSS:5|HPOSD:25|AVGW:70|POSW:90|LASTW:45</t>
  </si>
  <si>
    <t>TW:32|MODW:5|ROLEW:15|HPD:6|HPW:1|POSS:5|HPOSD:30|AVGW:70|POSW:60|LASTW:45</t>
  </si>
  <si>
    <t>TW:32|MODW:5|ROLEW:10|HPD:8|HPW:2|POSS:5|HPOSD:25|AVGW:80|POSW:75|LASTW:35</t>
  </si>
  <si>
    <t>TW:32|MODW:5|ROLEW:10|HPD:8|HPW:1|POSS:5|HPOSD:30|AVGW:70|POSW:90|LASTW:25</t>
  </si>
  <si>
    <t>TW:32|MODW:5|ROLEW:10|HPD:8|HPW:1|POSS:5|HPOSD:30|AVGW:70|POSW:60|LASTW:45</t>
  </si>
  <si>
    <t>TW:32|MODW:5|ROLEW:10|HPD:8|HPW:1|POSS:5|HPOSD:25|AVGW:80|POSW:90|LASTW:45</t>
  </si>
  <si>
    <t>TW:32|MODW:5|ROLEW:10|HPD:6|HPW:2|POSS:5|HPOSD:30|AVGW:90|POSW:75|LASTW:45</t>
  </si>
  <si>
    <t>TW:32|MODW:5|ROLEW:10|HPD:6|HPW:1|POSS:5|HPOSD:30|AVGW:90|POSW:60|LASTW:35</t>
  </si>
  <si>
    <t>TW:32|MODW:5|ROLEW:10|HPD:6|HPW:1|POSS:5|HPOSD:25|AVGW:70|POSW:90|LASTW:45</t>
  </si>
  <si>
    <t>TW:32|MODW:5|ROLEW:10|HPD:6|HPW:1|POSS:5|HPOSD:25|AVGW:80|POSW:60|LASTW:45</t>
  </si>
  <si>
    <t>TW:32|MODW:0|ROLEW:15|HPD:8|HPW:2|POSS:5|HPOSD:30|AVGW:80|POSW:75|LASTW:45</t>
  </si>
  <si>
    <t>TW:32|MODW:0|ROLEW:15|HPD:8|HPW:1|POSS:5|HPOSD:30|AVGW:90|POSW:75|LASTW:35</t>
  </si>
  <si>
    <t>TW:32|MODW:0|ROLEW:15|HPD:8|HPW:1|POSS:5|HPOSD:20|AVGW:90|POSW:75|LASTW:45</t>
  </si>
  <si>
    <t>TW:32|MODW:0|ROLEW:15|HPD:6|HPW:2|POSS:5|HPOSD:30|AVGW:70|POSW:90|LASTW:35</t>
  </si>
  <si>
    <t>TW:32|MODW:0|ROLEW:15|HPD:6|HPW:2|POSS:5|HPOSD:25|AVGW:70|POSW:75|LASTW:45</t>
  </si>
  <si>
    <t>TW:32|MODW:0|ROLEW:15|HPD:6|HPW:1|POSS:5|HPOSD:20|AVGW:80|POSW:60|LASTW:25</t>
  </si>
  <si>
    <t>TW:32|MODW:0|ROLEW:10|HPD:8|HPW:1|POSS:5|HPOSD:25|AVGW:80|POSW:60|LASTW:25</t>
  </si>
  <si>
    <t>TW:32|MODW:0|ROLEW:10|HPD:6|HPW:2|POSS:5|HPOSD:25|AVGW:90|POSW:75|LASTW:25</t>
  </si>
  <si>
    <t>TW:30|MODW:5|ROLEW:15|HPD:8|HPW:1|POSS:5|HPOSD:30|AVGW:90|POSW:60|LASTW:45</t>
  </si>
  <si>
    <t>TW:30|MODW:5|ROLEW:15|HPD:6|HPW:1|POSS:5|HPOSD:30|AVGW:70|POSW:90|LASTW:35</t>
  </si>
  <si>
    <t>TW:30|MODW:5|ROLEW:15|HPD:6|HPW:1|POSS:5|HPOSD:25|AVGW:80|POSW:90|LASTW:45</t>
  </si>
  <si>
    <t>TW:30|MODW:5|ROLEW:15|HPD:6|HPW:1|POSS:5|HPOSD:25|AVGW:80|POSW:75|LASTW:35</t>
  </si>
  <si>
    <t>TW:30|MODW:5|ROLEW:10|HPD:8|HPW:2|POSS:5|HPOSD:25|AVGW:80|POSW:60|LASTW:35</t>
  </si>
  <si>
    <t>TW:30|MODW:5|ROLEW:10|HPD:8|HPW:1|POSS:5|HPOSD:30|AVGW:90|POSW:75|LASTW:45</t>
  </si>
  <si>
    <t>TW:30|MODW:5|ROLEW:10|HPD:8|HPW:1|POSS:5|HPOSD:30|AVGW:90|POSW:75|LASTW:25</t>
  </si>
  <si>
    <t>TW:30|MODW:5|ROLEW:10|HPD:8|HPW:1|POSS:5|HPOSD:25|AVGW:70|POSW:75|LASTW:35</t>
  </si>
  <si>
    <t>TW:30|MODW:5|ROLEW:10|HPD:6|HPW:1|POSS:5|HPOSD:20|AVGW:90|POSW:60|LASTW:45</t>
  </si>
  <si>
    <t>TW:30|MODW:0|ROLEW:15|HPD:8|HPW:2|POSS:5|HPOSD:20|AVGW:80|POSW:60|LASTW:35</t>
  </si>
  <si>
    <t>TW:30|MODW:0|ROLEW:15|HPD:6|HPW:2|POSS:5|HPOSD:30|AVGW:80|POSW:90|LASTW:45</t>
  </si>
  <si>
    <t>TW:30|MODW:0|ROLEW:15|HPD:6|HPW:1|POSS:5|HPOSD:30|AVGW:90|POSW:90|LASTW:45</t>
  </si>
  <si>
    <t>TW:30|MODW:0|ROLEW:15|HPD:6|HPW:1|POSS:5|HPOSD:20|AVGW:80|POSW:75|LASTW:25</t>
  </si>
  <si>
    <t>TW:30|MODW:0|ROLEW:10|HPD:8|HPW:1|POSS:5|HPOSD:30|AVGW:80|POSW:60|LASTW:25</t>
  </si>
  <si>
    <t>TW:30|MODW:0|ROLEW:10|HPD:8|HPW:1|POSS:5|HPOSD:25|AVGW:90|POSW:75|LASTW:25</t>
  </si>
  <si>
    <t>TW:30|MODW:0|ROLEW:10|HPD:6|HPW:2|POSS:5|HPOSD:25|AVGW:70|POSW:75|LASTW:45</t>
  </si>
  <si>
    <t>TW:30|MODW:0|ROLEW:10|HPD:6|HPW:1|POSS:5|HPOSD:30|AVGW:70|POSW:90|LASTW:45</t>
  </si>
  <si>
    <t>TW:30|MODW:0|ROLEW:10|HPD:6|HPW:1|POSS:5|HPOSD:25|AVGW:90|POSW:75|LASTW:35</t>
  </si>
  <si>
    <t>TW:34|MODW:5|ROLEW:15|HPD:8|HPW:2|POSS:5|HPOSD:30|AVGW:80|POSW:90|LASTW:45</t>
  </si>
  <si>
    <t>TW:34|MODW:5|ROLEW:15|HPD:6|HPW:2|POSS:5|HPOSD:30|AVGW:80|POSW:75|LASTW:45</t>
  </si>
  <si>
    <t>TW:34|MODW:5|ROLEW:15|HPD:6|HPW:2|POSS:5|HPOSD:25|AVGW:80|POSW:90|LASTW:25</t>
  </si>
  <si>
    <t>TW:34|MODW:5|ROLEW:15|HPD:6|HPW:1|POSS:5|HPOSD:25|AVGW:90|POSW:90|LASTW:45</t>
  </si>
  <si>
    <t>TW:34|MODW:5|ROLEW:10|HPD:6|HPW:2|POSS:5|HPOSD:25|AVGW:70|POSW:60|LASTW:35</t>
  </si>
  <si>
    <t>TW:34|MODW:5|ROLEW:10|HPD:6|HPW:1|POSS:5|HPOSD:30|AVGW:90|POSW:75|LASTW:45</t>
  </si>
  <si>
    <t>TW:34|MODW:0|ROLEW:15|HPD:6|HPW:1|POSS:5|HPOSD:30|AVGW:70|POSW:90|LASTW:35</t>
  </si>
  <si>
    <t>TW:34|MODW:0|ROLEW:10|HPD:8|HPW:1|POSS:5|HPOSD:30|AVGW:70|POSW:75|LASTW:35</t>
  </si>
  <si>
    <t>TW:34|MODW:0|ROLEW:10|HPD:8|HPW:1|POSS:5|HPOSD:20|AVGW:80|POSW:75|LASTW:45</t>
  </si>
  <si>
    <t>TW:34|MODW:0|ROLEW:10|HPD:6|HPW:2|POSS:5|HPOSD:30|AVGW:80|POSW:90|LASTW:25</t>
  </si>
  <si>
    <t>TW:34|MODW:0|ROLEW:10|HPD:6|HPW:2|POSS:5|HPOSD:30|AVGW:90|POSW:75|LASTW:35</t>
  </si>
  <si>
    <t>TW:34|MODW:0|ROLEW:10|HPD:6|HPW:2|POSS:5|HPOSD:25|AVGW:80|POSW:75|LASTW:25</t>
  </si>
  <si>
    <t>TW:32|MODW:5|ROLEW:15|HPD:6|HPW:2|POSS:5|HPOSD:25|AVGW:90|POSW:90|LASTW:45</t>
  </si>
  <si>
    <t>TW:32|MODW:5|ROLEW:15|HPD:6|HPW:2|POSS:5|HPOSD:25|AVGW:90|POSW:75|LASTW:45</t>
  </si>
  <si>
    <t>TW:32|MODW:5|ROLEW:15|HPD:6|HPW:1|POSS:5|HPOSD:30|AVGW:70|POSW:75|LASTW:25</t>
  </si>
  <si>
    <t>TW:32|MODW:5|ROLEW:10|HPD:8|HPW:2|POSS:5|HPOSD:25|AVGW:80|POSW:90|LASTW:35</t>
  </si>
  <si>
    <t>TW:32|MODW:5|ROLEW:10|HPD:8|HPW:1|POSS:5|HPOSD:25|AVGW:80|POSW:60|LASTW:35</t>
  </si>
  <si>
    <t>TW:32|MODW:5|ROLEW:10|HPD:8|HPW:1|POSS:5|HPOSD:25|AVGW:70|POSW:60|LASTW:25</t>
  </si>
  <si>
    <t>TW:32|MODW:5|ROLEW:10|HPD:6|HPW:1|POSS:5|HPOSD:30|AVGW:70|POSW:90|LASTW:25</t>
  </si>
  <si>
    <t>TW:32|MODW:0|ROLEW:10|HPD:6|HPW:2|POSS:5|HPOSD:30|AVGW:80|POSW:60|LASTW:35</t>
  </si>
  <si>
    <t>TW:30|MODW:5|ROLEW:15|HPD:8|HPW:2|POSS:5|HPOSD:30|AVGW:90|POSW:60|LASTW:35</t>
  </si>
  <si>
    <t>TW:30|MODW:5|ROLEW:15|HPD:8|HPW:2|POSS:5|HPOSD:25|AVGW:90|POSW:75|LASTW:35</t>
  </si>
  <si>
    <t>TW:30|MODW:5|ROLEW:15|HPD:8|HPW:1|POSS:5|HPOSD:25|AVGW:90|POSW:75|LASTW:35</t>
  </si>
  <si>
    <t>TW:30|MODW:5|ROLEW:15|HPD:6|HPW:2|POSS:5|HPOSD:30|AVGW:80|POSW:90|LASTW:25</t>
  </si>
  <si>
    <t>TW:30|MODW:5|ROLEW:10|HPD:8|HPW:2|POSS:5|HPOSD:30|AVGW:90|POSW:60|LASTW:25</t>
  </si>
  <si>
    <t>TW:30|MODW:5|ROLEW:10|HPD:8|HPW:2|POSS:5|HPOSD:25|AVGW:80|POSW:90|LASTW:45</t>
  </si>
  <si>
    <t>TW:30|MODW:5|ROLEW:10|HPD:8|HPW:1|POSS:5|HPOSD:25|AVGW:70|POSW:60|LASTW:35</t>
  </si>
  <si>
    <t>TW:30|MODW:5|ROLEW:10|HPD:6|HPW:2|POSS:5|HPOSD:30|AVGW:90|POSW:90|LASTW:35</t>
  </si>
  <si>
    <t>TW:30|MODW:5|ROLEW:10|HPD:6|HPW:1|POSS:5|HPOSD:25|AVGW:80|POSW:75|LASTW:35</t>
  </si>
  <si>
    <t>TW:30|MODW:5|ROLEW:10|HPD:6|HPW:1|POSS:5|HPOSD:20|AVGW:80|POSW:75|LASTW:25</t>
  </si>
  <si>
    <t>TW:30|MODW:0|ROLEW:15|HPD:8|HPW:1|POSS:5|HPOSD:25|AVGW:90|POSW:75|LASTW:35</t>
  </si>
  <si>
    <t>TW:30|MODW:0|ROLEW:15|HPD:6|HPW:2|POSS:5|HPOSD:30|AVGW:70|POSW:90|LASTW:45</t>
  </si>
  <si>
    <t>TW:30|MODW:0|ROLEW:15|HPD:6|HPW:2|POSS:5|HPOSD:30|AVGW:80|POSW:60|LASTW:25</t>
  </si>
  <si>
    <t>TW:30|MODW:0|ROLEW:15|HPD:6|HPW:1|POSS:5|HPOSD:30|AVGW:70|POSW:90|LASTW:35</t>
  </si>
  <si>
    <t>TW:30|MODW:0|ROLEW:10|HPD:6|HPW:2|POSS:5|HPOSD:30|AVGW:70|POSW:90|LASTW:25</t>
  </si>
  <si>
    <t>TW:30|MODW:0|ROLEW:10|HPD:6|HPW:2|POSS:5|HPOSD:30|AVGW:80|POSW:75|LASTW:45</t>
  </si>
  <si>
    <t>TW:30|MODW:0|ROLEW:10|HPD:6|HPW:2|POSS:5|HPOSD:30|AVGW:70|POSW:60|LASTW:45</t>
  </si>
  <si>
    <t>TW:30|MODW:0|ROLEW:10|HPD:6|HPW:1|POSS:5|HPOSD:25|AVGW:90|POSW:90|LASTW:35</t>
  </si>
  <si>
    <t>TW:30|MODW:0|ROLEW:10|HPD:6|HPW:1|POSS:5|HPOSD:25|AVGW:80|POSW:90|LASTW:25</t>
  </si>
  <si>
    <t>TW:34|MODW:5|ROLEW:15|HPD:8|HPW:1|POSS:5|HPOSD:30|AVGW:90|POSW:90|LASTW:35</t>
  </si>
  <si>
    <t>TW:34|MODW:5|ROLEW:15|HPD:8|HPW:1|POSS:5|HPOSD:30|AVGW:70|POSW:75|LASTW:25</t>
  </si>
  <si>
    <t>TW:34|MODW:5|ROLEW:15|HPD:8|HPW:1|POSS:5|HPOSD:25|AVGW:80|POSW:75|LASTW:35</t>
  </si>
  <si>
    <t>TW:34|MODW:5|ROLEW:10|HPD:8|HPW:2|POSS:5|HPOSD:30|AVGW:70|POSW:75|LASTW:35</t>
  </si>
  <si>
    <t>TW:34|MODW:5|ROLEW:10|HPD:8|HPW:1|POSS:5|HPOSD:25|AVGW:80|POSW:90|LASTW:35</t>
  </si>
  <si>
    <t>TW:34|MODW:5|ROLEW:10|HPD:8|HPW:1|POSS:5|HPOSD:25|AVGW:80|POSW:75|LASTW:45</t>
  </si>
  <si>
    <t>TW:34|MODW:0|ROLEW:15|HPD:8|HPW:2|POSS:5|HPOSD:25|AVGW:80|POSW:75|LASTW:25</t>
  </si>
  <si>
    <t>TW:34|MODW:0|ROLEW:15|HPD:8|HPW:2|POSS:5|HPOSD:20|AVGW:90|POSW:60|LASTW:35</t>
  </si>
  <si>
    <t>TW:34|MODW:0|ROLEW:15|HPD:8|HPW:1|POSS:5|HPOSD:20|AVGW:80|POSW:60|LASTW:45</t>
  </si>
  <si>
    <t>TW:34|MODW:0|ROLEW:15|HPD:6|HPW:2|POSS:5|HPOSD:30|AVGW:90|POSW:75|LASTW:25</t>
  </si>
  <si>
    <t>TW:34|MODW:0|ROLEW:10|HPD:8|HPW:1|POSS:5|HPOSD:30|AVGW:70|POSW:75|LASTW:25</t>
  </si>
  <si>
    <t>TW:34|MODW:0|ROLEW:10|HPD:8|HPW:1|POSS:5|HPOSD:25|AVGW:90|POSW:60|LASTW:25</t>
  </si>
  <si>
    <t>TW:34|MODW:0|ROLEW:10|HPD:8|HPW:1|POSS:5|HPOSD:20|AVGW:80|POSW:75|LASTW:35</t>
  </si>
  <si>
    <t>TW:34|MODW:0|ROLEW:10|HPD:6|HPW:1|POSS:5|HPOSD:30|AVGW:80|POSW:75|LASTW:35</t>
  </si>
  <si>
    <t>TW:32|MODW:5|ROLEW:15|HPD:6|HPW:2|POSS:5|HPOSD:30|AVGW:70|POSW:90|LASTW:35</t>
  </si>
  <si>
    <t>TW:32|MODW:5|ROLEW:15|HPD:6|HPW:2|POSS:5|HPOSD:30|AVGW:80|POSW:60|LASTW:45</t>
  </si>
  <si>
    <t>TW:32|MODW:5|ROLEW:10|HPD:8|HPW:1|POSS:5|HPOSD:30|AVGW:90|POSW:60|LASTW:25</t>
  </si>
  <si>
    <t>TW:32|MODW:5|ROLEW:10|HPD:8|HPW:1|POSS:5|HPOSD:25|AVGW:80|POSW:90|LASTW:25</t>
  </si>
  <si>
    <t>TW:32|MODW:5|ROLEW:10|HPD:6|HPW:2|POSS:5|HPOSD:25|AVGW:90|POSW:90|LASTW:45</t>
  </si>
  <si>
    <t>TW:32|MODW:0|ROLEW:15|HPD:8|HPW:2|POSS:5|HPOSD:30|AVGW:70|POSW:75|LASTW:45</t>
  </si>
  <si>
    <t>TW:32|MODW:0|ROLEW:15|HPD:8|HPW:1|POSS:5|HPOSD:20|AVGW:70|POSW:60|LASTW:35</t>
  </si>
  <si>
    <t>TW:32|MODW:0|ROLEW:15|HPD:6|HPW:1|POSS:5|HPOSD:25|AVGW:80|POSW:90|LASTW:25</t>
  </si>
  <si>
    <t>TW:32|MODW:0|ROLEW:15|HPD:6|HPW:1|POSS:5|HPOSD:25|AVGW:70|POSW:60|LASTW:35</t>
  </si>
  <si>
    <t>TW:32|MODW:0|ROLEW:10|HPD:8|HPW:2|POSS:5|HPOSD:30|AVGW:70|POSW:90|LASTW:35</t>
  </si>
  <si>
    <t>TW:32|MODW:0|ROLEW:10|HPD:8|HPW:1|POSS:5|HPOSD:30|AVGW:90|POSW:90|LASTW:35</t>
  </si>
  <si>
    <t>TW:32|MODW:0|ROLEW:10|HPD:6|HPW:2|POSS:5|HPOSD:30|AVGW:90|POSW:75|LASTW:35</t>
  </si>
  <si>
    <t>TW:32|MODW:0|ROLEW:10|HPD:6|HPW:2|POSS:5|HPOSD:25|AVGW:70|POSW:60|LASTW:35</t>
  </si>
  <si>
    <t>TW:30|MODW:5|ROLEW:15|HPD:8|HPW:1|POSS:5|HPOSD:30|AVGW:70|POSW:90|LASTW:45</t>
  </si>
  <si>
    <t>TW:30|MODW:5|ROLEW:15|HPD:6|HPW:2|POSS:5|HPOSD:30|AVGW:90|POSW:60|LASTW:45</t>
  </si>
  <si>
    <t>TW:30|MODW:5|ROLEW:15|HPD:6|HPW:2|POSS:5|HPOSD:25|AVGW:80|POSW:60|LASTW:25</t>
  </si>
  <si>
    <t>TW:30|MODW:5|ROLEW:15|HPD:6|HPW:1|POSS:5|HPOSD:30|AVGW:90|POSW:75|LASTW:25</t>
  </si>
  <si>
    <t>TW:30|MODW:5|ROLEW:10|HPD:8|HPW:2|POSS:5|HPOSD:30|AVGW:70|POSW:75|LASTW:35</t>
  </si>
  <si>
    <t>TW:30|MODW:5|ROLEW:10|HPD:8|HPW:2|POSS:5|HPOSD:30|AVGW:70|POSW:60|LASTW:45</t>
  </si>
  <si>
    <t>TW:30|MODW:5|ROLEW:10|HPD:8|HPW:1|POSS:5|HPOSD:25|AVGW:90|POSW:90|LASTW:35</t>
  </si>
  <si>
    <t>TW:30|MODW:0|ROLEW:15|HPD:6|HPW:2|POSS:5|HPOSD:30|AVGW:70|POSW:90|LASTW:25</t>
  </si>
  <si>
    <t>TW:30|MODW:0|ROLEW:15|HPD:6|HPW:1|POSS:5|HPOSD:30|AVGW:80|POSW:90|LASTW:45</t>
  </si>
  <si>
    <t>TW:30|MODW:0|ROLEW:10|HPD:6|HPW:2|POSS:5|HPOSD:30|AVGW:90|POSW:75|LASTW:45</t>
  </si>
  <si>
    <t>TW:30|MODW:0|ROLEW:10|HPD:6|HPW:2|POSS:5|HPOSD:25|AVGW:90|POSW:60|LASTW:25</t>
  </si>
  <si>
    <t>TW:30|MODW:0|ROLEW:10|HPD:6|HPW:1|POSS:5|HPOSD:30|AVGW:80|POSW:90|LASTW:45</t>
  </si>
  <si>
    <t>TW:30|MODW:0|ROLEW:10|HPD:6|HPW:1|POSS:5|HPOSD:25|AVGW:90|POSW:75|LASTW:45</t>
  </si>
  <si>
    <t>TW:34|MODW:5|ROLEW:15|HPD:8|HPW:1|POSS:5|HPOSD:25|AVGW:80|POSW:75|LASTW:45</t>
  </si>
  <si>
    <t>TW:34|MODW:5|ROLEW:10|HPD:8|HPW:1|POSS:5|HPOSD:30|AVGW:80|POSW:75|LASTW:25</t>
  </si>
  <si>
    <t>TW:34|MODW:5|ROLEW:10|HPD:8|HPW:1|POSS:5|HPOSD:20|AVGW:90|POSW:60|LASTW:35</t>
  </si>
  <si>
    <t>TW:34|MODW:5|ROLEW:10|HPD:6|HPW:2|POSS:5|HPOSD:30|AVGW:90|POSW:90|LASTW:45</t>
  </si>
  <si>
    <t>TW:34|MODW:5|ROLEW:10|HPD:6|HPW:2|POSS:5|HPOSD:30|AVGW:80|POSW:90|LASTW:45</t>
  </si>
  <si>
    <t>TW:34|MODW:5|ROLEW:10|HPD:6|HPW:2|POSS:5|HPOSD:30|AVGW:90|POSW:75|LASTW:35</t>
  </si>
  <si>
    <t>TW:34|MODW:5|ROLEW:10|HPD:6|HPW:1|POSS:5|HPOSD:30|AVGW:70|POSW:75|LASTW:25</t>
  </si>
  <si>
    <t>TW:34|MODW:5|ROLEW:10|HPD:6|HPW:1|POSS:5|HPOSD:25|AVGW:90|POSW:60|LASTW:45</t>
  </si>
  <si>
    <t>TW:34|MODW:0|ROLEW:15|HPD:8|HPW:2|POSS:5|HPOSD:30|AVGW:90|POSW:60|LASTW:25</t>
  </si>
  <si>
    <t>TW:34|MODW:0|ROLEW:15|HPD:8|HPW:2|POSS:5|HPOSD:25|AVGW:70|POSW:75|LASTW:35</t>
  </si>
  <si>
    <t>TW:34|MODW:0|ROLEW:15|HPD:8|HPW:2|POSS:5|HPOSD:20|AVGW:80|POSW:60|LASTW:45</t>
  </si>
  <si>
    <t>TW:34|MODW:0|ROLEW:15|HPD:6|HPW:1|POSS:5|HPOSD:25|AVGW:70|POSW:90|LASTW:25</t>
  </si>
  <si>
    <t>TW:34|MODW:0|ROLEW:10|HPD:8|HPW:2|POSS:5|HPOSD:25|AVGW:90|POSW:75|LASTW:35</t>
  </si>
  <si>
    <t>TW:34|MODW:0|ROLEW:10|HPD:8|HPW:1|POSS:5|HPOSD:30|AVGW:70|POSW:90|LASTW:45</t>
  </si>
  <si>
    <t>TW:34|MODW:0|ROLEW:10|HPD:6|HPW:2|POSS:5|HPOSD:30|AVGW:70|POSW:90|LASTW:35</t>
  </si>
  <si>
    <t>TW:34|MODW:0|ROLEW:10|HPD:6|HPW:2|POSS:5|HPOSD:25|AVGW:80|POSW:60|LASTW:25</t>
  </si>
  <si>
    <t>TW:34|MODW:0|ROLEW:10|HPD:6|HPW:1|POSS:5|HPOSD:30|AVGW:70|POSW:75|LASTW:25</t>
  </si>
  <si>
    <t>TW:34|MODW:0|ROLEW:10|HPD:6|HPW:1|POSS:5|HPOSD:25|AVGW:90|POSW:75|LASTW:35</t>
  </si>
  <si>
    <t>TW:32|MODW:5|ROLEW:15|HPD:8|HPW:1|POSS:5|HPOSD:25|AVGW:80|POSW:90|LASTW:25</t>
  </si>
  <si>
    <t>TW:32|MODW:5|ROLEW:15|HPD:6|HPW:1|POSS:5|HPOSD:25|AVGW:70|POSW:90|LASTW:45</t>
  </si>
  <si>
    <t>TW:32|MODW:0|ROLEW:15|HPD:6|HPW:2|POSS:5|HPOSD:30|AVGW:70|POSW:60|LASTW:35</t>
  </si>
  <si>
    <t>TW:32|MODW:0|ROLEW:10|HPD:8|HPW:2|POSS:5|HPOSD:30|AVGW:70|POSW:75|LASTW:35</t>
  </si>
  <si>
    <t>TW:32|MODW:0|ROLEW:10|HPD:8|HPW:2|POSS:5|HPOSD:30|AVGW:70|POSW:60|LASTW:25</t>
  </si>
  <si>
    <t>TW:32|MODW:0|ROLEW:10|HPD:8|HPW:2|POSS:5|HPOSD:25|AVGW:80|POSW:60|LASTW:25</t>
  </si>
  <si>
    <t>TW:32|MODW:0|ROLEW:10|HPD:8|HPW:2|POSS:5|HPOSD:20|AVGW:80|POSW:60|LASTW:35</t>
  </si>
  <si>
    <t>TW:32|MODW:0|ROLEW:10|HPD:8|HPW:1|POSS:5|HPOSD:20|AVGW:70|POSW:60|LASTW:35</t>
  </si>
  <si>
    <t>TW:32|MODW:0|ROLEW:10|HPD:6|HPW:2|POSS:5|HPOSD:25|AVGW:70|POSW:60|LASTW:45</t>
  </si>
  <si>
    <t>TW:32|MODW:0|ROLEW:10|HPD:6|HPW:1|POSS:5|HPOSD:30|AVGW:90|POSW:90|LASTW:35</t>
  </si>
  <si>
    <t>TW:32|MODW:0|ROLEW:10|HPD:6|HPW:1|POSS:5|HPOSD:30|AVGW:90|POSW:75|LASTW:45</t>
  </si>
  <si>
    <t>TW:30|MODW:5|ROLEW:15|HPD:8|HPW:2|POSS:5|HPOSD:30|AVGW:80|POSW:60|LASTW:45</t>
  </si>
  <si>
    <t>TW:30|MODW:5|ROLEW:15|HPD:8|HPW:1|POSS:5|HPOSD:30|AVGW:90|POSW:90|LASTW:35</t>
  </si>
  <si>
    <t>TW:30|MODW:5|ROLEW:15|HPD:6|HPW:2|POSS:5|HPOSD:30|AVGW:80|POSW:60|LASTW:45</t>
  </si>
  <si>
    <t>TW:30|MODW:5|ROLEW:15|HPD:6|HPW:1|POSS:5|HPOSD:25|AVGW:90|POSW:90|LASTW:45</t>
  </si>
  <si>
    <t>TW:30|MODW:5|ROLEW:10|HPD:8|HPW:2|POSS:5|HPOSD:30|AVGW:90|POSW:60|LASTW:45</t>
  </si>
  <si>
    <t>TW:30|MODW:5|ROLEW:10|HPD:8|HPW:1|POSS:5|HPOSD:30|AVGW:80|POSW:90|LASTW:35</t>
  </si>
  <si>
    <t>TW:30|MODW:5|ROLEW:10|HPD:6|HPW:2|POSS:5|HPOSD:25|AVGW:90|POSW:60|LASTW:25</t>
  </si>
  <si>
    <t>TW:30|MODW:5|ROLEW:10|HPD:6|HPW:1|POSS:5|HPOSD:30|AVGW:90|POSW:90|LASTW:45</t>
  </si>
  <si>
    <t>TW:30|MODW:5|ROLEW:10|HPD:6|HPW:1|POSS:5|HPOSD:30|AVGW:90|POSW:90|LASTW:35</t>
  </si>
  <si>
    <t>TW:30|MODW:5|ROLEW:10|HPD:6|HPW:1|POSS:5|HPOSD:30|AVGW:90|POSW:75|LASTW:45</t>
  </si>
  <si>
    <t>TW:30|MODW:0|ROLEW:15|HPD:6|HPW:2|POSS:5|HPOSD:30|AVGW:80|POSW:60|LASTW:35</t>
  </si>
  <si>
    <t>TW:30|MODW:0|ROLEW:15|HPD:6|HPW:2|POSS:5|HPOSD:25|AVGW:70|POSW:60|LASTW:35</t>
  </si>
  <si>
    <t>TW:30|MODW:0|ROLEW:15|HPD:6|HPW:1|POSS:5|HPOSD:30|AVGW:90|POSW:75|LASTW:25</t>
  </si>
  <si>
    <t>TW:30|MODW:0|ROLEW:15|HPD:6|HPW:1|POSS:5|HPOSD:25|AVGW:90|POSW:90|LASTW:25</t>
  </si>
  <si>
    <t>TW:30|MODW:0|ROLEW:10|HPD:8|HPW:1|POSS:5|HPOSD:30|AVGW:90|POSW:90|LASTW:45</t>
  </si>
  <si>
    <t>TW:30|MODW:0|ROLEW:10|HPD:8|HPW:1|POSS:5|HPOSD:25|AVGW:90|POSW:90|LASTW:35</t>
  </si>
  <si>
    <t>TW:30|MODW:0|ROLEW:10|HPD:6|HPW:2|POSS:5|HPOSD:30|AVGW:90|POSW:75|LASTW:35</t>
  </si>
  <si>
    <t>TW:30|MODW:0|ROLEW:10|HPD:6|HPW:1|POSS:5|HPOSD:30|AVGW:70|POSW:75|LASTW:35</t>
  </si>
  <si>
    <t>TW:30|MODW:0|ROLEW:10|HPD:6|HPW:1|POSS:5|HPOSD:25|AVGW:70|POSW:90|LASTW:45</t>
  </si>
  <si>
    <t>TW:34|MODW:5|ROLEW:15|HPD:8|HPW:1|POSS:5|HPOSD:25|AVGW:70|POSW:75|LASTW:45</t>
  </si>
  <si>
    <t>TW:34|MODW:5|ROLEW:15|HPD:6|HPW:1|POSS:5|HPOSD:30|AVGW:80|POSW:60|LASTW:45</t>
  </si>
  <si>
    <t>TW:34|MODW:0|ROLEW:15|HPD:8|HPW:2|POSS:5|HPOSD:30|AVGW:70|POSW:60|LASTW:35</t>
  </si>
  <si>
    <t>TW:34|MODW:0|ROLEW:15|HPD:8|HPW:2|POSS:5|HPOSD:25|AVGW:70|POSW:60|LASTW:45</t>
  </si>
  <si>
    <t>TW:34|MODW:0|ROLEW:15|HPD:8|HPW:1|POSS:5|HPOSD:30|AVGW:80|POSW:75|LASTW:25</t>
  </si>
  <si>
    <t>TW:34|MODW:0|ROLEW:15|HPD:6|HPW:1|POSS:5|HPOSD:25|AVGW:80|POSW:60|LASTW:35</t>
  </si>
  <si>
    <t>TW:34|MODW:0|ROLEW:10|HPD:8|HPW:2|POSS:5|HPOSD:30|AVGW:90|POSW:60|LASTW:45</t>
  </si>
  <si>
    <t>TW:34|MODW:0|ROLEW:10|HPD:8|HPW:1|POSS:5|HPOSD:30|AVGW:90|POSW:75|LASTW:45</t>
  </si>
  <si>
    <t>TW:34|MODW:0|ROLEW:10|HPD:6|HPW:1|POSS:5|HPOSD:25|AVGW:70|POSW:90|LASTW:45</t>
  </si>
  <si>
    <t>TW:32|MODW:5|ROLEW:15|HPD:6|HPW:1|POSS:5|HPOSD:30|AVGW:80|POSW:90|LASTW:25</t>
  </si>
  <si>
    <t>TW:32|MODW:5|ROLEW:15|HPD:6|HPW:1|POSS:5|HPOSD:25|AVGW:80|POSW:75|LASTW:35</t>
  </si>
  <si>
    <t>TW:32|MODW:5|ROLEW:10|HPD:8|HPW:2|POSS:5|HPOSD:30|AVGW:80|POSW:75|LASTW:35</t>
  </si>
  <si>
    <t>TW:32|MODW:5|ROLEW:10|HPD:8|HPW:2|POSS:5|HPOSD:30|AVGW:90|POSW:60|LASTW:35</t>
  </si>
  <si>
    <t>TW:32|MODW:5|ROLEW:10|HPD:8|HPW:1|POSS:5|HPOSD:20|AVGW:80|POSW:60|LASTW:45</t>
  </si>
  <si>
    <t>TW:32|MODW:5|ROLEW:10|HPD:6|HPW:2|POSS:5|HPOSD:30|AVGW:80|POSW:90|LASTW:35</t>
  </si>
  <si>
    <t>TW:32|MODW:5|ROLEW:10|HPD:6|HPW:2|POSS:5|HPOSD:30|AVGW:80|POSW:75|LASTW:45</t>
  </si>
  <si>
    <t>TW:32|MODW:5|ROLEW:10|HPD:6|HPW:2|POSS:5|HPOSD:30|AVGW:90|POSW:60|LASTW:45</t>
  </si>
  <si>
    <t>TW:32|MODW:5|ROLEW:10|HPD:6|HPW:2|POSS:5|HPOSD:30|AVGW:80|POSW:60|LASTW:35</t>
  </si>
  <si>
    <t>TW:32|MODW:5|ROLEW:10|HPD:6|HPW:1|POSS:5|HPOSD:25|AVGW:80|POSW:75|LASTW:35</t>
  </si>
  <si>
    <t>TW:32|MODW:0|ROLEW:15|HPD:8|HPW:2|POSS:5|HPOSD:25|AVGW:70|POSW:75|LASTW:45</t>
  </si>
  <si>
    <t>TW:32|MODW:0|ROLEW:15|HPD:8|HPW:2|POSS:5|HPOSD:20|AVGW:90|POSW:60|LASTW:45</t>
  </si>
  <si>
    <t>TW:32|MODW:0|ROLEW:15|HPD:6|HPW:1|POSS:5|HPOSD:30|AVGW:80|POSW:90|LASTW:35</t>
  </si>
  <si>
    <t>TW:32|MODW:0|ROLEW:15|HPD:6|HPW:1|POSS:5|HPOSD:30|AVGW:80|POSW:60|LASTW:45</t>
  </si>
  <si>
    <t>TW:32|MODW:0|ROLEW:15|HPD:6|HPW:1|POSS:5|HPOSD:25|AVGW:90|POSW:90|LASTW:45</t>
  </si>
  <si>
    <t>TW:32|MODW:0|ROLEW:15|HPD:6|HPW:1|POSS:5|HPOSD:20|AVGW:90|POSW:60|LASTW:25</t>
  </si>
  <si>
    <t>TW:32|MODW:0|ROLEW:10|HPD:8|HPW:2|POSS:5|HPOSD:20|AVGW:70|POSW:60|LASTW:45</t>
  </si>
  <si>
    <t>TW:32|MODW:0|ROLEW:10|HPD:8|HPW:1|POSS:5|HPOSD:25|AVGW:70|POSW:60|LASTW:45</t>
  </si>
  <si>
    <t>TW:32|MODW:0|ROLEW:10|HPD:6|HPW:1|POSS:5|HPOSD:30|AVGW:90|POSW:75|LASTW:35</t>
  </si>
  <si>
    <t>TW:30|MODW:5|ROLEW:15|HPD:6|HPW:2|POSS:5|HPOSD:30|AVGW:70|POSW:90|LASTW:25</t>
  </si>
  <si>
    <t>TW:30|MODW:5|ROLEW:15|HPD:6|HPW:1|POSS:5|HPOSD:30|AVGW:70|POSW:90|LASTW:25</t>
  </si>
  <si>
    <t>TW:30|MODW:5|ROLEW:15|HPD:6|HPW:1|POSS:5|HPOSD:30|AVGW:90|POSW:60|LASTW:35</t>
  </si>
  <si>
    <t>TW:30|MODW:5|ROLEW:15|HPD:6|HPW:1|POSS:5|HPOSD:25|AVGW:80|POSW:75|LASTW:25</t>
  </si>
  <si>
    <t>TW:30|MODW:5|ROLEW:10|HPD:8|HPW:1|POSS:5|HPOSD:25|AVGW:70|POSW:75|LASTW:25</t>
  </si>
  <si>
    <t>TW:30|MODW:5|ROLEW:10|HPD:6|HPW:2|POSS:5|HPOSD:30|AVGW:90|POSW:90|LASTW:45</t>
  </si>
  <si>
    <t>TW:30|MODW:5|ROLEW:10|HPD:6|HPW:1|POSS:5|HPOSD:30|AVGW:80|POSW:60|LASTW:45</t>
  </si>
  <si>
    <t>TW:30|MODW:0|ROLEW:15|HPD:8|HPW:2|POSS:5|HPOSD:30|AVGW:80|POSW:60|LASTW:25</t>
  </si>
  <si>
    <t>TW:30|MODW:0|ROLEW:15|HPD:8|HPW:1|POSS:5|HPOSD:20|AVGW:80|POSW:60|LASTW:45</t>
  </si>
  <si>
    <t>TW:30|MODW:0|ROLEW:15|HPD:8|HPW:1|POSS:5|HPOSD:20|AVGW:70|POSW:60|LASTW:35</t>
  </si>
  <si>
    <t>TW:30|MODW:0|ROLEW:10|HPD:8|HPW:2|POSS:5|HPOSD:30|AVGW:70|POSW:90|LASTW:45</t>
  </si>
  <si>
    <t>TW:30|MODW:0|ROLEW:10|HPD:8|HPW:1|POSS:5|HPOSD:25|AVGW:80|POSW:90|LASTW:45</t>
  </si>
  <si>
    <t>TW:30|MODW:0|ROLEW:10|HPD:8|HPW:1|POSS:5|HPOSD:25|AVGW:90|POSW:75|LASTW:35</t>
  </si>
  <si>
    <t>TW:30|MODW:0|ROLEW:10|HPD:6|HPW:2|POSS:5|HPOSD:30|AVGW:90|POSW:90|LASTW:25</t>
  </si>
  <si>
    <t>TW:30|MODW:0|ROLEW:10|HPD:6|HPW:1|POSS:5|HPOSD:25|AVGW:90|POSW:75|LASTW:25</t>
  </si>
  <si>
    <t>TW:34|MODW:5|ROLEW:15|HPD:8|HPW:2|POSS:5|HPOSD:25|AVGW:70|POSW:60|LASTW:25</t>
  </si>
  <si>
    <t>TW:34|MODW:5|ROLEW:15|HPD:8|HPW:1|POSS:5|HPOSD:25|AVGW:70|POSW:75|LASTW:35</t>
  </si>
  <si>
    <t>TW:34|MODW:5|ROLEW:15|HPD:6|HPW:2|POSS:5|HPOSD:25|AVGW:70|POSW:90|LASTW:35</t>
  </si>
  <si>
    <t>TW:34|MODW:5|ROLEW:15|HPD:6|HPW:2|POSS:5|HPOSD:25|AVGW:80|POSW:75|LASTW:45</t>
  </si>
  <si>
    <t>TW:34|MODW:5|ROLEW:15|HPD:6|HPW:2|POSS:5|HPOSD:25|AVGW:70|POSW:60|LASTW:25</t>
  </si>
  <si>
    <t>TW:34|MODW:5|ROLEW:15|HPD:6|HPW:1|POSS:5|HPOSD:25|AVGW:80|POSW:60|LASTW:45</t>
  </si>
  <si>
    <t>TW:34|MODW:5|ROLEW:10|HPD:8|HPW:2|POSS:5|HPOSD:25|AVGW:70|POSW:60|LASTW:35</t>
  </si>
  <si>
    <t>TW:34|MODW:5|ROLEW:10|HPD:6|HPW:2|POSS:5|HPOSD:30|AVGW:80|POSW:75|LASTW:35</t>
  </si>
  <si>
    <t>TW:34|MODW:5|ROLEW:10|HPD:6|HPW:2|POSS:5|HPOSD:30|AVGW:70|POSW:60|LASTW:25</t>
  </si>
  <si>
    <t>TW:34|MODW:5|ROLEW:10|HPD:6|HPW:2|POSS:5|HPOSD:25|AVGW:70|POSW:75|LASTW:45</t>
  </si>
  <si>
    <t>TW:34|MODW:5|ROLEW:10|HPD:6|HPW:2|POSS:5|HPOSD:25|AVGW:70|POSW:60|LASTW:25</t>
  </si>
  <si>
    <t>TW:34|MODW:5|ROLEW:10|HPD:6|HPW:1|POSS:5|HPOSD:25|AVGW:80|POSW:90|LASTW:35</t>
  </si>
  <si>
    <t>TW:34|MODW:5|ROLEW:10|HPD:6|HPW:1|POSS:5|HPOSD:25|AVGW:70|POSW:75|LASTW:45</t>
  </si>
  <si>
    <t>TW:34|MODW:5|ROLEW:10|HPD:6|HPW:1|POSS:5|HPOSD:25|AVGW:70|POSW:60|LASTW:25</t>
  </si>
  <si>
    <t>TW:34|MODW:0|ROLEW:15|HPD:8|HPW:2|POSS:5|HPOSD:25|AVGW:90|POSW:75|LASTW:45</t>
  </si>
  <si>
    <t>TW:34|MODW:0|ROLEW:15|HPD:6|HPW:2|POSS:5|HPOSD:30|AVGW:80|POSW:90|LASTW:35</t>
  </si>
  <si>
    <t>TW:34|MODW:0|ROLEW:15|HPD:6|HPW:2|POSS:5|HPOSD:25|AVGW:80|POSW:60|LASTW:45</t>
  </si>
  <si>
    <t>TW:34|MODW:0|ROLEW:10|HPD:8|HPW:2|POSS:5|HPOSD:30|AVGW:90|POSW:75|LASTW:45</t>
  </si>
  <si>
    <t>TW:34|MODW:0|ROLEW:10|HPD:8|HPW:2|POSS:5|HPOSD:25|AVGW:70|POSW:60|LASTW:45</t>
  </si>
  <si>
    <t>TW:34|MODW:0|ROLEW:10|HPD:8|HPW:1|POSS:5|HPOSD:30|AVGW:90|POSW:75|LASTW:35</t>
  </si>
  <si>
    <t>TW:34|MODW:0|ROLEW:10|HPD:8|HPW:1|POSS:5|HPOSD:20|AVGW:90|POSW:60|LASTW:35</t>
  </si>
  <si>
    <t>TW:34|MODW:0|ROLEW:10|HPD:6|HPW:2|POSS:5|HPOSD:25|AVGW:70|POSW:90|LASTW:35</t>
  </si>
  <si>
    <t>TW:34|MODW:0|ROLEW:10|HPD:6|HPW:2|POSS:5|HPOSD:25|AVGW:70|POSW:75|LASTW:45</t>
  </si>
  <si>
    <t>TW:34|MODW:0|ROLEW:10|HPD:6|HPW:1|POSS:5|HPOSD:25|AVGW:80|POSW:90|LASTW:35</t>
  </si>
  <si>
    <t>TW:34|MODW:0|ROLEW:10|HPD:6|HPW:1|POSS:5|HPOSD:25|AVGW:80|POSW:60|LASTW:35</t>
  </si>
  <si>
    <t>TW:32|MODW:5|ROLEW:15|HPD:8|HPW:2|POSS:5|HPOSD:25|AVGW:80|POSW:75|LASTW:45</t>
  </si>
  <si>
    <t>TW:32|MODW:5|ROLEW:15|HPD:6|HPW:1|POSS:5|HPOSD:30|AVGW:80|POSW:60|LASTW:25</t>
  </si>
  <si>
    <t>TW:32|MODW:5|ROLEW:15|HPD:6|HPW:1|POSS:5|HPOSD:25|AVGW:70|POSW:90|LASTW:25</t>
  </si>
  <si>
    <t>TW:32|MODW:5|ROLEW:10|HPD:6|HPW:2|POSS:5|HPOSD:30|AVGW:70|POSW:90|LASTW:45</t>
  </si>
  <si>
    <t>TW:32|MODW:5|ROLEW:10|HPD:6|HPW:1|POSS:5|HPOSD:25|AVGW:90|POSW:60|LASTW:35</t>
  </si>
  <si>
    <t>TW:32|MODW:5|ROLEW:10|HPD:6|HPW:1|POSS:5|HPOSD:20|AVGW:90|POSW:75|LASTW:25</t>
  </si>
  <si>
    <t>TW:32|MODW:5|ROLEW:10|HPD:6|HPW:1|POSS:5|HPOSD:20|AVGW:80|POSW:60|LASTW:25</t>
  </si>
  <si>
    <t>TW:32|MODW:0|ROLEW:15|HPD:8|HPW:2|POSS:5|HPOSD:30|AVGW:90|POSW:75|LASTW:35</t>
  </si>
  <si>
    <t>TW:32|MODW:0|ROLEW:15|HPD:8|HPW:1|POSS:5|HPOSD:25|AVGW:70|POSW:90|LASTW:25</t>
  </si>
  <si>
    <t>TW:32|MODW:0|ROLEW:15|HPD:8|HPW:1|POSS:5|HPOSD:25|AVGW:70|POSW:60|LASTW:45</t>
  </si>
  <si>
    <t>TW:32|MODW:0|ROLEW:15|HPD:6|HPW:2|POSS:5|HPOSD:30|AVGW:70|POSW:90|LASTW:25</t>
  </si>
  <si>
    <t>TW:32|MODW:0|ROLEW:15|HPD:6|HPW:1|POSS:5|HPOSD:30|AVGW:80|POSW:75|LASTW:35</t>
  </si>
  <si>
    <t>TW:32|MODW:0|ROLEW:10|HPD:8|HPW:2|POSS:5|HPOSD:25|AVGW:70|POSW:90|LASTW:35</t>
  </si>
  <si>
    <t>TW:32|MODW:0|ROLEW:10|HPD:8|HPW:1|POSS:5|HPOSD:25|AVGW:80|POSW:60|LASTW:35</t>
  </si>
  <si>
    <t>TW:32|MODW:0|ROLEW:10|HPD:6|HPW:2|POSS:5|HPOSD:25|AVGW:70|POSW:75|LASTW:45</t>
  </si>
  <si>
    <t>TW:30|MODW:5|ROLEW:15|HPD:8|HPW:2|POSS:5|HPOSD:25|AVGW:70|POSW:75|LASTW:35</t>
  </si>
  <si>
    <t>TW:30|MODW:5|ROLEW:15|HPD:8|HPW:2|POSS:5|HPOSD:25|AVGW:80|POSW:60|LASTW:35</t>
  </si>
  <si>
    <t>TW:30|MODW:5|ROLEW:15|HPD:8|HPW:1|POSS:5|HPOSD:25|AVGW:80|POSW:90|LASTW:45</t>
  </si>
  <si>
    <t>TW:30|MODW:5|ROLEW:15|HPD:8|HPW:1|POSS:5|HPOSD:25|AVGW:90|POSW:75|LASTW:45</t>
  </si>
  <si>
    <t>TW:30|MODW:5|ROLEW:15|HPD:8|HPW:1|POSS:5|HPOSD:25|AVGW:80|POSW:60|LASTW:25</t>
  </si>
  <si>
    <t>TW:30|MODW:5|ROLEW:10|HPD:8|HPW:2|POSS:5|HPOSD:25|AVGW:80|POSW:75|LASTW:45</t>
  </si>
  <si>
    <t>TW:30|MODW:5|ROLEW:10|HPD:8|HPW:2|POSS:5|HPOSD:20|AVGW:90|POSW:60|LASTW:45</t>
  </si>
  <si>
    <t>TW:30|MODW:5|ROLEW:10|HPD:8|HPW:2|POSS:5|HPOSD:20|AVGW:80|POSW:60|LASTW:35</t>
  </si>
  <si>
    <t>TW:30|MODW:5|ROLEW:10|HPD:6|HPW:1|POSS:5|HPOSD:30|AVGW:70|POSW:60|LASTW:25</t>
  </si>
  <si>
    <t>TW:30|MODW:5|ROLEW:10|HPD:6|HPW:1|POSS:5|HPOSD:25|AVGW:80|POSW:90|LASTW:35</t>
  </si>
  <si>
    <t>TW:30|MODW:0|ROLEW:15|HPD:8|HPW:1|POSS:5|HPOSD:30|AVGW:90|POSW:90|LASTW:35</t>
  </si>
  <si>
    <t>TW:30|MODW:0|ROLEW:15|HPD:8|HPW:1|POSS:5|HPOSD:25|AVGW:70|POSW:60|LASTW:25</t>
  </si>
  <si>
    <t>TW:30|MODW:0|ROLEW:15|HPD:6|HPW:2|POSS:5|HPOSD:25|AVGW:90|POSW:75|LASTW:25</t>
  </si>
  <si>
    <t>TW:30|MODW:0|ROLEW:10|HPD:6|HPW:2|POSS:5|HPOSD:30|AVGW:80|POSW:90|LASTW:35</t>
  </si>
  <si>
    <t>TW:30|MODW:0|ROLEW:10|HPD:6|HPW:2|POSS:5|HPOSD:30|AVGW:70|POSW:75|LASTW:25</t>
  </si>
  <si>
    <t>TW:30|MODW:0|ROLEW:10|HPD:6|HPW:1|POSS:5|HPOSD:30|AVGW:80|POSW:75|LASTW:35</t>
  </si>
  <si>
    <t>TW:30|MODW:0|ROLEW:10|HPD:6|HPW:1|POSS:5|HPOSD:25|AVGW:70|POSW:90|LASTW:25</t>
  </si>
  <si>
    <t>TW:34|MODW:5|ROLEW:15|HPD:6|HPW:1|POSS:5|HPOSD:30|AVGW:70|POSW:75|LASTW:45</t>
  </si>
  <si>
    <t>TW:34|MODW:5|ROLEW:10|HPD:8|HPW:2|POSS:5|HPOSD:20|AVGW:80|POSW:60|LASTW:45</t>
  </si>
  <si>
    <t>TW:34|MODW:5|ROLEW:10|HPD:8|HPW:1|POSS:5|HPOSD:30|AVGW:80|POSW:90|LASTW:35</t>
  </si>
  <si>
    <t>TW:34|MODW:5|ROLEW:10|HPD:8|HPW:1|POSS:5|HPOSD:25|AVGW:70|POSW:60|LASTW:45</t>
  </si>
  <si>
    <t>TW:34|MODW:0|ROLEW:15|HPD:8|HPW:1|POSS:5|HPOSD:25|AVGW:80|POSW:60|LASTW:35</t>
  </si>
  <si>
    <t>TW:34|MODW:0|ROLEW:15|HPD:6|HPW:2|POSS:5|HPOSD:25|AVGW:90|POSW:90|LASTW:35</t>
  </si>
  <si>
    <t>TW:34|MODW:0|ROLEW:15|HPD:6|HPW:1|POSS:5|HPOSD:25|AVGW:90|POSW:90|LASTW:45</t>
  </si>
  <si>
    <t>TW:34|MODW:0|ROLEW:10|HPD:6|HPW:2|POSS:5|HPOSD:30|AVGW:70|POSW:75|LASTW:25</t>
  </si>
  <si>
    <t>TW:34|MODW:0|ROLEW:10|HPD:6|HPW:1|POSS:5|HPOSD:30|AVGW:90|POSW:60|LASTW:35</t>
  </si>
  <si>
    <t>TW:34|MODW:0|ROLEW:10|HPD:6|HPW:1|POSS:5|HPOSD:25|AVGW:90|POSW:60|LASTW:45</t>
  </si>
  <si>
    <t>TW:34|MODW:0|ROLEW:10|HPD:6|HPW:1|POSS:5|HPOSD:20|AVGW:90|POSW:60|LASTW:25</t>
  </si>
  <si>
    <t>TW:32|MODW:5|ROLEW:15|HPD:6|HPW:2|POSS:5|HPOSD:30|AVGW:70|POSW:60|LASTW:45</t>
  </si>
  <si>
    <t>TW:32|MODW:5|ROLEW:15|HPD:6|HPW:2|POSS:5|HPOSD:25|AVGW:80|POSW:60|LASTW:25</t>
  </si>
  <si>
    <t>TW:32|MODW:5|ROLEW:15|HPD:6|HPW:1|POSS:5|HPOSD:30|AVGW:80|POSW:75|LASTW:35</t>
  </si>
  <si>
    <t>TW:32|MODW:5|ROLEW:15|HPD:6|HPW:1|POSS:5|HPOSD:25|AVGW:90|POSW:60|LASTW:35</t>
  </si>
  <si>
    <t>TW:32|MODW:5|ROLEW:10|HPD:8|HPW:2|POSS:5|HPOSD:25|AVGW:80|POSW:75|LASTW:45</t>
  </si>
  <si>
    <t>TW:32|MODW:0|ROLEW:15|HPD:8|HPW:2|POSS:5|HPOSD:25|AVGW:80|POSW:90|LASTW:45</t>
  </si>
  <si>
    <t>TW:32|MODW:0|ROLEW:15|HPD:8|HPW:1|POSS:5|HPOSD:30|AVGW:70|POSW:60|LASTW:25</t>
  </si>
  <si>
    <t>TW:32|MODW:0|ROLEW:15|HPD:6|HPW:2|POSS:5|HPOSD:25|AVGW:80|POSW:60|LASTW:35</t>
  </si>
  <si>
    <t>TW:32|MODW:0|ROLEW:15|HPD:6|HPW:1|POSS:5|HPOSD:20|AVGW:70|POSW:75|LASTW:45</t>
  </si>
  <si>
    <t>TW:32|MODW:0|ROLEW:10|HPD:8|HPW:1|POSS:5|HPOSD:30|AVGW:80|POSW:90|LASTW:45</t>
  </si>
  <si>
    <t>TW:32|MODW:0|ROLEW:10|HPD:6|HPW:2|POSS:5|HPOSD:30|AVGW:70|POSW:75|LASTW:45</t>
  </si>
  <si>
    <t>TW:32|MODW:0|ROLEW:10|HPD:6|HPW:2|POSS:5|HPOSD:25|AVGW:70|POSW:75|LASTW:25</t>
  </si>
  <si>
    <t>TW:32|MODW:0|ROLEW:10|HPD:6|HPW:1|POSS:5|HPOSD:30|AVGW:90|POSW:60|LASTW:35</t>
  </si>
  <si>
    <t>TW:32|MODW:0|ROLEW:10|HPD:6|HPW:1|POSS:5|HPOSD:30|AVGW:80|POSW:60|LASTW:45</t>
  </si>
  <si>
    <t>TW:32|MODW:0|ROLEW:10|HPD:6|HPW:1|POSS:5|HPOSD:25|AVGW:90|POSW:90|LASTW:35</t>
  </si>
  <si>
    <t>TW:30|MODW:5|ROLEW:15|HPD:8|HPW:2|POSS:5|HPOSD:25|AVGW:90|POSW:75|LASTW:45</t>
  </si>
  <si>
    <t>TW:30|MODW:5|ROLEW:15|HPD:8|HPW:2|POSS:5|HPOSD:25|AVGW:70|POSW:60|LASTW:45</t>
  </si>
  <si>
    <t>TW:30|MODW:5|ROLEW:15|HPD:8|HPW:1|POSS:5|HPOSD:25|AVGW:90|POSW:60|LASTW:45</t>
  </si>
  <si>
    <t>TW:30|MODW:5|ROLEW:15|HPD:8|HPW:1|POSS:5|HPOSD:20|AVGW:80|POSW:60|LASTW:25</t>
  </si>
  <si>
    <t>TW:30|MODW:5|ROLEW:15|HPD:6|HPW:2|POSS:5|HPOSD:30|AVGW:80|POSW:75|LASTW:45</t>
  </si>
  <si>
    <t>TW:30|MODW:5|ROLEW:15|HPD:6|HPW:2|POSS:5|HPOSD:30|AVGW:80|POSW:75|LASTW:25</t>
  </si>
  <si>
    <t>TW:30|MODW:5|ROLEW:15|HPD:6|HPW:1|POSS:5|HPOSD:25|AVGW:70|POSW:75|LASTW:35</t>
  </si>
  <si>
    <t>TW:30|MODW:5|ROLEW:10|HPD:8|HPW:2|POSS:5|HPOSD:25|AVGW:90|POSW:75|LASTW:35</t>
  </si>
  <si>
    <t>TW:30|MODW:5|ROLEW:10|HPD:8|HPW:1|POSS:5|HPOSD:25|AVGW:80|POSW:60|LASTW:45</t>
  </si>
  <si>
    <t>TW:30|MODW:5|ROLEW:10|HPD:8|HPW:1|POSS:5|HPOSD:20|AVGW:80|POSW:60|LASTW:25</t>
  </si>
  <si>
    <t>TW:30|MODW:5|ROLEW:10|HPD:6|HPW:2|POSS:5|HPOSD:30|AVGW:80|POSW:60|LASTW:45</t>
  </si>
  <si>
    <t>TW:30|MODW:5|ROLEW:10|HPD:6|HPW:1|POSS:5|HPOSD:30|AVGW:80|POSW:75|LASTW:35</t>
  </si>
  <si>
    <t>TW:30|MODW:5|ROLEW:10|HPD:6|HPW:1|POSS:5|HPOSD:20|AVGW:80|POSW:60|LASTW:45</t>
  </si>
  <si>
    <t>TW:30|MODW:0|ROLEW:15|HPD:8|HPW:2|POSS:5|HPOSD:30|AVGW:80|POSW:90|LASTW:35</t>
  </si>
  <si>
    <t>TW:30|MODW:0|ROLEW:15|HPD:8|HPW:1|POSS:5|HPOSD:30|AVGW:70|POSW:60|LASTW:35</t>
  </si>
  <si>
    <t>TW:30|MODW:0|ROLEW:15|HPD:6|HPW:2|POSS:5|HPOSD:25|AVGW:90|POSW:90|LASTW:45</t>
  </si>
  <si>
    <t>TW:30|MODW:0|ROLEW:15|HPD:6|HPW:2|POSS:5|HPOSD:25|AVGW:70|POSW:90|LASTW:45</t>
  </si>
  <si>
    <t>TW:30|MODW:0|ROLEW:15|HPD:6|HPW:2|POSS:5|HPOSD:25|AVGW:80|POSW:75|LASTW:45</t>
  </si>
  <si>
    <t>TW:30|MODW:0|ROLEW:15|HPD:6|HPW:2|POSS:5|HPOSD:25|AVGW:70|POSW:75|LASTW:25</t>
  </si>
  <si>
    <t>TW:30|MODW:0|ROLEW:15|HPD:6|HPW:2|POSS:5|HPOSD:25|AVGW:80|POSW:60|LASTW:35</t>
  </si>
  <si>
    <t>TW:30|MODW:0|ROLEW:10|HPD:8|HPW:2|POSS:5|HPOSD:30|AVGW:90|POSW:75|LASTW:35</t>
  </si>
  <si>
    <t>TW:30|MODW:0|ROLEW:10|HPD:8|HPW:2|POSS:5|HPOSD:25|AVGW:70|POSW:75|LASTW:45</t>
  </si>
  <si>
    <t>TW:30|MODW:0|ROLEW:10|HPD:8|HPW:1|POSS:5|HPOSD:20|AVGW:90|POSW:75|LASTW:45</t>
  </si>
  <si>
    <t>TW:30|MODW:0|ROLEW:10|HPD:8|HPW:1|POSS:5|HPOSD:20|AVGW:90|POSW:60|LASTW:25</t>
  </si>
  <si>
    <t>TW:30|MODW:0|ROLEW:10|HPD:6|HPW:2|POSS:5|HPOSD:25|AVGW:80|POSW:90|LASTW:25</t>
  </si>
  <si>
    <t>TW:30|MODW:0|ROLEW:10|HPD:6|HPW:1|POSS:5|HPOSD:30|AVGW:70|POSW:60|LASTW:45</t>
  </si>
  <si>
    <t>TW:34|MODW:5|ROLEW:15|HPD:8|HPW:2|POSS:5|HPOSD:25|AVGW:80|POSW:75|LASTW:35</t>
  </si>
  <si>
    <t>TW:34|MODW:5|ROLEW:15|HPD:8|HPW:1|POSS:5|HPOSD:30|AVGW:80|POSW:90|LASTW:25</t>
  </si>
  <si>
    <t>TW:34|MODW:5|ROLEW:15|HPD:8|HPW:1|POSS:5|HPOSD:25|AVGW:70|POSW:60|LASTW:35</t>
  </si>
  <si>
    <t>TW:34|MODW:5|ROLEW:15|HPD:6|HPW:1|POSS:5|HPOSD:30|AVGW:80|POSW:90|LASTW:25</t>
  </si>
  <si>
    <t>TW:34|MODW:5|ROLEW:15|HPD:6|HPW:1|POSS:5|HPOSD:30|AVGW:90|POSW:75|LASTW:45</t>
  </si>
  <si>
    <t>TW:34|MODW:5|ROLEW:15|HPD:6|HPW:1|POSS:5|HPOSD:25|AVGW:90|POSW:90|LASTW:35</t>
  </si>
  <si>
    <t>TW:34|MODW:5|ROLEW:10|HPD:8|HPW:2|POSS:5|HPOSD:30|AVGW:80|POSW:75|LASTW:25</t>
  </si>
  <si>
    <t>TW:34|MODW:5|ROLEW:10|HPD:6|HPW:2|POSS:5|HPOSD:30|AVGW:90|POSW:75|LASTW:45</t>
  </si>
  <si>
    <t>TW:34|MODW:5|ROLEW:10|HPD:6|HPW:1|POSS:5|HPOSD:20|AVGW:90|POSW:75|LASTW:45</t>
  </si>
  <si>
    <t>TW:34|MODW:0|ROLEW:15|HPD:8|HPW:1|POSS:5|HPOSD:25|AVGW:70|POSW:90|LASTW:35</t>
  </si>
  <si>
    <t>TW:34|MODW:0|ROLEW:15|HPD:6|HPW:1|POSS:5|HPOSD:30|AVGW:80|POSW:75|LASTW:25</t>
  </si>
  <si>
    <t>TW:34|MODW:0|ROLEW:10|HPD:8|HPW:2|POSS:5|HPOSD:30|AVGW:70|POSW:60|LASTW:45</t>
  </si>
  <si>
    <t>TW:34|MODW:0|ROLEW:10|HPD:8|HPW:1|POSS:5|HPOSD:30|AVGW:80|POSW:60|LASTW:35</t>
  </si>
  <si>
    <t>TW:34|MODW:0|ROLEW:10|HPD:8|HPW:1|POSS:5|HPOSD:25|AVGW:80|POSW:75|LASTW:25</t>
  </si>
  <si>
    <t>TW:34|MODW:0|ROLEW:10|HPD:8|HPW:1|POSS:5|HPOSD:25|AVGW:70|POSW:60|LASTW:25</t>
  </si>
  <si>
    <t>TW:34|MODW:0|ROLEW:10|HPD:8|HPW:1|POSS:5|HPOSD:20|AVGW:80|POSW:60|LASTW:45</t>
  </si>
  <si>
    <t>TW:34|MODW:0|ROLEW:10|HPD:8|HPW:1|POSS:5|HPOSD:20|AVGW:70|POSW:60|LASTW:25</t>
  </si>
  <si>
    <t>TW:34|MODW:0|ROLEW:10|HPD:6|HPW:2|POSS:5|HPOSD:30|AVGW:70|POSW:90|LASTW:25</t>
  </si>
  <si>
    <t>TW:34|MODW:0|ROLEW:10|HPD:6|HPW:1|POSS:5|HPOSD:25|AVGW:70|POSW:75|LASTW:25</t>
  </si>
  <si>
    <t>TW:32|MODW:5|ROLEW:15|HPD:8|HPW:2|POSS:5|HPOSD:25|AVGW:70|POSW:75|LASTW:45</t>
  </si>
  <si>
    <t>TW:32|MODW:5|ROLEW:15|HPD:8|HPW:1|POSS:5|HPOSD:25|AVGW:70|POSW:75|LASTW:35</t>
  </si>
  <si>
    <t>TW:32|MODW:5|ROLEW:15|HPD:6|HPW:2|POSS:5|HPOSD:30|AVGW:70|POSW:60|LASTW:35</t>
  </si>
  <si>
    <t>TW:32|MODW:5|ROLEW:15|HPD:6|HPW:2|POSS:5|HPOSD:25|AVGW:90|POSW:75|LASTW:35</t>
  </si>
  <si>
    <t>TW:32|MODW:5|ROLEW:15|HPD:6|HPW:1|POSS:5|HPOSD:25|AVGW:90|POSW:75|LASTW:35</t>
  </si>
  <si>
    <t>TW:32|MODW:5|ROLEW:10|HPD:8|HPW:1|POSS:5|HPOSD:20|AVGW:70|POSW:60|LASTW:35</t>
  </si>
  <si>
    <t>TW:32|MODW:5|ROLEW:10|HPD:6|HPW:2|POSS:5|HPOSD:25|AVGW:90|POSW:90|LASTW:35</t>
  </si>
  <si>
    <t>TW:32|MODW:5|ROLEW:10|HPD:6|HPW:2|POSS:5|HPOSD:25|AVGW:90|POSW:60|LASTW:35</t>
  </si>
  <si>
    <t>TW:32|MODW:5|ROLEW:10|HPD:6|HPW:2|POSS:5|HPOSD:25|AVGW:80|POSW:60|LASTW:25</t>
  </si>
  <si>
    <t>TW:32|MODW:0|ROLEW:15|HPD:8|HPW:1|POSS:5|HPOSD:20|AVGW:80|POSW:60|LASTW:35</t>
  </si>
  <si>
    <t>TW:32|MODW:0|ROLEW:15|HPD:6|HPW:2|POSS:5|HPOSD:30|AVGW:80|POSW:90|LASTW:35</t>
  </si>
  <si>
    <t>TW:32|MODW:0|ROLEW:15|HPD:6|HPW:2|POSS:5|HPOSD:30|AVGW:70|POSW:75|LASTW:35</t>
  </si>
  <si>
    <t>TW:32|MODW:0|ROLEW:15|HPD:6|HPW:2|POSS:5|HPOSD:25|AVGW:90|POSW:75|LASTW:45</t>
  </si>
  <si>
    <t>TW:32|MODW:0|ROLEW:10|HPD:6|HPW:2|POSS:5|HPOSD:25|AVGW:90|POSW:60|LASTW:35</t>
  </si>
  <si>
    <t>TW:32|MODW:0|ROLEW:10|HPD:6|HPW:1|POSS:5|HPOSD:30|AVGW:90|POSW:90|LASTW:45</t>
  </si>
  <si>
    <t>TW:32|MODW:0|ROLEW:10|HPD:6|HPW:1|POSS:5|HPOSD:20|AVGW:90|POSW:75|LASTW:25</t>
  </si>
  <si>
    <t>TW:32|MODW:0|ROLEW:10|HPD:6|HPW:1|POSS:5|HPOSD:20|AVGW:90|POSW:60|LASTW:45</t>
  </si>
  <si>
    <t>TW:30|MODW:5|ROLEW:15|HPD:8|HPW:2|POSS:5|HPOSD:25|AVGW:90|POSW:60|LASTW:35</t>
  </si>
  <si>
    <t>TW:30|MODW:5|ROLEW:15|HPD:8|HPW:1|POSS:5|HPOSD:25|AVGW:80|POSW:60|LASTW:45</t>
  </si>
  <si>
    <t>TW:30|MODW:5|ROLEW:15|HPD:6|HPW:2|POSS:5|HPOSD:25|AVGW:70|POSW:90|LASTW:25</t>
  </si>
  <si>
    <t>TW:30|MODW:5|ROLEW:15|HPD:6|HPW:1|POSS:5|HPOSD:30|AVGW:80|POSW:75|LASTW:25</t>
  </si>
  <si>
    <t>TW:30|MODW:5|ROLEW:10|HPD:6|HPW:2|POSS:5|HPOSD:30|AVGW:70|POSW:90|LASTW:45</t>
  </si>
  <si>
    <t>TW:30|MODW:5|ROLEW:10|HPD:6|HPW:1|POSS:5|HPOSD:30|AVGW:90|POSW:75|LASTW:35</t>
  </si>
  <si>
    <t>TW:30|MODW:0|ROLEW:15|HPD:8|HPW:1|POSS:5|HPOSD:30|AVGW:80|POSW:60|LASTW:35</t>
  </si>
  <si>
    <t>TW:30|MODW:0|ROLEW:15|HPD:6|HPW:1|POSS:5|HPOSD:30|AVGW:70|POSW:75|LASTW:25</t>
  </si>
  <si>
    <t>TW:30|MODW:0|ROLEW:15|HPD:6|HPW:1|POSS:5|HPOSD:25|AVGW:80|POSW:60|LASTW:45</t>
  </si>
  <si>
    <t>TW:30|MODW:0|ROLEW:15|HPD:6|HPW:1|POSS:5|HPOSD:20|AVGW:80|POSW:60|LASTW:35</t>
  </si>
  <si>
    <t>TW:30|MODW:0|ROLEW:10|HPD:6|HPW:1|POSS:5|HPOSD:30|AVGW:90|POSW:60|LASTW:35</t>
  </si>
  <si>
    <t>TW:34|MODW:5|ROLEW:15|HPD:6|HPW:1|POSS:5|HPOSD:30|AVGW:80|POSW:75|LASTW:35</t>
  </si>
  <si>
    <t>TW:34|MODW:5|ROLEW:10|HPD:8|HPW:2|POSS:5|HPOSD:30|AVGW:90|POSW:90|LASTW:45</t>
  </si>
  <si>
    <t>TW:34|MODW:5|ROLEW:10|HPD:6|HPW:2|POSS:5|HPOSD:30|AVGW:80|POSW:90|LASTW:35</t>
  </si>
  <si>
    <t>TW:34|MODW:5|ROLEW:10|HPD:6|HPW:2|POSS:5|HPOSD:25|AVGW:90|POSW:90|LASTW:25</t>
  </si>
  <si>
    <t>TW:34|MODW:5|ROLEW:10|HPD:6|HPW:2|POSS:5|HPOSD:25|AVGW:70|POSW:90|LASTW:25</t>
  </si>
  <si>
    <t>TW:34|MODW:5|ROLEW:10|HPD:6|HPW:1|POSS:5|HPOSD:25|AVGW:80|POSW:90|LASTW:25</t>
  </si>
  <si>
    <t>TW:34|MODW:0|ROLEW:15|HPD:8|HPW:2|POSS:5|HPOSD:30|AVGW:80|POSW:90|LASTW:35</t>
  </si>
  <si>
    <t>TW:34|MODW:0|ROLEW:15|HPD:8|HPW:1|POSS:5|HPOSD:30|AVGW:70|POSW:60|LASTW:45</t>
  </si>
  <si>
    <t>TW:34|MODW:0|ROLEW:15|HPD:6|HPW:2|POSS:5|HPOSD:25|AVGW:70|POSW:90|LASTW:25</t>
  </si>
  <si>
    <t>TW:34|MODW:0|ROLEW:15|HPD:6|HPW:1|POSS:5|HPOSD:30|AVGW:70|POSW:75|LASTW:45</t>
  </si>
  <si>
    <t>TW:34|MODW:0|ROLEW:15|HPD:6|HPW:1|POSS:5|HPOSD:20|AVGW:70|POSW:60|LASTW:35</t>
  </si>
  <si>
    <t>TW:34|MODW:0|ROLEW:10|HPD:8|HPW:2|POSS:5|HPOSD:25|AVGW:70|POSW:60|LASTW:35</t>
  </si>
  <si>
    <t>TW:34|MODW:0|ROLEW:10|HPD:6|HPW:2|POSS:5|HPOSD:30|AVGW:90|POSW:75|LASTW:25</t>
  </si>
  <si>
    <t>TW:34|MODW:0|ROLEW:10|HPD:6|HPW:2|POSS:5|HPOSD:25|AVGW:90|POSW:60|LASTW:35</t>
  </si>
  <si>
    <t>TW:34|MODW:0|ROLEW:10|HPD:6|HPW:1|POSS:5|HPOSD:30|AVGW:70|POSW:75|LASTW:45</t>
  </si>
  <si>
    <t>TW:34|MODW:0|ROLEW:10|HPD:6|HPW:1|POSS:5|HPOSD:20|AVGW:70|POSW:75|LASTW:25</t>
  </si>
  <si>
    <t>TW:34|MODW:0|ROLEW:10|HPD:6|HPW:1|POSS:5|HPOSD:20|AVGW:70|POSW:60|LASTW:45</t>
  </si>
  <si>
    <t>TW:32|MODW:5|ROLEW:15|HPD:8|HPW:2|POSS:5|HPOSD:30|AVGW:80|POSW:60|LASTW:35</t>
  </si>
  <si>
    <t>TW:32|MODW:5|ROLEW:15|HPD:6|HPW:1|POSS:5|HPOSD:25|AVGW:90|POSW:60|LASTW:25</t>
  </si>
  <si>
    <t>TW:32|MODW:5|ROLEW:15|HPD:6|HPW:1|POSS:5|HPOSD:20|AVGW:90|POSW:75|LASTW:35</t>
  </si>
  <si>
    <t>TW:32|MODW:5|ROLEW:10|HPD:8|HPW:2|POSS:5|HPOSD:25|AVGW:70|POSW:60|LASTW:45</t>
  </si>
  <si>
    <t>TW:32|MODW:5|ROLEW:10|HPD:8|HPW:1|POSS:5|HPOSD:25|AVGW:90|POSW:90|LASTW:35</t>
  </si>
  <si>
    <t>TW:32|MODW:5|ROLEW:10|HPD:8|HPW:1|POSS:5|HPOSD:20|AVGW:70|POSW:60|LASTW:45</t>
  </si>
  <si>
    <t>TW:32|MODW:5|ROLEW:10|HPD:6|HPW:2|POSS:5|HPOSD:25|AVGW:80|POSW:60|LASTW:45</t>
  </si>
  <si>
    <t>TW:32|MODW:5|ROLEW:10|HPD:6|HPW:1|POSS:5|HPOSD:30|AVGW:80|POSW:90|LASTW:45</t>
  </si>
  <si>
    <t>TW:32|MODW:5|ROLEW:10|HPD:6|HPW:1|POSS:5|HPOSD:25|AVGW:80|POSW:90|LASTW:25</t>
  </si>
  <si>
    <t>TW:32|MODW:5|ROLEW:10|HPD:6|HPW:1|POSS:5|HPOSD:25|AVGW:90|POSW:75|LASTW:45</t>
  </si>
  <si>
    <t>TW:32|MODW:5|ROLEW:10|HPD:6|HPW:1|POSS:5|HPOSD:25|AVGW:80|POSW:60|LASTW:35</t>
  </si>
  <si>
    <t>TW:32|MODW:0|ROLEW:15|HPD:8|HPW:2|POSS:5|HPOSD:30|AVGW:70|POSW:60|LASTW:35</t>
  </si>
  <si>
    <t>TW:32|MODW:0|ROLEW:15|HPD:8|HPW:1|POSS:5|HPOSD:30|AVGW:90|POSW:75|LASTW:45</t>
  </si>
  <si>
    <t>TW:32|MODW:0|ROLEW:15|HPD:8|HPW:1|POSS:5|HPOSD:25|AVGW:70|POSW:60|LASTW:25</t>
  </si>
  <si>
    <t>TW:32|MODW:0|ROLEW:15|HPD:6|HPW:2|POSS:5|HPOSD:25|AVGW:80|POSW:90|LASTW:25</t>
  </si>
  <si>
    <t>TW:32|MODW:0|ROLEW:15|HPD:6|HPW:1|POSS:5|HPOSD:30|AVGW:90|POSW:90|LASTW:25</t>
  </si>
  <si>
    <t>TW:32|MODW:0|ROLEW:15|HPD:6|HPW:1|POSS:5|HPOSD:25|AVGW:70|POSW:75|LASTW:45</t>
  </si>
  <si>
    <t>TW:32|MODW:0|ROLEW:10|HPD:8|HPW:2|POSS:5|HPOSD:25|AVGW:90|POSW:60|LASTW:45</t>
  </si>
  <si>
    <t>TW:32|MODW:0|ROLEW:10|HPD:8|HPW:2|POSS:5|HPOSD:25|AVGW:70|POSW:60|LASTW:35</t>
  </si>
  <si>
    <t>TW:32|MODW:0|ROLEW:10|HPD:6|HPW:2|POSS:5|HPOSD:25|AVGW:80|POSW:75|LASTW:35</t>
  </si>
  <si>
    <t>TW:32|MODW:0|ROLEW:10|HPD:6|HPW:2|POSS:5|HPOSD:25|AVGW:80|POSW:60|LASTW:25</t>
  </si>
  <si>
    <t>TW:32|MODW:0|ROLEW:10|HPD:6|HPW:1|POSS:5|HPOSD:30|AVGW:70|POSW:90|LASTW:35</t>
  </si>
  <si>
    <t>TW:30|MODW:5|ROLEW:15|HPD:8|HPW:2|POSS:5|HPOSD:25|AVGW:70|POSW:60|LASTW:35</t>
  </si>
  <si>
    <t>TW:30|MODW:5|ROLEW:15|HPD:6|HPW:2|POSS:5|HPOSD:30|AVGW:80|POSW:90|LASTW:35</t>
  </si>
  <si>
    <t>TW:30|MODW:5|ROLEW:15|HPD:6|HPW:2|POSS:5|HPOSD:25|AVGW:80|POSW:75|LASTW:25</t>
  </si>
  <si>
    <t>TW:30|MODW:5|ROLEW:15|HPD:6|HPW:1|POSS:5|HPOSD:25|AVGW:90|POSW:60|LASTW:35</t>
  </si>
  <si>
    <t>TW:30|MODW:5|ROLEW:15|HPD:6|HPW:1|POSS:5|HPOSD:20|AVGW:90|POSW:60|LASTW:25</t>
  </si>
  <si>
    <t>TW:30|MODW:0|ROLEW:15|HPD:8|HPW:1|POSS:5|HPOSD:30|AVGW:80|POSW:75|LASTW:25</t>
  </si>
  <si>
    <t>TW:30|MODW:0|ROLEW:15|HPD:6|HPW:1|POSS:5|HPOSD:25|AVGW:90|POSW:75|LASTW:45</t>
  </si>
  <si>
    <t>TW:30|MODW:0|ROLEW:10|HPD:6|HPW:2|POSS:5|HPOSD:25|AVGW:90|POSW:90|LASTW:45</t>
  </si>
  <si>
    <t>TW:30|MODW:0|ROLEW:10|HPD:6|HPW:2|POSS:5|HPOSD:25|AVGW:80|POSW:60|LASTW:35</t>
  </si>
  <si>
    <t>TW:34|MODW:5|ROLEW:15|HPD:8|HPW:2|POSS:5|HPOSD:25|AVGW:70|POSW:90|LASTW:45</t>
  </si>
  <si>
    <t>TW:34|MODW:5|ROLEW:15|HPD:8|HPW:2|POSS:5|HPOSD:25|AVGW:70|POSW:60|LASTW:45</t>
  </si>
  <si>
    <t>TW:34|MODW:5|ROLEW:15|HPD:8|HPW:1|POSS:5|HPOSD:30|AVGW:90|POSW:90|LASTW:45</t>
  </si>
  <si>
    <t>TW:34|MODW:5|ROLEW:15|HPD:8|HPW:1|POSS:5|HPOSD:30|AVGW:80|POSW:90|LASTW:35</t>
  </si>
  <si>
    <t>TW:34|MODW:5|ROLEW:15|HPD:6|HPW:2|POSS:5|HPOSD:25|AVGW:90|POSW:90|LASTW:45</t>
  </si>
  <si>
    <t>TW:34|MODW:0|ROLEW:10|HPD:8|HPW:1|POSS:5|HPOSD:25|AVGW:80|POSW:75|LASTW:35</t>
  </si>
  <si>
    <t>TW:34|MODW:0|ROLEW:10|HPD:8|HPW:1|POSS:5|HPOSD:25|AVGW:80|POSW:60|LASTW:25</t>
  </si>
  <si>
    <t>TW:34|MODW:0|ROLEW:10|HPD:6|HPW:2|POSS:5|HPOSD:25|AVGW:90|POSW:75|LASTW:35</t>
  </si>
  <si>
    <t>TW:34|MODW:0|ROLEW:10|HPD:6|HPW:2|POSS:5|HPOSD:25|AVGW:80|POSW:75|LASTW:35</t>
  </si>
  <si>
    <t>TW:32|MODW:5|ROLEW:15|HPD:8|HPW:2|POSS:5|HPOSD:25|AVGW:80|POSW:60|LASTW:45</t>
  </si>
  <si>
    <t>TW:32|MODW:5|ROLEW:15|HPD:6|HPW:2|POSS:5|HPOSD:30|AVGW:90|POSW:90|LASTW:25</t>
  </si>
  <si>
    <t>TW:32|MODW:5|ROLEW:15|HPD:6|HPW:2|POSS:5|HPOSD:30|AVGW:70|POSW:75|LASTW:35</t>
  </si>
  <si>
    <t>TW:32|MODW:5|ROLEW:15|HPD:6|HPW:2|POSS:5|HPOSD:30|AVGW:70|POSW:60|LASTW:25</t>
  </si>
  <si>
    <t>TW:32|MODW:5|ROLEW:15|HPD:6|HPW:2|POSS:5|HPOSD:25|AVGW:70|POSW:90|LASTW:35</t>
  </si>
  <si>
    <t>TW:32|MODW:5|ROLEW:15|HPD:6|HPW:2|POSS:5|HPOSD:25|AVGW:80|POSW:60|LASTW:45</t>
  </si>
  <si>
    <t>TW:32|MODW:5|ROLEW:15|HPD:6|HPW:1|POSS:5|HPOSD:30|AVGW:80|POSW:60|LASTW:35</t>
  </si>
  <si>
    <t>TW:32|MODW:0|ROLEW:15|HPD:8|HPW:2|POSS:5|HPOSD:25|AVGW:90|POSW:60|LASTW:35</t>
  </si>
  <si>
    <t>TW:32|MODW:0|ROLEW:15|HPD:8|HPW:1|POSS:5|HPOSD:25|AVGW:80|POSW:90|LASTW:35</t>
  </si>
  <si>
    <t>TW:32|MODW:0|ROLEW:15|HPD:6|HPW:2|POSS:5|HPOSD:25|AVGW:80|POSW:60|LASTW:25</t>
  </si>
  <si>
    <t>TW:32|MODW:0|ROLEW:15|HPD:6|HPW:1|POSS:5|HPOSD:25|AVGW:80|POSW:90|LASTW:35</t>
  </si>
  <si>
    <t>TW:32|MODW:0|ROLEW:15|HPD:6|HPW:1|POSS:5|HPOSD:25|AVGW:80|POSW:75|LASTW:45</t>
  </si>
  <si>
    <t>TW:32|MODW:0|ROLEW:10|HPD:8|HPW:1|POSS:5|HPOSD:30|AVGW:70|POSW:90|LASTW:35</t>
  </si>
  <si>
    <t>TW:32|MODW:0|ROLEW:10|HPD:8|HPW:1|POSS:5|HPOSD:30|AVGW:70|POSW:60|LASTW:25</t>
  </si>
  <si>
    <t>TW:32|MODW:0|ROLEW:10|HPD:8|HPW:1|POSS:5|HPOSD:25|AVGW:70|POSW:75|LASTW:25</t>
  </si>
  <si>
    <t>TW:32|MODW:0|ROLEW:10|HPD:6|HPW:1|POSS:5|HPOSD:20|AVGW:90|POSW:60|LASTW:35</t>
  </si>
  <si>
    <t>TW:30|MODW:5|ROLEW:15|HPD:6|HPW:2|POSS:5|HPOSD:25|AVGW:80|POSW:90|LASTW:35</t>
  </si>
  <si>
    <t>TW:30|MODW:5|ROLEW:15|HPD:6|HPW:2|POSS:5|HPOSD:25|AVGW:70|POSW:60|LASTW:45</t>
  </si>
  <si>
    <t>TW:30|MODW:5|ROLEW:15|HPD:6|HPW:1|POSS:5|HPOSD:30|AVGW:90|POSW:90|LASTW:35</t>
  </si>
  <si>
    <t>TW:30|MODW:5|ROLEW:15|HPD:6|HPW:1|POSS:5|HPOSD:20|AVGW:80|POSW:60|LASTW:45</t>
  </si>
  <si>
    <t>TW:30|MODW:5|ROLEW:10|HPD:8|HPW:2|POSS:5|HPOSD:25|AVGW:70|POSW:75|LASTW:45</t>
  </si>
  <si>
    <t>TW:30|MODW:5|ROLEW:10|HPD:8|HPW:1|POSS:5|HPOSD:30|AVGW:70|POSW:90|LASTW:45</t>
  </si>
  <si>
    <t>TW:30|MODW:5|ROLEW:10|HPD:8|HPW:1|POSS:5|HPOSD:25|AVGW:80|POSW:75|LASTW:45</t>
  </si>
  <si>
    <t>TW:30|MODW:5|ROLEW:10|HPD:6|HPW:1|POSS:5|HPOSD:25|AVGW:80|POSW:90|LASTW:25</t>
  </si>
  <si>
    <t>TW:30|MODW:5|ROLEW:10|HPD:6|HPW:1|POSS:5|HPOSD:25|AVGW:80|POSW:60|LASTW:25</t>
  </si>
  <si>
    <t>TW:30|MODW:0|ROLEW:15|HPD:8|HPW:2|POSS:5|HPOSD:25|AVGW:80|POSW:60|LASTW:25</t>
  </si>
  <si>
    <t>TW:30|MODW:0|ROLEW:15|HPD:8|HPW:1|POSS:5|HPOSD:30|AVGW:80|POSW:60|LASTW:25</t>
  </si>
  <si>
    <t>TW:30|MODW:0|ROLEW:15|HPD:6|HPW:1|POSS:5|HPOSD:25|AVGW:80|POSW:90|LASTW:45</t>
  </si>
  <si>
    <t>TW:30|MODW:0|ROLEW:15|HPD:6|HPW:1|POSS:5|HPOSD:25|AVGW:80|POSW:75|LASTW:45</t>
  </si>
  <si>
    <t>TW:30|MODW:0|ROLEW:15|HPD:6|HPW:1|POSS:5|HPOSD:25|AVGW:80|POSW:60|LASTW:25</t>
  </si>
  <si>
    <t>TW:30|MODW:0|ROLEW:15|HPD:6|HPW:1|POSS:5|HPOSD:20|AVGW:90|POSW:60|LASTW:35</t>
  </si>
  <si>
    <t>TW:30|MODW:0|ROLEW:10|HPD:8|HPW:1|POSS:5|HPOSD:30|AVGW:90|POSW:75|LASTW:25</t>
  </si>
  <si>
    <t>TW:30|MODW:0|ROLEW:10|HPD:8|HPW:1|POSS:5|HPOSD:30|AVGW:90|POSW:60|LASTW:45</t>
  </si>
  <si>
    <t>TW:30|MODW:0|ROLEW:10|HPD:8|HPW:1|POSS:5|HPOSD:20|AVGW:80|POSW:75|LASTW:45</t>
  </si>
  <si>
    <t>TW:34|MODW:5|ROLEW:15|HPD:8|HPW:2|POSS:5|HPOSD:30|AVGW:70|POSW:60|LASTW:35</t>
  </si>
  <si>
    <t>TW:34|MODW:5|ROLEW:15|HPD:8|HPW:1|POSS:5|HPOSD:25|AVGW:70|POSW:60|LASTW:45</t>
  </si>
  <si>
    <t>TW:34|MODW:5|ROLEW:15|HPD:6|HPW:2|POSS:5|HPOSD:30|AVGW:80|POSW:90|LASTW:35</t>
  </si>
  <si>
    <t>TW:34|MODW:5|ROLEW:15|HPD:6|HPW:2|POSS:5|HPOSD:30|AVGW:90|POSW:75|LASTW:25</t>
  </si>
  <si>
    <t>TW:34|MODW:5|ROLEW:15|HPD:6|HPW:2|POSS:5|HPOSD:25|AVGW:90|POSW:75|LASTW:35</t>
  </si>
  <si>
    <t>TW:34|MODW:5|ROLEW:10|HPD:8|HPW:1|POSS:5|HPOSD:25|AVGW:90|POSW:75|LASTW:45</t>
  </si>
  <si>
    <t>TW:34|MODW:0|ROLEW:15|HPD:8|HPW:2|POSS:5|HPOSD:25|AVGW:70|POSW:75|LASTW:45</t>
  </si>
  <si>
    <t>TW:34|MODW:0|ROLEW:15|HPD:8|HPW:1|POSS:5|HPOSD:25|AVGW:70|POSW:90|LASTW:25</t>
  </si>
  <si>
    <t>TW:34|MODW:0|ROLEW:15|HPD:8|HPW:1|POSS:5|HPOSD:25|AVGW:90|POSW:60|LASTW:45</t>
  </si>
  <si>
    <t>TW:34|MODW:0|ROLEW:15|HPD:8|HPW:1|POSS:5|HPOSD:20|AVGW:80|POSW:60|LASTW:35</t>
  </si>
  <si>
    <t>TW:34|MODW:0|ROLEW:15|HPD:6|HPW:1|POSS:5|HPOSD:20|AVGW:70|POSW:75|LASTW:45</t>
  </si>
  <si>
    <t>TW:34|MODW:0|ROLEW:15|HPD:6|HPW:1|POSS:5|HPOSD:20|AVGW:80|POSW:60|LASTW:45</t>
  </si>
  <si>
    <t>TW:34|MODW:0|ROLEW:15|HPD:6|HPW:1|POSS:5|HPOSD:20|AVGW:70|POSW:60|LASTW:25</t>
  </si>
  <si>
    <t>TW:34|MODW:0|ROLEW:10|HPD:8|HPW:2|POSS:5|HPOSD:25|AVGW:80|POSW:90|LASTW:35</t>
  </si>
  <si>
    <t>TW:34|MODW:0|ROLEW:10|HPD:8|HPW:1|POSS:5|HPOSD:30|AVGW:80|POSW:75|LASTW:35</t>
  </si>
  <si>
    <t>TW:34|MODW:0|ROLEW:10|HPD:8|HPW:1|POSS:5|HPOSD:30|AVGW:80|POSW:60|LASTW:45</t>
  </si>
  <si>
    <t>TW:34|MODW:0|ROLEW:10|HPD:6|HPW:2|POSS:5|HPOSD:25|AVGW:70|POSW:60|LASTW:35</t>
  </si>
  <si>
    <t>TW:34|MODW:0|ROLEW:10|HPD:6|HPW:1|POSS:5|HPOSD:30|AVGW:90|POSW:90|LASTW:45</t>
  </si>
  <si>
    <t>TW:34|MODW:0|ROLEW:10|HPD:6|HPW:1|POSS:5|HPOSD:30|AVGW:80|POSW:90|LASTW:25</t>
  </si>
  <si>
    <t>TW:32|MODW:5|ROLEW:15|HPD:8|HPW:2|POSS:5|HPOSD:30|AVGW:80|POSW:90|LASTW:45</t>
  </si>
  <si>
    <t>TW:32|MODW:5|ROLEW:15|HPD:8|HPW:2|POSS:5|HPOSD:30|AVGW:90|POSW:75|LASTW:35</t>
  </si>
  <si>
    <t>TW:32|MODW:5|ROLEW:15|HPD:8|HPW:2|POSS:5|HPOSD:30|AVGW:80|POSW:75|LASTW:35</t>
  </si>
  <si>
    <t>TW:32|MODW:5|ROLEW:15|HPD:6|HPW:2|POSS:5|HPOSD:30|AVGW:90|POSW:60|LASTW:45</t>
  </si>
  <si>
    <t>TW:32|MODW:5|ROLEW:10|HPD:8|HPW:1|POSS:5|HPOSD:30|AVGW:80|POSW:90|LASTW:35</t>
  </si>
  <si>
    <t>TW:32|MODW:5|ROLEW:10|HPD:6|HPW:2|POSS:5|HPOSD:25|AVGW:80|POSW:60|LASTW:35</t>
  </si>
  <si>
    <t>TW:32|MODW:0|ROLEW:15|HPD:8|HPW:1|POSS:5|HPOSD:25|AVGW:80|POSW:90|LASTW:45</t>
  </si>
  <si>
    <t>TW:32|MODW:0|ROLEW:15|HPD:6|HPW:1|POSS:5|HPOSD:30|AVGW:70|POSW:75|LASTW:25</t>
  </si>
  <si>
    <t>TW:32|MODW:0|ROLEW:10|HPD:6|HPW:2|POSS:5|HPOSD:30|AVGW:90|POSW:60|LASTW:45</t>
  </si>
  <si>
    <t>TW:32|MODW:0|ROLEW:10|HPD:6|HPW:1|POSS:5|HPOSD:25|AVGW:70|POSW:90|LASTW:45</t>
  </si>
  <si>
    <t>TW:32|MODW:0|ROLEW:10|HPD:6|HPW:1|POSS:5|HPOSD:25|AVGW:90|POSW:60|LASTW:25</t>
  </si>
  <si>
    <t>TW:30|MODW:5|ROLEW:15|HPD:8|HPW:1|POSS:5|HPOSD:30|AVGW:70|POSW:60|LASTW:35</t>
  </si>
  <si>
    <t>TW:30|MODW:5|ROLEW:15|HPD:8|HPW:1|POSS:5|HPOSD:20|AVGW:80|POSW:60|LASTW:45</t>
  </si>
  <si>
    <t>TW:30|MODW:5|ROLEW:15|HPD:6|HPW:2|POSS:5|HPOSD:30|AVGW:70|POSW:90|LASTW:45</t>
  </si>
  <si>
    <t>TW:30|MODW:5|ROLEW:15|HPD:6|HPW:2|POSS:5|HPOSD:30|AVGW:70|POSW:60|LASTW:45</t>
  </si>
  <si>
    <t>TW:30|MODW:5|ROLEW:10|HPD:8|HPW:2|POSS:5|HPOSD:25|AVGW:90|POSW:60|LASTW:25</t>
  </si>
  <si>
    <t>TW:30|MODW:5|ROLEW:10|HPD:8|HPW:1|POSS:5|HPOSD:25|AVGW:70|POSW:60|LASTW:45</t>
  </si>
  <si>
    <t>TW:30|MODW:5|ROLEW:10|HPD:8|HPW:1|POSS:5|HPOSD:20|AVGW:90|POSW:60|LASTW:25</t>
  </si>
  <si>
    <t>TW:30|MODW:5|ROLEW:10|HPD:6|HPW:1|POSS:5|HPOSD:25|AVGW:70|POSW:75|LASTW:25</t>
  </si>
  <si>
    <t>TW:30|MODW:5|ROLEW:10|HPD:6|HPW:1|POSS:5|HPOSD:20|AVGW:70|POSW:60|LASTW:35</t>
  </si>
  <si>
    <t>TW:30|MODW:0|ROLEW:15|HPD:8|HPW:2|POSS:5|HPOSD:20|AVGW:90|POSW:60|LASTW:45</t>
  </si>
  <si>
    <t>TW:30|MODW:0|ROLEW:15|HPD:6|HPW:2|POSS:5|HPOSD:25|AVGW:90|POSW:60|LASTW:35</t>
  </si>
  <si>
    <t>TW:30|MODW:0|ROLEW:15|HPD:6|HPW:1|POSS:5|HPOSD:25|AVGW:90|POSW:90|LASTW:45</t>
  </si>
  <si>
    <t>TW:30|MODW:0|ROLEW:15|HPD:6|HPW:1|POSS:5|HPOSD:25|AVGW:90|POSW:60|LASTW:35</t>
  </si>
  <si>
    <t>TW:30|MODW:0|ROLEW:10|HPD:8|HPW:1|POSS:5|HPOSD:25|AVGW:80|POSW:90|LASTW:35</t>
  </si>
  <si>
    <t>TW:30|MODW:0|ROLEW:10|HPD:8|HPW:1|POSS:5|HPOSD:20|AVGW:80|POSW:60|LASTW:25</t>
  </si>
  <si>
    <t>TW:30|MODW:0|ROLEW:10|HPD:6|HPW:2|POSS:5|HPOSD:25|AVGW:70|POSW:90|LASTW:25</t>
  </si>
  <si>
    <t>TW:34|MODW:5|ROLEW:15|HPD:8|HPW:1|POSS:5|HPOSD:30|AVGW:90|POSW:60|LASTW:25</t>
  </si>
  <si>
    <t>TW:34|MODW:5|ROLEW:15|HPD:8|HPW:1|POSS:5|HPOSD:25|AVGW:90|POSW:75|LASTW:35</t>
  </si>
  <si>
    <t>TW:34|MODW:5|ROLEW:15|HPD:8|HPW:1|POSS:5|HPOSD:25|AVGW:90|POSW:60|LASTW:25</t>
  </si>
  <si>
    <t>TW:34|MODW:5|ROLEW:10|HPD:8|HPW:1|POSS:5|HPOSD:30|AVGW:70|POSW:75|LASTW:35</t>
  </si>
  <si>
    <t>TW:34|MODW:5|ROLEW:10|HPD:8|HPW:1|POSS:5|HPOSD:25|AVGW:90|POSW:60|LASTW:25</t>
  </si>
  <si>
    <t>TW:34|MODW:5|ROLEW:10|HPD:6|HPW:2|POSS:5|HPOSD:25|AVGW:90|POSW:90|LASTW:35</t>
  </si>
  <si>
    <t>TW:34|MODW:0|ROLEW:15|HPD:8|HPW:2|POSS:5|HPOSD:25|AVGW:90|POSW:90|LASTW:45</t>
  </si>
  <si>
    <t>TW:34|MODW:0|ROLEW:15|HPD:8|HPW:2|POSS:5|HPOSD:25|AVGW:90|POSW:60|LASTW:25</t>
  </si>
  <si>
    <t>TW:34|MODW:0|ROLEW:15|HPD:6|HPW:2|POSS:5|HPOSD:25|AVGW:80|POSW:60|LASTW:35</t>
  </si>
  <si>
    <t>TW:34|MODW:0|ROLEW:10|HPD:8|HPW:1|POSS:5|HPOSD:20|AVGW:90|POSW:75|LASTW:25</t>
  </si>
  <si>
    <t>TW:34|MODW:0|ROLEW:10|HPD:6|HPW:2|POSS:5|HPOSD:30|AVGW:90|POSW:60|LASTW:35</t>
  </si>
  <si>
    <t>TW:34|MODW:0|ROLEW:10|HPD:6|HPW:1|POSS:5|HPOSD:30|AVGW:70|POSW:60|LASTW:45</t>
  </si>
  <si>
    <t>TW:32|MODW:5|ROLEW:15|HPD:8|HPW:2|POSS:5|HPOSD:30|AVGW:70|POSW:60|LASTW:35</t>
  </si>
  <si>
    <t>TW:32|MODW:5|ROLEW:15|HPD:8|HPW:2|POSS:5|HPOSD:25|AVGW:90|POSW:60|LASTW:45</t>
  </si>
  <si>
    <t>TW:32|MODW:5|ROLEW:15|HPD:8|HPW:2|POSS:5|HPOSD:25|AVGW:70|POSW:60|LASTW:35</t>
  </si>
  <si>
    <t>TW:32|MODW:5|ROLEW:15|HPD:8|HPW:1|POSS:5|HPOSD:30|AVGW:90|POSW:90|LASTW:35</t>
  </si>
  <si>
    <t>TW:32|MODW:5|ROLEW:15|HPD:8|HPW:1|POSS:5|HPOSD:30|AVGW:80|POSW:75|LASTW:35</t>
  </si>
  <si>
    <t>TW:32|MODW:5|ROLEW:15|HPD:8|HPW:1|POSS:5|HPOSD:25|AVGW:90|POSW:90|LASTW:25</t>
  </si>
  <si>
    <t>TW:32|MODW:5|ROLEW:15|HPD:6|HPW:1|POSS:5|HPOSD:30|AVGW:70|POSW:75|LASTW:35</t>
  </si>
  <si>
    <t>TW:32|MODW:5|ROLEW:15|HPD:6|HPW:1|POSS:5|HPOSD:30|AVGW:90|POSW:60|LASTW:35</t>
  </si>
  <si>
    <t>TW:32|MODW:5|ROLEW:10|HPD:8|HPW:1|POSS:5|HPOSD:25|AVGW:90|POSW:75|LASTW:25</t>
  </si>
  <si>
    <t>TW:32|MODW:5|ROLEW:10|HPD:6|HPW:1|POSS:5|HPOSD:30|AVGW:80|POSW:75|LASTW:35</t>
  </si>
  <si>
    <t>TW:32|MODW:0|ROLEW:10|HPD:6|HPW:2|POSS:5|HPOSD:25|AVGW:90|POSW:60|LASTW:45</t>
  </si>
  <si>
    <t>TW:32|MODW:0|ROLEW:10|HPD:6|HPW:1|POSS:5|HPOSD:25|AVGW:80|POSW:90|LASTW:35</t>
  </si>
  <si>
    <t>TW:30|MODW:5|ROLEW:15|HPD:8|HPW:1|POSS:5|HPOSD:30|AVGW:80|POSW:60|LASTW:25</t>
  </si>
  <si>
    <t>TW:30|MODW:5|ROLEW:10|HPD:8|HPW:2|POSS:5|HPOSD:25|AVGW:90|POSW:60|LASTW:45</t>
  </si>
  <si>
    <t>TW:30|MODW:5|ROLEW:10|HPD:8|HPW:1|POSS:5|HPOSD:30|AVGW:70|POSW:75|LASTW:45</t>
  </si>
  <si>
    <t>TW:30|MODW:5|ROLEW:10|HPD:6|HPW:2|POSS:5|HPOSD:30|AVGW:80|POSW:75|LASTW:25</t>
  </si>
  <si>
    <t>TW:30|MODW:5|ROLEW:10|HPD:6|HPW:1|POSS:5|HPOSD:30|AVGW:80|POSW:90|LASTW:45</t>
  </si>
  <si>
    <t>TW:30|MODW:5|ROLEW:10|HPD:6|HPW:1|POSS:5|HPOSD:20|AVGW:90|POSW:75|LASTW:35</t>
  </si>
  <si>
    <t>TW:30|MODW:0|ROLEW:15|HPD:8|HPW:1|POSS:5|HPOSD:30|AVGW:70|POSW:90|LASTW:35</t>
  </si>
  <si>
    <t>TW:30|MODW:0|ROLEW:15|HPD:6|HPW:2|POSS:5|HPOSD:30|AVGW:90|POSW:90|LASTW:35</t>
  </si>
  <si>
    <t>TW:30|MODW:0|ROLEW:15|HPD:6|HPW:1|POSS:5|HPOSD:30|AVGW:80|POSW:90|LASTW:25</t>
  </si>
  <si>
    <t>TW:30|MODW:0|ROLEW:10|HPD:8|HPW:2|POSS:5|HPOSD:25|AVGW:80|POSW:75|LASTW:35</t>
  </si>
  <si>
    <t>TW:34|MODW:5|ROLEW:15|HPD:8|HPW:1|POSS:5|HPOSD:30|AVGW:70|POSW:60|LASTW:45</t>
  </si>
  <si>
    <t>TW:34|MODW:5|ROLEW:15|HPD:6|HPW:2|POSS:5|HPOSD:30|AVGW:70|POSW:90|LASTW:35</t>
  </si>
  <si>
    <t>TW:34|MODW:5|ROLEW:15|HPD:6|HPW:2|POSS:5|HPOSD:25|AVGW:80|POSW:75|LASTW:25</t>
  </si>
  <si>
    <t>TW:34|MODW:5|ROLEW:15|HPD:6|HPW:1|POSS:5|HPOSD:25|AVGW:80|POSW:75|LASTW:35</t>
  </si>
  <si>
    <t>TW:34|MODW:5|ROLEW:10|HPD:8|HPW:2|POSS:5|HPOSD:25|AVGW:80|POSW:75|LASTW:45</t>
  </si>
  <si>
    <t>TW:34|MODW:5|ROLEW:10|HPD:8|HPW:2|POSS:5|HPOSD:20|AVGW:70|POSW:60|LASTW:35</t>
  </si>
  <si>
    <t>TW:34|MODW:5|ROLEW:10|HPD:8|HPW:1|POSS:5|HPOSD:25|AVGW:90|POSW:60|LASTW:45</t>
  </si>
  <si>
    <t>TW:34|MODW:0|ROLEW:15|HPD:8|HPW:2|POSS:5|HPOSD:25|AVGW:90|POSW:60|LASTW:35</t>
  </si>
  <si>
    <t>TW:34|MODW:0|ROLEW:15|HPD:8|HPW:1|POSS:5|HPOSD:30|AVGW:80|POSW:90|LASTW:25</t>
  </si>
  <si>
    <t>TW:34|MODW:0|ROLEW:15|HPD:8|HPW:1|POSS:5|HPOSD:25|AVGW:90|POSW:90|LASTW:25</t>
  </si>
  <si>
    <t>TW:34|MODW:0|ROLEW:15|HPD:8|HPW:1|POSS:5|HPOSD:20|AVGW:90|POSW:60|LASTW:35</t>
  </si>
  <si>
    <t>TW:34|MODW:0|ROLEW:15|HPD:6|HPW:2|POSS:5|HPOSD:30|AVGW:90|POSW:60|LASTW:25</t>
  </si>
  <si>
    <t>TW:34|MODW:0|ROLEW:15|HPD:6|HPW:2|POSS:5|HPOSD:30|AVGW:70|POSW:60|LASTW:25</t>
  </si>
  <si>
    <t>TW:34|MODW:0|ROLEW:15|HPD:6|HPW:2|POSS:5|HPOSD:25|AVGW:90|POSW:75|LASTW:45</t>
  </si>
  <si>
    <t>TW:34|MODW:0|ROLEW:15|HPD:6|HPW:1|POSS:5|HPOSD:25|AVGW:70|POSW:90|LASTW:35</t>
  </si>
  <si>
    <t>TW:34|MODW:0|ROLEW:10|HPD:8|HPW:1|POSS:5|HPOSD:30|AVGW:80|POSW:90|LASTW:25</t>
  </si>
  <si>
    <t>TW:34|MODW:0|ROLEW:10|HPD:8|HPW:1|POSS:5|HPOSD:25|AVGW:70|POSW:60|LASTW:45</t>
  </si>
  <si>
    <t>TW:34|MODW:0|ROLEW:10|HPD:6|HPW:2|POSS:5|HPOSD:30|AVGW:80|POSW:75|LASTW:25</t>
  </si>
  <si>
    <t>TW:34|MODW:0|ROLEW:10|HPD:6|HPW:1|POSS:5|HPOSD:25|AVGW:70|POSW:75|LASTW:35</t>
  </si>
  <si>
    <t>TW:32|MODW:5|ROLEW:15|HPD:8|HPW:2|POSS:5|HPOSD:25|AVGW:90|POSW:60|LASTW:35</t>
  </si>
  <si>
    <t>TW:32|MODW:5|ROLEW:15|HPD:8|HPW:1|POSS:5|HPOSD:30|AVGW:70|POSW:90|LASTW:45</t>
  </si>
  <si>
    <t>TW:32|MODW:5|ROLEW:10|HPD:8|HPW:1|POSS:5|HPOSD:30|AVGW:90|POSW:75|LASTW:25</t>
  </si>
  <si>
    <t>TW:32|MODW:5|ROLEW:10|HPD:8|HPW:1|POSS:5|HPOSD:25|AVGW:90|POSW:90|LASTW:25</t>
  </si>
  <si>
    <t>TW:32|MODW:5|ROLEW:10|HPD:8|HPW:1|POSS:5|HPOSD:25|AVGW:70|POSW:75|LASTW:25</t>
  </si>
  <si>
    <t>TW:32|MODW:5|ROLEW:10|HPD:6|HPW:1|POSS:5|HPOSD:25|AVGW:80|POSW:75|LASTW:45</t>
  </si>
  <si>
    <t>TW:32|MODW:0|ROLEW:15|HPD:8|HPW:1|POSS:5|HPOSD:25|AVGW:70|POSW:90|LASTW:45</t>
  </si>
  <si>
    <t>TW:32|MODW:0|ROLEW:15|HPD:8|HPW:1|POSS:5|HPOSD:25|AVGW:80|POSW:75|LASTW:35</t>
  </si>
  <si>
    <t>TW:32|MODW:0|ROLEW:15|HPD:8|HPW:1|POSS:5|HPOSD:25|AVGW:90|POSW:60|LASTW:25</t>
  </si>
  <si>
    <t>TW:32|MODW:0|ROLEW:15|HPD:6|HPW:2|POSS:5|HPOSD:30|AVGW:90|POSW:75|LASTW:35</t>
  </si>
  <si>
    <t>TW:32|MODW:0|ROLEW:15|HPD:6|HPW:2|POSS:5|HPOSD:25|AVGW:90|POSW:90|LASTW:45</t>
  </si>
  <si>
    <t>TW:32|MODW:0|ROLEW:15|HPD:6|HPW:2|POSS:5|HPOSD:25|AVGW:70|POSW:90|LASTW:45</t>
  </si>
  <si>
    <t>TW:32|MODW:0|ROLEW:15|HPD:6|HPW:1|POSS:5|HPOSD:20|AVGW:70|POSW:60|LASTW:45</t>
  </si>
  <si>
    <t>TW:30|MODW:5|ROLEW:15|HPD:8|HPW:1|POSS:5|HPOSD:25|AVGW:90|POSW:90|LASTW:25</t>
  </si>
  <si>
    <t>TW:30|MODW:5|ROLEW:15|HPD:8|HPW:1|POSS:5|HPOSD:25|AVGW:80|POSW:75|LASTW:35</t>
  </si>
  <si>
    <t>TW:30|MODW:5|ROLEW:15|HPD:8|HPW:1|POSS:5|HPOSD:25|AVGW:80|POSW:60|LASTW:35</t>
  </si>
  <si>
    <t>TW:30|MODW:5|ROLEW:10|HPD:8|HPW:1|POSS:5|HPOSD:30|AVGW:70|POSW:75|LASTW:35</t>
  </si>
  <si>
    <t>TW:30|MODW:5|ROLEW:10|HPD:6|HPW:1|POSS:5|HPOSD:25|AVGW:70|POSW:75|LASTW:45</t>
  </si>
  <si>
    <t>TW:30|MODW:0|ROLEW:15|HPD:8|HPW:2|POSS:5|HPOSD:25|AVGW:80|POSW:90|LASTW:45</t>
  </si>
  <si>
    <t>TW:30|MODW:0|ROLEW:15|HPD:6|HPW:1|POSS:5|HPOSD:30|AVGW:70|POSW:90|LASTW:25</t>
  </si>
  <si>
    <t>TW:30|MODW:0|ROLEW:15|HPD:6|HPW:1|POSS:5|HPOSD:30|AVGW:90|POSW:75|LASTW:35</t>
  </si>
  <si>
    <t>TW:30|MODW:0|ROLEW:15|HPD:6|HPW:1|POSS:5|HPOSD:30|AVGW:70|POSW:60|LASTW:35</t>
  </si>
  <si>
    <t>TW:30|MODW:0|ROLEW:15|HPD:6|HPW:1|POSS:5|HPOSD:25|AVGW:70|POSW:60|LASTW:35</t>
  </si>
  <si>
    <t>TW:30|MODW:0|ROLEW:10|HPD:8|HPW:2|POSS:5|HPOSD:30|AVGW:80|POSW:90|LASTW:35</t>
  </si>
  <si>
    <t>TW:30|MODW:0|ROLEW:10|HPD:8|HPW:2|POSS:5|HPOSD:25|AVGW:90|POSW:75|LASTW:35</t>
  </si>
  <si>
    <t>TW:30|MODW:0|ROLEW:10|HPD:8|HPW:1|POSS:5|HPOSD:30|AVGW:70|POSW:60|LASTW:25</t>
  </si>
  <si>
    <t>TW:30|MODW:0|ROLEW:10|HPD:6|HPW:2|POSS:5|HPOSD:25|AVGW:90|POSW:75|LASTW:25</t>
  </si>
  <si>
    <t>TW:34|MODW:5|ROLEW:15|HPD:8|HPW:2|POSS:5|HPOSD:20|AVGW:90|POSW:60|LASTW:45</t>
  </si>
  <si>
    <t>TW:34|MODW:5|ROLEW:15|HPD:6|HPW:1|POSS:5|HPOSD:25|AVGW:70|POSW:75|LASTW:35</t>
  </si>
  <si>
    <t>TW:34|MODW:5|ROLEW:10|HPD:8|HPW:2|POSS:5|HPOSD:30|AVGW:90|POSW:90|LASTW:35</t>
  </si>
  <si>
    <t>TW:34|MODW:5|ROLEW:10|HPD:8|HPW:1|POSS:5|HPOSD:30|AVGW:70|POSW:60|LASTW:45</t>
  </si>
  <si>
    <t>TW:34|MODW:5|ROLEW:10|HPD:8|HPW:1|POSS:5|HPOSD:25|AVGW:80|POSW:60|LASTW:35</t>
  </si>
  <si>
    <t>TW:34|MODW:5|ROLEW:10|HPD:6|HPW:2|POSS:5|HPOSD:30|AVGW:90|POSW:60|LASTW:35</t>
  </si>
  <si>
    <t>TW:34|MODW:5|ROLEW:10|HPD:6|HPW:2|POSS:5|HPOSD:25|AVGW:80|POSW:90|LASTW:25</t>
  </si>
  <si>
    <t>TW:34|MODW:5|ROLEW:10|HPD:6|HPW:1|POSS:5|HPOSD:30|AVGW:90|POSW:75|LASTW:25</t>
  </si>
  <si>
    <t>TW:34|MODW:5|ROLEW:10|HPD:6|HPW:1|POSS:5|HPOSD:25|AVGW:80|POSW:60|LASTW:45</t>
  </si>
  <si>
    <t>TW:34|MODW:0|ROLEW:15|HPD:8|HPW:2|POSS:5|HPOSD:30|AVGW:70|POSW:75|LASTW:35</t>
  </si>
  <si>
    <t>TW:34|MODW:0|ROLEW:15|HPD:8|HPW:2|POSS:5|HPOSD:25|AVGW:80|POSW:75|LASTW:35</t>
  </si>
  <si>
    <t>TW:34|MODW:0|ROLEW:15|HPD:8|HPW:1|POSS:5|HPOSD:25|AVGW:80|POSW:60|LASTW:25</t>
  </si>
  <si>
    <t>TW:34|MODW:0|ROLEW:15|HPD:6|HPW:1|POSS:5|HPOSD:25|AVGW:90|POSW:90|LASTW:25</t>
  </si>
  <si>
    <t>TW:34|MODW:0|ROLEW:10|HPD:8|HPW:2|POSS:5|HPOSD:30|AVGW:80|POSW:60|LASTW:25</t>
  </si>
  <si>
    <t>TW:34|MODW:0|ROLEW:10|HPD:8|HPW:1|POSS:5|HPOSD:30|AVGW:80|POSW:90|LASTW:45</t>
  </si>
  <si>
    <t>TW:34|MODW:0|ROLEW:10|HPD:8|HPW:1|POSS:5|HPOSD:30|AVGW:70|POSW:75|LASTW:45</t>
  </si>
  <si>
    <t>TW:34|MODW:0|ROLEW:10|HPD:8|HPW:1|POSS:5|HPOSD:30|AVGW:90|POSW:60|LASTW:25</t>
  </si>
  <si>
    <t>TW:34|MODW:0|ROLEW:10|HPD:6|HPW:1|POSS:5|HPOSD:30|AVGW:70|POSW:90|LASTW:35</t>
  </si>
  <si>
    <t>TW:34|MODW:0|ROLEW:10|HPD:6|HPW:1|POSS:5|HPOSD:20|AVGW:70|POSW:75|LASTW:45</t>
  </si>
  <si>
    <t>TW:32|MODW:5|ROLEW:15|HPD:8|HPW:1|POSS:5|HPOSD:30|AVGW:80|POSW:60|LASTW:45</t>
  </si>
  <si>
    <t>TW:32|MODW:5|ROLEW:15|HPD:8|HPW:1|POSS:5|HPOSD:25|AVGW:90|POSW:60|LASTW:45</t>
  </si>
  <si>
    <t>TW:32|MODW:5|ROLEW:15|HPD:8|HPW:1|POSS:5|HPOSD:20|AVGW:90|POSW:60|LASTW:25</t>
  </si>
  <si>
    <t>TW:32|MODW:5|ROLEW:15|HPD:6|HPW:2|POSS:5|HPOSD:30|AVGW:80|POSW:60|LASTW:35</t>
  </si>
  <si>
    <t>TW:32|MODW:5|ROLEW:10|HPD:8|HPW:2|POSS:5|HPOSD:30|AVGW:70|POSW:90|LASTW:45</t>
  </si>
  <si>
    <t>TW:32|MODW:5|ROLEW:10|HPD:6|HPW:1|POSS:5|HPOSD:25|AVGW:70|POSW:75|LASTW:45</t>
  </si>
  <si>
    <t>TW:32|MODW:0|ROLEW:15|HPD:8|HPW:1|POSS:5|HPOSD:20|AVGW:80|POSW:75|LASTW:35</t>
  </si>
  <si>
    <t>TW:32|MODW:0|ROLEW:15|HPD:6|HPW:2|POSS:5|HPOSD:30|AVGW:90|POSW:60|LASTW:25</t>
  </si>
  <si>
    <t>TW:32|MODW:0|ROLEW:15|HPD:6|HPW:1|POSS:5|HPOSD:30|AVGW:90|POSW:90|LASTW:35</t>
  </si>
  <si>
    <t>TW:32|MODW:0|ROLEW:15|HPD:6|HPW:1|POSS:5|HPOSD:25|AVGW:70|POSW:60|LASTW:25</t>
  </si>
  <si>
    <t>TW:32|MODW:0|ROLEW:10|HPD:8|HPW:2|POSS:5|HPOSD:25|AVGW:90|POSW:90|LASTW:45</t>
  </si>
  <si>
    <t>TW:32|MODW:0|ROLEW:10|HPD:8|HPW:1|POSS:5|HPOSD:20|AVGW:90|POSW:60|LASTW:45</t>
  </si>
  <si>
    <t>TW:30|MODW:5|ROLEW:15|HPD:6|HPW:1|POSS:5|HPOSD:25|AVGW:90|POSW:75|LASTW:45</t>
  </si>
  <si>
    <t>TW:30|MODW:5|ROLEW:15|HPD:6|HPW:1|POSS:5|HPOSD:20|AVGW:90|POSW:75|LASTW:35</t>
  </si>
  <si>
    <t>TW:30|MODW:5|ROLEW:10|HPD:6|HPW:2|POSS:5|HPOSD:30|AVGW:90|POSW:90|LASTW:25</t>
  </si>
  <si>
    <t>TW:30|MODW:5|ROLEW:10|HPD:6|HPW:1|POSS:5|HPOSD:30|AVGW:80|POSW:75|LASTW:25</t>
  </si>
  <si>
    <t>TW:30|MODW:0|ROLEW:15|HPD:8|HPW:1|POSS:5|HPOSD:25|AVGW:80|POSW:90|LASTW:25</t>
  </si>
  <si>
    <t>TW:30|MODW:0|ROLEW:15|HPD:6|HPW:1|POSS:5|HPOSD:25|AVGW:80|POSW:90|LASTW:35</t>
  </si>
  <si>
    <t>TW:30|MODW:0|ROLEW:15|HPD:6|HPW:1|POSS:5|HPOSD:20|AVGW:70|POSW:75|LASTW:25</t>
  </si>
  <si>
    <t>TW:30|MODW:0|ROLEW:10|HPD:8|HPW:2|POSS:5|HPOSD:30|AVGW:80|POSW:60|LASTW:35</t>
  </si>
  <si>
    <t>TW:30|MODW:0|ROLEW:10|HPD:8|HPW:2|POSS:5|HPOSD:30|AVGW:70|POSW:60|LASTW:35</t>
  </si>
  <si>
    <t>TW:30|MODW:0|ROLEW:10|HPD:8|HPW:2|POSS:5|HPOSD:25|AVGW:70|POSW:60|LASTW:35</t>
  </si>
  <si>
    <t>TW:30|MODW:0|ROLEW:10|HPD:8|HPW:1|POSS:5|HPOSD:20|AVGW:80|POSW:60|LASTW:45</t>
  </si>
  <si>
    <t>TW:30|MODW:0|ROLEW:10|HPD:6|HPW:2|POSS:5|HPOSD:30|AVGW:70|POSW:75|LASTW:35</t>
  </si>
  <si>
    <t>TW:34|MODW:5|ROLEW:15|HPD:8|HPW:2|POSS:5|HPOSD:25|AVGW:90|POSW:75|LASTW:45</t>
  </si>
  <si>
    <t>TW:34|MODW:5|ROLEW:15|HPD:8|HPW:1|POSS:5|HPOSD:30|AVGW:90|POSW:90|LASTW:25</t>
  </si>
  <si>
    <t>TW:34|MODW:5|ROLEW:15|HPD:6|HPW:2|POSS:5|HPOSD:30|AVGW:70|POSW:60|LASTW:45</t>
  </si>
  <si>
    <t>TW:34|MODW:5|ROLEW:15|HPD:6|HPW:2|POSS:5|HPOSD:25|AVGW:80|POSW:90|LASTW:45</t>
  </si>
  <si>
    <t>TW:34|MODW:5|ROLEW:15|HPD:6|HPW:1|POSS:5|HPOSD:25|AVGW:90|POSW:75|LASTW:35</t>
  </si>
  <si>
    <t>TW:34|MODW:5|ROLEW:15|HPD:6|HPW:1|POSS:5|HPOSD:20|AVGW:90|POSW:60|LASTW:35</t>
  </si>
  <si>
    <t>TW:34|MODW:5|ROLEW:10|HPD:8|HPW:2|POSS:5|HPOSD:30|AVGW:70|POSW:90|LASTW:35</t>
  </si>
  <si>
    <t>TW:34|MODW:5|ROLEW:10|HPD:8|HPW:2|POSS:5|HPOSD:30|AVGW:80|POSW:75|LASTW:45</t>
  </si>
  <si>
    <t>TW:34|MODW:5|ROLEW:10|HPD:8|HPW:2|POSS:5|HPOSD:30|AVGW:70|POSW:75|LASTW:25</t>
  </si>
  <si>
    <t>TW:34|MODW:5|ROLEW:10|HPD:8|HPW:2|POSS:5|HPOSD:30|AVGW:70|POSW:60|LASTW:25</t>
  </si>
  <si>
    <t>TW:34|MODW:5|ROLEW:10|HPD:6|HPW:2|POSS:5|HPOSD:30|AVGW:70|POSW:75|LASTW:35</t>
  </si>
  <si>
    <t>TW:34|MODW:5|ROLEW:10|HPD:6|HPW:1|POSS:5|HPOSD:30|AVGW:70|POSW:60|LASTW:35</t>
  </si>
  <si>
    <t>TW:34|MODW:5|ROLEW:10|HPD:6|HPW:1|POSS:5|HPOSD:25|AVGW:70|POSW:90|LASTW:45</t>
  </si>
  <si>
    <t>TW:34|MODW:0|ROLEW:15|HPD:8|HPW:2|POSS:5|HPOSD:25|AVGW:70|POSW:60|LASTW:35</t>
  </si>
  <si>
    <t>TW:34|MODW:0|ROLEW:15|HPD:6|HPW:2|POSS:5|HPOSD:30|AVGW:90|POSW:75|LASTW:45</t>
  </si>
  <si>
    <t>TW:34|MODW:0|ROLEW:15|HPD:6|HPW:2|POSS:5|HPOSD:25|AVGW:80|POSW:90|LASTW:25</t>
  </si>
  <si>
    <t>TW:34|MODW:0|ROLEW:15|HPD:6|HPW:1|POSS:5|HPOSD:30|AVGW:90|POSW:75|LASTW:45</t>
  </si>
  <si>
    <t>TW:34|MODW:0|ROLEW:15|HPD:6|HPW:1|POSS:5|HPOSD:20|AVGW:70|POSW:75|LASTW:35</t>
  </si>
  <si>
    <t>TW:32|MODW:5|ROLEW:15|HPD:8|HPW:1|POSS:5|HPOSD:30|AVGW:80|POSW:90|LASTW:45</t>
  </si>
  <si>
    <t>TW:32|MODW:5|ROLEW:15|HPD:8|HPW:1|POSS:5|HPOSD:30|AVGW:70|POSW:75|LASTW:25</t>
  </si>
  <si>
    <t>TW:32|MODW:5|ROLEW:15|HPD:6|HPW:2|POSS:5|HPOSD:25|AVGW:80|POSW:90|LASTW:45</t>
  </si>
  <si>
    <t>TW:32|MODW:5|ROLEW:15|HPD:6|HPW:2|POSS:5|HPOSD:25|AVGW:70|POSW:75|LASTW:35</t>
  </si>
  <si>
    <t>TW:32|MODW:5|ROLEW:15|HPD:6|HPW:2|POSS:5|HPOSD:25|AVGW:70|POSW:60|LASTW:35</t>
  </si>
  <si>
    <t>TW:32|MODW:5|ROLEW:15|HPD:6|HPW:1|POSS:5|HPOSD:20|AVGW:90|POSW:60|LASTW:25</t>
  </si>
  <si>
    <t>TW:32|MODW:5|ROLEW:10|HPD:8|HPW:1|POSS:5|HPOSD:30|AVGW:90|POSW:90|LASTW:45</t>
  </si>
  <si>
    <t>TW:32|MODW:5|ROLEW:10|HPD:8|HPW:1|POSS:5|HPOSD:30|AVGW:80|POSW:60|LASTW:35</t>
  </si>
  <si>
    <t>TW:32|MODW:5|ROLEW:10|HPD:6|HPW:2|POSS:5|HPOSD:30|AVGW:90|POSW:90|LASTW:25</t>
  </si>
  <si>
    <t>TW:32|MODW:5|ROLEW:10|HPD:6|HPW:2|POSS:5|HPOSD:25|AVGW:80|POSW:90|LASTW:35</t>
  </si>
  <si>
    <t>TW:32|MODW:0|ROLEW:15|HPD:6|HPW:2|POSS:5|HPOSD:25|AVGW:70|POSW:90|LASTW:25</t>
  </si>
  <si>
    <t>TW:32|MODW:0|ROLEW:15|HPD:6|HPW:1|POSS:5|HPOSD:30|AVGW:70|POSW:90|LASTW:35</t>
  </si>
  <si>
    <t>TW:32|MODW:0|ROLEW:15|HPD:6|HPW:1|POSS:5|HPOSD:30|AVGW:90|POSW:75|LASTW:25</t>
  </si>
  <si>
    <t>TW:32|MODW:0|ROLEW:10|HPD:8|HPW:2|POSS:5|HPOSD:25|AVGW:90|POSW:75|LASTW:45</t>
  </si>
  <si>
    <t>TW:32|MODW:0|ROLEW:10|HPD:8|HPW:2|POSS:5|HPOSD:25|AVGW:90|POSW:60|LASTW:35</t>
  </si>
  <si>
    <t>TW:32|MODW:0|ROLEW:10|HPD:8|HPW:1|POSS:5|HPOSD:25|AVGW:90|POSW:75|LASTW:45</t>
  </si>
  <si>
    <t>TW:32|MODW:0|ROLEW:10|HPD:6|HPW:2|POSS:5|HPOSD:30|AVGW:90|POSW:90|LASTW:35</t>
  </si>
  <si>
    <t>TW:32|MODW:0|ROLEW:10|HPD:6|HPW:2|POSS:5|HPOSD:30|AVGW:70|POSW:60|LASTW:25</t>
  </si>
  <si>
    <t>TW:32|MODW:0|ROLEW:10|HPD:6|HPW:2|POSS:5|HPOSD:25|AVGW:70|POSW:90|LASTW:35</t>
  </si>
  <si>
    <t>TW:32|MODW:0|ROLEW:10|HPD:6|HPW:1|POSS:5|HPOSD:30|AVGW:70|POSW:60|LASTW:45</t>
  </si>
  <si>
    <t>TW:32|MODW:0|ROLEW:10|HPD:6|HPW:1|POSS:5|HPOSD:25|AVGW:90|POSW:90|LASTW:45</t>
  </si>
  <si>
    <t>TW:30|MODW:5|ROLEW:15|HPD:6|HPW:2|POSS:5|HPOSD:30|AVGW:70|POSW:60|LASTW:25</t>
  </si>
  <si>
    <t>TW:30|MODW:5|ROLEW:15|HPD:6|HPW:1|POSS:5|HPOSD:25|AVGW:70|POSW:90|LASTW:35</t>
  </si>
  <si>
    <t>TW:30|MODW:5|ROLEW:15|HPD:6|HPW:1|POSS:5|HPOSD:25|AVGW:70|POSW:60|LASTW:25</t>
  </si>
  <si>
    <t>TW:30|MODW:5|ROLEW:10|HPD:8|HPW:1|POSS:5|HPOSD:25|AVGW:70|POSW:90|LASTW:35</t>
  </si>
  <si>
    <t>TW:30|MODW:5|ROLEW:10|HPD:6|HPW:2|POSS:5|HPOSD:30|AVGW:70|POSW:90|LASTW:35</t>
  </si>
  <si>
    <t>TW:30|MODW:5|ROLEW:10|HPD:6|HPW:1|POSS:5|HPOSD:30|AVGW:70|POSW:60|LASTW:35</t>
  </si>
  <si>
    <t>TW:30|MODW:0|ROLEW:15|HPD:8|HPW:1|POSS:5|HPOSD:30|AVGW:80|POSW:90|LASTW:35</t>
  </si>
  <si>
    <t>TW:30|MODW:0|ROLEW:15|HPD:8|HPW:1|POSS:5|HPOSD:25|AVGW:70|POSW:90|LASTW:35</t>
  </si>
  <si>
    <t>TW:30|MODW:0|ROLEW:15|HPD:6|HPW:2|POSS:5|HPOSD:30|AVGW:90|POSW:60|LASTW:45</t>
  </si>
  <si>
    <t>TW:30|MODW:0|ROLEW:15|HPD:6|HPW:1|POSS:5|HPOSD:30|AVGW:90|POSW:60|LASTW:45</t>
  </si>
  <si>
    <t>TW:30|MODW:0|ROLEW:10|HPD:8|HPW:2|POSS:5|HPOSD:30|AVGW:90|POSW:60|LASTW:45</t>
  </si>
  <si>
    <t>TW:30|MODW:0|ROLEW:10|HPD:6|HPW:2|POSS:5|HPOSD:25|AVGW:70|POSW:60|LASTW:25</t>
  </si>
  <si>
    <t>TW:34|MODW:5|ROLEW:15|HPD:8|HPW:1|POSS:5|HPOSD:20|AVGW:80|POSW:60|LASTW:45</t>
  </si>
  <si>
    <t>TW:34|MODW:5|ROLEW:15|HPD:6|HPW:2|POSS:5|HPOSD:30|AVGW:90|POSW:60|LASTW:45</t>
  </si>
  <si>
    <t>TW:34|MODW:5|ROLEW:15|HPD:6|HPW:1|POSS:5|HPOSD:30|AVGW:70|POSW:90|LASTW:25</t>
  </si>
  <si>
    <t>TW:34|MODW:5|ROLEW:15|HPD:6|HPW:1|POSS:5|HPOSD:30|AVGW:90|POSW:60|LASTW:25</t>
  </si>
  <si>
    <t>TW:34|MODW:5|ROLEW:15|HPD:6|HPW:1|POSS:5|HPOSD:25|AVGW:90|POSW:90|LASTW:25</t>
  </si>
  <si>
    <t>TW:34|MODW:5|ROLEW:15|HPD:6|HPW:1|POSS:5|HPOSD:20|AVGW:90|POSW:75|LASTW:45</t>
  </si>
  <si>
    <t>TW:34|MODW:5|ROLEW:10|HPD:8|HPW:2|POSS:5|HPOSD:30|AVGW:90|POSW:75|LASTW:35</t>
  </si>
  <si>
    <t>TW:34|MODW:5|ROLEW:10|HPD:8|HPW:2|POSS:5|HPOSD:25|AVGW:80|POSW:60|LASTW:25</t>
  </si>
  <si>
    <t>TW:34|MODW:5|ROLEW:10|HPD:8|HPW:1|POSS:5|HPOSD:20|AVGW:70|POSW:60|LASTW:45</t>
  </si>
  <si>
    <t>TW:34|MODW:5|ROLEW:10|HPD:6|HPW:2|POSS:5|HPOSD:30|AVGW:90|POSW:60|LASTW:25</t>
  </si>
  <si>
    <t>TW:34|MODW:5|ROLEW:10|HPD:6|HPW:1|POSS:5|HPOSD:30|AVGW:80|POSW:75|LASTW:25</t>
  </si>
  <si>
    <t>TW:34|MODW:5|ROLEW:10|HPD:6|HPW:1|POSS:5|HPOSD:30|AVGW:70|POSW:60|LASTW:45</t>
  </si>
  <si>
    <t>TW:34|MODW:5|ROLEW:10|HPD:6|HPW:1|POSS:5|HPOSD:25|AVGW:70|POSW:75|LASTW:25</t>
  </si>
  <si>
    <t>TW:34|MODW:0|ROLEW:10|HPD:8|HPW:2|POSS:5|HPOSD:25|AVGW:70|POSW:75|LASTW:25</t>
  </si>
  <si>
    <t>TW:34|MODW:0|ROLEW:10|HPD:8|HPW:1|POSS:5|HPOSD:30|AVGW:70|POSW:90|LASTW:35</t>
  </si>
  <si>
    <t>TW:34|MODW:0|ROLEW:10|HPD:8|HPW:1|POSS:5|HPOSD:20|AVGW:70|POSW:60|LASTW:35</t>
  </si>
  <si>
    <t>TW:34|MODW:0|ROLEW:10|HPD:6|HPW:2|POSS:5|HPOSD:30|AVGW:70|POSW:75|LASTW:45</t>
  </si>
  <si>
    <t>TW:34|MODW:0|ROLEW:10|HPD:6|HPW:1|POSS:5|HPOSD:25|AVGW:90|POSW:75|LASTW:45</t>
  </si>
  <si>
    <t>TW:34|MODW:0|ROLEW:10|HPD:6|HPW:1|POSS:5|HPOSD:20|AVGW:70|POSW:60|LASTW:35</t>
  </si>
  <si>
    <t>TW:32|MODW:5|ROLEW:15|HPD:8|HPW:1|POSS:5|HPOSD:30|AVGW:80|POSW:75|LASTW:25</t>
  </si>
  <si>
    <t>TW:32|MODW:5|ROLEW:15|HPD:8|HPW:1|POSS:5|HPOSD:25|AVGW:90|POSW:60|LASTW:25</t>
  </si>
  <si>
    <t>TW:32|MODW:5|ROLEW:15|HPD:6|HPW:2|POSS:5|HPOSD:25|AVGW:70|POSW:75|LASTW:25</t>
  </si>
  <si>
    <t>TW:32|MODW:5|ROLEW:15|HPD:6|HPW:1|POSS:5|HPOSD:30|AVGW:80|POSW:90|LASTW:45</t>
  </si>
  <si>
    <t>TW:32|MODW:5|ROLEW:15|HPD:6|HPW:1|POSS:5|HPOSD:30|AVGW:80|POSW:75|LASTW:25</t>
  </si>
  <si>
    <t>TW:32|MODW:5|ROLEW:10|HPD:6|HPW:1|POSS:5|HPOSD:30|AVGW:90|POSW:75|LASTW:45</t>
  </si>
  <si>
    <t>TW:32|MODW:0|ROLEW:15|HPD:8|HPW:1|POSS:5|HPOSD:30|AVGW:80|POSW:60|LASTW:25</t>
  </si>
  <si>
    <t>TW:32|MODW:0|ROLEW:15|HPD:6|HPW:2|POSS:5|HPOSD:25|AVGW:90|POSW:90|LASTW:35</t>
  </si>
  <si>
    <t>TW:32|MODW:0|ROLEW:10|HPD:8|HPW:2|POSS:5|HPOSD:30|AVGW:90|POSW:60|LASTW:25</t>
  </si>
  <si>
    <t>TW:32|MODW:0|ROLEW:10|HPD:8|HPW:1|POSS:5|HPOSD:25|AVGW:70|POSW:90|LASTW:25</t>
  </si>
  <si>
    <t>TW:32|MODW:0|ROLEW:10|HPD:6|HPW:1|POSS:5|HPOSD:30|AVGW:80|POSW:60|LASTW:35</t>
  </si>
  <si>
    <t>TW:32|MODW:0|ROLEW:10|HPD:6|HPW:1|POSS:5|HPOSD:25|AVGW:80|POSW:75|LASTW:25</t>
  </si>
  <si>
    <t>TW:30|MODW:5|ROLEW:15|HPD:8|HPW:2|POSS:5|HPOSD:30|AVGW:80|POSW:75|LASTW:35</t>
  </si>
  <si>
    <t>TW:30|MODW:5|ROLEW:15|HPD:8|HPW:1|POSS:5|HPOSD:25|AVGW:70|POSW:75|LASTW:35</t>
  </si>
  <si>
    <t>TW:30|MODW:5|ROLEW:15|HPD:6|HPW:1|POSS:5|HPOSD:25|AVGW:70|POSW:90|LASTW:25</t>
  </si>
  <si>
    <t>TW:30|MODW:5|ROLEW:10|HPD:8|HPW:1|POSS:5|HPOSD:30|AVGW:90|POSW:90|LASTW:35</t>
  </si>
  <si>
    <t>TW:30|MODW:5|ROLEW:10|HPD:8|HPW:1|POSS:5|HPOSD:25|AVGW:90|POSW:60|LASTW:35</t>
  </si>
  <si>
    <t>TW:30|MODW:5|ROLEW:10|HPD:8|HPW:1|POSS:5|HPOSD:20|AVGW:70|POSW:60|LASTW:35</t>
  </si>
  <si>
    <t>TW:30|MODW:5|ROLEW:10|HPD:6|HPW:2|POSS:5|HPOSD:30|AVGW:70|POSW:60|LASTW:35</t>
  </si>
  <si>
    <t>TW:30|MODW:5|ROLEW:10|HPD:6|HPW:2|POSS:5|HPOSD:25|AVGW:70|POSW:60|LASTW:25</t>
  </si>
  <si>
    <t>TW:30|MODW:0|ROLEW:15|HPD:8|HPW:1|POSS:5|HPOSD:30|AVGW:70|POSW:90|LASTW:25</t>
  </si>
  <si>
    <t>TW:30|MODW:0|ROLEW:15|HPD:6|HPW:2|POSS:5|HPOSD:30|AVGW:70|POSW:60|LASTW:45</t>
  </si>
  <si>
    <t>TW:30|MODW:0|ROLEW:15|HPD:6|HPW:1|POSS:5|HPOSD:30|AVGW:90|POSW:90|LASTW:25</t>
  </si>
  <si>
    <t>TW:30|MODW:0|ROLEW:10|HPD:8|HPW:2|POSS:5|HPOSD:30|AVGW:90|POSW:75|LASTW:45</t>
  </si>
  <si>
    <t>TW:30|MODW:0|ROLEW:10|HPD:8|HPW:1|POSS:5|HPOSD:30|AVGW:70|POSW:75|LASTW:35</t>
  </si>
  <si>
    <t>TW:30|MODW:0|ROLEW:10|HPD:6|HPW:2|POSS:5|HPOSD:30|AVGW:80|POSW:75|LASTW:25</t>
  </si>
  <si>
    <t>TW:34|MODW:5|ROLEW:10|HPD:8|HPW:2|POSS:5|HPOSD:25|AVGW:70|POSW:90|LASTW:35</t>
  </si>
  <si>
    <t>TW:34|MODW:5|ROLEW:10|HPD:8|HPW:2|POSS:5|HPOSD:25|AVGW:90|POSW:60|LASTW:45</t>
  </si>
  <si>
    <t>TW:34|MODW:5|ROLEW:10|HPD:6|HPW:1|POSS:5|HPOSD:30|AVGW:70|POSW:90|LASTW:45</t>
  </si>
  <si>
    <t>TW:34|MODW:5|ROLEW:10|HPD:6|HPW:1|POSS:5|HPOSD:20|AVGW:90|POSW:60|LASTW:25</t>
  </si>
  <si>
    <t>TW:34|MODW:0|ROLEW:15|HPD:8|HPW:2|POSS:5|HPOSD:30|AVGW:80|POSW:90|LASTW:45</t>
  </si>
  <si>
    <t>TW:34|MODW:0|ROLEW:15|HPD:8|HPW:1|POSS:5|HPOSD:30|AVGW:90|POSW:60|LASTW:35</t>
  </si>
  <si>
    <t>TW:34|MODW:0|ROLEW:15|HPD:6|HPW:1|POSS:5|HPOSD:25|AVGW:70|POSW:75|LASTW:35</t>
  </si>
  <si>
    <t>TW:34|MODW:0|ROLEW:10|HPD:8|HPW:2|POSS:5|HPOSD:25|AVGW:70|POSW:75|LASTW:45</t>
  </si>
  <si>
    <t>TW:34|MODW:0|ROLEW:10|HPD:8|HPW:1|POSS:5|HPOSD:30|AVGW:70|POSW:60|LASTW:35</t>
  </si>
  <si>
    <t>TW:34|MODW:0|ROLEW:10|HPD:8|HPW:1|POSS:5|HPOSD:25|AVGW:70|POSW:75|LASTW:45</t>
  </si>
  <si>
    <t>TW:34|MODW:0|ROLEW:10|HPD:6|HPW:2|POSS:5|HPOSD:30|AVGW:80|POSW:75|LASTW:45</t>
  </si>
  <si>
    <t>TW:32|MODW:5|ROLEW:15|HPD:8|HPW:1|POSS:5|HPOSD:25|AVGW:80|POSW:60|LASTW:35</t>
  </si>
  <si>
    <t>TW:32|MODW:5|ROLEW:15|HPD:6|HPW:1|POSS:5|HPOSD:25|AVGW:80|POSW:90|LASTW:45</t>
  </si>
  <si>
    <t>TW:32|MODW:5|ROLEW:10|HPD:8|HPW:1|POSS:5|HPOSD:30|AVGW:80|POSW:75|LASTW:25</t>
  </si>
  <si>
    <t>TW:32|MODW:5|ROLEW:10|HPD:6|HPW:2|POSS:5|HPOSD:25|AVGW:80|POSW:90|LASTW:25</t>
  </si>
  <si>
    <t>TW:32|MODW:5|ROLEW:10|HPD:6|HPW:1|POSS:5|HPOSD:30|AVGW:80|POSW:90|LASTW:25</t>
  </si>
  <si>
    <t>TW:32|MODW:5|ROLEW:10|HPD:6|HPW:1|POSS:5|HPOSD:20|AVGW:90|POSW:60|LASTW:35</t>
  </si>
  <si>
    <t>TW:32|MODW:0|ROLEW:15|HPD:8|HPW:2|POSS:5|HPOSD:20|AVGW:70|POSW:60|LASTW:45</t>
  </si>
  <si>
    <t>TW:32|MODW:0|ROLEW:15|HPD:6|HPW:2|POSS:5|HPOSD:30|AVGW:90|POSW:90|LASTW:45</t>
  </si>
  <si>
    <t>TW:32|MODW:0|ROLEW:10|HPD:8|HPW:2|POSS:5|HPOSD:25|AVGW:80|POSW:90|LASTW:35</t>
  </si>
  <si>
    <t>TW:32|MODW:0|ROLEW:10|HPD:8|HPW:1|POSS:5|HPOSD:25|AVGW:80|POSW:90|LASTW:35</t>
  </si>
  <si>
    <t>TW:32|MODW:0|ROLEW:10|HPD:8|HPW:1|POSS:5|HPOSD:25|AVGW:70|POSW:75|LASTW:35</t>
  </si>
  <si>
    <t>TW:32|MODW:0|ROLEW:10|HPD:6|HPW:2|POSS:5|HPOSD:25|AVGW:90|POSW:90|LASTW:35</t>
  </si>
  <si>
    <t>TW:32|MODW:0|ROLEW:10|HPD:6|HPW:2|POSS:5|HPOSD:25|AVGW:80|POSW:60|LASTW:35</t>
  </si>
  <si>
    <t>TW:32|MODW:0|ROLEW:10|HPD:6|HPW:1|POSS:5|HPOSD:25|AVGW:90|POSW:90|LASTW:25</t>
  </si>
  <si>
    <t>TW:32|MODW:0|ROLEW:10|HPD:6|HPW:1|POSS:5|HPOSD:25|AVGW:70|POSW:75|LASTW:35</t>
  </si>
  <si>
    <t>TW:30|MODW:5|ROLEW:15|HPD:8|HPW:1|POSS:5|HPOSD:25|AVGW:90|POSW:90|LASTW:35</t>
  </si>
  <si>
    <t>TW:30|MODW:5|ROLEW:15|HPD:6|HPW:2|POSS:5|HPOSD:25|AVGW:90|POSW:60|LASTW:45</t>
  </si>
  <si>
    <t>TW:30|MODW:5|ROLEW:15|HPD:6|HPW:1|POSS:5|HPOSD:30|AVGW:90|POSW:75|LASTW:35</t>
  </si>
  <si>
    <t>TW:30|MODW:5|ROLEW:15|HPD:6|HPW:1|POSS:5|HPOSD:25|AVGW:90|POSW:90|LASTW:35</t>
  </si>
  <si>
    <t>TW:30|MODW:5|ROLEW:10|HPD:8|HPW:2|POSS:5|HPOSD:30|AVGW:80|POSW:90|LASTW:35</t>
  </si>
  <si>
    <t>TW:30|MODW:5|ROLEW:10|HPD:8|HPW:2|POSS:5|HPOSD:25|AVGW:70|POSW:60|LASTW:25</t>
  </si>
  <si>
    <t>TW:30|MODW:5|ROLEW:10|HPD:8|HPW:1|POSS:5|HPOSD:20|AVGW:90|POSW:60|LASTW:35</t>
  </si>
  <si>
    <t>TW:30|MODW:0|ROLEW:15|HPD:8|HPW:2|POSS:5|HPOSD:25|AVGW:80|POSW:75|LASTW:35</t>
  </si>
  <si>
    <t>TW:30|MODW:0|ROLEW:15|HPD:8|HPW:1|POSS:5|HPOSD:25|AVGW:90|POSW:60|LASTW:45</t>
  </si>
  <si>
    <t>TW:30|MODW:0|ROLEW:15|HPD:8|HPW:1|POSS:5|HPOSD:25|AVGW:70|POSW:60|LASTW:35</t>
  </si>
  <si>
    <t>TW:30|MODW:0|ROLEW:15|HPD:8|HPW:1|POSS:5|HPOSD:20|AVGW:70|POSW:60|LASTW:45</t>
  </si>
  <si>
    <t>TW:30|MODW:0|ROLEW:15|HPD:6|HPW:2|POSS:5|HPOSD:30|AVGW:90|POSW:75|LASTW:45</t>
  </si>
  <si>
    <t>TW:30|MODW:0|ROLEW:10|HPD:8|HPW:1|POSS:5|HPOSD:25|AVGW:70|POSW:60|LASTW:45</t>
  </si>
  <si>
    <t>TW:30|MODW:0|ROLEW:10|HPD:6|HPW:2|POSS:5|HPOSD:25|AVGW:80|POSW:60|LASTW:25</t>
  </si>
  <si>
    <t>TW:34|MODW:5|ROLEW:15|HPD:6|HPW:1|POSS:5|HPOSD:25|AVGW:90|POSW:75|LASTW:45</t>
  </si>
  <si>
    <t>TW:34|MODW:5|ROLEW:15|HPD:6|HPW:1|POSS:5|HPOSD:20|AVGW:90|POSW:75|LASTW:25</t>
  </si>
  <si>
    <t>TW:34|MODW:5|ROLEW:10|HPD:6|HPW:1|POSS:5|HPOSD:20|AVGW:70|POSW:60|LASTW:45</t>
  </si>
  <si>
    <t>TW:34|MODW:0|ROLEW:15|HPD:8|HPW:2|POSS:5|HPOSD:30|AVGW:70|POSW:90|LASTW:45</t>
  </si>
  <si>
    <t>TW:34|MODW:0|ROLEW:15|HPD:8|HPW:1|POSS:5|HPOSD:30|AVGW:80|POSW:60|LASTW:45</t>
  </si>
  <si>
    <t>TW:34|MODW:0|ROLEW:15|HPD:6|HPW:1|POSS:5|HPOSD:30|AVGW:70|POSW:60|LASTW:45</t>
  </si>
  <si>
    <t>TW:34|MODW:0|ROLEW:15|HPD:6|HPW:1|POSS:5|HPOSD:25|AVGW:90|POSW:75|LASTW:35</t>
  </si>
  <si>
    <t>TW:34|MODW:0|ROLEW:15|HPD:6|HPW:1|POSS:5|HPOSD:20|AVGW:80|POSW:75|LASTW:35</t>
  </si>
  <si>
    <t>TW:34|MODW:0|ROLEW:10|HPD:8|HPW:2|POSS:5|HPOSD:25|AVGW:70|POSW:90|LASTW:45</t>
  </si>
  <si>
    <t>TW:34|MODW:0|ROLEW:10|HPD:8|HPW:2|POSS:5|HPOSD:20|AVGW:70|POSW:60|LASTW:35</t>
  </si>
  <si>
    <t>TW:34|MODW:0|ROLEW:10|HPD:8|HPW:1|POSS:5|HPOSD:25|AVGW:90|POSW:90|LASTW:25</t>
  </si>
  <si>
    <t>TW:34|MODW:0|ROLEW:10|HPD:8|HPW:1|POSS:5|HPOSD:25|AVGW:80|POSW:60|LASTW:35</t>
  </si>
  <si>
    <t>TW:34|MODW:0|ROLEW:10|HPD:6|HPW:2|POSS:5|HPOSD:25|AVGW:80|POSW:60|LASTW:45</t>
  </si>
  <si>
    <t>TW:34|MODW:0|ROLEW:10|HPD:6|HPW:1|POSS:5|HPOSD:25|AVGW:80|POSW:75|LASTW:45</t>
  </si>
  <si>
    <t>TW:34|MODW:0|ROLEW:10|HPD:6|HPW:1|POSS:5|HPOSD:25|AVGW:70|POSW:60|LASTW:25</t>
  </si>
  <si>
    <t>TW:32|MODW:5|ROLEW:15|HPD:8|HPW:1|POSS:5|HPOSD:25|AVGW:90|POSW:75|LASTW:25</t>
  </si>
  <si>
    <t>TW:32|MODW:5|ROLEW:15|HPD:6|HPW:2|POSS:5|HPOSD:30|AVGW:80|POSW:90|LASTW:25</t>
  </si>
  <si>
    <t>TW:32|MODW:5|ROLEW:15|HPD:6|HPW:2|POSS:5|HPOSD:25|AVGW:90|POSW:90|LASTW:35</t>
  </si>
  <si>
    <t>TW:32|MODW:5|ROLEW:10|HPD:8|HPW:1|POSS:5|HPOSD:30|AVGW:70|POSW:75|LASTW:25</t>
  </si>
  <si>
    <t>TW:32|MODW:5|ROLEW:10|HPD:6|HPW:2|POSS:5|HPOSD:25|AVGW:70|POSW:90|LASTW:35</t>
  </si>
  <si>
    <t>TW:32|MODW:5|ROLEW:10|HPD:6|HPW:1|POSS:5|HPOSD:30|AVGW:90|POSW:75|LASTW:25</t>
  </si>
  <si>
    <t>TW:32|MODW:5|ROLEW:10|HPD:6|HPW:1|POSS:5|HPOSD:30|AVGW:80|POSW:60|LASTW:35</t>
  </si>
  <si>
    <t>TW:32|MODW:0|ROLEW:15|HPD:8|HPW:1|POSS:5|HPOSD:30|AVGW:70|POSW:90|LASTW:45</t>
  </si>
  <si>
    <t>TW:32|MODW:0|ROLEW:15|HPD:6|HPW:1|POSS:5|HPOSD:30|AVGW:80|POSW:90|LASTW:45</t>
  </si>
  <si>
    <t>TW:32|MODW:0|ROLEW:15|HPD:6|HPW:1|POSS:5|HPOSD:30|AVGW:70|POSW:60|LASTW:45</t>
  </si>
  <si>
    <t>TW:32|MODW:0|ROLEW:15|HPD:6|HPW:1|POSS:5|HPOSD:25|AVGW:90|POSW:75|LASTW:25</t>
  </si>
  <si>
    <t>TW:32|MODW:0|ROLEW:10|HPD:8|HPW:2|POSS:5|HPOSD:25|AVGW:70|POSW:90|LASTW:45</t>
  </si>
  <si>
    <t>TW:32|MODW:0|ROLEW:10|HPD:8|HPW:2|POSS:5|HPOSD:25|AVGW:80|POSW:60|LASTW:45</t>
  </si>
  <si>
    <t>TW:32|MODW:0|ROLEW:10|HPD:8|HPW:1|POSS:5|HPOSD:30|AVGW:70|POSW:75|LASTW:45</t>
  </si>
  <si>
    <t>TW:32|MODW:0|ROLEW:10|HPD:8|HPW:1|POSS:5|HPOSD:20|AVGW:80|POSW:60|LASTW:35</t>
  </si>
  <si>
    <t>TW:32|MODW:0|ROLEW:10|HPD:6|HPW:2|POSS:5|HPOSD:30|AVGW:70|POSW:60|LASTW:45</t>
  </si>
  <si>
    <t>TW:32|MODW:0|ROLEW:10|HPD:6|HPW:2|POSS:5|HPOSD:25|AVGW:70|POSW:60|LASTW:25</t>
  </si>
  <si>
    <t>TW:32|MODW:0|ROLEW:10|HPD:6|HPW:1|POSS:5|HPOSD:30|AVGW:90|POSW:75|LASTW:25</t>
  </si>
  <si>
    <t>TW:32|MODW:0|ROLEW:10|HPD:6|HPW:1|POSS:5|HPOSD:30|AVGW:70|POSW:60|LASTW:35</t>
  </si>
  <si>
    <t>TW:30|MODW:5|ROLEW:15|HPD:8|HPW:1|POSS:5|HPOSD:30|AVGW:90|POSW:75|LASTW:25</t>
  </si>
  <si>
    <t>TW:30|MODW:5|ROLEW:15|HPD:8|HPW:1|POSS:5|HPOSD:25|AVGW:70|POSW:60|LASTW:25</t>
  </si>
  <si>
    <t>TW:30|MODW:5|ROLEW:15|HPD:6|HPW:2|POSS:5|HPOSD:30|AVGW:70|POSW:75|LASTW:25</t>
  </si>
  <si>
    <t>TW:30|MODW:5|ROLEW:15|HPD:6|HPW:2|POSS:5|HPOSD:25|AVGW:70|POSW:60|LASTW:35</t>
  </si>
  <si>
    <t>TW:30|MODW:5|ROLEW:15|HPD:6|HPW:1|POSS:5|HPOSD:30|AVGW:90|POSW:60|LASTW:45</t>
  </si>
  <si>
    <t>TW:30|MODW:5|ROLEW:10|HPD:6|HPW:1|POSS:5|HPOSD:25|AVGW:90|POSW:60|LASTW:25</t>
  </si>
  <si>
    <t>TW:30|MODW:5|ROLEW:10|HPD:6|HPW:1|POSS:5|HPOSD:20|AVGW:90|POSW:75|LASTW:25</t>
  </si>
  <si>
    <t>TW:30|MODW:0|ROLEW:15|HPD:8|HPW:1|POSS:5|HPOSD:20|AVGW:80|POSW:60|LASTW:25</t>
  </si>
  <si>
    <t>TW:30|MODW:0|ROLEW:10|HPD:8|HPW:1|POSS:5|HPOSD:25|AVGW:70|POSW:90|LASTW:45</t>
  </si>
  <si>
    <t>TW:30|MODW:0|ROLEW:10|HPD:6|HPW:2|POSS:5|HPOSD:25|AVGW:90|POSW:75|LASTW:45</t>
  </si>
  <si>
    <t>TW:34|MODW:5|ROLEW:15|HPD:6|HPW:1|POSS:5|HPOSD:25|AVGW:90|POSW:60|LASTW:25</t>
  </si>
  <si>
    <t>TW:34|MODW:5|ROLEW:15|HPD:6|HPW:1|POSS:5|HPOSD:20|AVGW:80|POSW:60|LASTW:25</t>
  </si>
  <si>
    <t>TW:34|MODW:5|ROLEW:10|HPD:8|HPW:1|POSS:5|HPOSD:30|AVGW:90|POSW:75|LASTW:35</t>
  </si>
  <si>
    <t>TW:34|MODW:5|ROLEW:10|HPD:6|HPW:2|POSS:5|HPOSD:25|AVGW:90|POSW:90|LASTW:45</t>
  </si>
  <si>
    <t>TW:34|MODW:0|ROLEW:15|HPD:8|HPW:2|POSS:5|HPOSD:25|AVGW:80|POSW:90|LASTW:45</t>
  </si>
  <si>
    <t>TW:34|MODW:0|ROLEW:15|HPD:6|HPW:2|POSS:5|HPOSD:30|AVGW:90|POSW:60|LASTW:35</t>
  </si>
  <si>
    <t>TW:34|MODW:0|ROLEW:15|HPD:6|HPW:2|POSS:5|HPOSD:25|AVGW:80|POSW:60|LASTW:25</t>
  </si>
  <si>
    <t>TW:34|MODW:0|ROLEW:10|HPD:8|HPW:2|POSS:5|HPOSD:20|AVGW:90|POSW:60|LASTW:35</t>
  </si>
  <si>
    <t>TW:34|MODW:0|ROLEW:10|HPD:8|HPW:1|POSS:5|HPOSD:30|AVGW:90|POSW:90|LASTW:45</t>
  </si>
  <si>
    <t>TW:34|MODW:0|ROLEW:10|HPD:6|HPW:2|POSS:5|HPOSD:25|AVGW:90|POSW:60|LASTW:25</t>
  </si>
  <si>
    <t>TW:32|MODW:5|ROLEW:15|HPD:8|HPW:2|POSS:5|HPOSD:25|AVGW:80|POSW:75|LASTW:35</t>
  </si>
  <si>
    <t>TW:32|MODW:5|ROLEW:15|HPD:8|HPW:1|POSS:5|HPOSD:25|AVGW:80|POSW:75|LASTW:45</t>
  </si>
  <si>
    <t>TW:32|MODW:5|ROLEW:15|HPD:8|HPW:1|POSS:5|HPOSD:25|AVGW:80|POSW:75|LASTW:25</t>
  </si>
  <si>
    <t>TW:32|MODW:5|ROLEW:15|HPD:6|HPW:1|POSS:5|HPOSD:25|AVGW:90|POSW:75|LASTW:45</t>
  </si>
  <si>
    <t>TW:32|MODW:5|ROLEW:10|HPD:6|HPW:2|POSS:5|HPOSD:30|AVGW:80|POSW:75|LASTW:35</t>
  </si>
  <si>
    <t>TW:32|MODW:5|ROLEW:10|HPD:6|HPW:2|POSS:5|HPOSD:30|AVGW:90|POSW:60|LASTW:25</t>
  </si>
  <si>
    <t>TW:32|MODW:5|ROLEW:10|HPD:6|HPW:2|POSS:5|HPOSD:25|AVGW:80|POSW:75|LASTW:45</t>
  </si>
  <si>
    <t>TW:32|MODW:0|ROLEW:15|HPD:8|HPW:1|POSS:5|HPOSD:30|AVGW:90|POSW:90|LASTW:35</t>
  </si>
  <si>
    <t>TW:32|MODW:0|ROLEW:15|HPD:6|HPW:2|POSS:5|HPOSD:25|AVGW:70|POSW:75|LASTW:35</t>
  </si>
  <si>
    <t>TW:32|MODW:0|ROLEW:15|HPD:6|HPW:1|POSS:5|HPOSD:30|AVGW:70|POSW:75|LASTW:45</t>
  </si>
  <si>
    <t>TW:32|MODW:0|ROLEW:10|HPD:8|HPW:1|POSS:5|HPOSD:30|AVGW:90|POSW:75|LASTW:25</t>
  </si>
  <si>
    <t>TW:32|MODW:0|ROLEW:10|HPD:8|HPW:1|POSS:5|HPOSD:25|AVGW:90|POSW:75|LASTW:35</t>
  </si>
  <si>
    <t>TW:32|MODW:0|ROLEW:10|HPD:8|HPW:1|POSS:5|HPOSD:25|AVGW:70|POSW:60|LASTW:25</t>
  </si>
  <si>
    <t>TW:32|MODW:0|ROLEW:10|HPD:6|HPW:2|POSS:5|HPOSD:30|AVGW:80|POSW:60|LASTW:25</t>
  </si>
  <si>
    <t>TW:32|MODW:0|ROLEW:10|HPD:6|HPW:1|POSS:5|HPOSD:30|AVGW:80|POSW:75|LASTW:25</t>
  </si>
  <si>
    <t>TW:30|MODW:5|ROLEW:15|HPD:8|HPW:1|POSS:5|HPOSD:25|AVGW:70|POSW:90|LASTW:45</t>
  </si>
  <si>
    <t>TW:30|MODW:5|ROLEW:15|HPD:8|HPW:1|POSS:5|HPOSD:25|AVGW:90|POSW:75|LASTW:25</t>
  </si>
  <si>
    <t>TW:30|MODW:5|ROLEW:15|HPD:6|HPW:2|POSS:5|HPOSD:25|AVGW:80|POSW:90|LASTW:25</t>
  </si>
  <si>
    <t>TW:30|MODW:5|ROLEW:15|HPD:6|HPW:2|POSS:5|HPOSD:25|AVGW:70|POSW:75|LASTW:25</t>
  </si>
  <si>
    <t>TW:30|MODW:5|ROLEW:15|HPD:6|HPW:1|POSS:5|HPOSD:30|AVGW:70|POSW:75|LASTW:45</t>
  </si>
  <si>
    <t>TW:30|MODW:5|ROLEW:15|HPD:6|HPW:1|POSS:5|HPOSD:30|AVGW:70|POSW:60|LASTW:35</t>
  </si>
  <si>
    <t>TW:30|MODW:5|ROLEW:10|HPD:6|HPW:2|POSS:5|HPOSD:30|AVGW:70|POSW:75|LASTW:35</t>
  </si>
  <si>
    <t>TW:30|MODW:5|ROLEW:10|HPD:6|HPW:2|POSS:5|HPOSD:25|AVGW:80|POSW:75|LASTW:45</t>
  </si>
  <si>
    <t>TW:30|MODW:5|ROLEW:10|HPD:6|HPW:1|POSS:5|HPOSD:30|AVGW:70|POSW:90|LASTW:45</t>
  </si>
  <si>
    <t>TW:30|MODW:5|ROLEW:10|HPD:6|HPW:1|POSS:5|HPOSD:25|AVGW:90|POSW:60|LASTW:35</t>
  </si>
  <si>
    <t>TW:30|MODW:5|ROLEW:10|HPD:6|HPW:1|POSS:5|HPOSD:20|AVGW:70|POSW:60|LASTW:25</t>
  </si>
  <si>
    <t>TW:30|MODW:0|ROLEW:15|HPD:8|HPW:1|POSS:5|HPOSD:25|AVGW:80|POSW:60|LASTW:35</t>
  </si>
  <si>
    <t>TW:30|MODW:0|ROLEW:10|HPD:6|HPW:2|POSS:5|HPOSD:25|AVGW:90|POSW:90|LASTW:35</t>
  </si>
  <si>
    <t>TW:34|MODW:5|ROLEW:15|HPD:8|HPW:1|POSS:5|HPOSD:25|AVGW:80|POSW:60|LASTW:45</t>
  </si>
  <si>
    <t>TW:34|MODW:5|ROLEW:15|HPD:6|HPW:1|POSS:5|HPOSD:25|AVGW:70|POSW:75|LASTW:45</t>
  </si>
  <si>
    <t>TW:34|MODW:5|ROLEW:10|HPD:8|HPW:1|POSS:5|HPOSD:25|AVGW:70|POSW:75|LASTW:35</t>
  </si>
  <si>
    <t>TW:34|MODW:5|ROLEW:10|HPD:8|HPW:1|POSS:5|HPOSD:20|AVGW:80|POSW:60|LASTW:35</t>
  </si>
  <si>
    <t>TW:34|MODW:5|ROLEW:10|HPD:6|HPW:1|POSS:5|HPOSD:20|AVGW:80|POSW:60|LASTW:25</t>
  </si>
  <si>
    <t>TW:34|MODW:0|ROLEW:15|HPD:8|HPW:1|POSS:5|HPOSD:20|AVGW:80|POSW:75|LASTW:45</t>
  </si>
  <si>
    <t>TW:34|MODW:0|ROLEW:15|HPD:6|HPW:2|POSS:5|HPOSD:25|AVGW:70|POSW:75|LASTW:45</t>
  </si>
  <si>
    <t>TW:34|MODW:0|ROLEW:10|HPD:8|HPW:2|POSS:5|HPOSD:25|AVGW:70|POSW:60|LASTW:25</t>
  </si>
  <si>
    <t>TW:34|MODW:0|ROLEW:10|HPD:8|HPW:1|POSS:5|HPOSD:25|AVGW:80|POSW:90|LASTW:25</t>
  </si>
  <si>
    <t>TW:34|MODW:0|ROLEW:10|HPD:8|HPW:1|POSS:5|HPOSD:25|AVGW:90|POSW:75|LASTW:45</t>
  </si>
  <si>
    <t>TW:34|MODW:0|ROLEW:10|HPD:6|HPW:1|POSS:5|HPOSD:30|AVGW:90|POSW:60|LASTW:45</t>
  </si>
  <si>
    <t>TW:32|MODW:5|ROLEW:15|HPD:8|HPW:1|POSS:5|HPOSD:30|AVGW:80|POSW:90|LASTW:35</t>
  </si>
  <si>
    <t>TW:32|MODW:5|ROLEW:15|HPD:8|HPW:1|POSS:5|HPOSD:30|AVGW:90|POSW:60|LASTW:35</t>
  </si>
  <si>
    <t>TW:32|MODW:5|ROLEW:15|HPD:8|HPW:1|POSS:5|HPOSD:25|AVGW:70|POSW:90|LASTW:45</t>
  </si>
  <si>
    <t>TW:32|MODW:5|ROLEW:15|HPD:8|HPW:1|POSS:5|HPOSD:25|AVGW:70|POSW:60|LASTW:25</t>
  </si>
  <si>
    <t>TW:32|MODW:5|ROLEW:15|HPD:6|HPW:2|POSS:5|HPOSD:25|AVGW:70|POSW:75|LASTW:45</t>
  </si>
  <si>
    <t>TW:32|MODW:5|ROLEW:15|HPD:6|HPW:1|POSS:5|HPOSD:30|AVGW:70|POSW:60|LASTW:35</t>
  </si>
  <si>
    <t>TW:32|MODW:5|ROLEW:15|HPD:6|HPW:1|POSS:5|HPOSD:25|AVGW:80|POSW:60|LASTW:35</t>
  </si>
  <si>
    <t>TW:32|MODW:5|ROLEW:10|HPD:6|HPW:2|POSS:5|HPOSD:25|AVGW:70|POSW:75|LASTW:35</t>
  </si>
  <si>
    <t>TW:32|MODW:5|ROLEW:10|HPD:6|HPW:1|POSS:5|HPOSD:30|AVGW:70|POSW:60|LASTW:25</t>
  </si>
  <si>
    <t>TW:32|MODW:5|ROLEW:10|HPD:6|HPW:1|POSS:5|HPOSD:20|AVGW:90|POSW:60|LASTW:45</t>
  </si>
  <si>
    <t>TW:32|MODW:0|ROLEW:15|HPD:8|HPW:2|POSS:5|HPOSD:30|AVGW:90|POSW:90|LASTW:45</t>
  </si>
  <si>
    <t>TW:32|MODW:0|ROLEW:15|HPD:8|HPW:2|POSS:5|HPOSD:30|AVGW:90|POSW:60|LASTW:35</t>
  </si>
  <si>
    <t>TW:32|MODW:0|ROLEW:15|HPD:8|HPW:1|POSS:5|HPOSD:30|AVGW:90|POSW:75|LASTW:25</t>
  </si>
  <si>
    <t>TW:32|MODW:0|ROLEW:15|HPD:8|HPW:1|POSS:5|HPOSD:30|AVGW:70|POSW:75|LASTW:35</t>
  </si>
  <si>
    <t>TW:32|MODW:0|ROLEW:15|HPD:8|HPW:1|POSS:5|HPOSD:30|AVGW:90|POSW:60|LASTW:25</t>
  </si>
  <si>
    <t>TW:32|MODW:0|ROLEW:15|HPD:6|HPW:2|POSS:5|HPOSD:30|AVGW:80|POSW:60|LASTW:35</t>
  </si>
  <si>
    <t>TW:32|MODW:0|ROLEW:10|HPD:8|HPW:1|POSS:5|HPOSD:30|AVGW:90|POSW:75|LASTW:45</t>
  </si>
  <si>
    <t>TW:32|MODW:0|ROLEW:10|HPD:8|HPW:1|POSS:5|HPOSD:30|AVGW:80|POSW:75|LASTW:45</t>
  </si>
  <si>
    <t>TW:32|MODW:0|ROLEW:10|HPD:8|HPW:1|POSS:5|HPOSD:25|AVGW:90|POSW:60|LASTW:45</t>
  </si>
  <si>
    <t>TW:32|MODW:0|ROLEW:10|HPD:6|HPW:2|POSS:5|HPOSD:30|AVGW:80|POSW:75|LASTW:35</t>
  </si>
  <si>
    <t>TW:32|MODW:0|ROLEW:10|HPD:6|HPW:1|POSS:5|HPOSD:30|AVGW:80|POSW:75|LASTW:45</t>
  </si>
  <si>
    <t>TW:32|MODW:0|ROLEW:10|HPD:6|HPW:1|POSS:5|HPOSD:25|AVGW:90|POSW:75|LASTW:25</t>
  </si>
  <si>
    <t>TW:30|MODW:5|ROLEW:15|HPD:8|HPW:2|POSS:5|HPOSD:25|AVGW:70|POSW:75|LASTW:45</t>
  </si>
  <si>
    <t>TW:30|MODW:5|ROLEW:15|HPD:8|HPW:1|POSS:5|HPOSD:30|AVGW:80|POSW:90|LASTW:25</t>
  </si>
  <si>
    <t>TW:30|MODW:5|ROLEW:15|HPD:8|HPW:1|POSS:5|HPOSD:30|AVGW:90|POSW:75|LASTW:45</t>
  </si>
  <si>
    <t>TW:30|MODW:5|ROLEW:15|HPD:6|HPW:2|POSS:5|HPOSD:25|AVGW:90|POSW:60|LASTW:35</t>
  </si>
  <si>
    <t>TW:30|MODW:5|ROLEW:10|HPD:8|HPW:2|POSS:5|HPOSD:30|AVGW:90|POSW:75|LASTW:45</t>
  </si>
  <si>
    <t>TW:30|MODW:5|ROLEW:10|HPD:8|HPW:2|POSS:5|HPOSD:20|AVGW:80|POSW:60|LASTW:45</t>
  </si>
  <si>
    <t>TW:30|MODW:5|ROLEW:10|HPD:8|HPW:1|POSS:5|HPOSD:30|AVGW:80|POSW:90|LASTW:25</t>
  </si>
  <si>
    <t>TW:30|MODW:5|ROLEW:10|HPD:8|HPW:1|POSS:5|HPOSD:30|AVGW:80|POSW:75|LASTW:25</t>
  </si>
  <si>
    <t>TW:30|MODW:5|ROLEW:10|HPD:6|HPW:2|POSS:5|HPOSD:30|AVGW:90|POSW:60|LASTW:45</t>
  </si>
  <si>
    <t>TW:30|MODW:5|ROLEW:10|HPD:6|HPW:1|POSS:5|HPOSD:20|AVGW:80|POSW:60|LASTW:25</t>
  </si>
  <si>
    <t>TW:30|MODW:0|ROLEW:15|HPD:8|HPW:2|POSS:5|HPOSD:30|AVGW:70|POSW:90|LASTW:45</t>
  </si>
  <si>
    <t>TW:30|MODW:0|ROLEW:15|HPD:8|HPW:2|POSS:5|HPOSD:25|AVGW:90|POSW:60|LASTW:35</t>
  </si>
  <si>
    <t>TW:30|MODW:0|ROLEW:15|HPD:8|HPW:1|POSS:5|HPOSD:25|AVGW:80|POSW:60|LASTW:25</t>
  </si>
  <si>
    <t>TW:30|MODW:0|ROLEW:10|HPD:8|HPW:2|POSS:5|HPOSD:30|AVGW:90|POSW:90|LASTW:35</t>
  </si>
  <si>
    <t>TW:30|MODW:0|ROLEW:10|HPD:8|HPW:2|POSS:5|HPOSD:30|AVGW:70|POSW:75|LASTW:35</t>
  </si>
  <si>
    <t>TW:30|MODW:0|ROLEW:10|HPD:8|HPW:2|POSS:5|HPOSD:25|AVGW:90|POSW:90|LASTW:45</t>
  </si>
  <si>
    <t>TW:30|MODW:0|ROLEW:10|HPD:8|HPW:1|POSS:5|HPOSD:30|AVGW:80|POSW:60|LASTW:45</t>
  </si>
  <si>
    <t>TW:30|MODW:0|ROLEW:10|HPD:8|HPW:1|POSS:5|HPOSD:25|AVGW:80|POSW:60|LASTW:45</t>
  </si>
  <si>
    <t>TW:30|MODW:0|ROLEW:10|HPD:6|HPW:2|POSS:5|HPOSD:30|AVGW:90|POSW:90|LASTW:45</t>
  </si>
  <si>
    <t>TW:30|MODW:0|ROLEW:10|HPD:6|HPW:2|POSS:5|HPOSD:30|AVGW:80|POSW:90|LASTW:25</t>
  </si>
  <si>
    <t>TW:34|MODW:5|ROLEW:15|HPD:8|HPW:1|POSS:5|HPOSD:30|AVGW:70|POSW:60|LASTW:35</t>
  </si>
  <si>
    <t>TW:34|MODW:5|ROLEW:15|HPD:8|HPW:1|POSS:5|HPOSD:25|AVGW:70|POSW:90|LASTW:25</t>
  </si>
  <si>
    <t>TW:34|MODW:5|ROLEW:15|HPD:8|HPW:1|POSS:5|HPOSD:20|AVGW:90|POSW:60|LASTW:45</t>
  </si>
  <si>
    <t>TW:34|MODW:5|ROLEW:15|HPD:6|HPW:2|POSS:5|HPOSD:30|AVGW:90|POSW:60|LASTW:35</t>
  </si>
  <si>
    <t>TW:34|MODW:5|ROLEW:15|HPD:6|HPW:1|POSS:5|HPOSD:25|AVGW:70|POSW:90|LASTW:25</t>
  </si>
  <si>
    <t>TW:34|MODW:5|ROLEW:10|HPD:8|HPW:2|POSS:5|HPOSD:30|AVGW:70|POSW:60|LASTW:45</t>
  </si>
  <si>
    <t>TW:34|MODW:5|ROLEW:10|HPD:8|HPW:1|POSS:5|HPOSD:30|AVGW:80|POSW:75|LASTW:35</t>
  </si>
  <si>
    <t>TW:34|MODW:5|ROLEW:10|HPD:8|HPW:1|POSS:5|HPOSD:25|AVGW:90|POSW:90|LASTW:45</t>
  </si>
  <si>
    <t>TW:34|MODW:5|ROLEW:10|HPD:8|HPW:1|POSS:5|HPOSD:20|AVGW:80|POSW:60|LASTW:25</t>
  </si>
  <si>
    <t>TW:34|MODW:5|ROLEW:10|HPD:6|HPW:2|POSS:5|HPOSD:25|AVGW:80|POSW:75|LASTW:45</t>
  </si>
  <si>
    <t>TW:34|MODW:5|ROLEW:10|HPD:6|HPW:1|POSS:5|HPOSD:30|AVGW:80|POSW:60|LASTW:25</t>
  </si>
  <si>
    <t>TW:34|MODW:5|ROLEW:10|HPD:6|HPW:1|POSS:5|HPOSD:25|AVGW:70|POSW:75|LASTW:35</t>
  </si>
  <si>
    <t>TW:34|MODW:0|ROLEW:15|HPD:8|HPW:2|POSS:5|HPOSD:30|AVGW:80|POSW:75|LASTW:45</t>
  </si>
  <si>
    <t>TW:34|MODW:0|ROLEW:15|HPD:8|HPW:1|POSS:5|HPOSD:30|AVGW:80|POSW:60|LASTW:35</t>
  </si>
  <si>
    <t>TW:34|MODW:0|ROLEW:15|HPD:6|HPW:2|POSS:5|HPOSD:30|AVGW:90|POSW:60|LASTW:45</t>
  </si>
  <si>
    <t>TW:34|MODW:0|ROLEW:10|HPD:8|HPW:2|POSS:5|HPOSD:25|AVGW:80|POSW:90|LASTW:45</t>
  </si>
  <si>
    <t>TW:34|MODW:0|ROLEW:10|HPD:6|HPW:2|POSS:5|HPOSD:30|AVGW:70|POSW:60|LASTW:25</t>
  </si>
  <si>
    <t>TW:34|MODW:0|ROLEW:10|HPD:6|HPW:1|POSS:5|HPOSD:30|AVGW:80|POSW:90|LASTW:35</t>
  </si>
  <si>
    <t>TW:34|MODW:0|ROLEW:10|HPD:6|HPW:1|POSS:5|HPOSD:20|AVGW:90|POSW:75|LASTW:25</t>
  </si>
  <si>
    <t>TW:32|MODW:5|ROLEW:15|HPD:6|HPW:2|POSS:5|HPOSD:30|AVGW:80|POSW:90|LASTW:45</t>
  </si>
  <si>
    <t>TW:32|MODW:5|ROLEW:15|HPD:6|HPW:2|POSS:5|HPOSD:30|AVGW:70|POSW:90|LASTW:25</t>
  </si>
  <si>
    <t>TW:32|MODW:5|ROLEW:15|HPD:6|HPW:2|POSS:5|HPOSD:30|AVGW:90|POSW:75|LASTW:35</t>
  </si>
  <si>
    <t>TW:32|MODW:5|ROLEW:15|HPD:6|HPW:1|POSS:5|HPOSD:30|AVGW:70|POSW:60|LASTW:25</t>
  </si>
  <si>
    <t>TW:32|MODW:5|ROLEW:10|HPD:8|HPW:2|POSS:5|HPOSD:30|AVGW:90|POSW:90|LASTW:45</t>
  </si>
  <si>
    <t>TW:32|MODW:5|ROLEW:10|HPD:8|HPW:2|POSS:5|HPOSD:25|AVGW:80|POSW:60|LASTW:45</t>
  </si>
  <si>
    <t>TW:32|MODW:5|ROLEW:10|HPD:6|HPW:1|POSS:5|HPOSD:25|AVGW:80|POSW:90|LASTW:45</t>
  </si>
  <si>
    <t>TW:32|MODW:5|ROLEW:10|HPD:6|HPW:1|POSS:5|HPOSD:25|AVGW:70|POSW:75|LASTW:35</t>
  </si>
  <si>
    <t>TW:32|MODW:5|ROLEW:10|HPD:6|HPW:1|POSS:5|HPOSD:25|AVGW:70|POSW:60|LASTW:35</t>
  </si>
  <si>
    <t>TW:32|MODW:0|ROLEW:15|HPD:6|HPW:2|POSS:5|HPOSD:25|AVGW:70|POSW:60|LASTW:35</t>
  </si>
  <si>
    <t>TW:32|MODW:0|ROLEW:10|HPD:8|HPW:1|POSS:5|HPOSD:20|AVGW:70|POSW:60|LASTW:25</t>
  </si>
  <si>
    <t>TW:32|MODW:0|ROLEW:10|HPD:6|HPW:2|POSS:5|HPOSD:30|AVGW:80|POSW:75|LASTW:25</t>
  </si>
  <si>
    <t>TW:32|MODW:0|ROLEW:10|HPD:6|HPW:2|POSS:5|HPOSD:25|AVGW:80|POSW:90|LASTW:35</t>
  </si>
  <si>
    <t>TW:30|MODW:5|ROLEW:15|HPD:8|HPW:1|POSS:5|HPOSD:30|AVGW:80|POSW:60|LASTW:35</t>
  </si>
  <si>
    <t>TW:30|MODW:5|ROLEW:15|HPD:6|HPW:2|POSS:5|HPOSD:30|AVGW:90|POSW:60|LASTW:35</t>
  </si>
  <si>
    <t>TW:30|MODW:5|ROLEW:10|HPD:8|HPW:2|POSS:5|HPOSD:30|AVGW:90|POSW:90|LASTW:45</t>
  </si>
  <si>
    <t>TW:30|MODW:5|ROLEW:10|HPD:8|HPW:1|POSS:5|HPOSD:25|AVGW:80|POSW:60|LASTW:35</t>
  </si>
  <si>
    <t>TW:30|MODW:5|ROLEW:10|HPD:6|HPW:2|POSS:5|HPOSD:30|AVGW:80|POSW:90|LASTW:45</t>
  </si>
  <si>
    <t>TW:30|MODW:0|ROLEW:15|HPD:6|HPW:2|POSS:5|HPOSD:30|AVGW:90|POSW:75|LASTW:35</t>
  </si>
  <si>
    <t>TW:30|MODW:0|ROLEW:15|HPD:6|HPW:1|POSS:5|HPOSD:25|AVGW:70|POSW:60|LASTW:45</t>
  </si>
  <si>
    <t>TW:30|MODW:0|ROLEW:15|HPD:6|HPW:1|POSS:5|HPOSD:20|AVGW:90|POSW:75|LASTW:45</t>
  </si>
  <si>
    <t>TW:30|MODW:0|ROLEW:15|HPD:6|HPW:1|POSS:5|HPOSD:20|AVGW:80|POSW:75|LASTW:35</t>
  </si>
  <si>
    <t>TW:30|MODW:0|ROLEW:15|HPD:6|HPW:1|POSS:5|HPOSD:20|AVGW:70|POSW:60|LASTW:35</t>
  </si>
  <si>
    <t>TW:30|MODW:0|ROLEW:10|HPD:8|HPW:2|POSS:5|HPOSD:20|AVGW:90|POSW:60|LASTW:45</t>
  </si>
  <si>
    <t>TW:30|MODW:0|ROLEW:10|HPD:8|HPW:1|POSS:5|HPOSD:20|AVGW:80|POSW:75|LASTW:35</t>
  </si>
  <si>
    <t>TW:30|MODW:0|ROLEW:10|HPD:8|HPW:1|POSS:5|HPOSD:20|AVGW:70|POSW:60|LASTW:45</t>
  </si>
  <si>
    <t>TW:34|MODW:5|ROLEW:15|HPD:6|HPW:2|POSS:5|HPOSD:30|AVGW:80|POSW:75|LASTW:25</t>
  </si>
  <si>
    <t>TW:34|MODW:5|ROLEW:15|HPD:6|HPW:2|POSS:5|HPOSD:25|AVGW:80|POSW:75|LASTW:35</t>
  </si>
  <si>
    <t>TW:34|MODW:5|ROLEW:15|HPD:6|HPW:1|POSS:5|HPOSD:30|AVGW:70|POSW:90|LASTW:45</t>
  </si>
  <si>
    <t>TW:34|MODW:5|ROLEW:10|HPD:8|HPW:2|POSS:5|HPOSD:30|AVGW:90|POSW:60|LASTW:35</t>
  </si>
  <si>
    <t>TW:34|MODW:5|ROLEW:10|HPD:8|HPW:2|POSS:5|HPOSD:25|AVGW:90|POSW:60|LASTW:25</t>
  </si>
  <si>
    <t>TW:34|MODW:5|ROLEW:10|HPD:8|HPW:1|POSS:5|HPOSD:25|AVGW:90|POSW:75|LASTW:35</t>
  </si>
  <si>
    <t>TW:34|MODW:5|ROLEW:10|HPD:6|HPW:2|POSS:5|HPOSD:30|AVGW:90|POSW:90|LASTW:25</t>
  </si>
  <si>
    <t>TW:34|MODW:5|ROLEW:10|HPD:6|HPW:2|POSS:5|HPOSD:30|AVGW:70|POSW:90|LASTW:25</t>
  </si>
  <si>
    <t>TW:34|MODW:5|ROLEW:10|HPD:6|HPW:1|POSS:5|HPOSD:30|AVGW:80|POSW:60|LASTW:45</t>
  </si>
  <si>
    <t>TW:34|MODW:0|ROLEW:15|HPD:8|HPW:1|POSS:5|HPOSD:25|AVGW:90|POSW:75|LASTW:45</t>
  </si>
  <si>
    <t>TW:34|MODW:0|ROLEW:15|HPD:6|HPW:2|POSS:5|HPOSD:25|AVGW:80|POSW:90|LASTW:35</t>
  </si>
  <si>
    <t>TW:34|MODW:0|ROLEW:15|HPD:6|HPW:2|POSS:5|HPOSD:25|AVGW:70|POSW:75|LASTW:35</t>
  </si>
  <si>
    <t>TW:34|MODW:0|ROLEW:15|HPD:6|HPW:1|POSS:5|HPOSD:25|AVGW:80|POSW:75|LASTW:35</t>
  </si>
  <si>
    <t>TW:34|MODW:0|ROLEW:15|HPD:6|HPW:1|POSS:5|HPOSD:25|AVGW:90|POSW:60|LASTW:45</t>
  </si>
  <si>
    <t>TW:34|MODW:0|ROLEW:15|HPD:6|HPW:1|POSS:5|HPOSD:25|AVGW:80|POSW:60|LASTW:25</t>
  </si>
  <si>
    <t>TW:34|MODW:0|ROLEW:10|HPD:8|HPW:2|POSS:5|HPOSD:30|AVGW:80|POSW:75|LASTW:35</t>
  </si>
  <si>
    <t>TW:34|MODW:0|ROLEW:10|HPD:8|HPW:2|POSS:5|HPOSD:25|AVGW:80|POSW:60|LASTW:45</t>
  </si>
  <si>
    <t>TW:34|MODW:0|ROLEW:10|HPD:8|HPW:2|POSS:5|HPOSD:20|AVGW:90|POSW:60|LASTW:45</t>
  </si>
  <si>
    <t>TW:34|MODW:0|ROLEW:10|HPD:8|HPW:1|POSS:5|HPOSD:30|AVGW:90|POSW:90|LASTW:25</t>
  </si>
  <si>
    <t>TW:34|MODW:0|ROLEW:10|HPD:6|HPW:2|POSS:5|HPOSD:25|AVGW:70|POSW:75|LASTW:25</t>
  </si>
  <si>
    <t>TW:34|MODW:0|ROLEW:10|HPD:6|HPW:2|POSS:5|HPOSD:25|AVGW:70|POSW:60|LASTW:45</t>
  </si>
  <si>
    <t>TW:32|MODW:5|ROLEW:15|HPD:8|HPW:1|POSS:5|HPOSD:30|AVGW:70|POSW:75|LASTW:45</t>
  </si>
  <si>
    <t>TW:32|MODW:5|ROLEW:15|HPD:8|HPW:1|POSS:5|HPOSD:25|AVGW:90|POSW:75|LASTW:45</t>
  </si>
  <si>
    <t>TW:32|MODW:5|ROLEW:15|HPD:6|HPW:2|POSS:5|HPOSD:25|AVGW:90|POSW:60|LASTW:25</t>
  </si>
  <si>
    <t>TW:32|MODW:5|ROLEW:10|HPD:8|HPW:1|POSS:5|HPOSD:30|AVGW:90|POSW:60|LASTW:35</t>
  </si>
  <si>
    <t>TW:32|MODW:5|ROLEW:10|HPD:6|HPW:1|POSS:5|HPOSD:30|AVGW:70|POSW:90|LASTW:45</t>
  </si>
  <si>
    <t>TW:32|MODW:5|ROLEW:10|HPD:6|HPW:1|POSS:5|HPOSD:25|AVGW:90|POSW:90|LASTW:25</t>
  </si>
  <si>
    <t>TW:32|MODW:0|ROLEW:15|HPD:8|HPW:2|POSS:5|HPOSD:25|AVGW:80|POSW:60|LASTW:25</t>
  </si>
  <si>
    <t>TW:32|MODW:0|ROLEW:15|HPD:6|HPW:2|POSS:5|HPOSD:30|AVGW:70|POSW:60|LASTW:45</t>
  </si>
  <si>
    <t>TW:32|MODW:0|ROLEW:15|HPD:6|HPW:2|POSS:5|HPOSD:25|AVGW:90|POSW:60|LASTW:35</t>
  </si>
  <si>
    <t>TW:32|MODW:0|ROLEW:15|HPD:6|HPW:1|POSS:5|HPOSD:30|AVGW:70|POSW:90|LASTW:25</t>
  </si>
  <si>
    <t>TW:32|MODW:0|ROLEW:15|HPD:6|HPW:1|POSS:5|HPOSD:20|AVGW:90|POSW:75|LASTW:25</t>
  </si>
  <si>
    <t>TW:32|MODW:0|ROLEW:10|HPD:8|HPW:2|POSS:5|HPOSD:30|AVGW:80|POSW:90|LASTW:45</t>
  </si>
  <si>
    <t>TW:32|MODW:0|ROLEW:10|HPD:8|HPW:1|POSS:5|HPOSD:30|AVGW:90|POSW:75|LASTW:35</t>
  </si>
  <si>
    <t>TW:32|MODW:0|ROLEW:10|HPD:8|HPW:1|POSS:5|HPOSD:30|AVGW:70|POSW:75|LASTW:35</t>
  </si>
  <si>
    <t>TW:32|MODW:0|ROLEW:10|HPD:6|HPW:1|POSS:5|HPOSD:30|AVGW:90|POSW:90|LASTW:25</t>
  </si>
  <si>
    <t>TW:30|MODW:5|ROLEW:15|HPD:8|HPW:1|POSS:5|HPOSD:30|AVGW:80|POSW:60|LASTW:45</t>
  </si>
  <si>
    <t>TW:30|MODW:5|ROLEW:15|HPD:8|HPW:1|POSS:5|HPOSD:25|AVGW:80|POSW:90|LASTW:35</t>
  </si>
  <si>
    <t>TW:30|MODW:5|ROLEW:15|HPD:6|HPW:2|POSS:5|HPOSD:30|AVGW:90|POSW:75|LASTW:35</t>
  </si>
  <si>
    <t>TW:30|MODW:5|ROLEW:15|HPD:6|HPW:1|POSS:5|HPOSD:20|AVGW:90|POSW:60|LASTW:35</t>
  </si>
  <si>
    <t>TW:30|MODW:5|ROLEW:10|HPD:8|HPW:1|POSS:5|HPOSD:20|AVGW:80|POSW:60|LASTW:45</t>
  </si>
  <si>
    <t>TW:30|MODW:0|ROLEW:15|HPD:8|HPW:2|POSS:5|HPOSD:30|AVGW:80|POSW:60|LASTW:45</t>
  </si>
  <si>
    <t>TW:30|MODW:0|ROLEW:15|HPD:8|HPW:2|POSS:5|HPOSD:25|AVGW:70|POSW:75|LASTW:35</t>
  </si>
  <si>
    <t>TW:30|MODW:0|ROLEW:15|HPD:6|HPW:1|POSS:5|HPOSD:30|AVGW:70|POSW:60|LASTW:25</t>
  </si>
  <si>
    <t>TW:30|MODW:0|ROLEW:10|HPD:8|HPW:2|POSS:5|HPOSD:30|AVGW:70|POSW:60|LASTW:25</t>
  </si>
  <si>
    <t>TW:30|MODW:0|ROLEW:10|HPD:8|HPW:1|POSS:5|HPOSD:30|AVGW:70|POSW:90|LASTW:35</t>
  </si>
  <si>
    <t>TW:30|MODW:0|ROLEW:10|HPD:8|HPW:1|POSS:5|HPOSD:30|AVGW:70|POSW:75|LASTW:45</t>
  </si>
  <si>
    <t>TW:30|MODW:0|ROLEW:10|HPD:8|HPW:1|POSS:5|HPOSD:25|AVGW:90|POSW:75|LASTW:45</t>
  </si>
  <si>
    <t>TW:34|MODW:5|ROLEW:15|HPD:8|HPW:1|POSS:5|HPOSD:30|AVGW:90|POSW:75|LASTW:35</t>
  </si>
  <si>
    <t>TW:34|MODW:5|ROLEW:15|HPD:6|HPW:2|POSS:5|HPOSD:30|AVGW:80|POSW:60|LASTW:35</t>
  </si>
  <si>
    <t>TW:34|MODW:5|ROLEW:15|HPD:6|HPW:2|POSS:5|HPOSD:25|AVGW:70|POSW:60|LASTW:35</t>
  </si>
  <si>
    <t>TW:34|MODW:5|ROLEW:10|HPD:8|HPW:2|POSS:5|HPOSD:30|AVGW:90|POSW:60|LASTW:45</t>
  </si>
  <si>
    <t>TW:34|MODW:5|ROLEW:10|HPD:8|HPW:1|POSS:5|HPOSD:30|AVGW:70|POSW:90|LASTW:25</t>
  </si>
  <si>
    <t>TW:34|MODW:5|ROLEW:10|HPD:8|HPW:1|POSS:5|HPOSD:30|AVGW:70|POSW:60|LASTW:35</t>
  </si>
  <si>
    <t>TW:34|MODW:5|ROLEW:10|HPD:8|HPW:1|POSS:5|HPOSD:25|AVGW:90|POSW:90|LASTW:35</t>
  </si>
  <si>
    <t>TW:34|MODW:5|ROLEW:10|HPD:6|HPW:1|POSS:5|HPOSD:20|AVGW:90|POSW:75|LASTW:25</t>
  </si>
  <si>
    <t>TW:34|MODW:0|ROLEW:15|HPD:8|HPW:2|POSS:5|HPOSD:25|AVGW:70|POSW:60|LASTW:25</t>
  </si>
  <si>
    <t>TW:34|MODW:0|ROLEW:15|HPD:8|HPW:1|POSS:5|HPOSD:30|AVGW:90|POSW:75|LASTW:25</t>
  </si>
  <si>
    <t>TW:34|MODW:0|ROLEW:15|HPD:8|HPW:1|POSS:5|HPOSD:25|AVGW:90|POSW:90|LASTW:45</t>
  </si>
  <si>
    <t>TW:34|MODW:0|ROLEW:15|HPD:8|HPW:1|POSS:5|HPOSD:25|AVGW:70|POSW:75|LASTW:25</t>
  </si>
  <si>
    <t>TW:34|MODW:0|ROLEW:15|HPD:6|HPW:2|POSS:5|HPOSD:30|AVGW:90|POSW:90|LASTW:45</t>
  </si>
  <si>
    <t>TW:34|MODW:0|ROLEW:15|HPD:6|HPW:2|POSS:5|HPOSD:25|AVGW:70|POSW:60|LASTW:45</t>
  </si>
  <si>
    <t>TW:34|MODW:0|ROLEW:15|HPD:6|HPW:1|POSS:5|HPOSD:30|AVGW:90|POSW:75|LASTW:35</t>
  </si>
  <si>
    <t>TW:34|MODW:0|ROLEW:15|HPD:6|HPW:1|POSS:5|HPOSD:20|AVGW:90|POSW:60|LASTW:35</t>
  </si>
  <si>
    <t>TW:34|MODW:0|ROLEW:10|HPD:8|HPW:1|POSS:5|HPOSD:30|AVGW:90|POSW:90|LASTW:35</t>
  </si>
  <si>
    <t>TW:34|MODW:0|ROLEW:10|HPD:8|HPW:1|POSS:5|HPOSD:30|AVGW:70|POSW:90|LASTW:25</t>
  </si>
  <si>
    <t>TW:34|MODW:0|ROLEW:10|HPD:8|HPW:1|POSS:5|HPOSD:25|AVGW:90|POSW:90|LASTW:45</t>
  </si>
  <si>
    <t>TW:34|MODW:0|ROLEW:10|HPD:6|HPW:2|POSS:5|HPOSD:25|AVGW:90|POSW:90|LASTW:25</t>
  </si>
  <si>
    <t>TW:34|MODW:0|ROLEW:10|HPD:6|HPW:1|POSS:5|HPOSD:30|AVGW:80|POSW:75|LASTW:25</t>
  </si>
  <si>
    <t>TW:34|MODW:0|ROLEW:10|HPD:6|HPW:1|POSS:5|HPOSD:20|AVGW:80|POSW:75|LASTW:45</t>
  </si>
  <si>
    <t>TW:32|MODW:5|ROLEW:15|HPD:8|HPW:1|POSS:5|HPOSD:20|AVGW:80|POSW:60|LASTW:45</t>
  </si>
  <si>
    <t>TW:32|MODW:5|ROLEW:15|HPD:6|HPW:2|POSS:5|HPOSD:30|AVGW:80|POSW:75|LASTW:45</t>
  </si>
  <si>
    <t>TW:32|MODW:5|ROLEW:15|HPD:6|HPW:2|POSS:5|HPOSD:25|AVGW:70|POSW:60|LASTW:25</t>
  </si>
  <si>
    <t>TW:32|MODW:5|ROLEW:15|HPD:6|HPW:1|POSS:5|HPOSD:30|AVGW:90|POSW:75|LASTW:45</t>
  </si>
  <si>
    <t>TW:32|MODW:5|ROLEW:15|HPD:6|HPW:1|POSS:5|HPOSD:25|AVGW:90|POSW:90|LASTW:45</t>
  </si>
  <si>
    <t>TW:32|MODW:5|ROLEW:15|HPD:6|HPW:1|POSS:5|HPOSD:25|AVGW:70|POSW:60|LASTW:35</t>
  </si>
  <si>
    <t>TW:32|MODW:5|ROLEW:10|HPD:8|HPW:2|POSS:5|HPOSD:20|AVGW:90|POSW:60|LASTW:45</t>
  </si>
  <si>
    <t>TW:32|MODW:5|ROLEW:10|HPD:8|HPW:1|POSS:5|HPOSD:25|AVGW:70|POSW:75|LASTW:45</t>
  </si>
  <si>
    <t>TW:32|MODW:5|ROLEW:10|HPD:6|HPW:1|POSS:5|HPOSD:30|AVGW:90|POSW:90|LASTW:25</t>
  </si>
  <si>
    <t>TW:32|MODW:0|ROLEW:15|HPD:8|HPW:1|POSS:5|HPOSD:20|AVGW:70|POSW:60|LASTW:25</t>
  </si>
  <si>
    <t>TW:32|MODW:0|ROLEW:15|HPD:6|HPW:2|POSS:5|HPOSD:25|AVGW:70|POSW:60|LASTW:25</t>
  </si>
  <si>
    <t>TW:32|MODW:0|ROLEW:15|HPD:6|HPW:1|POSS:5|HPOSD:30|AVGW:90|POSW:60|LASTW:35</t>
  </si>
  <si>
    <t>TW:32|MODW:0|ROLEW:10|HPD:8|HPW:1|POSS:5|HPOSD:30|AVGW:80|POSW:90|LASTW:35</t>
  </si>
  <si>
    <t>TW:32|MODW:0|ROLEW:10|HPD:6|HPW:2|POSS:5|HPOSD:30|AVGW:80|POSW:90|LASTW:25</t>
  </si>
  <si>
    <t>TW:32|MODW:0|ROLEW:10|HPD:6|HPW:1|POSS:5|HPOSD:25|AVGW:70|POSW:75|LASTW:25</t>
  </si>
  <si>
    <t>TW:30|MODW:5|ROLEW:15|HPD:8|HPW:2|POSS:5|HPOSD:30|AVGW:90|POSW:75|LASTW:35</t>
  </si>
  <si>
    <t>TW:30|MODW:5|ROLEW:15|HPD:8|HPW:1|POSS:5|HPOSD:30|AVGW:70|POSW:90|LASTW:35</t>
  </si>
  <si>
    <t>TW:30|MODW:5|ROLEW:15|HPD:8|HPW:1|POSS:5|HPOSD:25|AVGW:80|POSW:75|LASTW:25</t>
  </si>
  <si>
    <t>TW:30|MODW:5|ROLEW:15|HPD:6|HPW:2|POSS:5|HPOSD:30|AVGW:80|POSW:60|LASTW:35</t>
  </si>
  <si>
    <t>TW:30|MODW:5|ROLEW:15|HPD:6|HPW:1|POSS:5|HPOSD:20|AVGW:70|POSW:60|LASTW:35</t>
  </si>
  <si>
    <t>TW:30|MODW:5|ROLEW:10|HPD:8|HPW:1|POSS:5|HPOSD:25|AVGW:90|POSW:60|LASTW:45</t>
  </si>
  <si>
    <t>TW:30|MODW:5|ROLEW:10|HPD:6|HPW:2|POSS:5|HPOSD:25|AVGW:90|POSW:75|LASTW:25</t>
  </si>
  <si>
    <t>TW:30|MODW:5|ROLEW:10|HPD:6|HPW:2|POSS:5|HPOSD:25|AVGW:80|POSW:60|LASTW:45</t>
  </si>
  <si>
    <t>TW:30|MODW:5|ROLEW:10|HPD:6|HPW:1|POSS:5|HPOSD:30|AVGW:80|POSW:90|LASTW:35</t>
  </si>
  <si>
    <t>TW:30|MODW:0|ROLEW:10|HPD:8|HPW:2|POSS:5|HPOSD:25|AVGW:90|POSW:90|LASTW:35</t>
  </si>
  <si>
    <t>TW:30|MODW:0|ROLEW:10|HPD:8|HPW:2|POSS:5|HPOSD:25|AVGW:70|POSW:60|LASTW:45</t>
  </si>
  <si>
    <t>TW:30|MODW:0|ROLEW:10|HPD:8|HPW:1|POSS:5|HPOSD:30|AVGW:70|POSW:90|LASTW:25</t>
  </si>
  <si>
    <t>TW:34|MODW:5|ROLEW:15|HPD:8|HPW:2|POSS:5|HPOSD:30|AVGW:70|POSW:90|LASTW:45</t>
  </si>
  <si>
    <t>TW:34|MODW:5|ROLEW:15|HPD:8|HPW:1|POSS:5|HPOSD:25|AVGW:90|POSW:90|LASTW:35</t>
  </si>
  <si>
    <t>TW:34|MODW:5|ROLEW:15|HPD:6|HPW:2|POSS:5|HPOSD:30|AVGW:80|POSW:90|LASTW:45</t>
  </si>
  <si>
    <t>TW:34|MODW:5|ROLEW:15|HPD:6|HPW:1|POSS:5|HPOSD:30|AVGW:90|POSW:90|LASTW:35</t>
  </si>
  <si>
    <t>TW:34|MODW:5|ROLEW:10|HPD:8|HPW:2|POSS:5|HPOSD:25|AVGW:90|POSW:75|LASTW:45</t>
  </si>
  <si>
    <t>TW:34|MODW:5|ROLEW:10|HPD:8|HPW:1|POSS:5|HPOSD:30|AVGW:90|POSW:60|LASTW:45</t>
  </si>
  <si>
    <t>TW:34|MODW:5|ROLEW:10|HPD:6|HPW:2|POSS:5|HPOSD:30|AVGW:80|POSW:90|LASTW:25</t>
  </si>
  <si>
    <t>TW:34|MODW:5|ROLEW:10|HPD:6|HPW:1|POSS:5|HPOSD:30|AVGW:80|POSW:75|LASTW:45</t>
  </si>
  <si>
    <t>TW:34|MODW:0|ROLEW:15|HPD:8|HPW:1|POSS:5|HPOSD:30|AVGW:70|POSW:60|LASTW:25</t>
  </si>
  <si>
    <t>TW:34|MODW:0|ROLEW:15|HPD:6|HPW:2|POSS:5|HPOSD:25|AVGW:70|POSW:75|LASTW:25</t>
  </si>
  <si>
    <t>TW:34|MODW:0|ROLEW:15|HPD:6|HPW:1|POSS:5|HPOSD:30|AVGW:70|POSW:90|LASTW:25</t>
  </si>
  <si>
    <t>TW:34|MODW:0|ROLEW:10|HPD:8|HPW:2|POSS:5|HPOSD:30|AVGW:70|POSW:90|LASTW:35</t>
  </si>
  <si>
    <t>TW:34|MODW:0|ROLEW:10|HPD:8|HPW:2|POSS:5|HPOSD:25|AVGW:70|POSW:75|LASTW:35</t>
  </si>
  <si>
    <t>TW:34|MODW:0|ROLEW:10|HPD:8|HPW:1|POSS:5|HPOSD:30|AVGW:70|POSW:60|LASTW:25</t>
  </si>
  <si>
    <t>TW:32|MODW:5|ROLEW:10|HPD:8|HPW:1|POSS:5|HPOSD:25|AVGW:70|POSW:60|LASTW:45</t>
  </si>
  <si>
    <t>TW:32|MODW:5|ROLEW:10|HPD:6|HPW:2|POSS:5|HPOSD:25|AVGW:90|POSW:90|LASTW:25</t>
  </si>
  <si>
    <t>TW:32|MODW:0|ROLEW:15|HPD:6|HPW:2|POSS:5|HPOSD:25|AVGW:70|POSW:90|LASTW:35</t>
  </si>
  <si>
    <t>TW:32|MODW:0|ROLEW:15|HPD:6|HPW:1|POSS:5|HPOSD:30|AVGW:70|POSW:75|LASTW:35</t>
  </si>
  <si>
    <t>TW:32|MODW:0|ROLEW:15|HPD:6|HPW:1|POSS:5|HPOSD:30|AVGW:80|POSW:60|LASTW:25</t>
  </si>
  <si>
    <t>TW:32|MODW:0|ROLEW:15|HPD:6|HPW:1|POSS:5|HPOSD:25|AVGW:90|POSW:60|LASTW:35</t>
  </si>
  <si>
    <t>TW:32|MODW:0|ROLEW:10|HPD:8|HPW:2|POSS:5|HPOSD:25|AVGW:80|POSW:75|LASTW:35</t>
  </si>
  <si>
    <t>TW:32|MODW:0|ROLEW:10|HPD:8|HPW:1|POSS:5|HPOSD:20|AVGW:90|POSW:75|LASTW:35</t>
  </si>
  <si>
    <t>TW:32|MODW:0|ROLEW:10|HPD:8|HPW:1|POSS:5|HPOSD:20|AVGW:80|POSW:75|LASTW:35</t>
  </si>
  <si>
    <t>TW:32|MODW:0|ROLEW:10|HPD:6|HPW:1|POSS:5|HPOSD:30|AVGW:80|POSW:75|LASTW:35</t>
  </si>
  <si>
    <t>TW:30|MODW:5|ROLEW:15|HPD:8|HPW:1|POSS:5|HPOSD:20|AVGW:80|POSW:60|LASTW:35</t>
  </si>
  <si>
    <t>TW:30|MODW:5|ROLEW:15|HPD:6|HPW:2|POSS:5|HPOSD:30|AVGW:70|POSW:75|LASTW:45</t>
  </si>
  <si>
    <t>TW:30|MODW:5|ROLEW:15|HPD:6|HPW:1|POSS:5|HPOSD:30|AVGW:80|POSW:60|LASTW:25</t>
  </si>
  <si>
    <t>TW:30|MODW:5|ROLEW:10|HPD:8|HPW:1|POSS:5|HPOSD:30|AVGW:70|POSW:90|LASTW:25</t>
  </si>
  <si>
    <t>TW:30|MODW:5|ROLEW:10|HPD:6|HPW:2|POSS:5|HPOSD:30|AVGW:90|POSW:60|LASTW:25</t>
  </si>
  <si>
    <t>TW:30|MODW:5|ROLEW:10|HPD:6|HPW:2|POSS:5|HPOSD:25|AVGW:70|POSW:60|LASTW:45</t>
  </si>
  <si>
    <t>TW:30|MODW:5|ROLEW:10|HPD:6|HPW:1|POSS:5|HPOSD:30|AVGW:90|POSW:75|LASTW:25</t>
  </si>
  <si>
    <t>TW:30|MODW:5|ROLEW:10|HPD:6|HPW:1|POSS:5|HPOSD:25|AVGW:90|POSW:75|LASTW:45</t>
  </si>
  <si>
    <t>TW:30|MODW:5|ROLEW:10|HPD:6|HPW:1|POSS:5|HPOSD:20|AVGW:90|POSW:60|LASTW:35</t>
  </si>
  <si>
    <t>TW:30|MODW:0|ROLEW:15|HPD:8|HPW:2|POSS:5|HPOSD:25|AVGW:80|POSW:60|LASTW:35</t>
  </si>
  <si>
    <t>TW:30|MODW:0|ROLEW:15|HPD:6|HPW:2|POSS:5|HPOSD:30|AVGW:70|POSW:75|LASTW:25</t>
  </si>
  <si>
    <t>TW:30|MODW:0|ROLEW:15|HPD:6|HPW:2|POSS:5|HPOSD:25|AVGW:90|POSW:75|LASTW:45</t>
  </si>
  <si>
    <t>TW:30|MODW:0|ROLEW:15|HPD:6|HPW:2|POSS:5|HPOSD:25|AVGW:80|POSW:75|LASTW:35</t>
  </si>
  <si>
    <t>TW:30|MODW:0|ROLEW:15|HPD:6|HPW:1|POSS:5|HPOSD:30|AVGW:70|POSW:90|LASTW:45</t>
  </si>
  <si>
    <t>TW:34|MODW:5|ROLEW:15|HPD:8|HPW:2|POSS:5|HPOSD:30|AVGW:90|POSW:90|LASTW:45</t>
  </si>
  <si>
    <t>TW:34|MODW:5|ROLEW:15|HPD:8|HPW:2|POSS:5|HPOSD:30|AVGW:80|POSW:75|LASTW:45</t>
  </si>
  <si>
    <t>TW:34|MODW:5|ROLEW:15|HPD:8|HPW:1|POSS:5|HPOSD:25|AVGW:80|POSW:90|LASTW:45</t>
  </si>
  <si>
    <t>TW:34|MODW:5|ROLEW:15|HPD:6|HPW:2|POSS:5|HPOSD:30|AVGW:90|POSW:90|LASTW:25</t>
  </si>
  <si>
    <t>TW:34|MODW:5|ROLEW:15|HPD:6|HPW:2|POSS:5|HPOSD:25|AVGW:90|POSW:75|LASTW:45</t>
  </si>
  <si>
    <t>TW:34|MODW:5|ROLEW:15|HPD:6|HPW:1|POSS:5|HPOSD:30|AVGW:70|POSW:60|LASTW:35</t>
  </si>
  <si>
    <t>TW:34|MODW:5|ROLEW:15|HPD:6|HPW:1|POSS:5|HPOSD:25|AVGW:80|POSW:90|LASTW:45</t>
  </si>
  <si>
    <t>TW:34|MODW:5|ROLEW:15|HPD:6|HPW:1|POSS:5|HPOSD:25|AVGW:90|POSW:75|LASTW:25</t>
  </si>
  <si>
    <t>TW:34|MODW:5|ROLEW:10|HPD:6|HPW:1|POSS:5|HPOSD:25|AVGW:90|POSW:75|LASTW:35</t>
  </si>
  <si>
    <t>TW:34|MODW:5|ROLEW:10|HPD:6|HPW:1|POSS:5|HPOSD:25|AVGW:70|POSW:60|LASTW:45</t>
  </si>
  <si>
    <t>TW:34|MODW:0|ROLEW:15|HPD:8|HPW:2|POSS:5|HPOSD:20|AVGW:80|POSW:60|LASTW:35</t>
  </si>
  <si>
    <t>TW:34|MODW:0|ROLEW:15|HPD:8|HPW:1|POSS:5|HPOSD:25|AVGW:70|POSW:60|LASTW:25</t>
  </si>
  <si>
    <t>TW:34|MODW:0|ROLEW:15|HPD:8|HPW:1|POSS:5|HPOSD:20|AVGW:70|POSW:60|LASTW:25</t>
  </si>
  <si>
    <t>TW:34|MODW:0|ROLEW:15|HPD:6|HPW:2|POSS:5|HPOSD:30|AVGW:80|POSW:75|LASTW:35</t>
  </si>
  <si>
    <t>TW:34|MODW:0|ROLEW:15|HPD:6|HPW:2|POSS:5|HPOSD:25|AVGW:80|POSW:75|LASTW:35</t>
  </si>
  <si>
    <t>TW:34|MODW:0|ROLEW:15|HPD:6|HPW:1|POSS:5|HPOSD:30|AVGW:70|POSW:60|LASTW:35</t>
  </si>
  <si>
    <t>TW:34|MODW:0|ROLEW:10|HPD:8|HPW:1|POSS:5|HPOSD:30|AVGW:80|POSW:75|LASTW:45</t>
  </si>
  <si>
    <t>TW:34|MODW:0|ROLEW:10|HPD:8|HPW:1|POSS:5|HPOSD:25|AVGW:80|POSW:90|LASTW:35</t>
  </si>
  <si>
    <t>TW:32|MODW:5|ROLEW:15|HPD:8|HPW:1|POSS:5|HPOSD:30|AVGW:90|POSW:90|LASTW:25</t>
  </si>
  <si>
    <t>TW:32|MODW:5|ROLEW:15|HPD:6|HPW:1|POSS:5|HPOSD:30|AVGW:90|POSW:60|LASTW:25</t>
  </si>
  <si>
    <t>TW:32|MODW:5|ROLEW:10|HPD:8|HPW:2|POSS:5|HPOSD:25|AVGW:70|POSW:90|LASTW:45</t>
  </si>
  <si>
    <t>TW:32|MODW:5|ROLEW:10|HPD:8|HPW:2|POSS:5|HPOSD:25|AVGW:90|POSW:75|LASTW:45</t>
  </si>
  <si>
    <t>TW:32|MODW:5|ROLEW:10|HPD:8|HPW:1|POSS:5|HPOSD:30|AVGW:90|POSW:60|LASTW:45</t>
  </si>
  <si>
    <t>TW:32|MODW:5|ROLEW:10|HPD:6|HPW:2|POSS:5|HPOSD:25|AVGW:90|POSW:75|LASTW:45</t>
  </si>
  <si>
    <t>TW:32|MODW:5|ROLEW:10|HPD:6|HPW:2|POSS:5|HPOSD:25|AVGW:70|POSW:75|LASTW:25</t>
  </si>
  <si>
    <t>TW:32|MODW:0|ROLEW:15|HPD:8|HPW:2|POSS:5|HPOSD:25|AVGW:90|POSW:90|LASTW:45</t>
  </si>
  <si>
    <t>TW:32|MODW:0|ROLEW:15|HPD:8|HPW:2|POSS:5|HPOSD:25|AVGW:80|POSW:75|LASTW:35</t>
  </si>
  <si>
    <t>TW:32|MODW:0|ROLEW:15|HPD:8|HPW:2|POSS:5|HPOSD:20|AVGW:80|POSW:60|LASTW:45</t>
  </si>
  <si>
    <t>TW:32|MODW:0|ROLEW:15|HPD:6|HPW:2|POSS:5|HPOSD:25|AVGW:80|POSW:75|LASTW:35</t>
  </si>
  <si>
    <t>TW:32|MODW:0|ROLEW:10|HPD:8|HPW:1|POSS:5|HPOSD:30|AVGW:80|POSW:75|LASTW:35</t>
  </si>
  <si>
    <t>TW:30|MODW:5|ROLEW:15|HPD:8|HPW:2|POSS:5|HPOSD:30|AVGW:80|POSW:90|LASTW:45</t>
  </si>
  <si>
    <t>TW:30|MODW:5|ROLEW:15|HPD:8|HPW:2|POSS:5|HPOSD:30|AVGW:70|POSW:75|LASTW:35</t>
  </si>
  <si>
    <t>TW:30|MODW:5|ROLEW:15|HPD:8|HPW:1|POSS:5|HPOSD:30|AVGW:80|POSW:75|LASTW:45</t>
  </si>
  <si>
    <t>TW:30|MODW:5|ROLEW:15|HPD:6|HPW:1|POSS:5|HPOSD:25|AVGW:90|POSW:75|LASTW:35</t>
  </si>
  <si>
    <t>TW:30|MODW:5|ROLEW:10|HPD:8|HPW:2|POSS:5|HPOSD:30|AVGW:70|POSW:60|LASTW:35</t>
  </si>
  <si>
    <t>TW:30|MODW:5|ROLEW:10|HPD:8|HPW:2|POSS:5|HPOSD:25|AVGW:80|POSW:60|LASTW:25</t>
  </si>
  <si>
    <t>TW:30|MODW:5|ROLEW:10|HPD:6|HPW:2|POSS:5|HPOSD:30|AVGW:80|POSW:90|LASTW:35</t>
  </si>
  <si>
    <t>TW:30|MODW:0|ROLEW:15|HPD:8|HPW:1|POSS:5|HPOSD:30|AVGW:90|POSW:90|LASTW:45</t>
  </si>
  <si>
    <t>TW:30|MODW:0|ROLEW:15|HPD:8|HPW:1|POSS:5|HPOSD:25|AVGW:90|POSW:90|LASTW:45</t>
  </si>
  <si>
    <t>TW:30|MODW:0|ROLEW:15|HPD:6|HPW:1|POSS:5|HPOSD:25|AVGW:70|POSW:90|LASTW:25</t>
  </si>
  <si>
    <t>TW:34|MODW:5|ROLEW:15|HPD:8|HPW:1|POSS:5|HPOSD:25|AVGW:80|POSW:90|LASTW:35</t>
  </si>
  <si>
    <t>TW:34|MODW:5|ROLEW:10|HPD:6|HPW:2|POSS:5|HPOSD:30|AVGW:70|POSW:90|LASTW:45</t>
  </si>
  <si>
    <t>TW:34|MODW:5|ROLEW:10|HPD:6|HPW:1|POSS:5|HPOSD:30|AVGW:70|POSW:90|LASTW:35</t>
  </si>
  <si>
    <t>TW:34|MODW:0|ROLEW:15|HPD:8|HPW:1|POSS:5|HPOSD:30|AVGW:90|POSW:60|LASTW:25</t>
  </si>
  <si>
    <t>TW:34|MODW:0|ROLEW:15|HPD:8|HPW:1|POSS:5|HPOSD:25|AVGW:70|POSW:75|LASTW:35</t>
  </si>
  <si>
    <t>TW:34|MODW:0|ROLEW:15|HPD:8|HPW:1|POSS:5|HPOSD:20|AVGW:80|POSW:75|LASTW:35</t>
  </si>
  <si>
    <t>TW:34|MODW:0|ROLEW:15|HPD:6|HPW:2|POSS:5|HPOSD:30|AVGW:80|POSW:75|LASTW:45</t>
  </si>
  <si>
    <t>TW:34|MODW:0|ROLEW:15|HPD:6|HPW:1|POSS:5|HPOSD:25|AVGW:70|POSW:75|LASTW:25</t>
  </si>
  <si>
    <t>TW:34|MODW:0|ROLEW:15|HPD:6|HPW:1|POSS:5|HPOSD:20|AVGW:90|POSW:75|LASTW:25</t>
  </si>
  <si>
    <t>TW:34|MODW:0|ROLEW:10|HPD:8|HPW:1|POSS:5|HPOSD:25|AVGW:70|POSW:90|LASTW:25</t>
  </si>
  <si>
    <t>TW:34|MODW:0|ROLEW:10|HPD:6|HPW:1|POSS:5|HPOSD:30|AVGW:70|POSW:90|LASTW:25</t>
  </si>
  <si>
    <t>TW:34|MODW:0|ROLEW:10|HPD:6|HPW:1|POSS:5|HPOSD:25|AVGW:90|POSW:60|LASTW:25</t>
  </si>
  <si>
    <t>TW:34|MODW:0|ROLEW:10|HPD:6|HPW:1|POSS:5|HPOSD:20|AVGW:90|POSW:75|LASTW:35</t>
  </si>
  <si>
    <t>TW:32|MODW:5|ROLEW:15|HPD:8|HPW:2|POSS:5|HPOSD:30|AVGW:70|POSW:75|LASTW:45</t>
  </si>
  <si>
    <t>TW:32|MODW:5|ROLEW:15|HPD:8|HPW:1|POSS:5|HPOSD:25|AVGW:80|POSW:60|LASTW:45</t>
  </si>
  <si>
    <t>TW:32|MODW:5|ROLEW:15|HPD:6|HPW:1|POSS:5|HPOSD:20|AVGW:90|POSW:60|LASTW:45</t>
  </si>
  <si>
    <t>TW:32|MODW:5|ROLEW:10|HPD:6|HPW:2|POSS:5|HPOSD:30|AVGW:80|POSW:90|LASTW:45</t>
  </si>
  <si>
    <t>TW:32|MODW:0|ROLEW:15|HPD:8|HPW:2|POSS:5|HPOSD:30|AVGW:70|POSW:60|LASTW:45</t>
  </si>
  <si>
    <t>TW:32|MODW:0|ROLEW:15|HPD:8|HPW:2|POSS:5|HPOSD:25|AVGW:90|POSW:75|LASTW:45</t>
  </si>
  <si>
    <t>TW:32|MODW:0|ROLEW:15|HPD:6|HPW:1|POSS:5|HPOSD:20|AVGW:80|POSW:75|LASTW:25</t>
  </si>
  <si>
    <t>TW:32|MODW:0|ROLEW:15|HPD:6|HPW:1|POSS:5|HPOSD:20|AVGW:90|POSW:60|LASTW:45</t>
  </si>
  <si>
    <t>TW:32|MODW:0|ROLEW:10|HPD:8|HPW:1|POSS:5|HPOSD:30|AVGW:90|POSW:60|LASTW:25</t>
  </si>
  <si>
    <t>TW:32|MODW:0|ROLEW:10|HPD:8|HPW:1|POSS:5|HPOSD:25|AVGW:80|POSW:90|LASTW:25</t>
  </si>
  <si>
    <t>TW:32|MODW:0|ROLEW:10|HPD:6|HPW:2|POSS:5|HPOSD:30|AVGW:80|POSW:90|LASTW:35</t>
  </si>
  <si>
    <t>TW:32|MODW:0|ROLEW:10|HPD:6|HPW:2|POSS:5|HPOSD:25|AVGW:90|POSW:90|LASTW:25</t>
  </si>
  <si>
    <t>TW:32|MODW:0|ROLEW:10|HPD:6|HPW:1|POSS:5|HPOSD:25|AVGW:80|POSW:60|LASTW:25</t>
  </si>
  <si>
    <t>TW:32|MODW:0|ROLEW:10|HPD:6|HPW:1|POSS:5|HPOSD:20|AVGW:80|POSW:75|LASTW:35</t>
  </si>
  <si>
    <t>TW:30|MODW:5|ROLEW:15|HPD:8|HPW:1|POSS:5|HPOSD:30|AVGW:70|POSW:60|LASTW:25</t>
  </si>
  <si>
    <t>TW:30|MODW:5|ROLEW:15|HPD:6|HPW:2|POSS:5|HPOSD:30|AVGW:90|POSW:75|LASTW:25</t>
  </si>
  <si>
    <t>TW:30|MODW:5|ROLEW:15|HPD:6|HPW:2|POSS:5|HPOSD:25|AVGW:90|POSW:90|LASTW:35</t>
  </si>
  <si>
    <t>TW:30|MODW:5|ROLEW:10|HPD:8|HPW:1|POSS:5|HPOSD:30|AVGW:70|POSW:90|LASTW:35</t>
  </si>
  <si>
    <t>TW:30|MODW:5|ROLEW:10|HPD:8|HPW:1|POSS:5|HPOSD:30|AVGW:80|POSW:60|LASTW:25</t>
  </si>
  <si>
    <t>TW:30|MODW:5|ROLEW:10|HPD:8|HPW:1|POSS:5|HPOSD:25|AVGW:90|POSW:90|LASTW:45</t>
  </si>
  <si>
    <t>TW:30|MODW:5|ROLEW:10|HPD:6|HPW:2|POSS:5|HPOSD:25|AVGW:90|POSW:90|LASTW:35</t>
  </si>
  <si>
    <t>TW:30|MODW:5|ROLEW:10|HPD:6|HPW:1|POSS:5|HPOSD:25|AVGW:90|POSW:90|LASTW:45</t>
  </si>
  <si>
    <t>TW:30|MODW:5|ROLEW:10|HPD:6|HPW:1|POSS:5|HPOSD:25|AVGW:70|POSW:90|LASTW:25</t>
  </si>
  <si>
    <t>TW:30|MODW:5|ROLEW:10|HPD:6|HPW:1|POSS:5|HPOSD:25|AVGW:80|POSW:75|LASTW:45</t>
  </si>
  <si>
    <t>TW:30|MODW:0|ROLEW:15|HPD:8|HPW:1|POSS:5|HPOSD:25|AVGW:90|POSW:75|LASTW:25</t>
  </si>
  <si>
    <t>TW:34|MODW:5|ROLEW:15|HPD:8|HPW:2|POSS:5|HPOSD:25|AVGW:80|POSW:75|LASTW:45</t>
  </si>
  <si>
    <t>TW:34|MODW:5|ROLEW:15|HPD:8|HPW:1|POSS:5|HPOSD:25|AVGW:80|POSW:60|LASTW:35</t>
  </si>
  <si>
    <t>TW:34|MODW:5|ROLEW:15|HPD:6|HPW:2|POSS:5|HPOSD:30|AVGW:80|POSW:60|LASTW:25</t>
  </si>
  <si>
    <t>TW:34|MODW:5|ROLEW:15|HPD:6|HPW:2|POSS:5|HPOSD:25|AVGW:90|POSW:90|LASTW:35</t>
  </si>
  <si>
    <t>TW:34|MODW:5|ROLEW:10|HPD:8|HPW:1|POSS:5|HPOSD:30|AVGW:90|POSW:75|LASTW:45</t>
  </si>
  <si>
    <t>TW:34|MODW:5|ROLEW:10|HPD:8|HPW:1|POSS:5|HPOSD:25|AVGW:80|POSW:75|LASTW:25</t>
  </si>
  <si>
    <t>TW:34|MODW:0|ROLEW:15|HPD:8|HPW:2|POSS:5|HPOSD:30|AVGW:90|POSW:75|LASTW:35</t>
  </si>
  <si>
    <t>TW:34|MODW:0|ROLEW:15|HPD:6|HPW:2|POSS:5|HPOSD:30|AVGW:80|POSW:60|LASTW:25</t>
  </si>
  <si>
    <t>TW:34|MODW:0|ROLEW:15|HPD:6|HPW:2|POSS:5|HPOSD:25|AVGW:90|POSW:60|LASTW:45</t>
  </si>
  <si>
    <t>TW:34|MODW:0|ROLEW:15|HPD:6|HPW:1|POSS:5|HPOSD:30|AVGW:80|POSW:75|LASTW:45</t>
  </si>
  <si>
    <t>TW:34|MODW:0|ROLEW:15|HPD:6|HPW:1|POSS:5|HPOSD:20|AVGW:90|POSW:75|LASTW:45</t>
  </si>
  <si>
    <t>TW:34|MODW:0|ROLEW:10|HPD:8|HPW:2|POSS:5|HPOSD:30|AVGW:90|POSW:90|LASTW:45</t>
  </si>
  <si>
    <t>TW:32|MODW:5|ROLEW:15|HPD:6|HPW:1|POSS:5|HPOSD:25|AVGW:80|POSW:60|LASTW:25</t>
  </si>
  <si>
    <t>TW:32|MODW:5|ROLEW:10|HPD:8|HPW:1|POSS:5|HPOSD:25|AVGW:80|POSW:60|LASTW:25</t>
  </si>
  <si>
    <t>TW:32|MODW:5|ROLEW:10|HPD:6|HPW:1|POSS:5|HPOSD:30|AVGW:90|POSW:60|LASTW:25</t>
  </si>
  <si>
    <t>TW:32|MODW:0|ROLEW:15|HPD:8|HPW:2|POSS:5|HPOSD:30|AVGW:70|POSW:60|LASTW:25</t>
  </si>
  <si>
    <t>TW:32|MODW:0|ROLEW:15|HPD:8|HPW:1|POSS:5|HPOSD:25|AVGW:90|POSW:60|LASTW:35</t>
  </si>
  <si>
    <t>TW:32|MODW:0|ROLEW:15|HPD:8|HPW:1|POSS:5|HPOSD:20|AVGW:70|POSW:60|LASTW:45</t>
  </si>
  <si>
    <t>TW:32|MODW:0|ROLEW:15|HPD:6|HPW:1|POSS:5|HPOSD:30|AVGW:70|POSW:60|LASTW:35</t>
  </si>
  <si>
    <t>TW:32|MODW:0|ROLEW:10|HPD:8|HPW:2|POSS:5|HPOSD:25|AVGW:90|POSW:75|LASTW:35</t>
  </si>
  <si>
    <t>TW:30|MODW:5|ROLEW:15|HPD:8|HPW:1|POSS:5|HPOSD:30|AVGW:90|POSW:60|LASTW:35</t>
  </si>
  <si>
    <t>TW:30|MODW:5|ROLEW:15|HPD:6|HPW:2|POSS:5|HPOSD:25|AVGW:70|POSW:75|LASTW:45</t>
  </si>
  <si>
    <t>x</t>
  </si>
  <si>
    <t>**** Rating giornata: 25 team:4</t>
  </si>
  <si>
    <t>MARTINEZ L.</t>
  </si>
  <si>
    <t>MKHITARYAN</t>
  </si>
  <si>
    <t>LUIS HENRIQUE</t>
  </si>
  <si>
    <t>EKKELENKAMP</t>
  </si>
  <si>
    <t>UDINESE</t>
  </si>
  <si>
    <t>BISSECK</t>
  </si>
  <si>
    <t>EDERSON D.S.</t>
  </si>
  <si>
    <t>FRATTESI</t>
  </si>
  <si>
    <t>PASALIC</t>
  </si>
  <si>
    <t>CONCEICAO</t>
  </si>
  <si>
    <t>JUVENTUS</t>
  </si>
  <si>
    <t>DIOUF</t>
  </si>
  <si>
    <t>KELLY L.</t>
  </si>
  <si>
    <t>MORATA</t>
  </si>
  <si>
    <t>CARLOS AUGUSTO</t>
  </si>
  <si>
    <t>MARUSIC</t>
  </si>
  <si>
    <t>CHEDDIRA</t>
  </si>
  <si>
    <t>LECCE</t>
  </si>
  <si>
    <t>MURIC</t>
  </si>
  <si>
    <t>SULEMANA K.</t>
  </si>
  <si>
    <t>OKOYE</t>
  </si>
  <si>
    <t>EKHATOR</t>
  </si>
  <si>
    <t>N’DICKA</t>
  </si>
  <si>
    <t>PONGRACIC</t>
  </si>
  <si>
    <t>SAVA</t>
  </si>
  <si>
    <t>DE KETELAERE</t>
  </si>
  <si>
    <t>JUAN JESUS</t>
  </si>
  <si>
    <t>DUMFRIES</t>
  </si>
  <si>
    <t>**** Formazione giornata: 25 team:4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</si>
</sst>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1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sz val="8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1"/>
      <name val="Aptos Display"/>
      <scheme val="major"/>
    </font>
    <font>
      <sz val="11"/>
      <color indexed="8"/>
      <name val="Aptos Display"/>
      <scheme val="major"/>
    </font>
    <font>
      <sz val="11"/>
      <color rgb="FF000000"/>
      <name val="Aptos Narrow"/>
    </font>
    <font>
      <sz val="11"/>
      <color theme="1"/>
      <name val="Aptos Narrow"/>
      <scheme val="minor"/>
    </font>
    <font>
      <b/>
      <sz val="11"/>
      <color theme="1"/>
      <name val="Aptos Narrow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/>
  </cellStyleXfs>
  <cellXfs count="21">
    <xf numFmtId="0" fontId="0" fillId="0" borderId="0" xfId="0"/>
    <xf numFmtId="164" fontId="0" fillId="0" borderId="0" xfId="1" applyNumberFormat="1" applyFont="1"/>
    <xf numFmtId="10" fontId="0" fillId="0" borderId="0" xfId="1" applyNumberFormat="1" applyFont="1"/>
    <xf numFmtId="0" fontId="0" fillId="0" borderId="2" xfId="0" applyBorder="1"/>
    <xf numFmtId="0" fontId="2" fillId="0" borderId="2" xfId="0" applyFont="1" applyBorder="1"/>
    <xf numFmtId="9" fontId="0" fillId="0" borderId="0" xfId="1" applyFont="1"/>
    <xf numFmtId="0" fontId="5" fillId="0" borderId="0" xfId="0" applyFont="1"/>
    <xf numFmtId="0" fontId="6" fillId="0" borderId="0" xfId="0" applyFont="1"/>
    <xf numFmtId="0" fontId="7" fillId="0" borderId="1" xfId="2" applyFont="1" applyBorder="1" applyAlignment="1">
      <alignment horizontal="right" wrapText="1"/>
    </xf>
    <xf numFmtId="9" fontId="0" fillId="2" borderId="0" xfId="0" applyNumberFormat="1" applyFill="1"/>
    <xf numFmtId="165" fontId="2" fillId="0" borderId="2" xfId="0" applyNumberFormat="1" applyFont="1" applyBorder="1"/>
    <xf numFmtId="0" fontId="0" fillId="0" borderId="1" xfId="0" applyBorder="1"/>
    <xf numFmtId="0" fontId="6" fillId="0" borderId="1" xfId="0" applyFont="1" applyBorder="1"/>
    <xf numFmtId="0" fontId="7" fillId="0" borderId="0" xfId="2" applyFont="1" applyAlignment="1">
      <alignment horizontal="right" wrapText="1"/>
    </xf>
    <xf numFmtId="9" fontId="0" fillId="0" borderId="0" xfId="1" applyNumberFormat="1" applyFont="1"/>
    <xf numFmtId="9" fontId="0" fillId="2" borderId="0" xfId="1" applyFont="1" applyFill="1"/>
    <xf numFmtId="9" fontId="0" fillId="3" borderId="0" xfId="1" applyFont="1" applyFill="1"/>
    <xf numFmtId="0" fontId="0" fillId="0" borderId="0" xfId="0" applyBorder="1"/>
    <xf numFmtId="0" fontId="0" fillId="2" borderId="2" xfId="0" applyFill="1" applyBorder="1"/>
    <xf numFmtId="0" fontId="9" fillId="0" borderId="2" xfId="0" applyFont="1" applyBorder="1"/>
    <xf numFmtId="0" fontId="10" fillId="0" borderId="2" xfId="0" applyFont="1" applyBorder="1"/>
  </cellXfs>
  <cellStyles count="3">
    <cellStyle name="Normal_Sheet2" xfId="2" xr:uid="{0B09AB02-F2DB-4048-8983-23AB7ADA937E}"/>
    <cellStyle name="Normale" xfId="0" builtinId="0"/>
    <cellStyle name="Percentuale" xfId="1" builtinId="5"/>
  </cellStyles>
  <dxfs count="2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190500</xdr:colOff>
          <xdr:row>3</xdr:row>
          <xdr:rowOff>123825</xdr:rowOff>
        </xdr:from>
        <xdr:to>
          <xdr:col>44</xdr:col>
          <xdr:colOff>609600</xdr:colOff>
          <xdr:row>6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Pulsante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6D43E-1FF7-40AF-A862-0BD3290F523F}">
  <sheetPr codeName="Sheet5"/>
  <dimension ref="A1:BF276"/>
  <sheetViews>
    <sheetView tabSelected="1" topLeftCell="A4" zoomScale="70" zoomScaleNormal="70" workbookViewId="0">
      <selection activeCell="W51" sqref="W51:AB51"/>
    </sheetView>
  </sheetViews>
  <sheetFormatPr defaultRowHeight="14.25"/>
  <cols>
    <col min="2" max="2" width="10.625" bestFit="1" customWidth="1"/>
    <col min="3" max="41" width="7.25" customWidth="1"/>
    <col min="43" max="45" width="6.625" customWidth="1"/>
  </cols>
  <sheetData>
    <row r="1" spans="1:57">
      <c r="D1" s="18">
        <v>1</v>
      </c>
      <c r="E1" s="18">
        <v>2</v>
      </c>
      <c r="F1" s="18">
        <v>3</v>
      </c>
      <c r="G1" s="18">
        <v>4</v>
      </c>
      <c r="H1" s="18">
        <v>5</v>
      </c>
      <c r="I1" s="18">
        <v>6</v>
      </c>
      <c r="J1" s="18">
        <v>7</v>
      </c>
      <c r="K1" s="18">
        <v>8</v>
      </c>
      <c r="L1" s="18">
        <v>9</v>
      </c>
      <c r="M1" s="18">
        <v>10</v>
      </c>
      <c r="N1" s="18">
        <v>11</v>
      </c>
      <c r="O1" s="18">
        <v>12</v>
      </c>
      <c r="P1" s="18">
        <v>13</v>
      </c>
      <c r="Q1" s="18">
        <v>14</v>
      </c>
      <c r="R1" s="18">
        <v>15</v>
      </c>
      <c r="S1" s="18">
        <v>16</v>
      </c>
      <c r="T1" s="18">
        <v>17</v>
      </c>
      <c r="U1" s="18">
        <v>18</v>
      </c>
      <c r="V1" s="18">
        <v>19</v>
      </c>
      <c r="W1" s="18">
        <v>20</v>
      </c>
      <c r="X1" s="18">
        <v>21</v>
      </c>
      <c r="Y1" s="18">
        <v>22</v>
      </c>
      <c r="Z1" s="18">
        <v>23</v>
      </c>
      <c r="AA1" s="18">
        <v>24</v>
      </c>
      <c r="AB1" s="18">
        <v>25</v>
      </c>
      <c r="AC1" s="18">
        <v>26</v>
      </c>
      <c r="AD1" s="18">
        <v>27</v>
      </c>
      <c r="AE1" s="18">
        <v>28</v>
      </c>
      <c r="AF1" s="18">
        <v>29</v>
      </c>
      <c r="AG1" s="18">
        <v>30</v>
      </c>
      <c r="AH1" s="18">
        <v>31</v>
      </c>
      <c r="AI1" s="18">
        <v>32</v>
      </c>
      <c r="AJ1" s="18">
        <v>33</v>
      </c>
      <c r="AK1" s="18">
        <v>34</v>
      </c>
      <c r="AL1" s="18">
        <v>35</v>
      </c>
      <c r="AM1" s="18">
        <v>36</v>
      </c>
      <c r="AN1" s="18">
        <v>37</v>
      </c>
      <c r="AO1" s="18">
        <v>38</v>
      </c>
    </row>
    <row r="2" spans="1:57">
      <c r="A2">
        <v>0</v>
      </c>
      <c r="B2" s="3" t="s">
        <v>12</v>
      </c>
      <c r="C2" s="3">
        <f>SUM(H2:AA2)</f>
        <v>1408</v>
      </c>
      <c r="D2" s="3">
        <v>67</v>
      </c>
      <c r="E2" s="3">
        <v>72.5</v>
      </c>
      <c r="F2" s="3">
        <v>58</v>
      </c>
      <c r="G2" s="3">
        <v>69</v>
      </c>
      <c r="H2" s="3">
        <v>77.5</v>
      </c>
      <c r="I2" s="3">
        <v>73.5</v>
      </c>
      <c r="J2" s="3">
        <v>73</v>
      </c>
      <c r="K2" s="3">
        <v>63</v>
      </c>
      <c r="L2" s="3">
        <v>67</v>
      </c>
      <c r="M2" s="3">
        <v>66.5</v>
      </c>
      <c r="N2" s="3">
        <v>59</v>
      </c>
      <c r="O2" s="3">
        <v>87.5</v>
      </c>
      <c r="P2" s="3">
        <v>66.5</v>
      </c>
      <c r="Q2" s="3">
        <v>71.5</v>
      </c>
      <c r="R2" s="3">
        <v>69</v>
      </c>
      <c r="S2" s="3">
        <v>71.5</v>
      </c>
      <c r="T2" s="3">
        <v>82.5</v>
      </c>
      <c r="U2" s="3">
        <v>66</v>
      </c>
      <c r="V2" s="3">
        <v>75.5</v>
      </c>
      <c r="W2" s="3">
        <v>73</v>
      </c>
      <c r="X2" s="3">
        <v>66.5</v>
      </c>
      <c r="Y2" s="3">
        <v>75.5</v>
      </c>
      <c r="Z2" s="3">
        <v>60</v>
      </c>
      <c r="AA2" s="3">
        <v>63.5</v>
      </c>
      <c r="AB2" s="3">
        <v>64.5</v>
      </c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Q2">
        <f>COUNTIF(D2:AA11,"&gt;70")</f>
        <v>102</v>
      </c>
      <c r="AT2" t="s">
        <v>23</v>
      </c>
    </row>
    <row r="3" spans="1:57">
      <c r="A3">
        <v>1</v>
      </c>
      <c r="B3" s="3" t="s">
        <v>13</v>
      </c>
      <c r="C3" s="3">
        <f t="shared" ref="C3:C11" si="0">SUM(H3:AA3)</f>
        <v>1382.5</v>
      </c>
      <c r="D3" s="3">
        <v>67.5</v>
      </c>
      <c r="E3" s="3">
        <v>72</v>
      </c>
      <c r="F3" s="3">
        <v>69.5</v>
      </c>
      <c r="G3" s="3">
        <v>72.5</v>
      </c>
      <c r="H3" s="3">
        <v>82</v>
      </c>
      <c r="I3" s="3">
        <v>64</v>
      </c>
      <c r="J3" s="3">
        <v>65.5</v>
      </c>
      <c r="K3" s="3">
        <v>65.5</v>
      </c>
      <c r="L3" s="3">
        <v>70</v>
      </c>
      <c r="M3" s="3">
        <v>77.5</v>
      </c>
      <c r="N3" s="3">
        <v>61</v>
      </c>
      <c r="O3" s="3">
        <v>70.5</v>
      </c>
      <c r="P3" s="3">
        <v>71</v>
      </c>
      <c r="Q3" s="3">
        <v>67</v>
      </c>
      <c r="R3" s="3">
        <v>66.5</v>
      </c>
      <c r="S3" s="3">
        <v>63.5</v>
      </c>
      <c r="T3" s="3">
        <v>62.5</v>
      </c>
      <c r="U3" s="3">
        <v>65</v>
      </c>
      <c r="V3" s="3">
        <v>67</v>
      </c>
      <c r="W3" s="3">
        <v>69.5</v>
      </c>
      <c r="X3" s="3">
        <v>67</v>
      </c>
      <c r="Y3" s="3">
        <v>73</v>
      </c>
      <c r="Z3" s="3">
        <v>72</v>
      </c>
      <c r="AA3" s="3">
        <v>82.5</v>
      </c>
      <c r="AB3" s="3">
        <v>71.5</v>
      </c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T3">
        <v>68.5</v>
      </c>
      <c r="AU3">
        <v>67</v>
      </c>
      <c r="AV3">
        <v>80</v>
      </c>
      <c r="AW3">
        <v>11</v>
      </c>
      <c r="AY3" t="s">
        <v>0</v>
      </c>
      <c r="AZ3">
        <v>120</v>
      </c>
      <c r="BA3">
        <v>120</v>
      </c>
      <c r="BB3">
        <v>130</v>
      </c>
      <c r="BC3">
        <v>110</v>
      </c>
      <c r="BD3">
        <v>100</v>
      </c>
      <c r="BE3">
        <v>110</v>
      </c>
    </row>
    <row r="4" spans="1:57">
      <c r="A4">
        <v>2</v>
      </c>
      <c r="B4" s="3" t="s">
        <v>14</v>
      </c>
      <c r="C4" s="3">
        <f t="shared" si="0"/>
        <v>1475</v>
      </c>
      <c r="D4" s="3">
        <v>72.5</v>
      </c>
      <c r="E4" s="3">
        <v>69</v>
      </c>
      <c r="F4" s="3">
        <v>82</v>
      </c>
      <c r="G4" s="3">
        <v>68</v>
      </c>
      <c r="H4" s="3">
        <v>74.5</v>
      </c>
      <c r="I4" s="3">
        <v>74</v>
      </c>
      <c r="J4" s="3">
        <v>72.5</v>
      </c>
      <c r="K4" s="3">
        <v>77.5</v>
      </c>
      <c r="L4" s="3">
        <v>72</v>
      </c>
      <c r="M4" s="3">
        <v>78</v>
      </c>
      <c r="N4" s="3">
        <v>67</v>
      </c>
      <c r="O4" s="3">
        <v>65</v>
      </c>
      <c r="P4" s="3">
        <v>85.5</v>
      </c>
      <c r="Q4" s="3">
        <v>63.5</v>
      </c>
      <c r="R4" s="3">
        <v>65</v>
      </c>
      <c r="S4" s="3">
        <v>66.5</v>
      </c>
      <c r="T4" s="3">
        <v>75</v>
      </c>
      <c r="U4" s="3">
        <v>70</v>
      </c>
      <c r="V4" s="3">
        <v>78.5</v>
      </c>
      <c r="W4" s="3">
        <v>79.5</v>
      </c>
      <c r="X4" s="3">
        <v>69</v>
      </c>
      <c r="Y4" s="3">
        <v>87</v>
      </c>
      <c r="Z4" s="3">
        <v>81.5</v>
      </c>
      <c r="AA4" s="3">
        <v>73.5</v>
      </c>
      <c r="AB4" s="3">
        <v>75.5</v>
      </c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T4">
        <v>69</v>
      </c>
      <c r="AU4">
        <v>67.5</v>
      </c>
      <c r="AV4">
        <v>76</v>
      </c>
      <c r="AW4">
        <v>11</v>
      </c>
      <c r="AY4" t="s">
        <v>41</v>
      </c>
      <c r="AZ4">
        <v>50</v>
      </c>
      <c r="BA4">
        <v>40</v>
      </c>
      <c r="BB4">
        <v>40</v>
      </c>
      <c r="BC4">
        <v>40</v>
      </c>
      <c r="BD4">
        <v>40</v>
      </c>
      <c r="BE4">
        <v>40</v>
      </c>
    </row>
    <row r="5" spans="1:57">
      <c r="A5">
        <v>3</v>
      </c>
      <c r="B5" s="3" t="s">
        <v>15</v>
      </c>
      <c r="C5" s="3">
        <f t="shared" si="0"/>
        <v>1398.5</v>
      </c>
      <c r="D5" s="3">
        <v>70</v>
      </c>
      <c r="E5" s="3">
        <v>65</v>
      </c>
      <c r="F5" s="3">
        <v>63</v>
      </c>
      <c r="G5" s="3">
        <v>63.5</v>
      </c>
      <c r="H5" s="3">
        <v>62.5</v>
      </c>
      <c r="I5" s="3">
        <v>64</v>
      </c>
      <c r="J5" s="3">
        <v>66.5</v>
      </c>
      <c r="K5" s="3">
        <v>64</v>
      </c>
      <c r="L5" s="3">
        <v>70</v>
      </c>
      <c r="M5" s="3">
        <v>63.5</v>
      </c>
      <c r="N5" s="3">
        <v>66</v>
      </c>
      <c r="O5" s="3">
        <v>82</v>
      </c>
      <c r="P5" s="3">
        <v>68.5</v>
      </c>
      <c r="Q5" s="3">
        <v>69.5</v>
      </c>
      <c r="R5" s="3">
        <v>75</v>
      </c>
      <c r="S5" s="3">
        <v>66</v>
      </c>
      <c r="T5" s="3">
        <v>85.5</v>
      </c>
      <c r="U5" s="3">
        <v>61.5</v>
      </c>
      <c r="V5" s="3">
        <v>71</v>
      </c>
      <c r="W5" s="3">
        <v>75.5</v>
      </c>
      <c r="X5" s="3">
        <v>61.5</v>
      </c>
      <c r="Y5" s="3">
        <v>82</v>
      </c>
      <c r="Z5" s="3">
        <v>72</v>
      </c>
      <c r="AA5" s="3">
        <v>72</v>
      </c>
      <c r="AB5" s="3">
        <v>59.5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T5">
        <v>73.5</v>
      </c>
      <c r="AU5">
        <v>72.5</v>
      </c>
      <c r="AV5">
        <v>79.5</v>
      </c>
      <c r="AW5">
        <v>11</v>
      </c>
      <c r="AY5" t="s">
        <v>1</v>
      </c>
      <c r="AZ5">
        <v>3</v>
      </c>
      <c r="BA5">
        <v>3</v>
      </c>
      <c r="BB5">
        <v>3</v>
      </c>
      <c r="BC5">
        <v>3</v>
      </c>
      <c r="BD5">
        <v>3</v>
      </c>
      <c r="BE5">
        <v>3</v>
      </c>
    </row>
    <row r="6" spans="1:57">
      <c r="A6">
        <v>4</v>
      </c>
      <c r="B6" s="3" t="s">
        <v>17</v>
      </c>
      <c r="C6" s="3">
        <f t="shared" si="0"/>
        <v>1380</v>
      </c>
      <c r="D6" s="3">
        <v>72</v>
      </c>
      <c r="E6" s="3">
        <v>75</v>
      </c>
      <c r="F6" s="3">
        <v>71</v>
      </c>
      <c r="G6" s="3">
        <v>62.5</v>
      </c>
      <c r="H6" s="3">
        <v>67.5</v>
      </c>
      <c r="I6" s="3">
        <v>66.5</v>
      </c>
      <c r="J6" s="3">
        <v>62</v>
      </c>
      <c r="K6" s="3">
        <v>58.5</v>
      </c>
      <c r="L6" s="3">
        <v>68</v>
      </c>
      <c r="M6" s="3">
        <v>60.5</v>
      </c>
      <c r="N6" s="3">
        <v>63</v>
      </c>
      <c r="O6" s="3">
        <v>66.5</v>
      </c>
      <c r="P6" s="3">
        <v>75.5</v>
      </c>
      <c r="Q6" s="3">
        <v>70</v>
      </c>
      <c r="R6" s="3">
        <v>78</v>
      </c>
      <c r="S6" s="3">
        <v>71</v>
      </c>
      <c r="T6" s="3">
        <v>70</v>
      </c>
      <c r="U6" s="3">
        <v>73</v>
      </c>
      <c r="V6" s="3">
        <v>66.5</v>
      </c>
      <c r="W6" s="3">
        <v>73</v>
      </c>
      <c r="X6" s="3">
        <v>67.5</v>
      </c>
      <c r="Y6" s="3">
        <v>73.5</v>
      </c>
      <c r="Z6" s="3">
        <v>74.5</v>
      </c>
      <c r="AA6" s="3">
        <v>75</v>
      </c>
      <c r="AB6" s="3">
        <v>64</v>
      </c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T6">
        <v>73</v>
      </c>
      <c r="AU6">
        <v>70</v>
      </c>
      <c r="AV6">
        <v>78.5</v>
      </c>
      <c r="AW6">
        <v>11</v>
      </c>
      <c r="AY6" t="s">
        <v>42</v>
      </c>
      <c r="AZ6">
        <v>1</v>
      </c>
      <c r="BA6">
        <v>1</v>
      </c>
      <c r="BB6">
        <v>1</v>
      </c>
      <c r="BC6">
        <v>1</v>
      </c>
      <c r="BD6">
        <v>1</v>
      </c>
      <c r="BE6">
        <v>2</v>
      </c>
    </row>
    <row r="7" spans="1:57">
      <c r="A7">
        <v>5</v>
      </c>
      <c r="B7" s="3" t="s">
        <v>16</v>
      </c>
      <c r="C7" s="3">
        <f t="shared" si="0"/>
        <v>1384.5</v>
      </c>
      <c r="D7" s="3">
        <v>61.5</v>
      </c>
      <c r="E7" s="3">
        <v>85.5</v>
      </c>
      <c r="F7" s="3">
        <v>74</v>
      </c>
      <c r="G7" s="3">
        <v>74</v>
      </c>
      <c r="H7" s="3">
        <v>74</v>
      </c>
      <c r="I7" s="3">
        <v>66.5</v>
      </c>
      <c r="J7" s="3">
        <v>61</v>
      </c>
      <c r="K7" s="3">
        <v>65.5</v>
      </c>
      <c r="L7" s="3">
        <v>66</v>
      </c>
      <c r="M7" s="3">
        <v>66</v>
      </c>
      <c r="N7" s="3">
        <v>79</v>
      </c>
      <c r="O7" s="3">
        <v>68.5</v>
      </c>
      <c r="P7" s="3">
        <v>62.5</v>
      </c>
      <c r="Q7" s="3">
        <v>70.5</v>
      </c>
      <c r="R7" s="3">
        <v>65.5</v>
      </c>
      <c r="S7" s="3">
        <v>76</v>
      </c>
      <c r="T7" s="3">
        <v>71</v>
      </c>
      <c r="U7" s="3">
        <v>66</v>
      </c>
      <c r="V7" s="3">
        <v>70</v>
      </c>
      <c r="W7" s="3">
        <v>75</v>
      </c>
      <c r="X7" s="3">
        <v>68</v>
      </c>
      <c r="Y7" s="3">
        <v>69.5</v>
      </c>
      <c r="Z7" s="3">
        <v>71</v>
      </c>
      <c r="AA7" s="3">
        <v>73</v>
      </c>
      <c r="AB7" s="3">
        <v>72</v>
      </c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Q7">
        <v>29122793</v>
      </c>
      <c r="AT7">
        <v>72</v>
      </c>
      <c r="AU7">
        <v>72</v>
      </c>
      <c r="AV7">
        <v>77</v>
      </c>
      <c r="AW7">
        <v>11</v>
      </c>
      <c r="AY7" t="s">
        <v>43</v>
      </c>
      <c r="AZ7">
        <v>30</v>
      </c>
      <c r="BA7">
        <v>30</v>
      </c>
      <c r="BB7">
        <v>30</v>
      </c>
      <c r="BC7">
        <v>30</v>
      </c>
      <c r="BD7">
        <v>30</v>
      </c>
      <c r="BE7">
        <v>30</v>
      </c>
    </row>
    <row r="8" spans="1:57">
      <c r="A8">
        <v>6</v>
      </c>
      <c r="B8" s="3" t="s">
        <v>18</v>
      </c>
      <c r="C8" s="3">
        <f t="shared" si="0"/>
        <v>1383.5</v>
      </c>
      <c r="D8" s="3">
        <v>67.5</v>
      </c>
      <c r="E8" s="3">
        <v>72.5</v>
      </c>
      <c r="F8" s="3">
        <v>66.5</v>
      </c>
      <c r="G8" s="3">
        <v>71</v>
      </c>
      <c r="H8" s="3">
        <v>77</v>
      </c>
      <c r="I8" s="3">
        <v>61</v>
      </c>
      <c r="J8" s="3">
        <v>68.5</v>
      </c>
      <c r="K8" s="3">
        <v>72</v>
      </c>
      <c r="L8" s="3">
        <v>69.5</v>
      </c>
      <c r="M8" s="3">
        <v>71</v>
      </c>
      <c r="N8" s="3">
        <v>72</v>
      </c>
      <c r="O8" s="3">
        <v>73</v>
      </c>
      <c r="P8" s="3">
        <v>68</v>
      </c>
      <c r="Q8" s="3">
        <v>71</v>
      </c>
      <c r="R8" s="3">
        <v>61.5</v>
      </c>
      <c r="S8" s="3">
        <v>70.5</v>
      </c>
      <c r="T8" s="3">
        <v>69</v>
      </c>
      <c r="U8" s="3">
        <v>72.5</v>
      </c>
      <c r="V8" s="3">
        <v>67.5</v>
      </c>
      <c r="W8" s="3">
        <v>66.5</v>
      </c>
      <c r="X8" s="3">
        <v>80</v>
      </c>
      <c r="Y8" s="3">
        <v>61.5</v>
      </c>
      <c r="Z8" s="3">
        <v>69.5</v>
      </c>
      <c r="AA8" s="3">
        <v>62</v>
      </c>
      <c r="AB8" s="3">
        <v>65.5</v>
      </c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T8">
        <v>58</v>
      </c>
      <c r="AU8">
        <v>61.5</v>
      </c>
      <c r="AV8">
        <v>72.5</v>
      </c>
      <c r="AW8">
        <v>11</v>
      </c>
      <c r="AZ8">
        <v>-37</v>
      </c>
      <c r="BA8">
        <v>-29</v>
      </c>
      <c r="BB8">
        <v>-31.5</v>
      </c>
      <c r="BC8">
        <v>-24</v>
      </c>
      <c r="BD8">
        <v>-28</v>
      </c>
      <c r="BE8">
        <v>-17</v>
      </c>
    </row>
    <row r="9" spans="1:57">
      <c r="A9">
        <v>7</v>
      </c>
      <c r="B9" s="3" t="s">
        <v>21</v>
      </c>
      <c r="C9" s="3">
        <f t="shared" si="0"/>
        <v>1378</v>
      </c>
      <c r="D9" s="3">
        <v>76</v>
      </c>
      <c r="E9" s="3">
        <v>70</v>
      </c>
      <c r="F9" s="3">
        <v>61.5</v>
      </c>
      <c r="G9" s="3">
        <v>80</v>
      </c>
      <c r="H9" s="3">
        <v>70.5</v>
      </c>
      <c r="I9" s="3">
        <v>69.5</v>
      </c>
      <c r="J9" s="3">
        <v>66.5</v>
      </c>
      <c r="K9" s="3">
        <v>66</v>
      </c>
      <c r="L9" s="3">
        <v>65</v>
      </c>
      <c r="M9" s="3">
        <v>68</v>
      </c>
      <c r="N9" s="3">
        <v>69</v>
      </c>
      <c r="O9" s="3">
        <v>86</v>
      </c>
      <c r="P9" s="3">
        <v>73.5</v>
      </c>
      <c r="Q9" s="3">
        <v>68</v>
      </c>
      <c r="R9" s="3">
        <v>72</v>
      </c>
      <c r="S9" s="3">
        <v>67</v>
      </c>
      <c r="T9" s="3">
        <v>65.5</v>
      </c>
      <c r="U9" s="3">
        <v>69</v>
      </c>
      <c r="V9" s="3">
        <v>67</v>
      </c>
      <c r="W9" s="3">
        <v>67.5</v>
      </c>
      <c r="X9" s="3">
        <v>64</v>
      </c>
      <c r="Y9" s="3">
        <v>75</v>
      </c>
      <c r="Z9" s="3">
        <v>59.5</v>
      </c>
      <c r="AA9" s="3">
        <v>69.5</v>
      </c>
      <c r="AB9" s="3">
        <v>66</v>
      </c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T9">
        <v>67.5</v>
      </c>
      <c r="AU9">
        <v>67.5</v>
      </c>
      <c r="AV9">
        <v>79.5</v>
      </c>
      <c r="AW9">
        <v>11</v>
      </c>
      <c r="AZ9">
        <v>6</v>
      </c>
      <c r="BA9">
        <v>6</v>
      </c>
      <c r="BB9">
        <v>5</v>
      </c>
      <c r="BC9">
        <v>4</v>
      </c>
      <c r="BD9">
        <v>4</v>
      </c>
      <c r="BE9">
        <v>4</v>
      </c>
    </row>
    <row r="10" spans="1:57">
      <c r="A10">
        <v>8</v>
      </c>
      <c r="B10" s="3" t="s">
        <v>19</v>
      </c>
      <c r="C10" s="3">
        <f t="shared" si="0"/>
        <v>1373.5</v>
      </c>
      <c r="D10" s="3">
        <v>73</v>
      </c>
      <c r="E10" s="3">
        <v>71.5</v>
      </c>
      <c r="F10" s="3">
        <v>65.5</v>
      </c>
      <c r="G10" s="3">
        <v>68.5</v>
      </c>
      <c r="H10" s="3">
        <v>68.5</v>
      </c>
      <c r="I10" s="3">
        <v>66.5</v>
      </c>
      <c r="J10" s="3">
        <v>68</v>
      </c>
      <c r="K10" s="3">
        <v>66</v>
      </c>
      <c r="L10" s="3">
        <v>78</v>
      </c>
      <c r="M10" s="3">
        <v>60</v>
      </c>
      <c r="N10" s="3">
        <v>68.5</v>
      </c>
      <c r="O10" s="3">
        <v>64</v>
      </c>
      <c r="P10" s="3">
        <v>69</v>
      </c>
      <c r="Q10" s="3">
        <v>71</v>
      </c>
      <c r="R10" s="3">
        <v>63</v>
      </c>
      <c r="S10" s="3">
        <v>68</v>
      </c>
      <c r="T10" s="3">
        <v>75</v>
      </c>
      <c r="U10" s="3">
        <v>66.5</v>
      </c>
      <c r="V10" s="3">
        <v>65</v>
      </c>
      <c r="W10" s="3">
        <v>69</v>
      </c>
      <c r="X10" s="3">
        <v>63.5</v>
      </c>
      <c r="Y10" s="3">
        <v>68</v>
      </c>
      <c r="Z10" s="3">
        <v>79</v>
      </c>
      <c r="AA10" s="3">
        <v>77</v>
      </c>
      <c r="AB10" s="3">
        <v>56</v>
      </c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T10">
        <v>71</v>
      </c>
      <c r="AU10">
        <v>76</v>
      </c>
      <c r="AV10">
        <v>80.5</v>
      </c>
      <c r="AW10">
        <v>11</v>
      </c>
    </row>
    <row r="11" spans="1:57">
      <c r="A11">
        <v>9</v>
      </c>
      <c r="B11" s="3" t="s">
        <v>20</v>
      </c>
      <c r="C11" s="3">
        <f t="shared" si="0"/>
        <v>1431.5</v>
      </c>
      <c r="D11" s="3">
        <v>74</v>
      </c>
      <c r="E11" s="3">
        <v>69</v>
      </c>
      <c r="F11" s="3">
        <v>82</v>
      </c>
      <c r="G11" s="3">
        <v>67</v>
      </c>
      <c r="H11" s="3">
        <v>66</v>
      </c>
      <c r="I11" s="3">
        <v>86.5</v>
      </c>
      <c r="J11" s="3">
        <v>67.5</v>
      </c>
      <c r="K11" s="3">
        <v>79</v>
      </c>
      <c r="L11" s="3">
        <v>85.5</v>
      </c>
      <c r="M11" s="3">
        <v>57.5</v>
      </c>
      <c r="N11" s="3">
        <v>65.5</v>
      </c>
      <c r="O11" s="3">
        <v>59.5</v>
      </c>
      <c r="P11" s="3">
        <v>70</v>
      </c>
      <c r="Q11" s="3">
        <v>68</v>
      </c>
      <c r="R11" s="3">
        <v>65</v>
      </c>
      <c r="S11" s="3">
        <v>74.5</v>
      </c>
      <c r="T11" s="3">
        <v>65.5</v>
      </c>
      <c r="U11" s="3">
        <v>76</v>
      </c>
      <c r="V11" s="3">
        <v>74.5</v>
      </c>
      <c r="W11" s="3">
        <v>76</v>
      </c>
      <c r="X11" s="3">
        <v>68.5</v>
      </c>
      <c r="Y11" s="3">
        <v>81</v>
      </c>
      <c r="Z11" s="3">
        <v>74</v>
      </c>
      <c r="AA11" s="3">
        <v>71.5</v>
      </c>
      <c r="AB11" s="3">
        <v>75.5</v>
      </c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T11">
        <v>72.5</v>
      </c>
      <c r="AU11">
        <v>73</v>
      </c>
      <c r="AV11">
        <v>83</v>
      </c>
      <c r="AW11">
        <v>11</v>
      </c>
    </row>
    <row r="12" spans="1:57" ht="15">
      <c r="C12" s="20">
        <f>SUM(C2:C11)</f>
        <v>13995</v>
      </c>
      <c r="D12" s="20">
        <f t="shared" ref="D12:AB12" si="1">SUM(D2:D11)</f>
        <v>701</v>
      </c>
      <c r="E12" s="20">
        <f t="shared" si="1"/>
        <v>722</v>
      </c>
      <c r="F12" s="20">
        <f t="shared" si="1"/>
        <v>693</v>
      </c>
      <c r="G12" s="20">
        <f t="shared" si="1"/>
        <v>696</v>
      </c>
      <c r="H12" s="20">
        <f t="shared" si="1"/>
        <v>720</v>
      </c>
      <c r="I12" s="20">
        <f t="shared" si="1"/>
        <v>692</v>
      </c>
      <c r="J12" s="20">
        <f t="shared" si="1"/>
        <v>671</v>
      </c>
      <c r="K12" s="20">
        <f t="shared" si="1"/>
        <v>677</v>
      </c>
      <c r="L12" s="20">
        <f t="shared" si="1"/>
        <v>711</v>
      </c>
      <c r="M12" s="20">
        <f t="shared" si="1"/>
        <v>668.5</v>
      </c>
      <c r="N12" s="20">
        <f t="shared" si="1"/>
        <v>670</v>
      </c>
      <c r="O12" s="20">
        <f t="shared" si="1"/>
        <v>722.5</v>
      </c>
      <c r="P12" s="20">
        <f t="shared" si="1"/>
        <v>710</v>
      </c>
      <c r="Q12" s="20">
        <f t="shared" si="1"/>
        <v>690</v>
      </c>
      <c r="R12" s="20">
        <f t="shared" si="1"/>
        <v>680.5</v>
      </c>
      <c r="S12" s="20">
        <f t="shared" si="1"/>
        <v>694.5</v>
      </c>
      <c r="T12" s="20">
        <f t="shared" si="1"/>
        <v>721.5</v>
      </c>
      <c r="U12" s="20">
        <f t="shared" si="1"/>
        <v>685.5</v>
      </c>
      <c r="V12" s="20">
        <f t="shared" si="1"/>
        <v>702.5</v>
      </c>
      <c r="W12" s="20">
        <f t="shared" si="1"/>
        <v>724.5</v>
      </c>
      <c r="X12" s="20">
        <f t="shared" si="1"/>
        <v>675.5</v>
      </c>
      <c r="Y12" s="20">
        <f t="shared" si="1"/>
        <v>746</v>
      </c>
      <c r="Z12" s="20">
        <f t="shared" si="1"/>
        <v>713</v>
      </c>
      <c r="AA12" s="20">
        <f t="shared" si="1"/>
        <v>719.5</v>
      </c>
      <c r="AB12" s="20">
        <f t="shared" si="1"/>
        <v>670</v>
      </c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T12">
        <v>72</v>
      </c>
      <c r="AU12">
        <v>74</v>
      </c>
      <c r="AV12">
        <v>76.5</v>
      </c>
      <c r="AW12">
        <v>11</v>
      </c>
    </row>
    <row r="13" spans="1:57"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T13" t="s">
        <v>24</v>
      </c>
    </row>
    <row r="14" spans="1:57">
      <c r="D14" s="18">
        <v>1</v>
      </c>
      <c r="E14" s="18">
        <v>2</v>
      </c>
      <c r="F14" s="18">
        <v>3</v>
      </c>
      <c r="G14" s="18">
        <v>4</v>
      </c>
      <c r="H14" s="18">
        <v>5</v>
      </c>
      <c r="I14" s="18">
        <v>6</v>
      </c>
      <c r="J14" s="18">
        <v>7</v>
      </c>
      <c r="K14" s="18">
        <v>8</v>
      </c>
      <c r="L14" s="18">
        <v>9</v>
      </c>
      <c r="M14" s="18">
        <v>10</v>
      </c>
      <c r="N14" s="18">
        <v>11</v>
      </c>
      <c r="O14" s="18">
        <v>12</v>
      </c>
      <c r="P14" s="18">
        <v>13</v>
      </c>
      <c r="Q14" s="18">
        <v>14</v>
      </c>
      <c r="R14" s="18">
        <v>15</v>
      </c>
      <c r="S14" s="18">
        <v>16</v>
      </c>
      <c r="T14" s="18">
        <v>17</v>
      </c>
      <c r="U14" s="18">
        <v>18</v>
      </c>
      <c r="V14" s="18">
        <v>19</v>
      </c>
      <c r="W14" s="18">
        <v>20</v>
      </c>
      <c r="X14" s="18">
        <v>21</v>
      </c>
      <c r="Y14" s="18">
        <v>22</v>
      </c>
      <c r="Z14" s="18">
        <v>23</v>
      </c>
      <c r="AA14" s="18">
        <v>24</v>
      </c>
      <c r="AB14" s="18">
        <v>25</v>
      </c>
      <c r="AC14" s="18">
        <v>26</v>
      </c>
      <c r="AD14" s="18">
        <v>27</v>
      </c>
      <c r="AE14" s="18">
        <v>28</v>
      </c>
      <c r="AF14" s="18">
        <v>29</v>
      </c>
      <c r="AG14" s="18">
        <v>30</v>
      </c>
      <c r="AH14" s="18">
        <v>31</v>
      </c>
      <c r="AI14" s="18">
        <v>32</v>
      </c>
      <c r="AJ14" s="18">
        <v>33</v>
      </c>
      <c r="AK14" s="18">
        <v>34</v>
      </c>
      <c r="AL14" s="18">
        <v>35</v>
      </c>
      <c r="AM14" s="18">
        <v>36</v>
      </c>
      <c r="AN14" s="18">
        <v>37</v>
      </c>
      <c r="AO14" s="18">
        <v>38</v>
      </c>
      <c r="AT14">
        <v>66.5</v>
      </c>
      <c r="AU14">
        <v>72.5</v>
      </c>
      <c r="AV14">
        <v>75</v>
      </c>
      <c r="AW14">
        <v>11</v>
      </c>
    </row>
    <row r="15" spans="1:57">
      <c r="A15">
        <v>0</v>
      </c>
      <c r="B15" s="3" t="s">
        <v>12</v>
      </c>
      <c r="C15" s="3">
        <f>SUM(H15:AA15)</f>
        <v>1415.5</v>
      </c>
      <c r="D15" s="3">
        <v>68.5</v>
      </c>
      <c r="E15" s="3">
        <v>66.5</v>
      </c>
      <c r="F15" s="3">
        <v>61.5</v>
      </c>
      <c r="G15" s="3">
        <v>68</v>
      </c>
      <c r="H15" s="3">
        <v>78</v>
      </c>
      <c r="I15" s="3">
        <v>74.5</v>
      </c>
      <c r="J15" s="3">
        <v>70.5</v>
      </c>
      <c r="K15" s="3">
        <v>65.5</v>
      </c>
      <c r="L15" s="3">
        <v>70</v>
      </c>
      <c r="M15" s="3">
        <v>61.5</v>
      </c>
      <c r="N15" s="3">
        <v>65.5</v>
      </c>
      <c r="O15" s="3">
        <v>79.5</v>
      </c>
      <c r="P15" s="3">
        <v>67.5</v>
      </c>
      <c r="Q15" s="3">
        <v>68.5</v>
      </c>
      <c r="R15" s="3">
        <v>72</v>
      </c>
      <c r="S15" s="3">
        <v>75</v>
      </c>
      <c r="T15" s="3">
        <v>82.5</v>
      </c>
      <c r="U15" s="3">
        <v>69.5</v>
      </c>
      <c r="V15" s="3">
        <v>77</v>
      </c>
      <c r="W15" s="3">
        <v>71</v>
      </c>
      <c r="X15" s="3">
        <v>66</v>
      </c>
      <c r="Y15" s="3">
        <v>79.5</v>
      </c>
      <c r="Z15" s="3">
        <v>58.5</v>
      </c>
      <c r="AA15" s="3">
        <v>63.5</v>
      </c>
      <c r="AB15" s="3">
        <v>57</v>
      </c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2">
        <f t="shared" ref="AP15:AP25" si="2">(C15-C2)/C15</f>
        <v>5.2984811020840693E-3</v>
      </c>
      <c r="AQ15">
        <f>COUNTIF(D15:AA24,"&gt;70")</f>
        <v>112</v>
      </c>
      <c r="AT15">
        <v>70.5</v>
      </c>
      <c r="AU15">
        <v>72</v>
      </c>
      <c r="AV15">
        <v>76.5</v>
      </c>
      <c r="AW15">
        <v>11</v>
      </c>
    </row>
    <row r="16" spans="1:57">
      <c r="A16">
        <v>1</v>
      </c>
      <c r="B16" s="3" t="s">
        <v>13</v>
      </c>
      <c r="C16" s="3">
        <f t="shared" ref="C16:C24" si="3">SUM(H16:AA16)</f>
        <v>1376.5</v>
      </c>
      <c r="D16" s="3">
        <v>69</v>
      </c>
      <c r="E16" s="3">
        <v>70.5</v>
      </c>
      <c r="F16" s="3">
        <v>69</v>
      </c>
      <c r="G16" s="3">
        <v>72.5</v>
      </c>
      <c r="H16" s="3">
        <v>79</v>
      </c>
      <c r="I16" s="3">
        <v>63</v>
      </c>
      <c r="J16" s="3">
        <v>64</v>
      </c>
      <c r="K16" s="3">
        <v>68.5</v>
      </c>
      <c r="L16" s="3">
        <v>68</v>
      </c>
      <c r="M16" s="3">
        <v>76.5</v>
      </c>
      <c r="N16" s="3">
        <v>61.5</v>
      </c>
      <c r="O16" s="3">
        <v>72.5</v>
      </c>
      <c r="P16" s="3">
        <v>71</v>
      </c>
      <c r="Q16" s="3">
        <v>67.5</v>
      </c>
      <c r="R16" s="3">
        <v>67</v>
      </c>
      <c r="S16" s="3">
        <v>64.5</v>
      </c>
      <c r="T16" s="3">
        <v>64</v>
      </c>
      <c r="U16" s="3">
        <v>58.5</v>
      </c>
      <c r="V16" s="3">
        <v>69.5</v>
      </c>
      <c r="W16" s="3">
        <v>69.5</v>
      </c>
      <c r="X16" s="3">
        <v>67.5</v>
      </c>
      <c r="Y16" s="3">
        <v>71</v>
      </c>
      <c r="Z16" s="3">
        <v>71</v>
      </c>
      <c r="AA16" s="3">
        <v>82.5</v>
      </c>
      <c r="AB16" s="3">
        <v>71.5</v>
      </c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2">
        <f t="shared" si="2"/>
        <v>-4.3588812204867419E-3</v>
      </c>
      <c r="AT16">
        <v>69</v>
      </c>
      <c r="AU16">
        <v>69</v>
      </c>
      <c r="AV16">
        <v>75.5</v>
      </c>
      <c r="AW16">
        <v>11</v>
      </c>
    </row>
    <row r="17" spans="1:56">
      <c r="A17">
        <v>2</v>
      </c>
      <c r="B17" s="3" t="s">
        <v>14</v>
      </c>
      <c r="C17" s="3">
        <f t="shared" si="3"/>
        <v>1459</v>
      </c>
      <c r="D17" s="3">
        <v>73.5</v>
      </c>
      <c r="E17" s="3">
        <v>69</v>
      </c>
      <c r="F17" s="3">
        <v>81</v>
      </c>
      <c r="G17" s="3">
        <v>68.5</v>
      </c>
      <c r="H17" s="3">
        <v>78</v>
      </c>
      <c r="I17" s="3">
        <v>75.5</v>
      </c>
      <c r="J17" s="3">
        <v>73</v>
      </c>
      <c r="K17" s="3">
        <v>73</v>
      </c>
      <c r="L17" s="3">
        <v>67</v>
      </c>
      <c r="M17" s="3">
        <v>75</v>
      </c>
      <c r="N17" s="3">
        <v>70.5</v>
      </c>
      <c r="O17" s="3">
        <v>78</v>
      </c>
      <c r="P17" s="3">
        <v>70</v>
      </c>
      <c r="Q17" s="3">
        <v>69.5</v>
      </c>
      <c r="R17" s="3">
        <v>64.5</v>
      </c>
      <c r="S17" s="3">
        <v>67</v>
      </c>
      <c r="T17" s="3">
        <v>71.5</v>
      </c>
      <c r="U17" s="3">
        <v>71</v>
      </c>
      <c r="V17" s="3">
        <v>74.5</v>
      </c>
      <c r="W17" s="3">
        <v>79</v>
      </c>
      <c r="X17" s="3">
        <v>66.5</v>
      </c>
      <c r="Y17" s="3">
        <v>86.5</v>
      </c>
      <c r="Z17" s="3">
        <v>77</v>
      </c>
      <c r="AA17" s="3">
        <v>72</v>
      </c>
      <c r="AB17" s="3">
        <v>72</v>
      </c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2">
        <f t="shared" si="2"/>
        <v>-1.0966415352981495E-2</v>
      </c>
      <c r="AT17">
        <v>63.5</v>
      </c>
      <c r="AU17">
        <v>65</v>
      </c>
      <c r="AV17">
        <v>77</v>
      </c>
      <c r="AW17">
        <v>11</v>
      </c>
      <c r="AY17" t="s">
        <v>45</v>
      </c>
    </row>
    <row r="18" spans="1:56">
      <c r="A18">
        <v>3</v>
      </c>
      <c r="B18" s="3" t="s">
        <v>15</v>
      </c>
      <c r="C18" s="3">
        <f t="shared" si="3"/>
        <v>1402</v>
      </c>
      <c r="D18" s="3">
        <v>73</v>
      </c>
      <c r="E18" s="3">
        <v>63.5</v>
      </c>
      <c r="F18" s="3">
        <v>64</v>
      </c>
      <c r="G18" s="3">
        <v>63.5</v>
      </c>
      <c r="H18" s="3">
        <v>62</v>
      </c>
      <c r="I18" s="3">
        <v>65.5</v>
      </c>
      <c r="J18" s="3">
        <v>64</v>
      </c>
      <c r="K18" s="3">
        <v>65.5</v>
      </c>
      <c r="L18" s="3">
        <v>72</v>
      </c>
      <c r="M18" s="3">
        <v>63.5</v>
      </c>
      <c r="N18" s="3">
        <v>69.5</v>
      </c>
      <c r="O18" s="3">
        <v>77</v>
      </c>
      <c r="P18" s="3">
        <v>66</v>
      </c>
      <c r="Q18" s="3">
        <v>70.5</v>
      </c>
      <c r="R18" s="3">
        <v>75.5</v>
      </c>
      <c r="S18" s="3">
        <v>62.5</v>
      </c>
      <c r="T18" s="3">
        <v>84.5</v>
      </c>
      <c r="U18" s="3">
        <v>62</v>
      </c>
      <c r="V18" s="3">
        <v>68.5</v>
      </c>
      <c r="W18" s="3">
        <v>74</v>
      </c>
      <c r="X18" s="3">
        <v>64</v>
      </c>
      <c r="Y18" s="3">
        <v>86</v>
      </c>
      <c r="Z18" s="3">
        <v>73.5</v>
      </c>
      <c r="AA18" s="3">
        <v>76</v>
      </c>
      <c r="AB18" s="3">
        <v>60.5</v>
      </c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2">
        <f t="shared" si="2"/>
        <v>2.4964336661911554E-3</v>
      </c>
      <c r="AS18" s="6"/>
      <c r="AT18">
        <v>74.5</v>
      </c>
      <c r="AU18">
        <v>75</v>
      </c>
      <c r="AV18">
        <v>85</v>
      </c>
      <c r="AW18">
        <v>11</v>
      </c>
      <c r="AY18">
        <v>-12</v>
      </c>
    </row>
    <row r="19" spans="1:56">
      <c r="A19">
        <v>4</v>
      </c>
      <c r="B19" s="3" t="s">
        <v>17</v>
      </c>
      <c r="C19" s="3">
        <f t="shared" si="3"/>
        <v>1373.5</v>
      </c>
      <c r="D19" s="3">
        <v>72</v>
      </c>
      <c r="E19" s="3">
        <v>74.5</v>
      </c>
      <c r="F19" s="3">
        <v>74.5</v>
      </c>
      <c r="G19" s="3">
        <v>64</v>
      </c>
      <c r="H19" s="3">
        <v>66</v>
      </c>
      <c r="I19" s="3">
        <v>66</v>
      </c>
      <c r="J19" s="3">
        <v>61</v>
      </c>
      <c r="K19" s="3">
        <v>60.5</v>
      </c>
      <c r="L19" s="3">
        <v>68</v>
      </c>
      <c r="M19" s="3">
        <v>61</v>
      </c>
      <c r="N19" s="3">
        <v>66</v>
      </c>
      <c r="O19" s="3">
        <v>65.5</v>
      </c>
      <c r="P19" s="3">
        <v>73</v>
      </c>
      <c r="Q19" s="3">
        <v>75.5</v>
      </c>
      <c r="R19" s="3">
        <v>72.5</v>
      </c>
      <c r="S19" s="3">
        <v>71</v>
      </c>
      <c r="T19" s="3">
        <v>68</v>
      </c>
      <c r="U19" s="3">
        <v>72</v>
      </c>
      <c r="V19" s="3">
        <v>61</v>
      </c>
      <c r="W19" s="3">
        <v>73</v>
      </c>
      <c r="X19" s="3">
        <v>68.5</v>
      </c>
      <c r="Y19" s="3">
        <v>75.5</v>
      </c>
      <c r="Z19" s="3">
        <v>74.5</v>
      </c>
      <c r="AA19" s="3">
        <v>75</v>
      </c>
      <c r="AB19" s="3">
        <v>65</v>
      </c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2">
        <f t="shared" si="2"/>
        <v>-4.7324353840553328E-3</v>
      </c>
      <c r="AT19">
        <v>82.5</v>
      </c>
      <c r="AU19">
        <v>85.5</v>
      </c>
      <c r="AV19">
        <v>91</v>
      </c>
      <c r="AW19">
        <v>11</v>
      </c>
    </row>
    <row r="20" spans="1:56">
      <c r="A20">
        <v>5</v>
      </c>
      <c r="B20" s="3" t="s">
        <v>16</v>
      </c>
      <c r="C20" s="3">
        <f t="shared" si="3"/>
        <v>1415</v>
      </c>
      <c r="D20" s="3">
        <v>58</v>
      </c>
      <c r="E20" s="3">
        <v>82.5</v>
      </c>
      <c r="F20" s="3">
        <v>71.5</v>
      </c>
      <c r="G20" s="3">
        <v>71.5</v>
      </c>
      <c r="H20" s="3">
        <v>75.5</v>
      </c>
      <c r="I20" s="3">
        <v>68</v>
      </c>
      <c r="J20" s="3">
        <v>63.5</v>
      </c>
      <c r="K20" s="3">
        <v>63.5</v>
      </c>
      <c r="L20" s="3">
        <v>70.5</v>
      </c>
      <c r="M20" s="3">
        <v>73.5</v>
      </c>
      <c r="N20" s="3">
        <v>74</v>
      </c>
      <c r="O20" s="3">
        <v>70.5</v>
      </c>
      <c r="P20" s="3">
        <v>63</v>
      </c>
      <c r="Q20" s="3">
        <v>72.5</v>
      </c>
      <c r="R20" s="3">
        <v>65.5</v>
      </c>
      <c r="S20" s="3">
        <v>73.5</v>
      </c>
      <c r="T20" s="3">
        <v>73.5</v>
      </c>
      <c r="U20" s="3">
        <v>74.5</v>
      </c>
      <c r="V20" s="3">
        <v>72.5</v>
      </c>
      <c r="W20" s="3">
        <v>75</v>
      </c>
      <c r="X20" s="3">
        <v>66.5</v>
      </c>
      <c r="Y20" s="3">
        <v>69.5</v>
      </c>
      <c r="Z20" s="3">
        <v>68.5</v>
      </c>
      <c r="AA20" s="3">
        <v>81.5</v>
      </c>
      <c r="AB20" s="3">
        <v>74</v>
      </c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2">
        <f t="shared" si="2"/>
        <v>2.1554770318021201E-2</v>
      </c>
      <c r="AT20">
        <v>69</v>
      </c>
      <c r="AU20">
        <v>72.5</v>
      </c>
      <c r="AV20">
        <v>75.5</v>
      </c>
      <c r="AW20">
        <v>11</v>
      </c>
    </row>
    <row r="21" spans="1:56">
      <c r="A21">
        <v>6</v>
      </c>
      <c r="B21" s="3" t="s">
        <v>18</v>
      </c>
      <c r="C21" s="3">
        <f t="shared" si="3"/>
        <v>1373.5</v>
      </c>
      <c r="D21" s="3">
        <v>67.5</v>
      </c>
      <c r="E21" s="3">
        <v>69</v>
      </c>
      <c r="F21" s="3">
        <v>66.5</v>
      </c>
      <c r="G21" s="3">
        <v>72</v>
      </c>
      <c r="H21" s="3">
        <v>82</v>
      </c>
      <c r="I21" s="3">
        <v>61.5</v>
      </c>
      <c r="J21" s="3">
        <v>68.5</v>
      </c>
      <c r="K21" s="3">
        <v>71.5</v>
      </c>
      <c r="L21" s="3">
        <v>70.5</v>
      </c>
      <c r="M21" s="3">
        <v>70.5</v>
      </c>
      <c r="N21" s="3">
        <v>71</v>
      </c>
      <c r="O21" s="3">
        <v>65</v>
      </c>
      <c r="P21" s="3">
        <v>69</v>
      </c>
      <c r="Q21" s="3">
        <v>67</v>
      </c>
      <c r="R21" s="3">
        <v>61</v>
      </c>
      <c r="S21" s="3">
        <v>68</v>
      </c>
      <c r="T21" s="3">
        <v>66</v>
      </c>
      <c r="U21" s="3">
        <v>71.5</v>
      </c>
      <c r="V21" s="3">
        <v>70.5</v>
      </c>
      <c r="W21" s="3">
        <v>71</v>
      </c>
      <c r="X21" s="3">
        <v>74.5</v>
      </c>
      <c r="Y21" s="3">
        <v>63.5</v>
      </c>
      <c r="Z21" s="3">
        <v>69</v>
      </c>
      <c r="AA21" s="3">
        <v>62</v>
      </c>
      <c r="AB21" s="3">
        <v>63.5</v>
      </c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2">
        <f t="shared" si="2"/>
        <v>-7.2806698216235895E-3</v>
      </c>
      <c r="AT21">
        <v>69.5</v>
      </c>
      <c r="AU21">
        <v>70</v>
      </c>
      <c r="AV21">
        <v>80.5</v>
      </c>
      <c r="AW21">
        <v>11</v>
      </c>
      <c r="AY21" t="s">
        <v>46</v>
      </c>
    </row>
    <row r="22" spans="1:56">
      <c r="A22">
        <v>7</v>
      </c>
      <c r="B22" s="3" t="s">
        <v>21</v>
      </c>
      <c r="C22" s="3">
        <f t="shared" si="3"/>
        <v>1387.5</v>
      </c>
      <c r="D22" s="3">
        <v>71</v>
      </c>
      <c r="E22" s="3">
        <v>69.5</v>
      </c>
      <c r="F22" s="3">
        <v>61</v>
      </c>
      <c r="G22" s="3">
        <v>75.5</v>
      </c>
      <c r="H22" s="3">
        <v>71</v>
      </c>
      <c r="I22" s="3">
        <v>69.5</v>
      </c>
      <c r="J22" s="3">
        <v>68.5</v>
      </c>
      <c r="K22" s="3">
        <v>67</v>
      </c>
      <c r="L22" s="3">
        <v>65</v>
      </c>
      <c r="M22" s="3">
        <v>69</v>
      </c>
      <c r="N22" s="3">
        <v>70.5</v>
      </c>
      <c r="O22" s="3">
        <v>77.5</v>
      </c>
      <c r="P22" s="3">
        <v>71.5</v>
      </c>
      <c r="Q22" s="3">
        <v>71.5</v>
      </c>
      <c r="R22" s="3">
        <v>64.5</v>
      </c>
      <c r="S22" s="3">
        <v>69.5</v>
      </c>
      <c r="T22" s="3">
        <v>65.5</v>
      </c>
      <c r="U22" s="3">
        <v>69</v>
      </c>
      <c r="V22" s="3">
        <v>68</v>
      </c>
      <c r="W22" s="3">
        <v>68</v>
      </c>
      <c r="X22" s="3">
        <v>73.5</v>
      </c>
      <c r="Y22" s="3">
        <v>76</v>
      </c>
      <c r="Z22" s="3">
        <v>60.5</v>
      </c>
      <c r="AA22" s="3">
        <v>72</v>
      </c>
      <c r="AB22" s="3">
        <v>61</v>
      </c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2">
        <f t="shared" si="2"/>
        <v>6.8468468468468472E-3</v>
      </c>
      <c r="AT22">
        <v>65</v>
      </c>
      <c r="AU22">
        <v>71.5</v>
      </c>
      <c r="AV22">
        <v>75</v>
      </c>
      <c r="AW22">
        <v>11</v>
      </c>
    </row>
    <row r="23" spans="1:56">
      <c r="A23">
        <v>8</v>
      </c>
      <c r="B23" s="3" t="s">
        <v>19</v>
      </c>
      <c r="C23" s="3">
        <f t="shared" si="3"/>
        <v>1406.5</v>
      </c>
      <c r="D23" s="3">
        <v>72.5</v>
      </c>
      <c r="E23" s="3">
        <v>65</v>
      </c>
      <c r="F23" s="3">
        <v>66.5</v>
      </c>
      <c r="G23" s="3">
        <v>74</v>
      </c>
      <c r="H23" s="3">
        <v>67</v>
      </c>
      <c r="I23" s="3">
        <v>69.5</v>
      </c>
      <c r="J23" s="3">
        <v>68.5</v>
      </c>
      <c r="K23" s="3">
        <v>66</v>
      </c>
      <c r="L23" s="3">
        <v>76</v>
      </c>
      <c r="M23" s="3">
        <v>60.5</v>
      </c>
      <c r="N23" s="3">
        <v>70.5</v>
      </c>
      <c r="O23" s="3">
        <v>68</v>
      </c>
      <c r="P23" s="3">
        <v>68</v>
      </c>
      <c r="Q23" s="3">
        <v>76</v>
      </c>
      <c r="R23" s="3">
        <v>64</v>
      </c>
      <c r="S23" s="3">
        <v>70</v>
      </c>
      <c r="T23" s="3">
        <v>77.5</v>
      </c>
      <c r="U23" s="3">
        <v>72.5</v>
      </c>
      <c r="V23" s="3">
        <v>65.5</v>
      </c>
      <c r="W23" s="3">
        <v>70</v>
      </c>
      <c r="X23" s="3">
        <v>69</v>
      </c>
      <c r="Y23" s="3">
        <v>70</v>
      </c>
      <c r="Z23" s="3">
        <v>81</v>
      </c>
      <c r="AA23" s="3">
        <v>77</v>
      </c>
      <c r="AB23" s="3">
        <v>56</v>
      </c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2">
        <f t="shared" si="2"/>
        <v>2.3462495556345539E-2</v>
      </c>
      <c r="AT23">
        <v>68.5</v>
      </c>
      <c r="AU23">
        <v>69</v>
      </c>
      <c r="AV23">
        <v>74</v>
      </c>
      <c r="AW23">
        <v>11</v>
      </c>
    </row>
    <row r="24" spans="1:56">
      <c r="A24">
        <v>9</v>
      </c>
      <c r="B24" s="3" t="s">
        <v>20</v>
      </c>
      <c r="C24" s="3">
        <f t="shared" si="3"/>
        <v>1435.5</v>
      </c>
      <c r="D24" s="3">
        <v>72</v>
      </c>
      <c r="E24" s="3">
        <v>68.5</v>
      </c>
      <c r="F24" s="3">
        <v>73</v>
      </c>
      <c r="G24" s="3">
        <v>66.5</v>
      </c>
      <c r="H24" s="3">
        <v>66</v>
      </c>
      <c r="I24" s="3">
        <v>87.5</v>
      </c>
      <c r="J24" s="3">
        <v>67</v>
      </c>
      <c r="K24" s="3">
        <v>85</v>
      </c>
      <c r="L24" s="3">
        <v>82.5</v>
      </c>
      <c r="M24" s="3">
        <v>64</v>
      </c>
      <c r="N24" s="3">
        <v>65</v>
      </c>
      <c r="O24" s="3">
        <v>62.5</v>
      </c>
      <c r="P24" s="3">
        <v>69.5</v>
      </c>
      <c r="Q24" s="3">
        <v>65.5</v>
      </c>
      <c r="R24" s="3">
        <v>71</v>
      </c>
      <c r="S24" s="3">
        <v>69.5</v>
      </c>
      <c r="T24" s="3">
        <v>64.5</v>
      </c>
      <c r="U24" s="3">
        <v>72.5</v>
      </c>
      <c r="V24" s="3">
        <v>71.5</v>
      </c>
      <c r="W24" s="3">
        <v>77.5</v>
      </c>
      <c r="X24" s="3">
        <v>69</v>
      </c>
      <c r="Y24" s="3">
        <v>79.5</v>
      </c>
      <c r="Z24" s="3">
        <v>77.5</v>
      </c>
      <c r="AA24" s="3">
        <v>68.5</v>
      </c>
      <c r="AB24" s="3">
        <v>78</v>
      </c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2">
        <f t="shared" si="2"/>
        <v>2.7864855451062349E-3</v>
      </c>
      <c r="AT24" t="s">
        <v>25</v>
      </c>
    </row>
    <row r="25" spans="1:56" ht="15">
      <c r="C25" s="20">
        <f>SUM(C15:C24)</f>
        <v>14044.5</v>
      </c>
      <c r="D25" s="20">
        <f t="shared" ref="D25:AA25" si="4">SUM(D15:D24)</f>
        <v>697</v>
      </c>
      <c r="E25" s="20">
        <f t="shared" si="4"/>
        <v>698.5</v>
      </c>
      <c r="F25" s="20">
        <f t="shared" si="4"/>
        <v>688.5</v>
      </c>
      <c r="G25" s="20">
        <f t="shared" si="4"/>
        <v>696</v>
      </c>
      <c r="H25" s="20">
        <f t="shared" si="4"/>
        <v>724.5</v>
      </c>
      <c r="I25" s="20">
        <f t="shared" si="4"/>
        <v>700.5</v>
      </c>
      <c r="J25" s="20">
        <f t="shared" si="4"/>
        <v>668.5</v>
      </c>
      <c r="K25" s="20">
        <f t="shared" si="4"/>
        <v>686</v>
      </c>
      <c r="L25" s="20">
        <f t="shared" si="4"/>
        <v>709.5</v>
      </c>
      <c r="M25" s="20">
        <f t="shared" si="4"/>
        <v>675</v>
      </c>
      <c r="N25" s="20">
        <f t="shared" si="4"/>
        <v>684</v>
      </c>
      <c r="O25" s="20">
        <f t="shared" si="4"/>
        <v>716</v>
      </c>
      <c r="P25" s="20">
        <f t="shared" si="4"/>
        <v>688.5</v>
      </c>
      <c r="Q25" s="20">
        <f t="shared" si="4"/>
        <v>704</v>
      </c>
      <c r="R25" s="20">
        <f t="shared" si="4"/>
        <v>677.5</v>
      </c>
      <c r="S25" s="20">
        <f t="shared" si="4"/>
        <v>690.5</v>
      </c>
      <c r="T25" s="20">
        <f t="shared" si="4"/>
        <v>717.5</v>
      </c>
      <c r="U25" s="20">
        <f t="shared" si="4"/>
        <v>693</v>
      </c>
      <c r="V25" s="20">
        <f t="shared" si="4"/>
        <v>698.5</v>
      </c>
      <c r="W25" s="20">
        <f t="shared" si="4"/>
        <v>728</v>
      </c>
      <c r="X25" s="20">
        <f t="shared" si="4"/>
        <v>685</v>
      </c>
      <c r="Y25" s="20">
        <f t="shared" si="4"/>
        <v>757</v>
      </c>
      <c r="Z25" s="20">
        <f t="shared" si="4"/>
        <v>711</v>
      </c>
      <c r="AA25" s="20">
        <f t="shared" si="4"/>
        <v>730</v>
      </c>
      <c r="AB25" s="20">
        <f t="shared" ref="AB25:AO25" si="5">SUM(AB15:AB24)</f>
        <v>658.5</v>
      </c>
      <c r="AC25" s="20">
        <f t="shared" si="5"/>
        <v>0</v>
      </c>
      <c r="AD25" s="20">
        <f t="shared" si="5"/>
        <v>0</v>
      </c>
      <c r="AE25" s="20">
        <f t="shared" si="5"/>
        <v>0</v>
      </c>
      <c r="AF25" s="20">
        <f t="shared" si="5"/>
        <v>0</v>
      </c>
      <c r="AG25" s="20">
        <f t="shared" si="5"/>
        <v>0</v>
      </c>
      <c r="AH25" s="20">
        <f t="shared" si="5"/>
        <v>0</v>
      </c>
      <c r="AI25" s="20">
        <f t="shared" si="5"/>
        <v>0</v>
      </c>
      <c r="AJ25" s="20">
        <f t="shared" si="5"/>
        <v>0</v>
      </c>
      <c r="AK25" s="20">
        <f t="shared" si="5"/>
        <v>0</v>
      </c>
      <c r="AL25" s="20">
        <f t="shared" si="5"/>
        <v>0</v>
      </c>
      <c r="AM25" s="20">
        <f t="shared" si="5"/>
        <v>0</v>
      </c>
      <c r="AN25" s="20">
        <f t="shared" si="5"/>
        <v>0</v>
      </c>
      <c r="AO25" s="20">
        <f t="shared" si="5"/>
        <v>0</v>
      </c>
      <c r="AP25" s="2">
        <f t="shared" si="2"/>
        <v>3.5245113745594361E-3</v>
      </c>
      <c r="AT25">
        <v>61.5</v>
      </c>
      <c r="AU25">
        <v>58</v>
      </c>
      <c r="AV25">
        <v>65.5</v>
      </c>
      <c r="AW25">
        <v>11</v>
      </c>
    </row>
    <row r="26" spans="1:56">
      <c r="C26" s="17"/>
      <c r="AP26" s="2"/>
      <c r="AT26">
        <v>69</v>
      </c>
      <c r="AU26">
        <v>69.5</v>
      </c>
      <c r="AV26">
        <v>74</v>
      </c>
      <c r="AW26">
        <v>11</v>
      </c>
    </row>
    <row r="27" spans="1:56">
      <c r="D27" s="18">
        <v>1</v>
      </c>
      <c r="E27" s="18">
        <v>2</v>
      </c>
      <c r="F27" s="18">
        <v>3</v>
      </c>
      <c r="G27" s="18">
        <v>4</v>
      </c>
      <c r="H27" s="18">
        <v>5</v>
      </c>
      <c r="I27" s="18">
        <v>6</v>
      </c>
      <c r="J27" s="18">
        <v>7</v>
      </c>
      <c r="K27" s="18">
        <v>8</v>
      </c>
      <c r="L27" s="18">
        <v>9</v>
      </c>
      <c r="M27" s="18">
        <v>10</v>
      </c>
      <c r="N27" s="18">
        <v>11</v>
      </c>
      <c r="O27" s="18">
        <v>12</v>
      </c>
      <c r="P27" s="18">
        <v>13</v>
      </c>
      <c r="Q27" s="18">
        <v>14</v>
      </c>
      <c r="R27" s="18">
        <v>15</v>
      </c>
      <c r="S27" s="18">
        <v>16</v>
      </c>
      <c r="T27" s="18">
        <v>17</v>
      </c>
      <c r="U27" s="18">
        <v>18</v>
      </c>
      <c r="V27" s="18">
        <v>19</v>
      </c>
      <c r="W27" s="18">
        <v>20</v>
      </c>
      <c r="X27" s="18">
        <v>21</v>
      </c>
      <c r="Y27" s="18">
        <v>22</v>
      </c>
      <c r="Z27" s="18">
        <v>23</v>
      </c>
      <c r="AA27" s="18">
        <v>24</v>
      </c>
      <c r="AB27" s="18">
        <v>25</v>
      </c>
      <c r="AC27" s="18">
        <v>26</v>
      </c>
      <c r="AD27" s="18">
        <v>27</v>
      </c>
      <c r="AE27" s="18">
        <v>28</v>
      </c>
      <c r="AF27" s="18">
        <v>29</v>
      </c>
      <c r="AG27" s="18">
        <v>30</v>
      </c>
      <c r="AH27" s="18">
        <v>31</v>
      </c>
      <c r="AI27" s="18">
        <v>32</v>
      </c>
      <c r="AJ27" s="18">
        <v>33</v>
      </c>
      <c r="AK27" s="18">
        <v>34</v>
      </c>
      <c r="AL27" s="18">
        <v>35</v>
      </c>
      <c r="AM27" s="18">
        <v>36</v>
      </c>
      <c r="AN27" s="18">
        <v>37</v>
      </c>
      <c r="AO27" s="18">
        <v>38</v>
      </c>
      <c r="AT27">
        <v>81</v>
      </c>
      <c r="AU27">
        <v>82</v>
      </c>
      <c r="AV27">
        <v>87.5</v>
      </c>
      <c r="AW27">
        <v>11</v>
      </c>
    </row>
    <row r="28" spans="1:56">
      <c r="A28">
        <v>0</v>
      </c>
      <c r="B28" s="3" t="s">
        <v>12</v>
      </c>
      <c r="C28" s="19">
        <f>COUNTIF(D28:AA28,"&lt;11")</f>
        <v>0</v>
      </c>
      <c r="D28" s="3">
        <v>11</v>
      </c>
      <c r="E28" s="3">
        <v>11</v>
      </c>
      <c r="F28" s="3">
        <v>11</v>
      </c>
      <c r="G28" s="3">
        <v>11</v>
      </c>
      <c r="H28" s="3">
        <v>11</v>
      </c>
      <c r="I28" s="3">
        <v>11</v>
      </c>
      <c r="J28" s="3">
        <v>11</v>
      </c>
      <c r="K28" s="3">
        <v>11</v>
      </c>
      <c r="L28" s="3">
        <v>11</v>
      </c>
      <c r="M28" s="3">
        <v>11</v>
      </c>
      <c r="N28" s="3">
        <v>11</v>
      </c>
      <c r="O28" s="3">
        <v>11</v>
      </c>
      <c r="P28" s="3">
        <v>11</v>
      </c>
      <c r="Q28" s="3">
        <v>11</v>
      </c>
      <c r="R28" s="3">
        <v>11</v>
      </c>
      <c r="S28" s="3">
        <v>11</v>
      </c>
      <c r="T28" s="3">
        <v>11</v>
      </c>
      <c r="U28" s="3">
        <v>11</v>
      </c>
      <c r="V28" s="3">
        <v>11</v>
      </c>
      <c r="W28" s="3">
        <v>11</v>
      </c>
      <c r="X28" s="3">
        <v>11</v>
      </c>
      <c r="Y28" s="3">
        <v>11</v>
      </c>
      <c r="Z28" s="3">
        <v>11</v>
      </c>
      <c r="AA28" s="3">
        <v>11</v>
      </c>
      <c r="AB28" s="3">
        <v>11</v>
      </c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Q28">
        <f>COUNTIF(H41:AA50,"&gt;0")</f>
        <v>100</v>
      </c>
      <c r="AT28">
        <v>64</v>
      </c>
      <c r="AU28">
        <v>63</v>
      </c>
      <c r="AV28">
        <v>74.5</v>
      </c>
      <c r="AW28">
        <v>11</v>
      </c>
    </row>
    <row r="29" spans="1:56">
      <c r="A29">
        <v>1</v>
      </c>
      <c r="B29" s="3" t="s">
        <v>13</v>
      </c>
      <c r="C29" s="19">
        <f t="shared" ref="C29:C37" si="6">COUNTIF(D29:AA29,"&lt;11")</f>
        <v>1</v>
      </c>
      <c r="D29" s="3">
        <v>11</v>
      </c>
      <c r="E29" s="3">
        <v>11</v>
      </c>
      <c r="F29" s="3">
        <v>11</v>
      </c>
      <c r="G29" s="3">
        <v>11</v>
      </c>
      <c r="H29" s="3">
        <v>11</v>
      </c>
      <c r="I29" s="3">
        <v>11</v>
      </c>
      <c r="J29" s="3">
        <v>11</v>
      </c>
      <c r="K29" s="3">
        <v>11</v>
      </c>
      <c r="L29" s="3">
        <v>11</v>
      </c>
      <c r="M29" s="3">
        <v>11</v>
      </c>
      <c r="N29" s="3">
        <v>11</v>
      </c>
      <c r="O29" s="3">
        <v>11</v>
      </c>
      <c r="P29" s="3">
        <v>11</v>
      </c>
      <c r="Q29" s="3">
        <v>11</v>
      </c>
      <c r="R29" s="3">
        <v>11</v>
      </c>
      <c r="S29" s="3">
        <v>11</v>
      </c>
      <c r="T29" s="3">
        <v>10</v>
      </c>
      <c r="U29" s="3">
        <v>11</v>
      </c>
      <c r="V29" s="3">
        <v>11</v>
      </c>
      <c r="W29" s="3">
        <v>11</v>
      </c>
      <c r="X29" s="3">
        <v>11</v>
      </c>
      <c r="Y29" s="3">
        <v>11</v>
      </c>
      <c r="Z29" s="3">
        <v>11</v>
      </c>
      <c r="AA29" s="3">
        <v>11</v>
      </c>
      <c r="AB29" s="3">
        <v>11</v>
      </c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Q29">
        <f>COUNTIF(H41:AA50,"&lt;0")</f>
        <v>77</v>
      </c>
      <c r="AT29">
        <v>74.5</v>
      </c>
      <c r="AU29">
        <v>71</v>
      </c>
      <c r="AV29">
        <v>76.5</v>
      </c>
      <c r="AW29">
        <v>11</v>
      </c>
    </row>
    <row r="30" spans="1:56">
      <c r="A30">
        <v>2</v>
      </c>
      <c r="B30" s="3" t="s">
        <v>14</v>
      </c>
      <c r="C30" s="19">
        <f t="shared" si="6"/>
        <v>0</v>
      </c>
      <c r="D30" s="3">
        <v>11</v>
      </c>
      <c r="E30" s="3">
        <v>11</v>
      </c>
      <c r="F30" s="3">
        <v>11</v>
      </c>
      <c r="G30" s="3">
        <v>11</v>
      </c>
      <c r="H30" s="3">
        <v>11</v>
      </c>
      <c r="I30" s="3">
        <v>11</v>
      </c>
      <c r="J30" s="3">
        <v>11</v>
      </c>
      <c r="K30" s="3">
        <v>11</v>
      </c>
      <c r="L30" s="3">
        <v>11</v>
      </c>
      <c r="M30" s="3">
        <v>11</v>
      </c>
      <c r="N30" s="3">
        <v>11</v>
      </c>
      <c r="O30" s="3">
        <v>11</v>
      </c>
      <c r="P30" s="3">
        <v>11</v>
      </c>
      <c r="Q30" s="3">
        <v>11</v>
      </c>
      <c r="R30" s="3">
        <v>11</v>
      </c>
      <c r="S30" s="3">
        <v>11</v>
      </c>
      <c r="T30" s="3">
        <v>11</v>
      </c>
      <c r="U30" s="3">
        <v>11</v>
      </c>
      <c r="V30" s="3">
        <v>11</v>
      </c>
      <c r="W30" s="3">
        <v>11</v>
      </c>
      <c r="X30" s="3">
        <v>11</v>
      </c>
      <c r="Y30" s="3">
        <v>11</v>
      </c>
      <c r="Z30" s="3">
        <v>11</v>
      </c>
      <c r="AA30" s="3">
        <v>11</v>
      </c>
      <c r="AB30" s="3">
        <v>11</v>
      </c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Q30">
        <f>COUNTIF(H41:AA50,"0")</f>
        <v>23</v>
      </c>
      <c r="AT30">
        <v>71.5</v>
      </c>
      <c r="AU30">
        <v>74</v>
      </c>
      <c r="AV30">
        <v>77</v>
      </c>
      <c r="AW30">
        <v>11</v>
      </c>
      <c r="AZ30">
        <v>35</v>
      </c>
      <c r="BA30">
        <v>50</v>
      </c>
      <c r="BB30">
        <v>65</v>
      </c>
      <c r="BC30">
        <v>80</v>
      </c>
      <c r="BD30">
        <v>95</v>
      </c>
    </row>
    <row r="31" spans="1:56">
      <c r="A31">
        <v>3</v>
      </c>
      <c r="B31" s="3" t="s">
        <v>15</v>
      </c>
      <c r="C31" s="19">
        <f t="shared" si="6"/>
        <v>0</v>
      </c>
      <c r="D31" s="3">
        <v>11</v>
      </c>
      <c r="E31" s="3">
        <v>11</v>
      </c>
      <c r="F31" s="3">
        <v>11</v>
      </c>
      <c r="G31" s="3">
        <v>11</v>
      </c>
      <c r="H31" s="3">
        <v>11</v>
      </c>
      <c r="I31" s="3">
        <v>11</v>
      </c>
      <c r="J31" s="3">
        <v>11</v>
      </c>
      <c r="K31" s="3">
        <v>11</v>
      </c>
      <c r="L31" s="3">
        <v>11</v>
      </c>
      <c r="M31" s="3">
        <v>11</v>
      </c>
      <c r="N31" s="3">
        <v>11</v>
      </c>
      <c r="O31" s="3">
        <v>11</v>
      </c>
      <c r="P31" s="3">
        <v>11</v>
      </c>
      <c r="Q31" s="3">
        <v>11</v>
      </c>
      <c r="R31" s="3">
        <v>11</v>
      </c>
      <c r="S31" s="3">
        <v>11</v>
      </c>
      <c r="T31" s="3">
        <v>11</v>
      </c>
      <c r="U31" s="3">
        <v>11</v>
      </c>
      <c r="V31" s="3">
        <v>11</v>
      </c>
      <c r="W31" s="3">
        <v>11</v>
      </c>
      <c r="X31" s="3">
        <v>11</v>
      </c>
      <c r="Y31" s="3">
        <v>11</v>
      </c>
      <c r="Z31" s="3">
        <v>11</v>
      </c>
      <c r="AA31" s="3">
        <v>11</v>
      </c>
      <c r="AB31" s="3">
        <v>11</v>
      </c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Q31" s="1">
        <f>AQ28/SUM(AQ28:AQ30)</f>
        <v>0.5</v>
      </c>
      <c r="AT31">
        <v>66.5</v>
      </c>
      <c r="AU31">
        <v>66.5</v>
      </c>
      <c r="AV31">
        <v>81</v>
      </c>
      <c r="AW31">
        <v>11</v>
      </c>
      <c r="AZ31">
        <v>120</v>
      </c>
      <c r="BA31">
        <v>110</v>
      </c>
      <c r="BB31">
        <v>100</v>
      </c>
      <c r="BC31">
        <v>90</v>
      </c>
      <c r="BD31">
        <v>80</v>
      </c>
    </row>
    <row r="32" spans="1:56">
      <c r="A32">
        <v>4</v>
      </c>
      <c r="B32" s="3" t="s">
        <v>17</v>
      </c>
      <c r="C32" s="19">
        <f t="shared" si="6"/>
        <v>1</v>
      </c>
      <c r="D32" s="3">
        <v>11</v>
      </c>
      <c r="E32" s="3">
        <v>11</v>
      </c>
      <c r="F32" s="3">
        <v>11</v>
      </c>
      <c r="G32" s="3">
        <v>11</v>
      </c>
      <c r="H32" s="3">
        <v>11</v>
      </c>
      <c r="I32" s="3">
        <v>11</v>
      </c>
      <c r="J32" s="3">
        <v>11</v>
      </c>
      <c r="K32" s="3">
        <v>11</v>
      </c>
      <c r="L32" s="3">
        <v>11</v>
      </c>
      <c r="M32" s="3">
        <v>11</v>
      </c>
      <c r="N32" s="3">
        <v>11</v>
      </c>
      <c r="O32" s="3">
        <v>11</v>
      </c>
      <c r="P32" s="3">
        <v>11</v>
      </c>
      <c r="Q32" s="3">
        <v>11</v>
      </c>
      <c r="R32" s="3">
        <v>11</v>
      </c>
      <c r="S32" s="3">
        <v>11</v>
      </c>
      <c r="T32" s="3">
        <v>11</v>
      </c>
      <c r="U32" s="3">
        <v>11</v>
      </c>
      <c r="V32" s="3">
        <v>10</v>
      </c>
      <c r="W32" s="3">
        <v>11</v>
      </c>
      <c r="X32" s="3">
        <v>11</v>
      </c>
      <c r="Y32" s="3">
        <v>11</v>
      </c>
      <c r="Z32" s="3">
        <v>11</v>
      </c>
      <c r="AA32" s="3">
        <v>11</v>
      </c>
      <c r="AB32" s="3">
        <v>11</v>
      </c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Q32" s="1">
        <f>AQ29/SUM(AQ28:AQ30)</f>
        <v>0.38500000000000001</v>
      </c>
      <c r="AT32">
        <v>61</v>
      </c>
      <c r="AU32">
        <v>61.5</v>
      </c>
      <c r="AV32">
        <v>66.5</v>
      </c>
      <c r="AW32">
        <v>11</v>
      </c>
      <c r="AZ32">
        <v>30</v>
      </c>
      <c r="BA32">
        <v>25</v>
      </c>
      <c r="BB32">
        <v>20</v>
      </c>
      <c r="BC32">
        <v>15</v>
      </c>
      <c r="BD32">
        <v>10</v>
      </c>
    </row>
    <row r="33" spans="1:58">
      <c r="A33">
        <v>5</v>
      </c>
      <c r="B33" s="3" t="s">
        <v>16</v>
      </c>
      <c r="C33" s="19">
        <f t="shared" si="6"/>
        <v>0</v>
      </c>
      <c r="D33" s="3">
        <v>11</v>
      </c>
      <c r="E33" s="3">
        <v>11</v>
      </c>
      <c r="F33" s="3">
        <v>11</v>
      </c>
      <c r="G33" s="3">
        <v>11</v>
      </c>
      <c r="H33" s="3">
        <v>11</v>
      </c>
      <c r="I33" s="3">
        <v>11</v>
      </c>
      <c r="J33" s="3">
        <v>11</v>
      </c>
      <c r="K33" s="3">
        <v>11</v>
      </c>
      <c r="L33" s="3">
        <v>11</v>
      </c>
      <c r="M33" s="3">
        <v>11</v>
      </c>
      <c r="N33" s="3">
        <v>11</v>
      </c>
      <c r="O33" s="3">
        <v>11</v>
      </c>
      <c r="P33" s="3">
        <v>11</v>
      </c>
      <c r="Q33" s="3">
        <v>11</v>
      </c>
      <c r="R33" s="3">
        <v>11</v>
      </c>
      <c r="S33" s="3">
        <v>11</v>
      </c>
      <c r="T33" s="3">
        <v>11</v>
      </c>
      <c r="U33" s="3">
        <v>11</v>
      </c>
      <c r="V33" s="3">
        <v>11</v>
      </c>
      <c r="W33" s="3">
        <v>11</v>
      </c>
      <c r="X33" s="3">
        <v>11</v>
      </c>
      <c r="Y33" s="3">
        <v>11</v>
      </c>
      <c r="Z33" s="3">
        <v>11</v>
      </c>
      <c r="AA33" s="3">
        <v>11</v>
      </c>
      <c r="AB33" s="3">
        <v>11</v>
      </c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T33">
        <v>66.5</v>
      </c>
      <c r="AU33">
        <v>65.5</v>
      </c>
      <c r="AV33">
        <v>82</v>
      </c>
      <c r="AW33">
        <v>11</v>
      </c>
      <c r="AZ33">
        <v>40</v>
      </c>
      <c r="BA33">
        <v>49</v>
      </c>
      <c r="BB33">
        <v>58</v>
      </c>
      <c r="BC33">
        <v>67</v>
      </c>
      <c r="BD33">
        <v>76</v>
      </c>
      <c r="BE33">
        <v>85</v>
      </c>
      <c r="BF33">
        <v>94</v>
      </c>
    </row>
    <row r="34" spans="1:58">
      <c r="A34">
        <v>6</v>
      </c>
      <c r="B34" s="3" t="s">
        <v>18</v>
      </c>
      <c r="C34" s="19">
        <f t="shared" si="6"/>
        <v>1</v>
      </c>
      <c r="D34" s="3">
        <v>11</v>
      </c>
      <c r="E34" s="3">
        <v>11</v>
      </c>
      <c r="F34" s="3">
        <v>11</v>
      </c>
      <c r="G34" s="3">
        <v>11</v>
      </c>
      <c r="H34" s="3">
        <v>11</v>
      </c>
      <c r="I34" s="3">
        <v>11</v>
      </c>
      <c r="J34" s="3">
        <v>11</v>
      </c>
      <c r="K34" s="3">
        <v>11</v>
      </c>
      <c r="L34" s="3">
        <v>11</v>
      </c>
      <c r="M34" s="3">
        <v>11</v>
      </c>
      <c r="N34" s="3">
        <v>11</v>
      </c>
      <c r="O34" s="3">
        <v>11</v>
      </c>
      <c r="P34" s="3">
        <v>11</v>
      </c>
      <c r="Q34" s="3">
        <v>10</v>
      </c>
      <c r="R34" s="3">
        <v>11</v>
      </c>
      <c r="S34" s="3">
        <v>11</v>
      </c>
      <c r="T34" s="3">
        <v>11</v>
      </c>
      <c r="U34" s="3">
        <v>11</v>
      </c>
      <c r="V34" s="3">
        <v>11</v>
      </c>
      <c r="W34" s="3">
        <v>11</v>
      </c>
      <c r="X34" s="3">
        <v>11</v>
      </c>
      <c r="Y34" s="3">
        <v>11</v>
      </c>
      <c r="Z34" s="3">
        <v>11</v>
      </c>
      <c r="AA34" s="3">
        <v>11</v>
      </c>
      <c r="AB34" s="3">
        <v>11</v>
      </c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T34">
        <v>73</v>
      </c>
      <c r="AU34">
        <v>82</v>
      </c>
      <c r="AV34">
        <v>93</v>
      </c>
      <c r="AW34">
        <v>11</v>
      </c>
      <c r="AZ34">
        <v>120</v>
      </c>
      <c r="BA34">
        <v>114</v>
      </c>
      <c r="BB34">
        <v>108</v>
      </c>
      <c r="BC34">
        <v>102</v>
      </c>
      <c r="BD34">
        <v>96</v>
      </c>
      <c r="BE34">
        <v>90</v>
      </c>
      <c r="BF34">
        <v>84</v>
      </c>
    </row>
    <row r="35" spans="1:58">
      <c r="A35">
        <v>7</v>
      </c>
      <c r="B35" s="3" t="s">
        <v>21</v>
      </c>
      <c r="C35" s="19">
        <f t="shared" si="6"/>
        <v>0</v>
      </c>
      <c r="D35" s="3">
        <v>11</v>
      </c>
      <c r="E35" s="3">
        <v>11</v>
      </c>
      <c r="F35" s="3">
        <v>11</v>
      </c>
      <c r="G35" s="3">
        <v>11</v>
      </c>
      <c r="H35" s="3">
        <v>11</v>
      </c>
      <c r="I35" s="3">
        <v>11</v>
      </c>
      <c r="J35" s="3">
        <v>11</v>
      </c>
      <c r="K35" s="3">
        <v>11</v>
      </c>
      <c r="L35" s="3">
        <v>11</v>
      </c>
      <c r="M35" s="3">
        <v>11</v>
      </c>
      <c r="N35" s="3">
        <v>11</v>
      </c>
      <c r="O35" s="3">
        <v>11</v>
      </c>
      <c r="P35" s="3">
        <v>11</v>
      </c>
      <c r="Q35" s="3">
        <v>11</v>
      </c>
      <c r="R35" s="3">
        <v>11</v>
      </c>
      <c r="S35" s="3">
        <v>11</v>
      </c>
      <c r="T35" s="3">
        <v>11</v>
      </c>
      <c r="U35" s="3">
        <v>11</v>
      </c>
      <c r="V35" s="3">
        <v>11</v>
      </c>
      <c r="W35" s="3">
        <v>11</v>
      </c>
      <c r="X35" s="3">
        <v>11</v>
      </c>
      <c r="Y35" s="3">
        <v>11</v>
      </c>
      <c r="Z35" s="3">
        <v>11</v>
      </c>
      <c r="AA35" s="3">
        <v>11</v>
      </c>
      <c r="AB35" s="3">
        <v>10</v>
      </c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T35" t="s">
        <v>26</v>
      </c>
      <c r="AZ35">
        <v>31</v>
      </c>
      <c r="BA35">
        <v>28</v>
      </c>
      <c r="BB35">
        <v>25</v>
      </c>
      <c r="BC35">
        <v>22</v>
      </c>
      <c r="BD35">
        <v>18</v>
      </c>
      <c r="BE35">
        <v>15</v>
      </c>
      <c r="BF35">
        <v>12</v>
      </c>
    </row>
    <row r="36" spans="1:58">
      <c r="A36">
        <v>8</v>
      </c>
      <c r="B36" s="3" t="s">
        <v>19</v>
      </c>
      <c r="C36" s="19">
        <f t="shared" si="6"/>
        <v>0</v>
      </c>
      <c r="D36" s="3">
        <v>11</v>
      </c>
      <c r="E36" s="3">
        <v>11</v>
      </c>
      <c r="F36" s="3">
        <v>11</v>
      </c>
      <c r="G36" s="3">
        <v>11</v>
      </c>
      <c r="H36" s="3">
        <v>11</v>
      </c>
      <c r="I36" s="3">
        <v>11</v>
      </c>
      <c r="J36" s="3">
        <v>11</v>
      </c>
      <c r="K36" s="3">
        <v>11</v>
      </c>
      <c r="L36" s="3">
        <v>11</v>
      </c>
      <c r="M36" s="3">
        <v>11</v>
      </c>
      <c r="N36" s="3">
        <v>11</v>
      </c>
      <c r="O36" s="3">
        <v>11</v>
      </c>
      <c r="P36" s="3">
        <v>11</v>
      </c>
      <c r="Q36" s="3">
        <v>11</v>
      </c>
      <c r="R36" s="3">
        <v>11</v>
      </c>
      <c r="S36" s="3">
        <v>11</v>
      </c>
      <c r="T36" s="3">
        <v>11</v>
      </c>
      <c r="U36" s="3">
        <v>11</v>
      </c>
      <c r="V36" s="3">
        <v>11</v>
      </c>
      <c r="W36" s="3">
        <v>11</v>
      </c>
      <c r="X36" s="3">
        <v>11</v>
      </c>
      <c r="Y36" s="3">
        <v>11</v>
      </c>
      <c r="Z36" s="3">
        <v>11</v>
      </c>
      <c r="AA36" s="3">
        <v>11</v>
      </c>
      <c r="AB36" s="3">
        <v>11</v>
      </c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T36">
        <v>68</v>
      </c>
      <c r="AU36">
        <v>69</v>
      </c>
      <c r="AV36">
        <v>74.5</v>
      </c>
      <c r="AW36">
        <v>11</v>
      </c>
    </row>
    <row r="37" spans="1:58">
      <c r="A37">
        <v>9</v>
      </c>
      <c r="B37" s="3" t="s">
        <v>20</v>
      </c>
      <c r="C37" s="19">
        <f t="shared" si="6"/>
        <v>0</v>
      </c>
      <c r="D37" s="3">
        <v>11</v>
      </c>
      <c r="E37" s="3">
        <v>11</v>
      </c>
      <c r="F37" s="3">
        <v>11</v>
      </c>
      <c r="G37" s="3">
        <v>11</v>
      </c>
      <c r="H37" s="3">
        <v>11</v>
      </c>
      <c r="I37" s="3">
        <v>11</v>
      </c>
      <c r="J37" s="3">
        <v>11</v>
      </c>
      <c r="K37" s="3">
        <v>11</v>
      </c>
      <c r="L37" s="3">
        <v>11</v>
      </c>
      <c r="M37" s="3">
        <v>11</v>
      </c>
      <c r="N37" s="3">
        <v>11</v>
      </c>
      <c r="O37" s="3">
        <v>11</v>
      </c>
      <c r="P37" s="3">
        <v>11</v>
      </c>
      <c r="Q37" s="3">
        <v>11</v>
      </c>
      <c r="R37" s="3">
        <v>11</v>
      </c>
      <c r="S37" s="3">
        <v>11</v>
      </c>
      <c r="T37" s="3">
        <v>11</v>
      </c>
      <c r="U37" s="3">
        <v>11</v>
      </c>
      <c r="V37" s="3">
        <v>11</v>
      </c>
      <c r="W37" s="3">
        <v>11</v>
      </c>
      <c r="X37" s="3">
        <v>11</v>
      </c>
      <c r="Y37" s="3">
        <v>11</v>
      </c>
      <c r="Z37" s="3">
        <v>11</v>
      </c>
      <c r="AA37" s="3">
        <v>11</v>
      </c>
      <c r="AB37" s="3">
        <v>11</v>
      </c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T37">
        <v>72.5</v>
      </c>
      <c r="AU37">
        <v>72.5</v>
      </c>
      <c r="AV37">
        <v>77.5</v>
      </c>
      <c r="AW37">
        <v>11</v>
      </c>
      <c r="BA37">
        <v>-10</v>
      </c>
    </row>
    <row r="38" spans="1:58" ht="15">
      <c r="C38" s="20">
        <f>SUM(C28:C37)</f>
        <v>3</v>
      </c>
      <c r="D38" s="4">
        <f xml:space="preserve"> COUNTIF(D28:D37,"&lt;11")</f>
        <v>0</v>
      </c>
      <c r="E38" s="4">
        <f t="shared" ref="E38:K38" si="7" xml:space="preserve"> COUNTIF(E28:E37,"&lt;11")</f>
        <v>0</v>
      </c>
      <c r="F38" s="4">
        <f t="shared" si="7"/>
        <v>0</v>
      </c>
      <c r="G38" s="4">
        <f t="shared" si="7"/>
        <v>0</v>
      </c>
      <c r="H38" s="4">
        <f t="shared" si="7"/>
        <v>0</v>
      </c>
      <c r="I38" s="4">
        <f t="shared" si="7"/>
        <v>0</v>
      </c>
      <c r="J38" s="4">
        <f t="shared" si="7"/>
        <v>0</v>
      </c>
      <c r="K38" s="4">
        <f t="shared" si="7"/>
        <v>0</v>
      </c>
      <c r="L38" s="4">
        <f t="shared" ref="L38:AA38" si="8" xml:space="preserve"> COUNTIF(L28:L37,"&lt;11")</f>
        <v>0</v>
      </c>
      <c r="M38" s="4">
        <f t="shared" si="8"/>
        <v>0</v>
      </c>
      <c r="N38" s="4">
        <f t="shared" si="8"/>
        <v>0</v>
      </c>
      <c r="O38" s="4">
        <f t="shared" si="8"/>
        <v>0</v>
      </c>
      <c r="P38" s="4">
        <f t="shared" si="8"/>
        <v>0</v>
      </c>
      <c r="Q38" s="4">
        <f t="shared" si="8"/>
        <v>1</v>
      </c>
      <c r="R38" s="4">
        <f t="shared" si="8"/>
        <v>0</v>
      </c>
      <c r="S38" s="4">
        <f t="shared" si="8"/>
        <v>0</v>
      </c>
      <c r="T38" s="4">
        <f t="shared" si="8"/>
        <v>1</v>
      </c>
      <c r="U38" s="4">
        <f t="shared" si="8"/>
        <v>0</v>
      </c>
      <c r="V38" s="4">
        <f t="shared" si="8"/>
        <v>1</v>
      </c>
      <c r="W38" s="4">
        <f t="shared" si="8"/>
        <v>0</v>
      </c>
      <c r="X38" s="4">
        <f t="shared" si="8"/>
        <v>0</v>
      </c>
      <c r="Y38" s="4">
        <f t="shared" si="8"/>
        <v>0</v>
      </c>
      <c r="Z38" s="4">
        <f t="shared" si="8"/>
        <v>0</v>
      </c>
      <c r="AA38" s="4">
        <f t="shared" si="8"/>
        <v>0</v>
      </c>
      <c r="AB38" s="4">
        <f t="shared" ref="AB38:AO38" si="9" xml:space="preserve"> COUNTIF(AB28:AB37,"&lt;11")</f>
        <v>1</v>
      </c>
      <c r="AC38" s="4">
        <f t="shared" si="9"/>
        <v>0</v>
      </c>
      <c r="AD38" s="4">
        <f t="shared" si="9"/>
        <v>0</v>
      </c>
      <c r="AE38" s="4">
        <f t="shared" si="9"/>
        <v>0</v>
      </c>
      <c r="AF38" s="4">
        <f t="shared" si="9"/>
        <v>0</v>
      </c>
      <c r="AG38" s="4">
        <f t="shared" si="9"/>
        <v>0</v>
      </c>
      <c r="AH38" s="4">
        <f t="shared" si="9"/>
        <v>0</v>
      </c>
      <c r="AI38" s="4">
        <f t="shared" si="9"/>
        <v>0</v>
      </c>
      <c r="AJ38" s="4">
        <f t="shared" si="9"/>
        <v>0</v>
      </c>
      <c r="AK38" s="4">
        <f t="shared" si="9"/>
        <v>0</v>
      </c>
      <c r="AL38" s="4">
        <f t="shared" si="9"/>
        <v>0</v>
      </c>
      <c r="AM38" s="4">
        <f t="shared" si="9"/>
        <v>0</v>
      </c>
      <c r="AN38" s="4">
        <f t="shared" si="9"/>
        <v>0</v>
      </c>
      <c r="AO38" s="4">
        <f t="shared" si="9"/>
        <v>0</v>
      </c>
      <c r="AT38">
        <v>68.5</v>
      </c>
      <c r="AU38">
        <v>68</v>
      </c>
      <c r="AV38">
        <v>74</v>
      </c>
      <c r="AW38">
        <v>11</v>
      </c>
      <c r="BA38">
        <v>-1</v>
      </c>
    </row>
    <row r="39" spans="1:58">
      <c r="AT39">
        <v>63.5</v>
      </c>
      <c r="AU39">
        <v>63.5</v>
      </c>
      <c r="AV39">
        <v>72</v>
      </c>
      <c r="AW39">
        <v>11</v>
      </c>
      <c r="BA39">
        <v>5</v>
      </c>
    </row>
    <row r="40" spans="1:58">
      <c r="D40" s="18">
        <v>1</v>
      </c>
      <c r="E40" s="18">
        <v>2</v>
      </c>
      <c r="F40" s="18">
        <v>3</v>
      </c>
      <c r="G40" s="18">
        <v>4</v>
      </c>
      <c r="H40" s="18">
        <v>5</v>
      </c>
      <c r="I40" s="18">
        <v>6</v>
      </c>
      <c r="J40" s="18">
        <v>7</v>
      </c>
      <c r="K40" s="18">
        <v>8</v>
      </c>
      <c r="L40" s="18">
        <v>9</v>
      </c>
      <c r="M40" s="18">
        <v>10</v>
      </c>
      <c r="N40" s="18">
        <v>11</v>
      </c>
      <c r="O40" s="18">
        <v>12</v>
      </c>
      <c r="P40" s="18">
        <v>13</v>
      </c>
      <c r="Q40" s="18">
        <v>14</v>
      </c>
      <c r="R40" s="18">
        <v>15</v>
      </c>
      <c r="S40" s="18">
        <v>16</v>
      </c>
      <c r="T40" s="18">
        <v>17</v>
      </c>
      <c r="U40" s="18">
        <v>18</v>
      </c>
      <c r="V40" s="18">
        <v>19</v>
      </c>
      <c r="W40" s="18">
        <v>20</v>
      </c>
      <c r="X40" s="18">
        <v>21</v>
      </c>
      <c r="Y40" s="18">
        <v>22</v>
      </c>
      <c r="Z40" s="18">
        <v>23</v>
      </c>
      <c r="AA40" s="18">
        <v>24</v>
      </c>
      <c r="AB40" s="18">
        <v>25</v>
      </c>
      <c r="AC40" s="18">
        <v>26</v>
      </c>
      <c r="AD40" s="18">
        <v>27</v>
      </c>
      <c r="AE40" s="18">
        <v>28</v>
      </c>
      <c r="AF40" s="18">
        <v>29</v>
      </c>
      <c r="AG40" s="18">
        <v>30</v>
      </c>
      <c r="AH40" s="18">
        <v>31</v>
      </c>
      <c r="AI40" s="18">
        <v>32</v>
      </c>
      <c r="AJ40" s="18">
        <v>33</v>
      </c>
      <c r="AK40" s="18">
        <v>34</v>
      </c>
      <c r="AL40" s="18">
        <v>35</v>
      </c>
      <c r="AM40" s="18">
        <v>36</v>
      </c>
      <c r="AN40" s="18">
        <v>37</v>
      </c>
      <c r="AO40" s="18">
        <v>38</v>
      </c>
      <c r="AQ40" t="s">
        <v>47</v>
      </c>
      <c r="AR40">
        <f>0</f>
        <v>0</v>
      </c>
      <c r="AS40" t="s">
        <v>48</v>
      </c>
      <c r="AT40">
        <v>64</v>
      </c>
      <c r="AU40">
        <v>62.5</v>
      </c>
      <c r="AV40">
        <v>68.5</v>
      </c>
      <c r="AW40">
        <v>11</v>
      </c>
    </row>
    <row r="41" spans="1:58">
      <c r="A41">
        <v>0</v>
      </c>
      <c r="B41" s="3" t="s">
        <v>12</v>
      </c>
      <c r="C41" s="3">
        <f>SUM(H41:AA41)</f>
        <v>7.5</v>
      </c>
      <c r="D41" s="3">
        <f t="shared" ref="D41:X41" si="10">D15-D2</f>
        <v>1.5</v>
      </c>
      <c r="E41" s="3">
        <f t="shared" si="10"/>
        <v>-6</v>
      </c>
      <c r="F41" s="3">
        <f t="shared" si="10"/>
        <v>3.5</v>
      </c>
      <c r="G41" s="3">
        <f t="shared" si="10"/>
        <v>-1</v>
      </c>
      <c r="H41" s="3">
        <f t="shared" si="10"/>
        <v>0.5</v>
      </c>
      <c r="I41" s="3">
        <f t="shared" si="10"/>
        <v>1</v>
      </c>
      <c r="J41" s="3">
        <f t="shared" si="10"/>
        <v>-2.5</v>
      </c>
      <c r="K41" s="3">
        <f t="shared" si="10"/>
        <v>2.5</v>
      </c>
      <c r="L41" s="3">
        <f t="shared" si="10"/>
        <v>3</v>
      </c>
      <c r="M41" s="3">
        <f t="shared" si="10"/>
        <v>-5</v>
      </c>
      <c r="N41" s="3">
        <f t="shared" si="10"/>
        <v>6.5</v>
      </c>
      <c r="O41" s="3">
        <f t="shared" si="10"/>
        <v>-8</v>
      </c>
      <c r="P41" s="3">
        <f t="shared" si="10"/>
        <v>1</v>
      </c>
      <c r="Q41" s="3">
        <f t="shared" si="10"/>
        <v>-3</v>
      </c>
      <c r="R41" s="3">
        <f t="shared" si="10"/>
        <v>3</v>
      </c>
      <c r="S41" s="3">
        <f t="shared" si="10"/>
        <v>3.5</v>
      </c>
      <c r="T41" s="3">
        <f t="shared" si="10"/>
        <v>0</v>
      </c>
      <c r="U41" s="3">
        <f t="shared" si="10"/>
        <v>3.5</v>
      </c>
      <c r="V41" s="3">
        <f t="shared" ref="V41" si="11">V15-V2</f>
        <v>1.5</v>
      </c>
      <c r="W41" s="3">
        <f t="shared" si="10"/>
        <v>-2</v>
      </c>
      <c r="X41" s="3">
        <f t="shared" si="10"/>
        <v>-0.5</v>
      </c>
      <c r="Y41" s="3">
        <f t="shared" ref="Y41:AA41" si="12">Y15-Y2</f>
        <v>4</v>
      </c>
      <c r="Z41" s="3">
        <f t="shared" si="12"/>
        <v>-1.5</v>
      </c>
      <c r="AA41" s="3">
        <f t="shared" si="12"/>
        <v>0</v>
      </c>
      <c r="AB41" s="3">
        <f t="shared" ref="AB41" si="13">AB15-AB2</f>
        <v>-7.5</v>
      </c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>
        <f>COUNTIF(H41:AA41,"&gt;0")</f>
        <v>11</v>
      </c>
      <c r="AQ41" s="5">
        <f>COUNTIF(H41:AO41,"&gt;0")/COUNT(H41:AO41)</f>
        <v>0.52380952380952384</v>
      </c>
      <c r="AR41" s="5">
        <f>COUNTIF(H41:AO41,"=0")/COUNT(H41:AO41)</f>
        <v>9.5238095238095233E-2</v>
      </c>
      <c r="AS41" s="5">
        <f>COUNTIF(H41:AO41,"&lt;0")/COUNT(H41:AO41)</f>
        <v>0.38095238095238093</v>
      </c>
      <c r="AT41">
        <v>71.5</v>
      </c>
      <c r="AU41">
        <v>74</v>
      </c>
      <c r="AV41">
        <v>86</v>
      </c>
      <c r="AW41">
        <v>11</v>
      </c>
    </row>
    <row r="42" spans="1:58">
      <c r="A42">
        <v>1</v>
      </c>
      <c r="B42" s="3" t="s">
        <v>13</v>
      </c>
      <c r="C42" s="3">
        <f t="shared" ref="C42:C50" si="14">SUM(H42:AA42)</f>
        <v>-6</v>
      </c>
      <c r="D42" s="3">
        <f t="shared" ref="D42:X42" si="15">D16-D3</f>
        <v>1.5</v>
      </c>
      <c r="E42" s="3">
        <f t="shared" si="15"/>
        <v>-1.5</v>
      </c>
      <c r="F42" s="3">
        <f t="shared" si="15"/>
        <v>-0.5</v>
      </c>
      <c r="G42" s="3">
        <f t="shared" si="15"/>
        <v>0</v>
      </c>
      <c r="H42" s="3">
        <f t="shared" si="15"/>
        <v>-3</v>
      </c>
      <c r="I42" s="3">
        <f t="shared" si="15"/>
        <v>-1</v>
      </c>
      <c r="J42" s="3">
        <f t="shared" si="15"/>
        <v>-1.5</v>
      </c>
      <c r="K42" s="3">
        <f t="shared" si="15"/>
        <v>3</v>
      </c>
      <c r="L42" s="3">
        <f t="shared" si="15"/>
        <v>-2</v>
      </c>
      <c r="M42" s="3">
        <f t="shared" si="15"/>
        <v>-1</v>
      </c>
      <c r="N42" s="3">
        <f t="shared" si="15"/>
        <v>0.5</v>
      </c>
      <c r="O42" s="3">
        <f t="shared" si="15"/>
        <v>2</v>
      </c>
      <c r="P42" s="3">
        <f t="shared" si="15"/>
        <v>0</v>
      </c>
      <c r="Q42" s="3">
        <f t="shared" si="15"/>
        <v>0.5</v>
      </c>
      <c r="R42" s="3">
        <f t="shared" si="15"/>
        <v>0.5</v>
      </c>
      <c r="S42" s="3">
        <f t="shared" si="15"/>
        <v>1</v>
      </c>
      <c r="T42" s="3">
        <f t="shared" si="15"/>
        <v>1.5</v>
      </c>
      <c r="U42" s="3">
        <f t="shared" si="15"/>
        <v>-6.5</v>
      </c>
      <c r="V42" s="3">
        <f t="shared" ref="V42" si="16">V16-V3</f>
        <v>2.5</v>
      </c>
      <c r="W42" s="3">
        <f t="shared" si="15"/>
        <v>0</v>
      </c>
      <c r="X42" s="3">
        <f t="shared" si="15"/>
        <v>0.5</v>
      </c>
      <c r="Y42" s="3">
        <f t="shared" ref="Y42:AA42" si="17">Y16-Y3</f>
        <v>-2</v>
      </c>
      <c r="Z42" s="3">
        <f t="shared" si="17"/>
        <v>-1</v>
      </c>
      <c r="AA42" s="3">
        <f t="shared" si="17"/>
        <v>0</v>
      </c>
      <c r="AB42" s="3">
        <f t="shared" ref="AB42" si="18">AB16-AB3</f>
        <v>0</v>
      </c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>
        <f t="shared" ref="AP42:AP51" si="19">COUNTIF(H42:AA42,"&gt;0")</f>
        <v>9</v>
      </c>
      <c r="AQ42" s="5">
        <f t="shared" ref="AQ42:AQ50" si="20">COUNTIF(H42:AO42,"&gt;0")/COUNT(H42:AO42)</f>
        <v>0.42857142857142855</v>
      </c>
      <c r="AR42" s="5">
        <f t="shared" ref="AR42:AR50" si="21">COUNTIF(H42:AO42,"=0")/COUNT(H42:AO42)</f>
        <v>0.19047619047619047</v>
      </c>
      <c r="AS42" s="5">
        <f t="shared" ref="AS42:AS50" si="22">COUNTIF(H42:AO42,"&lt;0")/COUNT(H42:AO42)</f>
        <v>0.38095238095238093</v>
      </c>
      <c r="AT42">
        <v>72</v>
      </c>
      <c r="AU42">
        <v>71</v>
      </c>
      <c r="AV42">
        <v>80.5</v>
      </c>
      <c r="AW42">
        <v>11</v>
      </c>
    </row>
    <row r="43" spans="1:58">
      <c r="A43">
        <v>2</v>
      </c>
      <c r="B43" s="3" t="s">
        <v>14</v>
      </c>
      <c r="C43" s="3">
        <f t="shared" si="14"/>
        <v>-16</v>
      </c>
      <c r="D43" s="3">
        <f t="shared" ref="D43:X43" si="23">D17-D4</f>
        <v>1</v>
      </c>
      <c r="E43" s="3">
        <f t="shared" si="23"/>
        <v>0</v>
      </c>
      <c r="F43" s="3">
        <f t="shared" si="23"/>
        <v>-1</v>
      </c>
      <c r="G43" s="3">
        <f t="shared" si="23"/>
        <v>0.5</v>
      </c>
      <c r="H43" s="3">
        <f t="shared" si="23"/>
        <v>3.5</v>
      </c>
      <c r="I43" s="3">
        <f t="shared" si="23"/>
        <v>1.5</v>
      </c>
      <c r="J43" s="3">
        <f t="shared" si="23"/>
        <v>0.5</v>
      </c>
      <c r="K43" s="3">
        <f t="shared" si="23"/>
        <v>-4.5</v>
      </c>
      <c r="L43" s="3">
        <f t="shared" si="23"/>
        <v>-5</v>
      </c>
      <c r="M43" s="3">
        <f t="shared" si="23"/>
        <v>-3</v>
      </c>
      <c r="N43" s="3">
        <f t="shared" si="23"/>
        <v>3.5</v>
      </c>
      <c r="O43" s="3">
        <f t="shared" si="23"/>
        <v>13</v>
      </c>
      <c r="P43" s="3">
        <f t="shared" si="23"/>
        <v>-15.5</v>
      </c>
      <c r="Q43" s="3">
        <f t="shared" si="23"/>
        <v>6</v>
      </c>
      <c r="R43" s="3">
        <f t="shared" si="23"/>
        <v>-0.5</v>
      </c>
      <c r="S43" s="3">
        <f t="shared" si="23"/>
        <v>0.5</v>
      </c>
      <c r="T43" s="3">
        <f t="shared" si="23"/>
        <v>-3.5</v>
      </c>
      <c r="U43" s="3">
        <f t="shared" si="23"/>
        <v>1</v>
      </c>
      <c r="V43" s="3">
        <f t="shared" ref="V43" si="24">V17-V4</f>
        <v>-4</v>
      </c>
      <c r="W43" s="3">
        <f t="shared" si="23"/>
        <v>-0.5</v>
      </c>
      <c r="X43" s="3">
        <f t="shared" si="23"/>
        <v>-2.5</v>
      </c>
      <c r="Y43" s="3">
        <f t="shared" ref="Y43:AA43" si="25">Y17-Y4</f>
        <v>-0.5</v>
      </c>
      <c r="Z43" s="3">
        <f t="shared" si="25"/>
        <v>-4.5</v>
      </c>
      <c r="AA43" s="3">
        <f t="shared" si="25"/>
        <v>-1.5</v>
      </c>
      <c r="AB43" s="3">
        <f t="shared" ref="AB43" si="26">AB17-AB4</f>
        <v>-3.5</v>
      </c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>
        <f t="shared" si="19"/>
        <v>8</v>
      </c>
      <c r="AQ43" s="5">
        <f t="shared" si="20"/>
        <v>0.38095238095238093</v>
      </c>
      <c r="AR43" s="5">
        <f t="shared" si="21"/>
        <v>0</v>
      </c>
      <c r="AS43" s="5">
        <f t="shared" si="22"/>
        <v>0.61904761904761907</v>
      </c>
      <c r="AT43">
        <v>75.5</v>
      </c>
      <c r="AU43">
        <v>80</v>
      </c>
      <c r="AV43">
        <v>85.5</v>
      </c>
      <c r="AW43">
        <v>11</v>
      </c>
    </row>
    <row r="44" spans="1:58">
      <c r="A44">
        <v>3</v>
      </c>
      <c r="B44" s="3" t="s">
        <v>15</v>
      </c>
      <c r="C44" s="3">
        <f t="shared" si="14"/>
        <v>3.5</v>
      </c>
      <c r="D44" s="3">
        <f t="shared" ref="D44:X44" si="27">D18-D5</f>
        <v>3</v>
      </c>
      <c r="E44" s="3">
        <f t="shared" si="27"/>
        <v>-1.5</v>
      </c>
      <c r="F44" s="3">
        <f t="shared" si="27"/>
        <v>1</v>
      </c>
      <c r="G44" s="3">
        <f t="shared" si="27"/>
        <v>0</v>
      </c>
      <c r="H44" s="3">
        <f t="shared" si="27"/>
        <v>-0.5</v>
      </c>
      <c r="I44" s="3">
        <f t="shared" si="27"/>
        <v>1.5</v>
      </c>
      <c r="J44" s="3">
        <f t="shared" si="27"/>
        <v>-2.5</v>
      </c>
      <c r="K44" s="3">
        <f t="shared" si="27"/>
        <v>1.5</v>
      </c>
      <c r="L44" s="3">
        <f t="shared" si="27"/>
        <v>2</v>
      </c>
      <c r="M44" s="3">
        <f t="shared" si="27"/>
        <v>0</v>
      </c>
      <c r="N44" s="3">
        <f t="shared" si="27"/>
        <v>3.5</v>
      </c>
      <c r="O44" s="3">
        <f t="shared" si="27"/>
        <v>-5</v>
      </c>
      <c r="P44" s="3">
        <f t="shared" si="27"/>
        <v>-2.5</v>
      </c>
      <c r="Q44" s="3">
        <f t="shared" si="27"/>
        <v>1</v>
      </c>
      <c r="R44" s="3">
        <f t="shared" si="27"/>
        <v>0.5</v>
      </c>
      <c r="S44" s="3">
        <f t="shared" si="27"/>
        <v>-3.5</v>
      </c>
      <c r="T44" s="3">
        <f t="shared" si="27"/>
        <v>-1</v>
      </c>
      <c r="U44" s="3">
        <f t="shared" si="27"/>
        <v>0.5</v>
      </c>
      <c r="V44" s="3">
        <f t="shared" ref="V44" si="28">V18-V5</f>
        <v>-2.5</v>
      </c>
      <c r="W44" s="3">
        <f t="shared" si="27"/>
        <v>-1.5</v>
      </c>
      <c r="X44" s="3">
        <f t="shared" si="27"/>
        <v>2.5</v>
      </c>
      <c r="Y44" s="3">
        <f t="shared" ref="Y44:AA44" si="29">Y18-Y5</f>
        <v>4</v>
      </c>
      <c r="Z44" s="3">
        <f t="shared" si="29"/>
        <v>1.5</v>
      </c>
      <c r="AA44" s="3">
        <f t="shared" si="29"/>
        <v>4</v>
      </c>
      <c r="AB44" s="3">
        <f t="shared" ref="AB44" si="30">AB18-AB5</f>
        <v>1</v>
      </c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>
        <f t="shared" si="19"/>
        <v>11</v>
      </c>
      <c r="AQ44" s="5">
        <f t="shared" si="20"/>
        <v>0.5714285714285714</v>
      </c>
      <c r="AR44" s="5">
        <f t="shared" si="21"/>
        <v>4.7619047619047616E-2</v>
      </c>
      <c r="AS44" s="5">
        <f t="shared" si="22"/>
        <v>0.38095238095238093</v>
      </c>
      <c r="AT44">
        <v>74</v>
      </c>
      <c r="AU44">
        <v>68.5</v>
      </c>
      <c r="AV44">
        <v>78</v>
      </c>
      <c r="AW44">
        <v>11</v>
      </c>
    </row>
    <row r="45" spans="1:58">
      <c r="A45">
        <v>4</v>
      </c>
      <c r="B45" s="3" t="s">
        <v>17</v>
      </c>
      <c r="C45" s="3">
        <f t="shared" si="14"/>
        <v>-6.5</v>
      </c>
      <c r="D45" s="3">
        <f t="shared" ref="D45:X45" si="31">D19-D6</f>
        <v>0</v>
      </c>
      <c r="E45" s="3">
        <f t="shared" si="31"/>
        <v>-0.5</v>
      </c>
      <c r="F45" s="3">
        <f t="shared" si="31"/>
        <v>3.5</v>
      </c>
      <c r="G45" s="3">
        <f t="shared" si="31"/>
        <v>1.5</v>
      </c>
      <c r="H45" s="3">
        <f t="shared" si="31"/>
        <v>-1.5</v>
      </c>
      <c r="I45" s="3">
        <f t="shared" si="31"/>
        <v>-0.5</v>
      </c>
      <c r="J45" s="3">
        <f t="shared" si="31"/>
        <v>-1</v>
      </c>
      <c r="K45" s="3">
        <f t="shared" si="31"/>
        <v>2</v>
      </c>
      <c r="L45" s="3">
        <f t="shared" si="31"/>
        <v>0</v>
      </c>
      <c r="M45" s="3">
        <f t="shared" si="31"/>
        <v>0.5</v>
      </c>
      <c r="N45" s="3">
        <f t="shared" si="31"/>
        <v>3</v>
      </c>
      <c r="O45" s="3">
        <f t="shared" si="31"/>
        <v>-1</v>
      </c>
      <c r="P45" s="3">
        <f t="shared" si="31"/>
        <v>-2.5</v>
      </c>
      <c r="Q45" s="3">
        <f t="shared" si="31"/>
        <v>5.5</v>
      </c>
      <c r="R45" s="3">
        <f t="shared" si="31"/>
        <v>-5.5</v>
      </c>
      <c r="S45" s="3">
        <f t="shared" si="31"/>
        <v>0</v>
      </c>
      <c r="T45" s="3">
        <f t="shared" si="31"/>
        <v>-2</v>
      </c>
      <c r="U45" s="3">
        <f t="shared" si="31"/>
        <v>-1</v>
      </c>
      <c r="V45" s="3">
        <f t="shared" ref="V45" si="32">V19-V6</f>
        <v>-5.5</v>
      </c>
      <c r="W45" s="3">
        <f t="shared" si="31"/>
        <v>0</v>
      </c>
      <c r="X45" s="3">
        <f t="shared" si="31"/>
        <v>1</v>
      </c>
      <c r="Y45" s="3">
        <f t="shared" ref="Y45:AA45" si="33">Y19-Y6</f>
        <v>2</v>
      </c>
      <c r="Z45" s="3">
        <f t="shared" si="33"/>
        <v>0</v>
      </c>
      <c r="AA45" s="3">
        <f t="shared" si="33"/>
        <v>0</v>
      </c>
      <c r="AB45" s="3">
        <f t="shared" ref="AB45" si="34">AB19-AB6</f>
        <v>1</v>
      </c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>
        <f t="shared" si="19"/>
        <v>6</v>
      </c>
      <c r="AQ45" s="5">
        <f t="shared" si="20"/>
        <v>0.33333333333333331</v>
      </c>
      <c r="AR45" s="5">
        <f t="shared" si="21"/>
        <v>0.23809523809523808</v>
      </c>
      <c r="AS45" s="5">
        <f t="shared" si="22"/>
        <v>0.42857142857142855</v>
      </c>
      <c r="AT45">
        <v>66.5</v>
      </c>
      <c r="AU45">
        <v>67</v>
      </c>
      <c r="AV45">
        <v>68</v>
      </c>
      <c r="AW45">
        <v>11</v>
      </c>
    </row>
    <row r="46" spans="1:58">
      <c r="A46">
        <v>5</v>
      </c>
      <c r="B46" s="3" t="s">
        <v>16</v>
      </c>
      <c r="C46" s="3">
        <f t="shared" si="14"/>
        <v>30.5</v>
      </c>
      <c r="D46" s="3">
        <f t="shared" ref="D46:X46" si="35">D20-D7</f>
        <v>-3.5</v>
      </c>
      <c r="E46" s="3">
        <f t="shared" si="35"/>
        <v>-3</v>
      </c>
      <c r="F46" s="3">
        <f t="shared" si="35"/>
        <v>-2.5</v>
      </c>
      <c r="G46" s="3">
        <f t="shared" si="35"/>
        <v>-2.5</v>
      </c>
      <c r="H46" s="3">
        <f t="shared" si="35"/>
        <v>1.5</v>
      </c>
      <c r="I46" s="3">
        <f t="shared" si="35"/>
        <v>1.5</v>
      </c>
      <c r="J46" s="3">
        <f t="shared" si="35"/>
        <v>2.5</v>
      </c>
      <c r="K46" s="3">
        <f t="shared" si="35"/>
        <v>-2</v>
      </c>
      <c r="L46" s="3">
        <f t="shared" si="35"/>
        <v>4.5</v>
      </c>
      <c r="M46" s="3">
        <f t="shared" si="35"/>
        <v>7.5</v>
      </c>
      <c r="N46" s="3">
        <f t="shared" si="35"/>
        <v>-5</v>
      </c>
      <c r="O46" s="3">
        <f t="shared" si="35"/>
        <v>2</v>
      </c>
      <c r="P46" s="3">
        <f t="shared" si="35"/>
        <v>0.5</v>
      </c>
      <c r="Q46" s="3">
        <f t="shared" si="35"/>
        <v>2</v>
      </c>
      <c r="R46" s="3">
        <f t="shared" si="35"/>
        <v>0</v>
      </c>
      <c r="S46" s="3">
        <f t="shared" si="35"/>
        <v>-2.5</v>
      </c>
      <c r="T46" s="3">
        <f t="shared" si="35"/>
        <v>2.5</v>
      </c>
      <c r="U46" s="3">
        <f t="shared" si="35"/>
        <v>8.5</v>
      </c>
      <c r="V46" s="3">
        <f t="shared" ref="V46" si="36">V20-V7</f>
        <v>2.5</v>
      </c>
      <c r="W46" s="3">
        <f t="shared" si="35"/>
        <v>0</v>
      </c>
      <c r="X46" s="3">
        <f t="shared" si="35"/>
        <v>-1.5</v>
      </c>
      <c r="Y46" s="3">
        <f t="shared" ref="Y46:AA46" si="37">Y20-Y7</f>
        <v>0</v>
      </c>
      <c r="Z46" s="3">
        <f t="shared" si="37"/>
        <v>-2.5</v>
      </c>
      <c r="AA46" s="3">
        <f t="shared" si="37"/>
        <v>8.5</v>
      </c>
      <c r="AB46" s="3">
        <f t="shared" ref="AB46" si="38">AB20-AB7</f>
        <v>2</v>
      </c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>
        <f t="shared" si="19"/>
        <v>12</v>
      </c>
      <c r="AQ46" s="5">
        <f t="shared" si="20"/>
        <v>0.61904761904761907</v>
      </c>
      <c r="AR46" s="5">
        <f t="shared" si="21"/>
        <v>0.14285714285714285</v>
      </c>
      <c r="AS46" s="5">
        <f t="shared" si="22"/>
        <v>0.23809523809523808</v>
      </c>
      <c r="AT46" t="s">
        <v>27</v>
      </c>
    </row>
    <row r="47" spans="1:58">
      <c r="A47">
        <v>6</v>
      </c>
      <c r="B47" s="3" t="s">
        <v>18</v>
      </c>
      <c r="C47" s="3">
        <f t="shared" si="14"/>
        <v>-10</v>
      </c>
      <c r="D47" s="3">
        <f t="shared" ref="D47:X47" si="39">D21-D8</f>
        <v>0</v>
      </c>
      <c r="E47" s="3">
        <f t="shared" si="39"/>
        <v>-3.5</v>
      </c>
      <c r="F47" s="3">
        <f t="shared" si="39"/>
        <v>0</v>
      </c>
      <c r="G47" s="3">
        <f t="shared" si="39"/>
        <v>1</v>
      </c>
      <c r="H47" s="3">
        <f t="shared" si="39"/>
        <v>5</v>
      </c>
      <c r="I47" s="3">
        <f t="shared" si="39"/>
        <v>0.5</v>
      </c>
      <c r="J47" s="3">
        <f t="shared" si="39"/>
        <v>0</v>
      </c>
      <c r="K47" s="3">
        <f t="shared" si="39"/>
        <v>-0.5</v>
      </c>
      <c r="L47" s="3">
        <f t="shared" si="39"/>
        <v>1</v>
      </c>
      <c r="M47" s="3">
        <f t="shared" si="39"/>
        <v>-0.5</v>
      </c>
      <c r="N47" s="3">
        <f t="shared" si="39"/>
        <v>-1</v>
      </c>
      <c r="O47" s="3">
        <f t="shared" si="39"/>
        <v>-8</v>
      </c>
      <c r="P47" s="3">
        <f t="shared" si="39"/>
        <v>1</v>
      </c>
      <c r="Q47" s="3">
        <f t="shared" si="39"/>
        <v>-4</v>
      </c>
      <c r="R47" s="3">
        <f t="shared" si="39"/>
        <v>-0.5</v>
      </c>
      <c r="S47" s="3">
        <f t="shared" si="39"/>
        <v>-2.5</v>
      </c>
      <c r="T47" s="3">
        <f t="shared" si="39"/>
        <v>-3</v>
      </c>
      <c r="U47" s="3">
        <f t="shared" si="39"/>
        <v>-1</v>
      </c>
      <c r="V47" s="3">
        <f t="shared" ref="V47" si="40">V21-V8</f>
        <v>3</v>
      </c>
      <c r="W47" s="3">
        <f t="shared" si="39"/>
        <v>4.5</v>
      </c>
      <c r="X47" s="3">
        <f t="shared" si="39"/>
        <v>-5.5</v>
      </c>
      <c r="Y47" s="3">
        <f t="shared" ref="Y47:AA47" si="41">Y21-Y8</f>
        <v>2</v>
      </c>
      <c r="Z47" s="3">
        <f t="shared" si="41"/>
        <v>-0.5</v>
      </c>
      <c r="AA47" s="3">
        <f t="shared" si="41"/>
        <v>0</v>
      </c>
      <c r="AB47" s="3">
        <f t="shared" ref="AB47" si="42">AB21-AB8</f>
        <v>-2</v>
      </c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>
        <f t="shared" si="19"/>
        <v>7</v>
      </c>
      <c r="AQ47" s="5">
        <f t="shared" si="20"/>
        <v>0.33333333333333331</v>
      </c>
      <c r="AR47" s="5">
        <f t="shared" si="21"/>
        <v>9.5238095238095233E-2</v>
      </c>
      <c r="AS47" s="5">
        <f t="shared" si="22"/>
        <v>0.5714285714285714</v>
      </c>
      <c r="AT47">
        <v>78</v>
      </c>
      <c r="AU47">
        <v>77.5</v>
      </c>
      <c r="AV47">
        <v>86</v>
      </c>
      <c r="AW47">
        <v>11</v>
      </c>
    </row>
    <row r="48" spans="1:58">
      <c r="A48">
        <v>7</v>
      </c>
      <c r="B48" s="3" t="s">
        <v>21</v>
      </c>
      <c r="C48" s="3">
        <f t="shared" si="14"/>
        <v>9.5</v>
      </c>
      <c r="D48" s="3">
        <f t="shared" ref="D48:X48" si="43">D22-D9</f>
        <v>-5</v>
      </c>
      <c r="E48" s="3">
        <f t="shared" si="43"/>
        <v>-0.5</v>
      </c>
      <c r="F48" s="3">
        <f t="shared" si="43"/>
        <v>-0.5</v>
      </c>
      <c r="G48" s="3">
        <f t="shared" si="43"/>
        <v>-4.5</v>
      </c>
      <c r="H48" s="3">
        <f t="shared" si="43"/>
        <v>0.5</v>
      </c>
      <c r="I48" s="3">
        <f t="shared" si="43"/>
        <v>0</v>
      </c>
      <c r="J48" s="3">
        <f t="shared" si="43"/>
        <v>2</v>
      </c>
      <c r="K48" s="3">
        <f t="shared" si="43"/>
        <v>1</v>
      </c>
      <c r="L48" s="3">
        <f t="shared" si="43"/>
        <v>0</v>
      </c>
      <c r="M48" s="3">
        <f t="shared" si="43"/>
        <v>1</v>
      </c>
      <c r="N48" s="3">
        <f t="shared" si="43"/>
        <v>1.5</v>
      </c>
      <c r="O48" s="3">
        <f t="shared" si="43"/>
        <v>-8.5</v>
      </c>
      <c r="P48" s="3">
        <f t="shared" si="43"/>
        <v>-2</v>
      </c>
      <c r="Q48" s="3">
        <f t="shared" si="43"/>
        <v>3.5</v>
      </c>
      <c r="R48" s="3">
        <f t="shared" si="43"/>
        <v>-7.5</v>
      </c>
      <c r="S48" s="3">
        <f t="shared" si="43"/>
        <v>2.5</v>
      </c>
      <c r="T48" s="3">
        <f t="shared" si="43"/>
        <v>0</v>
      </c>
      <c r="U48" s="3">
        <f t="shared" si="43"/>
        <v>0</v>
      </c>
      <c r="V48" s="3">
        <f t="shared" ref="V48" si="44">V22-V9</f>
        <v>1</v>
      </c>
      <c r="W48" s="3">
        <f t="shared" si="43"/>
        <v>0.5</v>
      </c>
      <c r="X48" s="3">
        <f t="shared" si="43"/>
        <v>9.5</v>
      </c>
      <c r="Y48" s="3">
        <f t="shared" ref="Y48:AA48" si="45">Y22-Y9</f>
        <v>1</v>
      </c>
      <c r="Z48" s="3">
        <f t="shared" si="45"/>
        <v>1</v>
      </c>
      <c r="AA48" s="3">
        <f t="shared" si="45"/>
        <v>2.5</v>
      </c>
      <c r="AB48" s="3">
        <f t="shared" ref="AB48" si="46">AB22-AB9</f>
        <v>-5</v>
      </c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>
        <f t="shared" si="19"/>
        <v>13</v>
      </c>
      <c r="AQ48" s="5">
        <f t="shared" si="20"/>
        <v>0.61904761904761907</v>
      </c>
      <c r="AR48" s="5">
        <f t="shared" si="21"/>
        <v>0.19047619047619047</v>
      </c>
      <c r="AS48" s="5">
        <f t="shared" si="22"/>
        <v>0.19047619047619047</v>
      </c>
      <c r="AT48">
        <v>79</v>
      </c>
      <c r="AU48">
        <v>82</v>
      </c>
      <c r="AV48">
        <v>85</v>
      </c>
      <c r="AW48">
        <v>11</v>
      </c>
    </row>
    <row r="49" spans="1:49">
      <c r="A49">
        <v>8</v>
      </c>
      <c r="B49" s="3" t="s">
        <v>19</v>
      </c>
      <c r="C49" s="3">
        <f t="shared" si="14"/>
        <v>33</v>
      </c>
      <c r="D49" s="3">
        <f t="shared" ref="D49:X49" si="47">D23-D10</f>
        <v>-0.5</v>
      </c>
      <c r="E49" s="3">
        <f t="shared" si="47"/>
        <v>-6.5</v>
      </c>
      <c r="F49" s="3">
        <f t="shared" si="47"/>
        <v>1</v>
      </c>
      <c r="G49" s="3">
        <f t="shared" si="47"/>
        <v>5.5</v>
      </c>
      <c r="H49" s="3">
        <f t="shared" si="47"/>
        <v>-1.5</v>
      </c>
      <c r="I49" s="3">
        <f t="shared" si="47"/>
        <v>3</v>
      </c>
      <c r="J49" s="3">
        <f t="shared" si="47"/>
        <v>0.5</v>
      </c>
      <c r="K49" s="3">
        <f t="shared" si="47"/>
        <v>0</v>
      </c>
      <c r="L49" s="3">
        <f t="shared" si="47"/>
        <v>-2</v>
      </c>
      <c r="M49" s="3">
        <f t="shared" si="47"/>
        <v>0.5</v>
      </c>
      <c r="N49" s="3">
        <f t="shared" si="47"/>
        <v>2</v>
      </c>
      <c r="O49" s="3">
        <f t="shared" si="47"/>
        <v>4</v>
      </c>
      <c r="P49" s="3">
        <f t="shared" si="47"/>
        <v>-1</v>
      </c>
      <c r="Q49" s="3">
        <f t="shared" si="47"/>
        <v>5</v>
      </c>
      <c r="R49" s="3">
        <f t="shared" si="47"/>
        <v>1</v>
      </c>
      <c r="S49" s="3">
        <f t="shared" si="47"/>
        <v>2</v>
      </c>
      <c r="T49" s="3">
        <f t="shared" si="47"/>
        <v>2.5</v>
      </c>
      <c r="U49" s="3">
        <f t="shared" si="47"/>
        <v>6</v>
      </c>
      <c r="V49" s="3">
        <f t="shared" ref="V49" si="48">V23-V10</f>
        <v>0.5</v>
      </c>
      <c r="W49" s="3">
        <f t="shared" si="47"/>
        <v>1</v>
      </c>
      <c r="X49" s="3">
        <f t="shared" si="47"/>
        <v>5.5</v>
      </c>
      <c r="Y49" s="3">
        <f t="shared" ref="Y49:AA49" si="49">Y23-Y10</f>
        <v>2</v>
      </c>
      <c r="Z49" s="3">
        <f t="shared" si="49"/>
        <v>2</v>
      </c>
      <c r="AA49" s="3">
        <f t="shared" si="49"/>
        <v>0</v>
      </c>
      <c r="AB49" s="3">
        <f t="shared" ref="AB49" si="50">AB23-AB10</f>
        <v>0</v>
      </c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>
        <f t="shared" si="19"/>
        <v>15</v>
      </c>
      <c r="AQ49" s="5">
        <f t="shared" si="20"/>
        <v>0.7142857142857143</v>
      </c>
      <c r="AR49" s="5">
        <f t="shared" si="21"/>
        <v>0.14285714285714285</v>
      </c>
      <c r="AS49" s="5">
        <f t="shared" si="22"/>
        <v>0.14285714285714285</v>
      </c>
      <c r="AT49">
        <v>78</v>
      </c>
      <c r="AU49">
        <v>74.5</v>
      </c>
      <c r="AV49">
        <v>83</v>
      </c>
      <c r="AW49">
        <v>11</v>
      </c>
    </row>
    <row r="50" spans="1:49">
      <c r="A50">
        <v>9</v>
      </c>
      <c r="B50" s="3" t="s">
        <v>20</v>
      </c>
      <c r="C50" s="3">
        <f t="shared" si="14"/>
        <v>4</v>
      </c>
      <c r="D50" s="3">
        <f t="shared" ref="D50:X50" si="51">D24-D11</f>
        <v>-2</v>
      </c>
      <c r="E50" s="3">
        <f t="shared" si="51"/>
        <v>-0.5</v>
      </c>
      <c r="F50" s="3">
        <f t="shared" si="51"/>
        <v>-9</v>
      </c>
      <c r="G50" s="3">
        <f t="shared" si="51"/>
        <v>-0.5</v>
      </c>
      <c r="H50" s="3">
        <f t="shared" si="51"/>
        <v>0</v>
      </c>
      <c r="I50" s="3">
        <f t="shared" si="51"/>
        <v>1</v>
      </c>
      <c r="J50" s="3">
        <f t="shared" si="51"/>
        <v>-0.5</v>
      </c>
      <c r="K50" s="3">
        <f t="shared" si="51"/>
        <v>6</v>
      </c>
      <c r="L50" s="3">
        <f t="shared" si="51"/>
        <v>-3</v>
      </c>
      <c r="M50" s="3">
        <f t="shared" si="51"/>
        <v>6.5</v>
      </c>
      <c r="N50" s="3">
        <f t="shared" si="51"/>
        <v>-0.5</v>
      </c>
      <c r="O50" s="3">
        <f t="shared" si="51"/>
        <v>3</v>
      </c>
      <c r="P50" s="3">
        <f t="shared" si="51"/>
        <v>-0.5</v>
      </c>
      <c r="Q50" s="3">
        <f t="shared" si="51"/>
        <v>-2.5</v>
      </c>
      <c r="R50" s="3">
        <f t="shared" si="51"/>
        <v>6</v>
      </c>
      <c r="S50" s="3">
        <f t="shared" si="51"/>
        <v>-5</v>
      </c>
      <c r="T50" s="3">
        <f t="shared" si="51"/>
        <v>-1</v>
      </c>
      <c r="U50" s="3">
        <f t="shared" si="51"/>
        <v>-3.5</v>
      </c>
      <c r="V50" s="3">
        <f t="shared" ref="V50" si="52">V24-V11</f>
        <v>-3</v>
      </c>
      <c r="W50" s="3">
        <f t="shared" si="51"/>
        <v>1.5</v>
      </c>
      <c r="X50" s="3">
        <f t="shared" si="51"/>
        <v>0.5</v>
      </c>
      <c r="Y50" s="3">
        <f t="shared" ref="Y50" si="53">Y24-Y11</f>
        <v>-1.5</v>
      </c>
      <c r="Z50" s="3">
        <f t="shared" ref="Z50:AA50" si="54">Z24-Z11</f>
        <v>3.5</v>
      </c>
      <c r="AA50" s="3">
        <f t="shared" si="54"/>
        <v>-3</v>
      </c>
      <c r="AB50" s="3">
        <f t="shared" ref="AB50" si="55">AB24-AB11</f>
        <v>2.5</v>
      </c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>
        <f t="shared" si="19"/>
        <v>8</v>
      </c>
      <c r="AQ50" s="5">
        <f t="shared" si="20"/>
        <v>0.42857142857142855</v>
      </c>
      <c r="AR50" s="5">
        <f t="shared" si="21"/>
        <v>4.7619047619047616E-2</v>
      </c>
      <c r="AS50" s="5">
        <f t="shared" si="22"/>
        <v>0.52380952380952384</v>
      </c>
      <c r="AT50">
        <v>62</v>
      </c>
      <c r="AU50">
        <v>62.5</v>
      </c>
      <c r="AV50">
        <v>70.5</v>
      </c>
      <c r="AW50">
        <v>11</v>
      </c>
    </row>
    <row r="51" spans="1:49" ht="15">
      <c r="C51" s="4">
        <f>SUM(C41:C50)</f>
        <v>49.5</v>
      </c>
      <c r="D51" s="10">
        <f t="shared" ref="D51:Y51" si="56">SUM(D41:D50)</f>
        <v>-4</v>
      </c>
      <c r="E51" s="10">
        <f t="shared" si="56"/>
        <v>-23.5</v>
      </c>
      <c r="F51" s="10">
        <f t="shared" si="56"/>
        <v>-4.5</v>
      </c>
      <c r="G51" s="10">
        <f t="shared" si="56"/>
        <v>0</v>
      </c>
      <c r="H51" s="10">
        <f t="shared" si="56"/>
        <v>4.5</v>
      </c>
      <c r="I51" s="10">
        <f t="shared" si="56"/>
        <v>8.5</v>
      </c>
      <c r="J51" s="10">
        <f t="shared" si="56"/>
        <v>-2.5</v>
      </c>
      <c r="K51" s="10">
        <f t="shared" si="56"/>
        <v>9</v>
      </c>
      <c r="L51" s="10">
        <f t="shared" si="56"/>
        <v>-1.5</v>
      </c>
      <c r="M51" s="10">
        <f t="shared" si="56"/>
        <v>6.5</v>
      </c>
      <c r="N51" s="10">
        <f t="shared" si="56"/>
        <v>14</v>
      </c>
      <c r="O51" s="10">
        <f t="shared" si="56"/>
        <v>-6.5</v>
      </c>
      <c r="P51" s="10">
        <f t="shared" si="56"/>
        <v>-21.5</v>
      </c>
      <c r="Q51" s="10">
        <f t="shared" si="56"/>
        <v>14</v>
      </c>
      <c r="R51" s="10">
        <f t="shared" si="56"/>
        <v>-3</v>
      </c>
      <c r="S51" s="10">
        <f t="shared" si="56"/>
        <v>-4</v>
      </c>
      <c r="T51" s="10">
        <f t="shared" si="56"/>
        <v>-4</v>
      </c>
      <c r="U51" s="10">
        <f t="shared" si="56"/>
        <v>7.5</v>
      </c>
      <c r="V51" s="10">
        <f t="shared" ref="V51" si="57">SUM(V41:V50)</f>
        <v>-4</v>
      </c>
      <c r="W51" s="10">
        <f t="shared" si="56"/>
        <v>3.5</v>
      </c>
      <c r="X51" s="10">
        <f t="shared" si="56"/>
        <v>9.5</v>
      </c>
      <c r="Y51" s="10">
        <f t="shared" si="56"/>
        <v>11</v>
      </c>
      <c r="Z51" s="10">
        <f t="shared" ref="Z51" si="58">SUM(Z41:Z50)</f>
        <v>-2</v>
      </c>
      <c r="AA51" s="10">
        <f>SUM(AA41:AA50)</f>
        <v>10.5</v>
      </c>
      <c r="AB51" s="10">
        <f>SUM(AB41:AB50)</f>
        <v>-11.5</v>
      </c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>
        <f t="shared" si="19"/>
        <v>11</v>
      </c>
      <c r="AQ51" s="16">
        <f t="shared" ref="AQ51" si="59">COUNTIF(H51:AA51,"&gt;0")/COUNT(H51:AA51)</f>
        <v>0.55000000000000004</v>
      </c>
      <c r="AR51" s="16">
        <f t="shared" ref="AR51" si="60">COUNTIF(I51:AP51,"=0")/COUNT(I51:AP51)</f>
        <v>0</v>
      </c>
      <c r="AS51" s="16">
        <f t="shared" ref="AS51" si="61">COUNTIF(H51:AA51,"&lt;0")/COUNT(H51:AA51)</f>
        <v>0.45</v>
      </c>
      <c r="AT51">
        <v>66</v>
      </c>
      <c r="AU51">
        <v>67.5</v>
      </c>
      <c r="AV51">
        <v>72</v>
      </c>
      <c r="AW51">
        <v>11</v>
      </c>
    </row>
    <row r="52" spans="1:49">
      <c r="AQ52" s="9">
        <f>AVERAGE(AQ41:AQ50)</f>
        <v>0.49523809523809526</v>
      </c>
      <c r="AR52" s="9">
        <f>AVERAGE(AR41:AR50)</f>
        <v>0.11904761904761904</v>
      </c>
      <c r="AS52" s="9">
        <f>AVERAGE(AS41:AS50)</f>
        <v>0.38571428571428573</v>
      </c>
      <c r="AT52">
        <v>75.5</v>
      </c>
      <c r="AU52">
        <v>74</v>
      </c>
      <c r="AV52">
        <v>80.5</v>
      </c>
      <c r="AW52">
        <v>11</v>
      </c>
    </row>
    <row r="53" spans="1:49">
      <c r="D53" s="18">
        <v>1</v>
      </c>
      <c r="E53" s="18">
        <v>2</v>
      </c>
      <c r="F53" s="18">
        <v>3</v>
      </c>
      <c r="G53" s="18">
        <v>4</v>
      </c>
      <c r="H53" s="18">
        <v>5</v>
      </c>
      <c r="I53" s="18">
        <v>6</v>
      </c>
      <c r="J53" s="18">
        <v>7</v>
      </c>
      <c r="K53" s="18">
        <v>8</v>
      </c>
      <c r="L53" s="18">
        <v>9</v>
      </c>
      <c r="M53" s="18">
        <v>10</v>
      </c>
      <c r="N53" s="18">
        <v>11</v>
      </c>
      <c r="O53" s="18">
        <v>12</v>
      </c>
      <c r="P53" s="18">
        <v>13</v>
      </c>
      <c r="Q53" s="18">
        <v>14</v>
      </c>
      <c r="R53" s="18">
        <v>15</v>
      </c>
      <c r="S53" s="18">
        <v>16</v>
      </c>
      <c r="T53" s="18">
        <v>17</v>
      </c>
      <c r="U53" s="18">
        <v>18</v>
      </c>
      <c r="V53" s="18">
        <v>19</v>
      </c>
      <c r="W53" s="18">
        <v>20</v>
      </c>
      <c r="X53" s="18">
        <v>21</v>
      </c>
      <c r="Y53" s="18">
        <v>22</v>
      </c>
      <c r="Z53" s="18">
        <v>23</v>
      </c>
      <c r="AA53" s="18">
        <v>24</v>
      </c>
      <c r="AB53" s="18">
        <v>25</v>
      </c>
      <c r="AC53" s="18">
        <v>26</v>
      </c>
      <c r="AD53" s="18">
        <v>27</v>
      </c>
      <c r="AE53" s="18">
        <v>28</v>
      </c>
      <c r="AF53" s="18">
        <v>29</v>
      </c>
      <c r="AG53" s="18">
        <v>30</v>
      </c>
      <c r="AH53" s="18">
        <v>31</v>
      </c>
      <c r="AI53" s="18">
        <v>32</v>
      </c>
      <c r="AJ53" s="18">
        <v>33</v>
      </c>
      <c r="AK53" s="18">
        <v>34</v>
      </c>
      <c r="AL53" s="18">
        <v>35</v>
      </c>
      <c r="AM53" s="18">
        <v>36</v>
      </c>
      <c r="AN53" s="18">
        <v>37</v>
      </c>
      <c r="AO53" s="18">
        <v>38</v>
      </c>
      <c r="AR53" s="5"/>
      <c r="AT53">
        <v>82</v>
      </c>
      <c r="AU53">
        <v>77</v>
      </c>
      <c r="AV53">
        <v>88</v>
      </c>
      <c r="AW53">
        <v>11</v>
      </c>
    </row>
    <row r="54" spans="1:49">
      <c r="A54">
        <v>0</v>
      </c>
      <c r="B54" s="3" t="s">
        <v>12</v>
      </c>
      <c r="C54" s="3">
        <f>SUM(D54:AA54)</f>
        <v>1835.5</v>
      </c>
      <c r="D54" s="3">
        <v>80</v>
      </c>
      <c r="E54" s="3">
        <v>75</v>
      </c>
      <c r="F54" s="3">
        <v>65.5</v>
      </c>
      <c r="G54" s="3">
        <v>74.5</v>
      </c>
      <c r="H54" s="3">
        <v>86</v>
      </c>
      <c r="I54" s="3">
        <v>75.5</v>
      </c>
      <c r="J54" s="3">
        <v>78</v>
      </c>
      <c r="K54" s="3">
        <v>71.5</v>
      </c>
      <c r="L54" s="3">
        <v>74</v>
      </c>
      <c r="M54" s="3">
        <v>73</v>
      </c>
      <c r="N54" s="3">
        <v>71.5</v>
      </c>
      <c r="O54" s="3">
        <v>90</v>
      </c>
      <c r="P54" s="3">
        <v>72.5</v>
      </c>
      <c r="Q54" s="3">
        <v>75.5</v>
      </c>
      <c r="R54" s="3">
        <v>79</v>
      </c>
      <c r="S54" s="3">
        <v>78</v>
      </c>
      <c r="T54" s="3">
        <v>84</v>
      </c>
      <c r="U54" s="3">
        <v>75</v>
      </c>
      <c r="V54" s="3">
        <v>89</v>
      </c>
      <c r="W54" s="3">
        <v>79</v>
      </c>
      <c r="X54" s="3">
        <v>72</v>
      </c>
      <c r="Y54" s="3">
        <v>81</v>
      </c>
      <c r="Z54" s="3">
        <v>64.5</v>
      </c>
      <c r="AA54" s="3">
        <v>71.5</v>
      </c>
      <c r="AB54" s="3">
        <v>80.5</v>
      </c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Q54" t="s">
        <v>47</v>
      </c>
      <c r="AR54">
        <f>0</f>
        <v>0</v>
      </c>
      <c r="AS54" t="s">
        <v>48</v>
      </c>
      <c r="AT54">
        <v>71</v>
      </c>
      <c r="AU54">
        <v>70.5</v>
      </c>
      <c r="AV54">
        <v>74.5</v>
      </c>
      <c r="AW54">
        <v>11</v>
      </c>
    </row>
    <row r="55" spans="1:49">
      <c r="A55">
        <v>1</v>
      </c>
      <c r="B55" s="3" t="s">
        <v>13</v>
      </c>
      <c r="C55" s="3">
        <f t="shared" ref="C55:C63" si="62">SUM(D55:AA55)</f>
        <v>1759.5</v>
      </c>
      <c r="D55" s="3">
        <v>76</v>
      </c>
      <c r="E55" s="3">
        <v>76.5</v>
      </c>
      <c r="F55" s="3">
        <v>74</v>
      </c>
      <c r="G55" s="3">
        <v>77.5</v>
      </c>
      <c r="H55" s="3">
        <v>85</v>
      </c>
      <c r="I55" s="3">
        <v>67.5</v>
      </c>
      <c r="J55" s="3">
        <v>71</v>
      </c>
      <c r="K55" s="3">
        <v>71</v>
      </c>
      <c r="L55" s="3">
        <v>75</v>
      </c>
      <c r="M55" s="3">
        <v>82</v>
      </c>
      <c r="N55" s="3">
        <v>65</v>
      </c>
      <c r="O55" s="3">
        <v>73</v>
      </c>
      <c r="P55" s="3">
        <v>72</v>
      </c>
      <c r="Q55" s="3">
        <v>70</v>
      </c>
      <c r="R55" s="3">
        <v>71</v>
      </c>
      <c r="S55" s="3">
        <v>66.5</v>
      </c>
      <c r="T55" s="3">
        <v>69.5</v>
      </c>
      <c r="U55" s="3">
        <v>65</v>
      </c>
      <c r="V55" s="3">
        <v>71</v>
      </c>
      <c r="W55" s="3">
        <v>69.5</v>
      </c>
      <c r="X55" s="3">
        <v>77.5</v>
      </c>
      <c r="Y55" s="3">
        <v>75</v>
      </c>
      <c r="Z55" s="3">
        <v>75.5</v>
      </c>
      <c r="AA55" s="3">
        <v>83.5</v>
      </c>
      <c r="AB55" s="3">
        <v>72.5</v>
      </c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Q55" s="14">
        <f t="shared" ref="AQ55:AQ64" si="63">COUNTIF(W41:AA41,"&gt;0")/COUNT(W41:AA41)</f>
        <v>0.2</v>
      </c>
      <c r="AR55" s="5">
        <f>COUNTIF(W41:AA41,"0")/COUNT(W41:AA41)</f>
        <v>0.2</v>
      </c>
      <c r="AS55" s="5">
        <f>COUNTIF(W41:AA41,"&lt;0")/COUNT(W41:AA41)</f>
        <v>0.6</v>
      </c>
      <c r="AT55">
        <v>67</v>
      </c>
      <c r="AU55">
        <v>68.5</v>
      </c>
      <c r="AV55">
        <v>73</v>
      </c>
      <c r="AW55">
        <v>11</v>
      </c>
    </row>
    <row r="56" spans="1:49">
      <c r="A56">
        <v>2</v>
      </c>
      <c r="B56" s="3" t="s">
        <v>14</v>
      </c>
      <c r="C56" s="3">
        <f t="shared" si="62"/>
        <v>1929.5</v>
      </c>
      <c r="D56" s="3">
        <v>79.5</v>
      </c>
      <c r="E56" s="3">
        <v>75.5</v>
      </c>
      <c r="F56" s="3">
        <v>87.5</v>
      </c>
      <c r="G56" s="3">
        <v>74</v>
      </c>
      <c r="H56" s="3">
        <v>83</v>
      </c>
      <c r="I56" s="3">
        <v>82</v>
      </c>
      <c r="J56" s="3">
        <v>77.5</v>
      </c>
      <c r="K56" s="3">
        <v>86</v>
      </c>
      <c r="L56" s="3">
        <v>77.5</v>
      </c>
      <c r="M56" s="3">
        <v>86</v>
      </c>
      <c r="N56" s="3">
        <v>79</v>
      </c>
      <c r="O56" s="3">
        <v>81.5</v>
      </c>
      <c r="P56" s="3">
        <v>90.5</v>
      </c>
      <c r="Q56" s="3">
        <v>75</v>
      </c>
      <c r="R56" s="3">
        <v>78</v>
      </c>
      <c r="S56" s="3">
        <v>71.5</v>
      </c>
      <c r="T56" s="3">
        <v>77</v>
      </c>
      <c r="U56" s="3">
        <v>75</v>
      </c>
      <c r="V56" s="3">
        <v>86.5</v>
      </c>
      <c r="W56" s="3">
        <v>82</v>
      </c>
      <c r="X56" s="3">
        <v>71</v>
      </c>
      <c r="Y56" s="3">
        <v>89.5</v>
      </c>
      <c r="Z56" s="3">
        <v>85</v>
      </c>
      <c r="AA56" s="3">
        <v>79.5</v>
      </c>
      <c r="AB56" s="3">
        <v>80.5</v>
      </c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Q56" s="5">
        <f t="shared" si="63"/>
        <v>0.2</v>
      </c>
      <c r="AR56" s="5">
        <f t="shared" ref="AR56:AR65" si="64">COUNTIF(W42:AA42,"0")/COUNT(W42:AA42)</f>
        <v>0.4</v>
      </c>
      <c r="AS56" s="5">
        <f t="shared" ref="AS56:AS65" si="65">COUNTIF(W42:AA42,"&lt;0")/COUNT(W42:AA42)</f>
        <v>0.4</v>
      </c>
      <c r="AT56">
        <v>66</v>
      </c>
      <c r="AU56">
        <v>66</v>
      </c>
      <c r="AV56">
        <v>68</v>
      </c>
      <c r="AW56">
        <v>11</v>
      </c>
    </row>
    <row r="57" spans="1:49">
      <c r="A57">
        <v>3</v>
      </c>
      <c r="B57" s="3" t="s">
        <v>15</v>
      </c>
      <c r="C57" s="3">
        <f t="shared" si="62"/>
        <v>1832</v>
      </c>
      <c r="D57" s="3">
        <v>78.5</v>
      </c>
      <c r="E57" s="3">
        <v>77</v>
      </c>
      <c r="F57" s="3">
        <v>74.5</v>
      </c>
      <c r="G57" s="3">
        <v>72</v>
      </c>
      <c r="H57" s="3">
        <v>70.5</v>
      </c>
      <c r="I57" s="3">
        <v>70</v>
      </c>
      <c r="J57" s="3">
        <v>77</v>
      </c>
      <c r="K57" s="3">
        <v>70</v>
      </c>
      <c r="L57" s="3">
        <v>74</v>
      </c>
      <c r="M57" s="3">
        <v>68</v>
      </c>
      <c r="N57" s="3">
        <v>76</v>
      </c>
      <c r="O57" s="3">
        <v>84</v>
      </c>
      <c r="P57" s="3">
        <v>74</v>
      </c>
      <c r="Q57" s="3">
        <v>82</v>
      </c>
      <c r="R57" s="3">
        <v>82</v>
      </c>
      <c r="S57" s="3">
        <v>68.5</v>
      </c>
      <c r="T57" s="3">
        <v>91</v>
      </c>
      <c r="U57" s="3">
        <v>73.5</v>
      </c>
      <c r="V57" s="3">
        <v>76.5</v>
      </c>
      <c r="W57" s="3">
        <v>78.5</v>
      </c>
      <c r="X57" s="3">
        <v>73.5</v>
      </c>
      <c r="Y57" s="3">
        <v>86.5</v>
      </c>
      <c r="Z57" s="3">
        <v>75.5</v>
      </c>
      <c r="AA57" s="3">
        <v>79</v>
      </c>
      <c r="AB57" s="3">
        <v>66.5</v>
      </c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Q57" s="5">
        <f t="shared" si="63"/>
        <v>0</v>
      </c>
      <c r="AR57" s="5">
        <f t="shared" si="64"/>
        <v>0</v>
      </c>
      <c r="AS57" s="5">
        <f t="shared" si="65"/>
        <v>1</v>
      </c>
      <c r="AT57" t="s">
        <v>22</v>
      </c>
    </row>
    <row r="58" spans="1:49">
      <c r="A58">
        <v>4</v>
      </c>
      <c r="B58" s="3" t="s">
        <v>17</v>
      </c>
      <c r="C58" s="3">
        <f t="shared" si="62"/>
        <v>1764</v>
      </c>
      <c r="D58" s="3">
        <v>77</v>
      </c>
      <c r="E58" s="3">
        <v>85</v>
      </c>
      <c r="F58" s="3">
        <v>76.5</v>
      </c>
      <c r="G58" s="3">
        <v>68.5</v>
      </c>
      <c r="H58" s="3">
        <v>72</v>
      </c>
      <c r="I58" s="3">
        <v>68</v>
      </c>
      <c r="J58" s="3">
        <v>66</v>
      </c>
      <c r="K58" s="3">
        <v>63.5</v>
      </c>
      <c r="L58" s="3">
        <v>70.5</v>
      </c>
      <c r="M58" s="3">
        <v>64.5</v>
      </c>
      <c r="N58" s="3">
        <v>71</v>
      </c>
      <c r="O58" s="3">
        <v>70.5</v>
      </c>
      <c r="P58" s="3">
        <v>78</v>
      </c>
      <c r="Q58" s="3">
        <v>76</v>
      </c>
      <c r="R58" s="3">
        <v>82</v>
      </c>
      <c r="S58" s="3">
        <v>74</v>
      </c>
      <c r="T58" s="3">
        <v>76.5</v>
      </c>
      <c r="U58" s="3">
        <v>75</v>
      </c>
      <c r="V58" s="3">
        <v>67</v>
      </c>
      <c r="W58" s="3">
        <v>74.5</v>
      </c>
      <c r="X58" s="3">
        <v>74</v>
      </c>
      <c r="Y58" s="3">
        <v>75.5</v>
      </c>
      <c r="Z58" s="3">
        <v>77</v>
      </c>
      <c r="AA58" s="3">
        <v>81.5</v>
      </c>
      <c r="AB58" s="3">
        <v>73.5</v>
      </c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Q58" s="5">
        <f t="shared" si="63"/>
        <v>0.8</v>
      </c>
      <c r="AR58" s="5">
        <f t="shared" si="64"/>
        <v>0</v>
      </c>
      <c r="AS58" s="5">
        <f t="shared" si="65"/>
        <v>0.2</v>
      </c>
      <c r="AT58">
        <v>74.5</v>
      </c>
      <c r="AU58">
        <v>73.5</v>
      </c>
      <c r="AV58">
        <v>75.5</v>
      </c>
      <c r="AW58">
        <v>11</v>
      </c>
    </row>
    <row r="59" spans="1:49">
      <c r="A59">
        <v>5</v>
      </c>
      <c r="B59" s="3" t="s">
        <v>16</v>
      </c>
      <c r="C59" s="3">
        <f t="shared" si="62"/>
        <v>1889</v>
      </c>
      <c r="D59" s="3">
        <v>72.5</v>
      </c>
      <c r="E59" s="3">
        <v>91</v>
      </c>
      <c r="F59" s="3">
        <v>77</v>
      </c>
      <c r="G59" s="3">
        <v>86</v>
      </c>
      <c r="H59" s="3">
        <v>80.5</v>
      </c>
      <c r="I59" s="3">
        <v>81.5</v>
      </c>
      <c r="J59" s="3">
        <v>70.5</v>
      </c>
      <c r="K59" s="3">
        <v>67.5</v>
      </c>
      <c r="L59" s="3">
        <v>75</v>
      </c>
      <c r="M59" s="3">
        <v>75.5</v>
      </c>
      <c r="N59" s="3">
        <v>89.5</v>
      </c>
      <c r="O59" s="3">
        <v>78</v>
      </c>
      <c r="P59" s="3">
        <v>74.5</v>
      </c>
      <c r="Q59" s="3">
        <v>75.5</v>
      </c>
      <c r="R59" s="3">
        <v>70.5</v>
      </c>
      <c r="S59" s="3">
        <v>81</v>
      </c>
      <c r="T59" s="3">
        <v>77.5</v>
      </c>
      <c r="U59" s="3">
        <v>86</v>
      </c>
      <c r="V59" s="3">
        <v>86</v>
      </c>
      <c r="W59" s="3">
        <v>81</v>
      </c>
      <c r="X59" s="3">
        <v>72.5</v>
      </c>
      <c r="Y59" s="3">
        <v>73</v>
      </c>
      <c r="Z59" s="3">
        <v>83.5</v>
      </c>
      <c r="AA59" s="3">
        <v>83.5</v>
      </c>
      <c r="AB59" s="3">
        <v>81</v>
      </c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Q59" s="5">
        <f t="shared" si="63"/>
        <v>0.4</v>
      </c>
      <c r="AR59" s="5">
        <f t="shared" si="64"/>
        <v>0.6</v>
      </c>
      <c r="AS59" s="5">
        <f t="shared" si="65"/>
        <v>0</v>
      </c>
      <c r="AT59">
        <v>63</v>
      </c>
      <c r="AU59">
        <v>64</v>
      </c>
      <c r="AV59">
        <v>67.5</v>
      </c>
      <c r="AW59">
        <v>11</v>
      </c>
    </row>
    <row r="60" spans="1:49">
      <c r="A60">
        <v>6</v>
      </c>
      <c r="B60" s="3" t="s">
        <v>18</v>
      </c>
      <c r="C60" s="3">
        <f t="shared" si="62"/>
        <v>1811</v>
      </c>
      <c r="D60" s="3">
        <v>79.5</v>
      </c>
      <c r="E60" s="3">
        <v>75.5</v>
      </c>
      <c r="F60" s="3">
        <v>81</v>
      </c>
      <c r="G60" s="3">
        <v>80.5</v>
      </c>
      <c r="H60" s="3">
        <v>88</v>
      </c>
      <c r="I60" s="3">
        <v>79</v>
      </c>
      <c r="J60" s="3">
        <v>75.5</v>
      </c>
      <c r="K60" s="3">
        <v>72</v>
      </c>
      <c r="L60" s="3">
        <v>79</v>
      </c>
      <c r="M60" s="3">
        <v>77.5</v>
      </c>
      <c r="N60" s="3">
        <v>75</v>
      </c>
      <c r="O60" s="3">
        <v>77</v>
      </c>
      <c r="P60" s="3">
        <v>71.5</v>
      </c>
      <c r="Q60" s="3">
        <v>73.5</v>
      </c>
      <c r="R60" s="3">
        <v>67.5</v>
      </c>
      <c r="S60" s="3">
        <v>74.5</v>
      </c>
      <c r="T60" s="3">
        <v>70.5</v>
      </c>
      <c r="U60" s="3">
        <v>75</v>
      </c>
      <c r="V60" s="3">
        <v>72</v>
      </c>
      <c r="W60" s="3">
        <v>77</v>
      </c>
      <c r="X60" s="3">
        <v>83.5</v>
      </c>
      <c r="Y60" s="3">
        <v>66</v>
      </c>
      <c r="Z60" s="3">
        <v>74.5</v>
      </c>
      <c r="AA60" s="3">
        <v>66</v>
      </c>
      <c r="AB60" s="3">
        <v>72</v>
      </c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Q60" s="5">
        <f t="shared" si="63"/>
        <v>0.2</v>
      </c>
      <c r="AR60" s="5">
        <f t="shared" si="64"/>
        <v>0.4</v>
      </c>
      <c r="AS60" s="5">
        <f t="shared" si="65"/>
        <v>0.4</v>
      </c>
      <c r="AT60">
        <v>75.5</v>
      </c>
      <c r="AU60">
        <v>74</v>
      </c>
      <c r="AV60">
        <v>82</v>
      </c>
      <c r="AW60">
        <v>11</v>
      </c>
    </row>
    <row r="61" spans="1:49">
      <c r="A61">
        <v>7</v>
      </c>
      <c r="B61" s="3" t="s">
        <v>21</v>
      </c>
      <c r="C61" s="3">
        <f t="shared" si="62"/>
        <v>1816.5</v>
      </c>
      <c r="D61" s="3">
        <v>80.5</v>
      </c>
      <c r="E61" s="3">
        <v>80.5</v>
      </c>
      <c r="F61" s="3">
        <v>66.5</v>
      </c>
      <c r="G61" s="3">
        <v>85.5</v>
      </c>
      <c r="H61" s="3">
        <v>74.5</v>
      </c>
      <c r="I61" s="3">
        <v>73.5</v>
      </c>
      <c r="J61" s="3">
        <v>74.5</v>
      </c>
      <c r="K61" s="3">
        <v>70.5</v>
      </c>
      <c r="L61" s="3">
        <v>73.5</v>
      </c>
      <c r="M61" s="3">
        <v>75.5</v>
      </c>
      <c r="N61" s="3">
        <v>73.5</v>
      </c>
      <c r="O61" s="3">
        <v>91.5</v>
      </c>
      <c r="P61" s="3">
        <v>81</v>
      </c>
      <c r="Q61" s="3">
        <v>76</v>
      </c>
      <c r="R61" s="3">
        <v>77</v>
      </c>
      <c r="S61" s="3">
        <v>73</v>
      </c>
      <c r="T61" s="3">
        <v>75</v>
      </c>
      <c r="U61" s="3">
        <v>77</v>
      </c>
      <c r="V61" s="3">
        <v>70</v>
      </c>
      <c r="W61" s="3">
        <v>71.5</v>
      </c>
      <c r="X61" s="3">
        <v>78</v>
      </c>
      <c r="Y61" s="3">
        <v>79.5</v>
      </c>
      <c r="Z61" s="3">
        <v>64.5</v>
      </c>
      <c r="AA61" s="3">
        <v>74</v>
      </c>
      <c r="AB61" s="3">
        <v>67.5</v>
      </c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Q61" s="5">
        <f t="shared" si="63"/>
        <v>0.4</v>
      </c>
      <c r="AR61" s="5">
        <f t="shared" si="64"/>
        <v>0.2</v>
      </c>
      <c r="AS61" s="5">
        <f t="shared" si="65"/>
        <v>0.4</v>
      </c>
      <c r="AT61">
        <v>65.5</v>
      </c>
      <c r="AU61">
        <v>64</v>
      </c>
      <c r="AV61">
        <v>70</v>
      </c>
      <c r="AW61">
        <v>11</v>
      </c>
    </row>
    <row r="62" spans="1:49">
      <c r="A62">
        <v>8</v>
      </c>
      <c r="B62" s="3" t="s">
        <v>19</v>
      </c>
      <c r="C62" s="3">
        <f t="shared" si="62"/>
        <v>1836</v>
      </c>
      <c r="D62" s="3">
        <v>83</v>
      </c>
      <c r="E62" s="3">
        <v>75</v>
      </c>
      <c r="F62" s="3">
        <v>82</v>
      </c>
      <c r="G62" s="3">
        <v>78</v>
      </c>
      <c r="H62" s="3">
        <v>73</v>
      </c>
      <c r="I62" s="3">
        <v>73.5</v>
      </c>
      <c r="J62" s="3">
        <v>74</v>
      </c>
      <c r="K62" s="3">
        <v>66.5</v>
      </c>
      <c r="L62" s="3">
        <v>81.5</v>
      </c>
      <c r="M62" s="3">
        <v>65.5</v>
      </c>
      <c r="N62" s="3">
        <v>75</v>
      </c>
      <c r="O62" s="3">
        <v>75</v>
      </c>
      <c r="P62" s="3">
        <v>73.5</v>
      </c>
      <c r="Q62" s="3">
        <v>93</v>
      </c>
      <c r="R62" s="3">
        <v>69.5</v>
      </c>
      <c r="S62" s="3">
        <v>72.5</v>
      </c>
      <c r="T62" s="3">
        <v>83</v>
      </c>
      <c r="U62" s="3">
        <v>74</v>
      </c>
      <c r="V62" s="3">
        <v>73</v>
      </c>
      <c r="W62" s="3">
        <v>75</v>
      </c>
      <c r="X62" s="3">
        <v>74.5</v>
      </c>
      <c r="Y62" s="3">
        <v>79.5</v>
      </c>
      <c r="Z62" s="3">
        <v>82.5</v>
      </c>
      <c r="AA62" s="3">
        <v>84</v>
      </c>
      <c r="AB62" s="3">
        <v>75.5</v>
      </c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Q62" s="5">
        <f t="shared" si="63"/>
        <v>1</v>
      </c>
      <c r="AR62" s="5">
        <f t="shared" si="64"/>
        <v>0</v>
      </c>
      <c r="AS62" s="5">
        <f t="shared" si="65"/>
        <v>0</v>
      </c>
      <c r="AT62">
        <v>66</v>
      </c>
      <c r="AU62">
        <v>66.5</v>
      </c>
      <c r="AV62">
        <v>68</v>
      </c>
      <c r="AW62">
        <v>11</v>
      </c>
    </row>
    <row r="63" spans="1:49">
      <c r="A63">
        <v>9</v>
      </c>
      <c r="B63" s="3" t="s">
        <v>20</v>
      </c>
      <c r="C63" s="3">
        <f t="shared" si="62"/>
        <v>1864.5</v>
      </c>
      <c r="D63" s="3">
        <v>76.5</v>
      </c>
      <c r="E63" s="3">
        <v>74</v>
      </c>
      <c r="F63" s="3">
        <v>93</v>
      </c>
      <c r="G63" s="3">
        <v>68</v>
      </c>
      <c r="H63" s="3">
        <v>68</v>
      </c>
      <c r="I63" s="3">
        <v>91</v>
      </c>
      <c r="J63" s="3">
        <v>72.5</v>
      </c>
      <c r="K63" s="3">
        <v>94</v>
      </c>
      <c r="L63" s="3">
        <v>92</v>
      </c>
      <c r="M63" s="3">
        <v>69.5</v>
      </c>
      <c r="N63" s="3">
        <v>71.5</v>
      </c>
      <c r="O63" s="3">
        <v>67.5</v>
      </c>
      <c r="P63" s="3">
        <v>71.5</v>
      </c>
      <c r="Q63" s="3">
        <v>74</v>
      </c>
      <c r="R63" s="3">
        <v>76.5</v>
      </c>
      <c r="S63" s="3">
        <v>82.5</v>
      </c>
      <c r="T63" s="3">
        <v>68.5</v>
      </c>
      <c r="U63" s="3">
        <v>81</v>
      </c>
      <c r="V63" s="3">
        <v>79</v>
      </c>
      <c r="W63" s="3">
        <v>79.5</v>
      </c>
      <c r="X63" s="3">
        <v>72.5</v>
      </c>
      <c r="Y63" s="3">
        <v>83</v>
      </c>
      <c r="Z63" s="3">
        <v>80.5</v>
      </c>
      <c r="AA63" s="3">
        <v>78.5</v>
      </c>
      <c r="AB63" s="3">
        <v>82.5</v>
      </c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Q63" s="5">
        <f t="shared" si="63"/>
        <v>0.8</v>
      </c>
      <c r="AR63" s="5">
        <f t="shared" si="64"/>
        <v>0.2</v>
      </c>
      <c r="AS63" s="5">
        <f t="shared" si="65"/>
        <v>0</v>
      </c>
      <c r="AT63">
        <v>68</v>
      </c>
      <c r="AU63">
        <v>66.5</v>
      </c>
      <c r="AV63">
        <v>81.5</v>
      </c>
      <c r="AW63">
        <v>11</v>
      </c>
    </row>
    <row r="64" spans="1:49" ht="15">
      <c r="C64" s="20">
        <f>SUM(C54:C63)</f>
        <v>18337.5</v>
      </c>
      <c r="D64" s="20">
        <f>SUM(D54:D63)</f>
        <v>783</v>
      </c>
      <c r="E64" s="20">
        <f t="shared" ref="E64:Z64" si="66">SUM(E54:E63)</f>
        <v>785</v>
      </c>
      <c r="F64" s="20">
        <f t="shared" si="66"/>
        <v>777.5</v>
      </c>
      <c r="G64" s="20">
        <f t="shared" si="66"/>
        <v>764.5</v>
      </c>
      <c r="H64" s="20">
        <f t="shared" si="66"/>
        <v>780.5</v>
      </c>
      <c r="I64" s="20">
        <f t="shared" si="66"/>
        <v>761.5</v>
      </c>
      <c r="J64" s="20">
        <f t="shared" si="66"/>
        <v>736.5</v>
      </c>
      <c r="K64" s="20">
        <f t="shared" si="66"/>
        <v>732.5</v>
      </c>
      <c r="L64" s="20">
        <f t="shared" si="66"/>
        <v>772</v>
      </c>
      <c r="M64" s="20">
        <f t="shared" si="66"/>
        <v>737</v>
      </c>
      <c r="N64" s="20">
        <f t="shared" si="66"/>
        <v>747</v>
      </c>
      <c r="O64" s="20">
        <f t="shared" si="66"/>
        <v>788</v>
      </c>
      <c r="P64" s="20">
        <f t="shared" si="66"/>
        <v>759</v>
      </c>
      <c r="Q64" s="20">
        <f t="shared" si="66"/>
        <v>770.5</v>
      </c>
      <c r="R64" s="20">
        <f t="shared" si="66"/>
        <v>753</v>
      </c>
      <c r="S64" s="20">
        <f t="shared" si="66"/>
        <v>742</v>
      </c>
      <c r="T64" s="20">
        <f t="shared" si="66"/>
        <v>772.5</v>
      </c>
      <c r="U64" s="20">
        <f t="shared" si="66"/>
        <v>756.5</v>
      </c>
      <c r="V64" s="20">
        <f t="shared" si="66"/>
        <v>770</v>
      </c>
      <c r="W64" s="20">
        <f t="shared" si="66"/>
        <v>767.5</v>
      </c>
      <c r="X64" s="20">
        <f t="shared" si="66"/>
        <v>749</v>
      </c>
      <c r="Y64" s="20">
        <f t="shared" si="66"/>
        <v>788.5</v>
      </c>
      <c r="Z64" s="20">
        <f t="shared" si="66"/>
        <v>763</v>
      </c>
      <c r="AA64" s="20">
        <f>SUM(AA54:AA63)</f>
        <v>781</v>
      </c>
      <c r="AB64" s="20">
        <f t="shared" ref="AB64:AO64" si="67">SUM(AB54:AB63)</f>
        <v>752</v>
      </c>
      <c r="AC64" s="20">
        <f t="shared" si="67"/>
        <v>0</v>
      </c>
      <c r="AD64" s="20">
        <f t="shared" si="67"/>
        <v>0</v>
      </c>
      <c r="AE64" s="20">
        <f t="shared" si="67"/>
        <v>0</v>
      </c>
      <c r="AF64" s="20">
        <f t="shared" si="67"/>
        <v>0</v>
      </c>
      <c r="AG64" s="20">
        <f t="shared" si="67"/>
        <v>0</v>
      </c>
      <c r="AH64" s="20">
        <f t="shared" si="67"/>
        <v>0</v>
      </c>
      <c r="AI64" s="20">
        <f t="shared" si="67"/>
        <v>0</v>
      </c>
      <c r="AJ64" s="20">
        <f t="shared" si="67"/>
        <v>0</v>
      </c>
      <c r="AK64" s="20">
        <f t="shared" si="67"/>
        <v>0</v>
      </c>
      <c r="AL64" s="20">
        <f t="shared" si="67"/>
        <v>0</v>
      </c>
      <c r="AM64" s="20">
        <f t="shared" si="67"/>
        <v>0</v>
      </c>
      <c r="AN64" s="20">
        <f t="shared" si="67"/>
        <v>0</v>
      </c>
      <c r="AO64" s="20">
        <f t="shared" si="67"/>
        <v>0</v>
      </c>
      <c r="AQ64" s="5">
        <f t="shared" si="63"/>
        <v>0.6</v>
      </c>
      <c r="AR64" s="5">
        <f t="shared" si="64"/>
        <v>0</v>
      </c>
      <c r="AS64" s="5">
        <f t="shared" si="65"/>
        <v>0.4</v>
      </c>
      <c r="AT64">
        <v>61.5</v>
      </c>
      <c r="AU64">
        <v>61</v>
      </c>
      <c r="AV64">
        <v>79</v>
      </c>
      <c r="AW64">
        <v>11</v>
      </c>
    </row>
    <row r="65" spans="1:49">
      <c r="AQ65" s="16">
        <f>COUNTIF(W51:AA51,"&gt;0")/COUNT(W51:AA51)</f>
        <v>0.8</v>
      </c>
      <c r="AR65" s="16">
        <f t="shared" si="64"/>
        <v>0</v>
      </c>
      <c r="AS65" s="16">
        <f t="shared" si="65"/>
        <v>0.2</v>
      </c>
      <c r="AT65">
        <v>69.5</v>
      </c>
      <c r="AU65">
        <v>69.5</v>
      </c>
      <c r="AV65">
        <v>73.5</v>
      </c>
      <c r="AW65">
        <v>11</v>
      </c>
    </row>
    <row r="66" spans="1:49">
      <c r="D66" s="18">
        <v>1</v>
      </c>
      <c r="E66" s="18">
        <v>2</v>
      </c>
      <c r="F66" s="18">
        <v>3</v>
      </c>
      <c r="G66" s="18">
        <v>4</v>
      </c>
      <c r="H66" s="18">
        <v>5</v>
      </c>
      <c r="I66" s="18">
        <v>6</v>
      </c>
      <c r="J66" s="18">
        <v>7</v>
      </c>
      <c r="K66" s="18">
        <v>8</v>
      </c>
      <c r="L66" s="18">
        <v>9</v>
      </c>
      <c r="M66" s="18">
        <v>10</v>
      </c>
      <c r="N66" s="18">
        <v>11</v>
      </c>
      <c r="O66" s="18">
        <v>12</v>
      </c>
      <c r="P66" s="18">
        <v>13</v>
      </c>
      <c r="Q66" s="18">
        <v>14</v>
      </c>
      <c r="R66" s="18">
        <v>15</v>
      </c>
      <c r="S66" s="18">
        <v>16</v>
      </c>
      <c r="T66" s="18">
        <v>17</v>
      </c>
      <c r="U66" s="18">
        <v>18</v>
      </c>
      <c r="V66" s="18">
        <v>69.5</v>
      </c>
      <c r="W66" s="18">
        <v>20</v>
      </c>
      <c r="X66" s="18">
        <v>21</v>
      </c>
      <c r="Y66" s="18">
        <v>22</v>
      </c>
      <c r="Z66" s="18">
        <v>23</v>
      </c>
      <c r="AA66" s="18">
        <v>24</v>
      </c>
      <c r="AB66" s="18">
        <v>25</v>
      </c>
      <c r="AC66" s="18">
        <v>26</v>
      </c>
      <c r="AD66" s="18">
        <v>27</v>
      </c>
      <c r="AE66" s="18">
        <v>28</v>
      </c>
      <c r="AF66" s="18">
        <v>29</v>
      </c>
      <c r="AG66" s="18">
        <v>30</v>
      </c>
      <c r="AH66" s="18">
        <v>31</v>
      </c>
      <c r="AI66" s="18">
        <v>32</v>
      </c>
      <c r="AJ66" s="18">
        <v>33</v>
      </c>
      <c r="AK66" s="18">
        <v>34</v>
      </c>
      <c r="AL66" s="18">
        <v>35</v>
      </c>
      <c r="AM66" s="18">
        <v>36</v>
      </c>
      <c r="AN66" s="18">
        <v>37</v>
      </c>
      <c r="AO66" s="18">
        <v>38</v>
      </c>
      <c r="AQ66" s="15">
        <f>COUNTIF(W41:AA51,"&gt;0")/COUNT(W41:AA51)</f>
        <v>0.49090909090909091</v>
      </c>
      <c r="AR66" s="15">
        <f>COUNTIF(W41:AA51,"0")/COUNT(W41:AA51)</f>
        <v>0.18181818181818182</v>
      </c>
      <c r="AS66" s="15">
        <f>COUNTIF(W41:AA51,"&lt;0")/COUNT(W41:AA51)</f>
        <v>0.32727272727272727</v>
      </c>
      <c r="AT66">
        <v>69.5</v>
      </c>
      <c r="AU66">
        <v>66.5</v>
      </c>
      <c r="AV66">
        <v>73.5</v>
      </c>
      <c r="AW66">
        <v>11</v>
      </c>
    </row>
    <row r="67" spans="1:49">
      <c r="A67">
        <v>0</v>
      </c>
      <c r="B67" s="3" t="s">
        <v>12</v>
      </c>
      <c r="C67" s="3">
        <f>SUM(H67:AA67)</f>
        <v>132.5</v>
      </c>
      <c r="D67" s="3">
        <f t="shared" ref="D67:U67" si="68">D54-D2</f>
        <v>13</v>
      </c>
      <c r="E67" s="3">
        <f t="shared" si="68"/>
        <v>2.5</v>
      </c>
      <c r="F67" s="3">
        <f t="shared" si="68"/>
        <v>7.5</v>
      </c>
      <c r="G67" s="3">
        <f t="shared" si="68"/>
        <v>5.5</v>
      </c>
      <c r="H67" s="3">
        <f t="shared" si="68"/>
        <v>8.5</v>
      </c>
      <c r="I67" s="3">
        <f t="shared" si="68"/>
        <v>2</v>
      </c>
      <c r="J67" s="3">
        <f t="shared" si="68"/>
        <v>5</v>
      </c>
      <c r="K67" s="3">
        <f t="shared" si="68"/>
        <v>8.5</v>
      </c>
      <c r="L67" s="3">
        <f t="shared" si="68"/>
        <v>7</v>
      </c>
      <c r="M67" s="3">
        <f t="shared" si="68"/>
        <v>6.5</v>
      </c>
      <c r="N67" s="3">
        <f t="shared" si="68"/>
        <v>12.5</v>
      </c>
      <c r="O67" s="3">
        <f t="shared" si="68"/>
        <v>2.5</v>
      </c>
      <c r="P67" s="3">
        <f t="shared" si="68"/>
        <v>6</v>
      </c>
      <c r="Q67" s="3">
        <f t="shared" si="68"/>
        <v>4</v>
      </c>
      <c r="R67" s="3">
        <f t="shared" si="68"/>
        <v>10</v>
      </c>
      <c r="S67" s="3">
        <f t="shared" si="68"/>
        <v>6.5</v>
      </c>
      <c r="T67" s="3">
        <f t="shared" si="68"/>
        <v>1.5</v>
      </c>
      <c r="U67" s="3">
        <f t="shared" si="68"/>
        <v>9</v>
      </c>
      <c r="V67" s="3">
        <f t="shared" ref="V67:AA67" si="69">V54-V2</f>
        <v>13.5</v>
      </c>
      <c r="W67" s="3">
        <f t="shared" si="69"/>
        <v>6</v>
      </c>
      <c r="X67" s="3">
        <f t="shared" si="69"/>
        <v>5.5</v>
      </c>
      <c r="Y67" s="3">
        <f t="shared" si="69"/>
        <v>5.5</v>
      </c>
      <c r="Z67" s="3">
        <f t="shared" si="69"/>
        <v>4.5</v>
      </c>
      <c r="AA67" s="3">
        <f t="shared" si="69"/>
        <v>8</v>
      </c>
      <c r="AB67" s="3">
        <f t="shared" ref="AB67" si="70">AB54-AB2</f>
        <v>16</v>
      </c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T67">
        <v>87.5</v>
      </c>
      <c r="AU67">
        <v>86.5</v>
      </c>
      <c r="AV67">
        <v>91</v>
      </c>
      <c r="AW67">
        <v>11</v>
      </c>
    </row>
    <row r="68" spans="1:49">
      <c r="A68">
        <v>1</v>
      </c>
      <c r="B68" s="3" t="s">
        <v>13</v>
      </c>
      <c r="C68" s="3">
        <f t="shared" ref="C68:C76" si="71">SUM(H68:AA68)</f>
        <v>73</v>
      </c>
      <c r="D68" s="3">
        <f t="shared" ref="D68:U68" si="72">D55-D3</f>
        <v>8.5</v>
      </c>
      <c r="E68" s="3">
        <f t="shared" si="72"/>
        <v>4.5</v>
      </c>
      <c r="F68" s="3">
        <f t="shared" si="72"/>
        <v>4.5</v>
      </c>
      <c r="G68" s="3">
        <f t="shared" si="72"/>
        <v>5</v>
      </c>
      <c r="H68" s="3">
        <f t="shared" si="72"/>
        <v>3</v>
      </c>
      <c r="I68" s="3">
        <f t="shared" si="72"/>
        <v>3.5</v>
      </c>
      <c r="J68" s="3">
        <f t="shared" si="72"/>
        <v>5.5</v>
      </c>
      <c r="K68" s="3">
        <f t="shared" si="72"/>
        <v>5.5</v>
      </c>
      <c r="L68" s="3">
        <f t="shared" si="72"/>
        <v>5</v>
      </c>
      <c r="M68" s="3">
        <f t="shared" si="72"/>
        <v>4.5</v>
      </c>
      <c r="N68" s="3">
        <f t="shared" si="72"/>
        <v>4</v>
      </c>
      <c r="O68" s="3">
        <f t="shared" si="72"/>
        <v>2.5</v>
      </c>
      <c r="P68" s="3">
        <f t="shared" si="72"/>
        <v>1</v>
      </c>
      <c r="Q68" s="3">
        <f t="shared" si="72"/>
        <v>3</v>
      </c>
      <c r="R68" s="3">
        <f t="shared" si="72"/>
        <v>4.5</v>
      </c>
      <c r="S68" s="3">
        <f t="shared" si="72"/>
        <v>3</v>
      </c>
      <c r="T68" s="3">
        <f t="shared" si="72"/>
        <v>7</v>
      </c>
      <c r="U68" s="3">
        <f t="shared" si="72"/>
        <v>0</v>
      </c>
      <c r="V68" s="3">
        <f t="shared" ref="V68:AA68" si="73">V55-V3</f>
        <v>4</v>
      </c>
      <c r="W68" s="3">
        <f t="shared" si="73"/>
        <v>0</v>
      </c>
      <c r="X68" s="3">
        <f t="shared" si="73"/>
        <v>10.5</v>
      </c>
      <c r="Y68" s="3">
        <f t="shared" si="73"/>
        <v>2</v>
      </c>
      <c r="Z68" s="3">
        <f t="shared" si="73"/>
        <v>3.5</v>
      </c>
      <c r="AA68" s="3">
        <f t="shared" si="73"/>
        <v>1</v>
      </c>
      <c r="AB68" s="3">
        <f t="shared" ref="AB68" si="74">AB55-AB3</f>
        <v>1</v>
      </c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T68" t="s">
        <v>28</v>
      </c>
    </row>
    <row r="69" spans="1:49">
      <c r="A69">
        <v>2</v>
      </c>
      <c r="B69" s="3" t="s">
        <v>14</v>
      </c>
      <c r="C69" s="3">
        <f t="shared" si="71"/>
        <v>138</v>
      </c>
      <c r="D69" s="3">
        <f t="shared" ref="D69:U69" si="75">D56-D4</f>
        <v>7</v>
      </c>
      <c r="E69" s="3">
        <f t="shared" si="75"/>
        <v>6.5</v>
      </c>
      <c r="F69" s="3">
        <f t="shared" si="75"/>
        <v>5.5</v>
      </c>
      <c r="G69" s="3">
        <f t="shared" si="75"/>
        <v>6</v>
      </c>
      <c r="H69" s="3">
        <f t="shared" si="75"/>
        <v>8.5</v>
      </c>
      <c r="I69" s="3">
        <f t="shared" si="75"/>
        <v>8</v>
      </c>
      <c r="J69" s="3">
        <f t="shared" si="75"/>
        <v>5</v>
      </c>
      <c r="K69" s="3">
        <f t="shared" si="75"/>
        <v>8.5</v>
      </c>
      <c r="L69" s="3">
        <f t="shared" si="75"/>
        <v>5.5</v>
      </c>
      <c r="M69" s="3">
        <f t="shared" si="75"/>
        <v>8</v>
      </c>
      <c r="N69" s="3">
        <f t="shared" si="75"/>
        <v>12</v>
      </c>
      <c r="O69" s="3">
        <f t="shared" si="75"/>
        <v>16.5</v>
      </c>
      <c r="P69" s="3">
        <f t="shared" si="75"/>
        <v>5</v>
      </c>
      <c r="Q69" s="3">
        <f t="shared" si="75"/>
        <v>11.5</v>
      </c>
      <c r="R69" s="3">
        <f t="shared" si="75"/>
        <v>13</v>
      </c>
      <c r="S69" s="3">
        <f t="shared" si="75"/>
        <v>5</v>
      </c>
      <c r="T69" s="3">
        <f t="shared" si="75"/>
        <v>2</v>
      </c>
      <c r="U69" s="3">
        <f t="shared" si="75"/>
        <v>5</v>
      </c>
      <c r="V69" s="3">
        <f t="shared" ref="V69:AA69" si="76">V56-V4</f>
        <v>8</v>
      </c>
      <c r="W69" s="3">
        <f t="shared" si="76"/>
        <v>2.5</v>
      </c>
      <c r="X69" s="3">
        <f t="shared" si="76"/>
        <v>2</v>
      </c>
      <c r="Y69" s="3">
        <f t="shared" si="76"/>
        <v>2.5</v>
      </c>
      <c r="Z69" s="3">
        <f t="shared" si="76"/>
        <v>3.5</v>
      </c>
      <c r="AA69" s="3">
        <f t="shared" si="76"/>
        <v>6</v>
      </c>
      <c r="AB69" s="3">
        <f t="shared" ref="AB69" si="77">AB56-AB4</f>
        <v>5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T69">
        <v>70.5</v>
      </c>
      <c r="AU69">
        <v>73</v>
      </c>
      <c r="AV69">
        <v>78</v>
      </c>
      <c r="AW69">
        <v>11</v>
      </c>
    </row>
    <row r="70" spans="1:49">
      <c r="A70">
        <v>3</v>
      </c>
      <c r="B70" s="3" t="s">
        <v>15</v>
      </c>
      <c r="C70" s="3">
        <f t="shared" si="71"/>
        <v>131.5</v>
      </c>
      <c r="D70" s="3">
        <f t="shared" ref="D70:U70" si="78">D57-D5</f>
        <v>8.5</v>
      </c>
      <c r="E70" s="3">
        <f t="shared" si="78"/>
        <v>12</v>
      </c>
      <c r="F70" s="3">
        <f t="shared" si="78"/>
        <v>11.5</v>
      </c>
      <c r="G70" s="3">
        <f t="shared" si="78"/>
        <v>8.5</v>
      </c>
      <c r="H70" s="3">
        <f t="shared" si="78"/>
        <v>8</v>
      </c>
      <c r="I70" s="3">
        <f t="shared" si="78"/>
        <v>6</v>
      </c>
      <c r="J70" s="3">
        <f t="shared" si="78"/>
        <v>10.5</v>
      </c>
      <c r="K70" s="3">
        <f t="shared" si="78"/>
        <v>6</v>
      </c>
      <c r="L70" s="3">
        <f t="shared" si="78"/>
        <v>4</v>
      </c>
      <c r="M70" s="3">
        <f t="shared" si="78"/>
        <v>4.5</v>
      </c>
      <c r="N70" s="3">
        <f t="shared" si="78"/>
        <v>10</v>
      </c>
      <c r="O70" s="3">
        <f t="shared" si="78"/>
        <v>2</v>
      </c>
      <c r="P70" s="3">
        <f t="shared" si="78"/>
        <v>5.5</v>
      </c>
      <c r="Q70" s="3">
        <f t="shared" si="78"/>
        <v>12.5</v>
      </c>
      <c r="R70" s="3">
        <f t="shared" si="78"/>
        <v>7</v>
      </c>
      <c r="S70" s="3">
        <f t="shared" si="78"/>
        <v>2.5</v>
      </c>
      <c r="T70" s="3">
        <f t="shared" si="78"/>
        <v>5.5</v>
      </c>
      <c r="U70" s="3">
        <f t="shared" si="78"/>
        <v>12</v>
      </c>
      <c r="V70" s="3">
        <f t="shared" ref="V70:AA70" si="79">V57-V5</f>
        <v>5.5</v>
      </c>
      <c r="W70" s="3">
        <f t="shared" si="79"/>
        <v>3</v>
      </c>
      <c r="X70" s="3">
        <f t="shared" si="79"/>
        <v>12</v>
      </c>
      <c r="Y70" s="3">
        <f t="shared" si="79"/>
        <v>4.5</v>
      </c>
      <c r="Z70" s="3">
        <f t="shared" si="79"/>
        <v>3.5</v>
      </c>
      <c r="AA70" s="3">
        <f t="shared" si="79"/>
        <v>7</v>
      </c>
      <c r="AB70" s="3">
        <f t="shared" ref="AB70" si="80">AB57-AB5</f>
        <v>7</v>
      </c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T70">
        <v>64</v>
      </c>
      <c r="AU70">
        <v>65.5</v>
      </c>
      <c r="AV70">
        <v>71</v>
      </c>
      <c r="AW70">
        <v>11</v>
      </c>
    </row>
    <row r="71" spans="1:49">
      <c r="A71">
        <v>4</v>
      </c>
      <c r="B71" s="3" t="s">
        <v>17</v>
      </c>
      <c r="C71" s="3">
        <f t="shared" si="71"/>
        <v>77</v>
      </c>
      <c r="D71" s="3">
        <f t="shared" ref="D71:U71" si="81">D58-D6</f>
        <v>5</v>
      </c>
      <c r="E71" s="3">
        <f t="shared" si="81"/>
        <v>10</v>
      </c>
      <c r="F71" s="3">
        <f t="shared" si="81"/>
        <v>5.5</v>
      </c>
      <c r="G71" s="3">
        <f t="shared" si="81"/>
        <v>6</v>
      </c>
      <c r="H71" s="3">
        <f t="shared" si="81"/>
        <v>4.5</v>
      </c>
      <c r="I71" s="3">
        <f t="shared" si="81"/>
        <v>1.5</v>
      </c>
      <c r="J71" s="3">
        <f t="shared" si="81"/>
        <v>4</v>
      </c>
      <c r="K71" s="3">
        <f t="shared" si="81"/>
        <v>5</v>
      </c>
      <c r="L71" s="3">
        <f t="shared" si="81"/>
        <v>2.5</v>
      </c>
      <c r="M71" s="3">
        <f t="shared" si="81"/>
        <v>4</v>
      </c>
      <c r="N71" s="3">
        <f t="shared" si="81"/>
        <v>8</v>
      </c>
      <c r="O71" s="3">
        <f t="shared" si="81"/>
        <v>4</v>
      </c>
      <c r="P71" s="3">
        <f t="shared" si="81"/>
        <v>2.5</v>
      </c>
      <c r="Q71" s="3">
        <f t="shared" si="81"/>
        <v>6</v>
      </c>
      <c r="R71" s="3">
        <f t="shared" si="81"/>
        <v>4</v>
      </c>
      <c r="S71" s="3">
        <f t="shared" si="81"/>
        <v>3</v>
      </c>
      <c r="T71" s="3">
        <f t="shared" si="81"/>
        <v>6.5</v>
      </c>
      <c r="U71" s="3">
        <f t="shared" si="81"/>
        <v>2</v>
      </c>
      <c r="V71" s="3">
        <f t="shared" ref="V71:AA71" si="82">V58-V6</f>
        <v>0.5</v>
      </c>
      <c r="W71" s="3">
        <f t="shared" si="82"/>
        <v>1.5</v>
      </c>
      <c r="X71" s="3">
        <f t="shared" si="82"/>
        <v>6.5</v>
      </c>
      <c r="Y71" s="3">
        <f t="shared" si="82"/>
        <v>2</v>
      </c>
      <c r="Z71" s="3">
        <f t="shared" si="82"/>
        <v>2.5</v>
      </c>
      <c r="AA71" s="3">
        <f t="shared" si="82"/>
        <v>6.5</v>
      </c>
      <c r="AB71" s="3">
        <f t="shared" ref="AB71" si="83">AB58-AB6</f>
        <v>9.5</v>
      </c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T71">
        <v>73</v>
      </c>
      <c r="AU71">
        <v>72.5</v>
      </c>
      <c r="AV71">
        <v>77.5</v>
      </c>
      <c r="AW71">
        <v>11</v>
      </c>
    </row>
    <row r="72" spans="1:49">
      <c r="A72">
        <v>5</v>
      </c>
      <c r="B72" s="3" t="s">
        <v>16</v>
      </c>
      <c r="C72" s="3">
        <f t="shared" si="71"/>
        <v>178</v>
      </c>
      <c r="D72" s="3">
        <f t="shared" ref="D72:U72" si="84">D59-D7</f>
        <v>11</v>
      </c>
      <c r="E72" s="3">
        <f t="shared" si="84"/>
        <v>5.5</v>
      </c>
      <c r="F72" s="3">
        <f t="shared" si="84"/>
        <v>3</v>
      </c>
      <c r="G72" s="3">
        <f t="shared" si="84"/>
        <v>12</v>
      </c>
      <c r="H72" s="3">
        <f t="shared" si="84"/>
        <v>6.5</v>
      </c>
      <c r="I72" s="3">
        <f t="shared" si="84"/>
        <v>15</v>
      </c>
      <c r="J72" s="3">
        <f t="shared" si="84"/>
        <v>9.5</v>
      </c>
      <c r="K72" s="3">
        <f t="shared" si="84"/>
        <v>2</v>
      </c>
      <c r="L72" s="3">
        <f t="shared" si="84"/>
        <v>9</v>
      </c>
      <c r="M72" s="3">
        <f t="shared" si="84"/>
        <v>9.5</v>
      </c>
      <c r="N72" s="3">
        <f t="shared" si="84"/>
        <v>10.5</v>
      </c>
      <c r="O72" s="3">
        <f t="shared" si="84"/>
        <v>9.5</v>
      </c>
      <c r="P72" s="3">
        <f t="shared" si="84"/>
        <v>12</v>
      </c>
      <c r="Q72" s="3">
        <f t="shared" si="84"/>
        <v>5</v>
      </c>
      <c r="R72" s="3">
        <f t="shared" si="84"/>
        <v>5</v>
      </c>
      <c r="S72" s="3">
        <f t="shared" si="84"/>
        <v>5</v>
      </c>
      <c r="T72" s="3">
        <f t="shared" si="84"/>
        <v>6.5</v>
      </c>
      <c r="U72" s="3">
        <f t="shared" si="84"/>
        <v>20</v>
      </c>
      <c r="V72" s="3">
        <f t="shared" ref="V72:AA72" si="85">V59-V7</f>
        <v>16</v>
      </c>
      <c r="W72" s="3">
        <f t="shared" si="85"/>
        <v>6</v>
      </c>
      <c r="X72" s="3">
        <f t="shared" si="85"/>
        <v>4.5</v>
      </c>
      <c r="Y72" s="3">
        <f t="shared" si="85"/>
        <v>3.5</v>
      </c>
      <c r="Z72" s="3">
        <f t="shared" si="85"/>
        <v>12.5</v>
      </c>
      <c r="AA72" s="3">
        <f t="shared" si="85"/>
        <v>10.5</v>
      </c>
      <c r="AB72" s="3">
        <f t="shared" ref="AB72" si="86">AB59-AB7</f>
        <v>9</v>
      </c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T72">
        <v>64</v>
      </c>
      <c r="AU72">
        <v>66.5</v>
      </c>
      <c r="AV72">
        <v>77</v>
      </c>
      <c r="AW72">
        <v>11</v>
      </c>
    </row>
    <row r="73" spans="1:49">
      <c r="A73">
        <v>6</v>
      </c>
      <c r="B73" s="3" t="s">
        <v>18</v>
      </c>
      <c r="C73" s="3">
        <f t="shared" si="71"/>
        <v>111</v>
      </c>
      <c r="D73" s="3">
        <f t="shared" ref="D73:U73" si="87">D60-D8</f>
        <v>12</v>
      </c>
      <c r="E73" s="3">
        <f t="shared" si="87"/>
        <v>3</v>
      </c>
      <c r="F73" s="3">
        <f t="shared" si="87"/>
        <v>14.5</v>
      </c>
      <c r="G73" s="3">
        <f t="shared" si="87"/>
        <v>9.5</v>
      </c>
      <c r="H73" s="3">
        <f t="shared" si="87"/>
        <v>11</v>
      </c>
      <c r="I73" s="3">
        <f t="shared" si="87"/>
        <v>18</v>
      </c>
      <c r="J73" s="3">
        <f t="shared" si="87"/>
        <v>7</v>
      </c>
      <c r="K73" s="3">
        <f t="shared" si="87"/>
        <v>0</v>
      </c>
      <c r="L73" s="3">
        <f t="shared" si="87"/>
        <v>9.5</v>
      </c>
      <c r="M73" s="3">
        <f t="shared" si="87"/>
        <v>6.5</v>
      </c>
      <c r="N73" s="3">
        <f t="shared" si="87"/>
        <v>3</v>
      </c>
      <c r="O73" s="3">
        <f t="shared" si="87"/>
        <v>4</v>
      </c>
      <c r="P73" s="3">
        <f t="shared" si="87"/>
        <v>3.5</v>
      </c>
      <c r="Q73" s="3">
        <f t="shared" si="87"/>
        <v>2.5</v>
      </c>
      <c r="R73" s="3">
        <f t="shared" si="87"/>
        <v>6</v>
      </c>
      <c r="S73" s="3">
        <f t="shared" si="87"/>
        <v>4</v>
      </c>
      <c r="T73" s="3">
        <f t="shared" si="87"/>
        <v>1.5</v>
      </c>
      <c r="U73" s="3">
        <f t="shared" si="87"/>
        <v>2.5</v>
      </c>
      <c r="V73" s="3">
        <f t="shared" ref="V73:AA73" si="88">V60-V8</f>
        <v>4.5</v>
      </c>
      <c r="W73" s="3">
        <f t="shared" si="88"/>
        <v>10.5</v>
      </c>
      <c r="X73" s="3">
        <f t="shared" si="88"/>
        <v>3.5</v>
      </c>
      <c r="Y73" s="3">
        <f t="shared" si="88"/>
        <v>4.5</v>
      </c>
      <c r="Z73" s="3">
        <f t="shared" si="88"/>
        <v>5</v>
      </c>
      <c r="AA73" s="3">
        <f t="shared" si="88"/>
        <v>4</v>
      </c>
      <c r="AB73" s="3">
        <f t="shared" ref="AB73" si="89">AB60-AB8</f>
        <v>6.5</v>
      </c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T73">
        <v>61</v>
      </c>
      <c r="AU73">
        <v>62</v>
      </c>
      <c r="AV73">
        <v>66</v>
      </c>
      <c r="AW73">
        <v>11</v>
      </c>
    </row>
    <row r="74" spans="1:49">
      <c r="A74">
        <v>7</v>
      </c>
      <c r="B74" s="3" t="s">
        <v>21</v>
      </c>
      <c r="C74" s="3">
        <f t="shared" si="71"/>
        <v>125.5</v>
      </c>
      <c r="D74" s="3">
        <f t="shared" ref="D74:U74" si="90">D61-D9</f>
        <v>4.5</v>
      </c>
      <c r="E74" s="3">
        <f t="shared" si="90"/>
        <v>10.5</v>
      </c>
      <c r="F74" s="3">
        <f t="shared" si="90"/>
        <v>5</v>
      </c>
      <c r="G74" s="3">
        <f t="shared" si="90"/>
        <v>5.5</v>
      </c>
      <c r="H74" s="3">
        <f t="shared" si="90"/>
        <v>4</v>
      </c>
      <c r="I74" s="3">
        <f t="shared" si="90"/>
        <v>4</v>
      </c>
      <c r="J74" s="3">
        <f t="shared" si="90"/>
        <v>8</v>
      </c>
      <c r="K74" s="3">
        <f t="shared" si="90"/>
        <v>4.5</v>
      </c>
      <c r="L74" s="3">
        <f t="shared" si="90"/>
        <v>8.5</v>
      </c>
      <c r="M74" s="3">
        <f t="shared" si="90"/>
        <v>7.5</v>
      </c>
      <c r="N74" s="3">
        <f t="shared" si="90"/>
        <v>4.5</v>
      </c>
      <c r="O74" s="3">
        <f t="shared" si="90"/>
        <v>5.5</v>
      </c>
      <c r="P74" s="3">
        <f t="shared" si="90"/>
        <v>7.5</v>
      </c>
      <c r="Q74" s="3">
        <f t="shared" si="90"/>
        <v>8</v>
      </c>
      <c r="R74" s="3">
        <f t="shared" si="90"/>
        <v>5</v>
      </c>
      <c r="S74" s="3">
        <f t="shared" si="90"/>
        <v>6</v>
      </c>
      <c r="T74" s="3">
        <f t="shared" si="90"/>
        <v>9.5</v>
      </c>
      <c r="U74" s="3">
        <f t="shared" si="90"/>
        <v>8</v>
      </c>
      <c r="V74" s="3">
        <f t="shared" ref="V74:AA74" si="91">V61-V9</f>
        <v>3</v>
      </c>
      <c r="W74" s="3">
        <f t="shared" si="91"/>
        <v>4</v>
      </c>
      <c r="X74" s="3">
        <f t="shared" si="91"/>
        <v>14</v>
      </c>
      <c r="Y74" s="3">
        <f t="shared" si="91"/>
        <v>4.5</v>
      </c>
      <c r="Z74" s="3">
        <f t="shared" si="91"/>
        <v>5</v>
      </c>
      <c r="AA74" s="3">
        <f t="shared" si="91"/>
        <v>4.5</v>
      </c>
      <c r="AB74" s="3">
        <f t="shared" ref="AB74" si="92">AB61-AB9</f>
        <v>1.5</v>
      </c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T74">
        <v>63.5</v>
      </c>
      <c r="AU74">
        <v>61</v>
      </c>
      <c r="AV74">
        <v>70.5</v>
      </c>
      <c r="AW74">
        <v>11</v>
      </c>
    </row>
    <row r="75" spans="1:49">
      <c r="A75">
        <v>8</v>
      </c>
      <c r="B75" s="3" t="s">
        <v>19</v>
      </c>
      <c r="C75" s="3">
        <f t="shared" si="71"/>
        <v>144.5</v>
      </c>
      <c r="D75" s="3">
        <f t="shared" ref="D75:U75" si="93">D62-D10</f>
        <v>10</v>
      </c>
      <c r="E75" s="3">
        <f t="shared" si="93"/>
        <v>3.5</v>
      </c>
      <c r="F75" s="3">
        <f t="shared" si="93"/>
        <v>16.5</v>
      </c>
      <c r="G75" s="3">
        <f t="shared" si="93"/>
        <v>9.5</v>
      </c>
      <c r="H75" s="3">
        <f t="shared" si="93"/>
        <v>4.5</v>
      </c>
      <c r="I75" s="3">
        <f t="shared" si="93"/>
        <v>7</v>
      </c>
      <c r="J75" s="3">
        <f t="shared" si="93"/>
        <v>6</v>
      </c>
      <c r="K75" s="3">
        <f t="shared" si="93"/>
        <v>0.5</v>
      </c>
      <c r="L75" s="3">
        <f t="shared" si="93"/>
        <v>3.5</v>
      </c>
      <c r="M75" s="3">
        <f t="shared" si="93"/>
        <v>5.5</v>
      </c>
      <c r="N75" s="3">
        <f t="shared" si="93"/>
        <v>6.5</v>
      </c>
      <c r="O75" s="3">
        <f t="shared" si="93"/>
        <v>11</v>
      </c>
      <c r="P75" s="3">
        <f t="shared" si="93"/>
        <v>4.5</v>
      </c>
      <c r="Q75" s="3">
        <f t="shared" si="93"/>
        <v>22</v>
      </c>
      <c r="R75" s="3">
        <f t="shared" si="93"/>
        <v>6.5</v>
      </c>
      <c r="S75" s="3">
        <f t="shared" si="93"/>
        <v>4.5</v>
      </c>
      <c r="T75" s="3">
        <f t="shared" si="93"/>
        <v>8</v>
      </c>
      <c r="U75" s="3">
        <f t="shared" si="93"/>
        <v>7.5</v>
      </c>
      <c r="V75" s="3">
        <f t="shared" ref="V75:AA75" si="94">V62-V10</f>
        <v>8</v>
      </c>
      <c r="W75" s="3">
        <f t="shared" si="94"/>
        <v>6</v>
      </c>
      <c r="X75" s="3">
        <f t="shared" si="94"/>
        <v>11</v>
      </c>
      <c r="Y75" s="3">
        <f t="shared" si="94"/>
        <v>11.5</v>
      </c>
      <c r="Z75" s="3">
        <f t="shared" si="94"/>
        <v>3.5</v>
      </c>
      <c r="AA75" s="3">
        <f t="shared" si="94"/>
        <v>7</v>
      </c>
      <c r="AB75" s="3">
        <f t="shared" ref="AB75" si="95">AB62-AB10</f>
        <v>19.5</v>
      </c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T75">
        <v>68.5</v>
      </c>
      <c r="AU75">
        <v>68.5</v>
      </c>
      <c r="AV75">
        <v>75.5</v>
      </c>
      <c r="AW75">
        <v>11</v>
      </c>
    </row>
    <row r="76" spans="1:49">
      <c r="A76">
        <v>9</v>
      </c>
      <c r="B76" s="3" t="s">
        <v>20</v>
      </c>
      <c r="C76" s="3">
        <f t="shared" si="71"/>
        <v>121.5</v>
      </c>
      <c r="D76" s="3">
        <f t="shared" ref="D76:U76" si="96">D63-D11</f>
        <v>2.5</v>
      </c>
      <c r="E76" s="3">
        <f t="shared" si="96"/>
        <v>5</v>
      </c>
      <c r="F76" s="3">
        <f t="shared" si="96"/>
        <v>11</v>
      </c>
      <c r="G76" s="3">
        <f t="shared" si="96"/>
        <v>1</v>
      </c>
      <c r="H76" s="3">
        <f t="shared" si="96"/>
        <v>2</v>
      </c>
      <c r="I76" s="3">
        <f t="shared" si="96"/>
        <v>4.5</v>
      </c>
      <c r="J76" s="3">
        <f t="shared" si="96"/>
        <v>5</v>
      </c>
      <c r="K76" s="3">
        <f t="shared" si="96"/>
        <v>15</v>
      </c>
      <c r="L76" s="3">
        <f t="shared" si="96"/>
        <v>6.5</v>
      </c>
      <c r="M76" s="3">
        <f t="shared" si="96"/>
        <v>12</v>
      </c>
      <c r="N76" s="3">
        <f t="shared" si="96"/>
        <v>6</v>
      </c>
      <c r="O76" s="3">
        <f t="shared" si="96"/>
        <v>8</v>
      </c>
      <c r="P76" s="3">
        <f t="shared" si="96"/>
        <v>1.5</v>
      </c>
      <c r="Q76" s="3">
        <f t="shared" si="96"/>
        <v>6</v>
      </c>
      <c r="R76" s="3">
        <f t="shared" si="96"/>
        <v>11.5</v>
      </c>
      <c r="S76" s="3">
        <f t="shared" si="96"/>
        <v>8</v>
      </c>
      <c r="T76" s="3">
        <f t="shared" si="96"/>
        <v>3</v>
      </c>
      <c r="U76" s="3">
        <f t="shared" si="96"/>
        <v>5</v>
      </c>
      <c r="V76" s="3">
        <f t="shared" ref="V76:AA76" si="97">V63-V11</f>
        <v>4.5</v>
      </c>
      <c r="W76" s="3">
        <f t="shared" si="97"/>
        <v>3.5</v>
      </c>
      <c r="X76" s="3">
        <f t="shared" si="97"/>
        <v>4</v>
      </c>
      <c r="Y76" s="3">
        <f t="shared" si="97"/>
        <v>2</v>
      </c>
      <c r="Z76" s="3">
        <f t="shared" si="97"/>
        <v>6.5</v>
      </c>
      <c r="AA76" s="3">
        <f t="shared" si="97"/>
        <v>7</v>
      </c>
      <c r="AB76" s="3">
        <f t="shared" ref="AB76" si="98">AB63-AB11</f>
        <v>7</v>
      </c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T76">
        <v>68.5</v>
      </c>
      <c r="AU76">
        <v>66.5</v>
      </c>
      <c r="AV76">
        <v>74.5</v>
      </c>
      <c r="AW76">
        <v>11</v>
      </c>
    </row>
    <row r="77" spans="1:49" ht="15">
      <c r="C77" s="20">
        <f>SUM(C67:C76)</f>
        <v>1232.5</v>
      </c>
      <c r="D77" s="20">
        <f t="shared" ref="D77:U77" si="99">SUM(D67:D76)</f>
        <v>82</v>
      </c>
      <c r="E77" s="20">
        <f t="shared" si="99"/>
        <v>63</v>
      </c>
      <c r="F77" s="20">
        <f t="shared" si="99"/>
        <v>84.5</v>
      </c>
      <c r="G77" s="20">
        <f t="shared" si="99"/>
        <v>68.5</v>
      </c>
      <c r="H77" s="20">
        <f t="shared" si="99"/>
        <v>60.5</v>
      </c>
      <c r="I77" s="20">
        <f t="shared" si="99"/>
        <v>69.5</v>
      </c>
      <c r="J77" s="20">
        <f t="shared" si="99"/>
        <v>65.5</v>
      </c>
      <c r="K77" s="20">
        <f t="shared" si="99"/>
        <v>55.5</v>
      </c>
      <c r="L77" s="20">
        <f t="shared" si="99"/>
        <v>61</v>
      </c>
      <c r="M77" s="20">
        <f t="shared" si="99"/>
        <v>68.5</v>
      </c>
      <c r="N77" s="20">
        <f t="shared" si="99"/>
        <v>77</v>
      </c>
      <c r="O77" s="20">
        <f t="shared" si="99"/>
        <v>65.5</v>
      </c>
      <c r="P77" s="20">
        <f t="shared" si="99"/>
        <v>49</v>
      </c>
      <c r="Q77" s="20">
        <f t="shared" si="99"/>
        <v>80.5</v>
      </c>
      <c r="R77" s="20">
        <f t="shared" si="99"/>
        <v>72.5</v>
      </c>
      <c r="S77" s="20">
        <f t="shared" si="99"/>
        <v>47.5</v>
      </c>
      <c r="T77" s="20">
        <f t="shared" si="99"/>
        <v>51</v>
      </c>
      <c r="U77" s="20">
        <f t="shared" si="99"/>
        <v>71</v>
      </c>
      <c r="V77" s="20">
        <f t="shared" ref="V77" si="100">SUM(V67:V76)</f>
        <v>67.5</v>
      </c>
      <c r="W77" s="20">
        <f t="shared" ref="W77" si="101">SUM(W67:W76)</f>
        <v>43</v>
      </c>
      <c r="X77" s="20">
        <f t="shared" ref="X77" si="102">SUM(X67:X76)</f>
        <v>73.5</v>
      </c>
      <c r="Y77" s="20">
        <f t="shared" ref="Y77" si="103">SUM(Y67:Y76)</f>
        <v>42.5</v>
      </c>
      <c r="Z77" s="20">
        <f t="shared" ref="Z77" si="104">SUM(Z67:Z76)</f>
        <v>50</v>
      </c>
      <c r="AA77" s="20">
        <f t="shared" ref="AA77:AB77" si="105">SUM(AA67:AA76)</f>
        <v>61.5</v>
      </c>
      <c r="AB77" s="20">
        <f t="shared" si="105"/>
        <v>82</v>
      </c>
      <c r="AC77" s="20">
        <f t="shared" ref="AC77:AO77" si="106">SUM(AC67:AC76)</f>
        <v>0</v>
      </c>
      <c r="AD77" s="20">
        <f t="shared" si="106"/>
        <v>0</v>
      </c>
      <c r="AE77" s="20">
        <f t="shared" si="106"/>
        <v>0</v>
      </c>
      <c r="AF77" s="20">
        <f t="shared" si="106"/>
        <v>0</v>
      </c>
      <c r="AG77" s="20">
        <f t="shared" si="106"/>
        <v>0</v>
      </c>
      <c r="AH77" s="20">
        <f t="shared" si="106"/>
        <v>0</v>
      </c>
      <c r="AI77" s="20">
        <f t="shared" si="106"/>
        <v>0</v>
      </c>
      <c r="AJ77" s="20">
        <f t="shared" si="106"/>
        <v>0</v>
      </c>
      <c r="AK77" s="20">
        <f t="shared" si="106"/>
        <v>0</v>
      </c>
      <c r="AL77" s="20">
        <f t="shared" si="106"/>
        <v>0</v>
      </c>
      <c r="AM77" s="20">
        <f t="shared" si="106"/>
        <v>0</v>
      </c>
      <c r="AN77" s="20">
        <f t="shared" si="106"/>
        <v>0</v>
      </c>
      <c r="AO77" s="20">
        <f t="shared" si="106"/>
        <v>0</v>
      </c>
      <c r="AT77">
        <v>68.5</v>
      </c>
      <c r="AU77">
        <v>68</v>
      </c>
      <c r="AV77">
        <v>74</v>
      </c>
      <c r="AW77">
        <v>11</v>
      </c>
    </row>
    <row r="78" spans="1:49">
      <c r="AT78">
        <v>67</v>
      </c>
      <c r="AU78">
        <v>67.5</v>
      </c>
      <c r="AV78">
        <v>72.5</v>
      </c>
      <c r="AW78">
        <v>11</v>
      </c>
    </row>
    <row r="79" spans="1:49">
      <c r="D79" s="18">
        <v>1</v>
      </c>
      <c r="E79" s="18">
        <v>2</v>
      </c>
      <c r="F79" s="18">
        <v>3</v>
      </c>
      <c r="G79" s="18">
        <v>4</v>
      </c>
      <c r="H79" s="18">
        <v>5</v>
      </c>
      <c r="I79" s="18">
        <v>6</v>
      </c>
      <c r="J79" s="18">
        <v>7</v>
      </c>
      <c r="K79" s="18">
        <v>8</v>
      </c>
      <c r="L79" s="18">
        <v>9</v>
      </c>
      <c r="M79" s="18">
        <v>10</v>
      </c>
      <c r="N79" s="18">
        <v>11</v>
      </c>
      <c r="O79" s="18">
        <v>12</v>
      </c>
      <c r="P79" s="18">
        <v>13</v>
      </c>
      <c r="Q79" s="18">
        <v>14</v>
      </c>
      <c r="R79" s="18">
        <v>15</v>
      </c>
      <c r="S79" s="18">
        <v>16</v>
      </c>
      <c r="T79" s="18">
        <v>17</v>
      </c>
      <c r="U79" s="18">
        <v>18</v>
      </c>
      <c r="V79" s="18">
        <v>19</v>
      </c>
      <c r="W79" s="18">
        <v>20</v>
      </c>
      <c r="X79" s="18">
        <v>21</v>
      </c>
      <c r="Y79" s="18">
        <v>22</v>
      </c>
      <c r="Z79" s="18">
        <v>23</v>
      </c>
      <c r="AA79" s="18">
        <v>24</v>
      </c>
      <c r="AB79" s="18">
        <v>25</v>
      </c>
      <c r="AC79" s="18">
        <v>26</v>
      </c>
      <c r="AD79" s="18">
        <v>27</v>
      </c>
      <c r="AE79" s="18">
        <v>28</v>
      </c>
      <c r="AF79" s="18">
        <v>29</v>
      </c>
      <c r="AG79" s="18">
        <v>30</v>
      </c>
      <c r="AH79" s="18">
        <v>31</v>
      </c>
      <c r="AI79" s="18">
        <v>32</v>
      </c>
      <c r="AJ79" s="18">
        <v>33</v>
      </c>
      <c r="AK79" s="18">
        <v>34</v>
      </c>
      <c r="AL79" s="18">
        <v>35</v>
      </c>
      <c r="AM79" s="18">
        <v>36</v>
      </c>
      <c r="AN79" s="18">
        <v>37</v>
      </c>
      <c r="AO79" s="18">
        <v>38</v>
      </c>
      <c r="AT79" t="s">
        <v>29</v>
      </c>
    </row>
    <row r="80" spans="1:49">
      <c r="A80">
        <v>0</v>
      </c>
      <c r="B80" s="3" t="s">
        <v>12</v>
      </c>
      <c r="C80" s="3">
        <f>SUM(H80:AA80)</f>
        <v>125</v>
      </c>
      <c r="D80" s="3">
        <f t="shared" ref="D80:T80" si="107">D54-D15</f>
        <v>11.5</v>
      </c>
      <c r="E80" s="3">
        <f t="shared" si="107"/>
        <v>8.5</v>
      </c>
      <c r="F80" s="3">
        <f t="shared" si="107"/>
        <v>4</v>
      </c>
      <c r="G80" s="3">
        <f t="shared" si="107"/>
        <v>6.5</v>
      </c>
      <c r="H80" s="3">
        <f t="shared" si="107"/>
        <v>8</v>
      </c>
      <c r="I80" s="3">
        <f t="shared" si="107"/>
        <v>1</v>
      </c>
      <c r="J80" s="3">
        <f t="shared" si="107"/>
        <v>7.5</v>
      </c>
      <c r="K80" s="3">
        <f t="shared" si="107"/>
        <v>6</v>
      </c>
      <c r="L80" s="3">
        <f t="shared" si="107"/>
        <v>4</v>
      </c>
      <c r="M80" s="3">
        <f t="shared" si="107"/>
        <v>11.5</v>
      </c>
      <c r="N80" s="3">
        <f t="shared" si="107"/>
        <v>6</v>
      </c>
      <c r="O80" s="3">
        <f t="shared" si="107"/>
        <v>10.5</v>
      </c>
      <c r="P80" s="3">
        <f t="shared" si="107"/>
        <v>5</v>
      </c>
      <c r="Q80" s="3">
        <f t="shared" si="107"/>
        <v>7</v>
      </c>
      <c r="R80" s="3">
        <f t="shared" si="107"/>
        <v>7</v>
      </c>
      <c r="S80" s="3">
        <f t="shared" si="107"/>
        <v>3</v>
      </c>
      <c r="T80" s="3">
        <f t="shared" si="107"/>
        <v>1.5</v>
      </c>
      <c r="U80" s="3">
        <f t="shared" ref="U80:AA80" si="108">U54-U15</f>
        <v>5.5</v>
      </c>
      <c r="V80" s="3">
        <f t="shared" si="108"/>
        <v>12</v>
      </c>
      <c r="W80" s="3">
        <f t="shared" si="108"/>
        <v>8</v>
      </c>
      <c r="X80" s="3">
        <f t="shared" si="108"/>
        <v>6</v>
      </c>
      <c r="Y80" s="3">
        <f t="shared" si="108"/>
        <v>1.5</v>
      </c>
      <c r="Z80" s="3">
        <f t="shared" si="108"/>
        <v>6</v>
      </c>
      <c r="AA80" s="3">
        <f t="shared" si="108"/>
        <v>8</v>
      </c>
      <c r="AB80" s="3">
        <f t="shared" ref="AB80" si="109">AB54-AB15</f>
        <v>23.5</v>
      </c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T80">
        <v>65.5</v>
      </c>
      <c r="AU80">
        <v>63</v>
      </c>
      <c r="AV80">
        <v>71.5</v>
      </c>
      <c r="AW80">
        <v>11</v>
      </c>
    </row>
    <row r="81" spans="1:49">
      <c r="A81">
        <v>1</v>
      </c>
      <c r="B81" s="3" t="s">
        <v>13</v>
      </c>
      <c r="C81" s="3">
        <f t="shared" ref="C81:C89" si="110">SUM(H81:AA81)</f>
        <v>79</v>
      </c>
      <c r="D81" s="3">
        <f t="shared" ref="D81:T81" si="111">D55-D16</f>
        <v>7</v>
      </c>
      <c r="E81" s="3">
        <f t="shared" si="111"/>
        <v>6</v>
      </c>
      <c r="F81" s="3">
        <f t="shared" si="111"/>
        <v>5</v>
      </c>
      <c r="G81" s="3">
        <f t="shared" si="111"/>
        <v>5</v>
      </c>
      <c r="H81" s="3">
        <f t="shared" si="111"/>
        <v>6</v>
      </c>
      <c r="I81" s="3">
        <f t="shared" si="111"/>
        <v>4.5</v>
      </c>
      <c r="J81" s="3">
        <f t="shared" si="111"/>
        <v>7</v>
      </c>
      <c r="K81" s="3">
        <f t="shared" si="111"/>
        <v>2.5</v>
      </c>
      <c r="L81" s="3">
        <f t="shared" si="111"/>
        <v>7</v>
      </c>
      <c r="M81" s="3">
        <f t="shared" si="111"/>
        <v>5.5</v>
      </c>
      <c r="N81" s="3">
        <f t="shared" si="111"/>
        <v>3.5</v>
      </c>
      <c r="O81" s="3">
        <f t="shared" si="111"/>
        <v>0.5</v>
      </c>
      <c r="P81" s="3">
        <f t="shared" si="111"/>
        <v>1</v>
      </c>
      <c r="Q81" s="3">
        <f t="shared" si="111"/>
        <v>2.5</v>
      </c>
      <c r="R81" s="3">
        <f t="shared" si="111"/>
        <v>4</v>
      </c>
      <c r="S81" s="3">
        <f t="shared" si="111"/>
        <v>2</v>
      </c>
      <c r="T81" s="3">
        <f t="shared" si="111"/>
        <v>5.5</v>
      </c>
      <c r="U81" s="3">
        <f t="shared" ref="U81:AA81" si="112">U55-U16</f>
        <v>6.5</v>
      </c>
      <c r="V81" s="3">
        <f t="shared" si="112"/>
        <v>1.5</v>
      </c>
      <c r="W81" s="3">
        <f t="shared" si="112"/>
        <v>0</v>
      </c>
      <c r="X81" s="3">
        <f t="shared" si="112"/>
        <v>10</v>
      </c>
      <c r="Y81" s="3">
        <f t="shared" si="112"/>
        <v>4</v>
      </c>
      <c r="Z81" s="3">
        <f t="shared" si="112"/>
        <v>4.5</v>
      </c>
      <c r="AA81" s="3">
        <f t="shared" si="112"/>
        <v>1</v>
      </c>
      <c r="AB81" s="3">
        <f t="shared" ref="AB81" si="113">AB55-AB16</f>
        <v>1</v>
      </c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T81">
        <v>68.5</v>
      </c>
      <c r="AU81">
        <v>65.5</v>
      </c>
      <c r="AV81">
        <v>71</v>
      </c>
      <c r="AW81">
        <v>11</v>
      </c>
    </row>
    <row r="82" spans="1:49">
      <c r="A82">
        <v>2</v>
      </c>
      <c r="B82" s="3" t="s">
        <v>14</v>
      </c>
      <c r="C82" s="3">
        <f t="shared" si="110"/>
        <v>154</v>
      </c>
      <c r="D82" s="3">
        <f t="shared" ref="D82:T82" si="114">D56-D17</f>
        <v>6</v>
      </c>
      <c r="E82" s="3">
        <f t="shared" si="114"/>
        <v>6.5</v>
      </c>
      <c r="F82" s="3">
        <f t="shared" si="114"/>
        <v>6.5</v>
      </c>
      <c r="G82" s="3">
        <f t="shared" si="114"/>
        <v>5.5</v>
      </c>
      <c r="H82" s="3">
        <f t="shared" si="114"/>
        <v>5</v>
      </c>
      <c r="I82" s="3">
        <f t="shared" si="114"/>
        <v>6.5</v>
      </c>
      <c r="J82" s="3">
        <f t="shared" si="114"/>
        <v>4.5</v>
      </c>
      <c r="K82" s="3">
        <f t="shared" si="114"/>
        <v>13</v>
      </c>
      <c r="L82" s="3">
        <f t="shared" si="114"/>
        <v>10.5</v>
      </c>
      <c r="M82" s="3">
        <f t="shared" si="114"/>
        <v>11</v>
      </c>
      <c r="N82" s="3">
        <f t="shared" si="114"/>
        <v>8.5</v>
      </c>
      <c r="O82" s="3">
        <f t="shared" si="114"/>
        <v>3.5</v>
      </c>
      <c r="P82" s="3">
        <f t="shared" si="114"/>
        <v>20.5</v>
      </c>
      <c r="Q82" s="3">
        <f t="shared" si="114"/>
        <v>5.5</v>
      </c>
      <c r="R82" s="3">
        <f t="shared" si="114"/>
        <v>13.5</v>
      </c>
      <c r="S82" s="3">
        <f t="shared" si="114"/>
        <v>4.5</v>
      </c>
      <c r="T82" s="3">
        <f t="shared" si="114"/>
        <v>5.5</v>
      </c>
      <c r="U82" s="3">
        <f t="shared" ref="U82:AA82" si="115">U56-U17</f>
        <v>4</v>
      </c>
      <c r="V82" s="3">
        <f t="shared" si="115"/>
        <v>12</v>
      </c>
      <c r="W82" s="3">
        <f t="shared" si="115"/>
        <v>3</v>
      </c>
      <c r="X82" s="3">
        <f t="shared" si="115"/>
        <v>4.5</v>
      </c>
      <c r="Y82" s="3">
        <f t="shared" si="115"/>
        <v>3</v>
      </c>
      <c r="Z82" s="3">
        <f t="shared" si="115"/>
        <v>8</v>
      </c>
      <c r="AA82" s="3">
        <f t="shared" si="115"/>
        <v>7.5</v>
      </c>
      <c r="AB82" s="3">
        <f t="shared" ref="AB82" si="116">AB56-AB17</f>
        <v>8.5</v>
      </c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T82">
        <v>73</v>
      </c>
      <c r="AU82">
        <v>77.5</v>
      </c>
      <c r="AV82">
        <v>86</v>
      </c>
      <c r="AW82">
        <v>11</v>
      </c>
    </row>
    <row r="83" spans="1:49">
      <c r="A83">
        <v>3</v>
      </c>
      <c r="B83" s="3" t="s">
        <v>15</v>
      </c>
      <c r="C83" s="3">
        <f t="shared" si="110"/>
        <v>128</v>
      </c>
      <c r="D83" s="3">
        <f t="shared" ref="D83:T83" si="117">D57-D18</f>
        <v>5.5</v>
      </c>
      <c r="E83" s="3">
        <f t="shared" si="117"/>
        <v>13.5</v>
      </c>
      <c r="F83" s="3">
        <f t="shared" si="117"/>
        <v>10.5</v>
      </c>
      <c r="G83" s="3">
        <f t="shared" si="117"/>
        <v>8.5</v>
      </c>
      <c r="H83" s="3">
        <f t="shared" si="117"/>
        <v>8.5</v>
      </c>
      <c r="I83" s="3">
        <f t="shared" si="117"/>
        <v>4.5</v>
      </c>
      <c r="J83" s="3">
        <f t="shared" si="117"/>
        <v>13</v>
      </c>
      <c r="K83" s="3">
        <f t="shared" si="117"/>
        <v>4.5</v>
      </c>
      <c r="L83" s="3">
        <f t="shared" si="117"/>
        <v>2</v>
      </c>
      <c r="M83" s="3">
        <f t="shared" si="117"/>
        <v>4.5</v>
      </c>
      <c r="N83" s="3">
        <f t="shared" si="117"/>
        <v>6.5</v>
      </c>
      <c r="O83" s="3">
        <f t="shared" si="117"/>
        <v>7</v>
      </c>
      <c r="P83" s="3">
        <f t="shared" si="117"/>
        <v>8</v>
      </c>
      <c r="Q83" s="3">
        <f t="shared" si="117"/>
        <v>11.5</v>
      </c>
      <c r="R83" s="3">
        <f t="shared" si="117"/>
        <v>6.5</v>
      </c>
      <c r="S83" s="3">
        <f t="shared" si="117"/>
        <v>6</v>
      </c>
      <c r="T83" s="3">
        <f t="shared" si="117"/>
        <v>6.5</v>
      </c>
      <c r="U83" s="3">
        <f t="shared" ref="U83:AA83" si="118">U57-U18</f>
        <v>11.5</v>
      </c>
      <c r="V83" s="3">
        <f t="shared" si="118"/>
        <v>8</v>
      </c>
      <c r="W83" s="3">
        <f t="shared" si="118"/>
        <v>4.5</v>
      </c>
      <c r="X83" s="3">
        <f t="shared" si="118"/>
        <v>9.5</v>
      </c>
      <c r="Y83" s="3">
        <f t="shared" si="118"/>
        <v>0.5</v>
      </c>
      <c r="Z83" s="3">
        <f t="shared" si="118"/>
        <v>2</v>
      </c>
      <c r="AA83" s="3">
        <f t="shared" si="118"/>
        <v>3</v>
      </c>
      <c r="AB83" s="3">
        <f t="shared" ref="AB83" si="119">AB57-AB18</f>
        <v>6</v>
      </c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T83">
        <v>65.5</v>
      </c>
      <c r="AU83">
        <v>64</v>
      </c>
      <c r="AV83">
        <v>70</v>
      </c>
      <c r="AW83">
        <v>11</v>
      </c>
    </row>
    <row r="84" spans="1:49">
      <c r="A84">
        <v>4</v>
      </c>
      <c r="B84" s="3" t="s">
        <v>17</v>
      </c>
      <c r="C84" s="3">
        <f t="shared" si="110"/>
        <v>83.5</v>
      </c>
      <c r="D84" s="3">
        <f t="shared" ref="D84:T84" si="120">D58-D19</f>
        <v>5</v>
      </c>
      <c r="E84" s="3">
        <f t="shared" si="120"/>
        <v>10.5</v>
      </c>
      <c r="F84" s="3">
        <f t="shared" si="120"/>
        <v>2</v>
      </c>
      <c r="G84" s="3">
        <f t="shared" si="120"/>
        <v>4.5</v>
      </c>
      <c r="H84" s="3">
        <f t="shared" si="120"/>
        <v>6</v>
      </c>
      <c r="I84" s="3">
        <f t="shared" si="120"/>
        <v>2</v>
      </c>
      <c r="J84" s="3">
        <f t="shared" si="120"/>
        <v>5</v>
      </c>
      <c r="K84" s="3">
        <f t="shared" si="120"/>
        <v>3</v>
      </c>
      <c r="L84" s="3">
        <f t="shared" si="120"/>
        <v>2.5</v>
      </c>
      <c r="M84" s="3">
        <f t="shared" si="120"/>
        <v>3.5</v>
      </c>
      <c r="N84" s="3">
        <f t="shared" si="120"/>
        <v>5</v>
      </c>
      <c r="O84" s="3">
        <f t="shared" si="120"/>
        <v>5</v>
      </c>
      <c r="P84" s="3">
        <f t="shared" si="120"/>
        <v>5</v>
      </c>
      <c r="Q84" s="3">
        <f t="shared" si="120"/>
        <v>0.5</v>
      </c>
      <c r="R84" s="3">
        <f t="shared" si="120"/>
        <v>9.5</v>
      </c>
      <c r="S84" s="3">
        <f t="shared" si="120"/>
        <v>3</v>
      </c>
      <c r="T84" s="3">
        <f t="shared" si="120"/>
        <v>8.5</v>
      </c>
      <c r="U84" s="3">
        <f t="shared" ref="U84:AA84" si="121">U58-U19</f>
        <v>3</v>
      </c>
      <c r="V84" s="3">
        <f t="shared" si="121"/>
        <v>6</v>
      </c>
      <c r="W84" s="3">
        <f t="shared" si="121"/>
        <v>1.5</v>
      </c>
      <c r="X84" s="3">
        <f t="shared" si="121"/>
        <v>5.5</v>
      </c>
      <c r="Y84" s="3">
        <f t="shared" si="121"/>
        <v>0</v>
      </c>
      <c r="Z84" s="3">
        <f t="shared" si="121"/>
        <v>2.5</v>
      </c>
      <c r="AA84" s="3">
        <f t="shared" si="121"/>
        <v>6.5</v>
      </c>
      <c r="AB84" s="3">
        <f t="shared" ref="AB84" si="122">AB58-AB19</f>
        <v>8.5</v>
      </c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T84">
        <v>60.5</v>
      </c>
      <c r="AU84">
        <v>58.5</v>
      </c>
      <c r="AV84">
        <v>63.5</v>
      </c>
      <c r="AW84">
        <v>11</v>
      </c>
    </row>
    <row r="85" spans="1:49">
      <c r="A85">
        <v>5</v>
      </c>
      <c r="B85" s="3" t="s">
        <v>16</v>
      </c>
      <c r="C85" s="3">
        <f t="shared" si="110"/>
        <v>147.5</v>
      </c>
      <c r="D85" s="3">
        <f t="shared" ref="D85:T85" si="123">D59-D20</f>
        <v>14.5</v>
      </c>
      <c r="E85" s="3">
        <f t="shared" si="123"/>
        <v>8.5</v>
      </c>
      <c r="F85" s="3">
        <f t="shared" si="123"/>
        <v>5.5</v>
      </c>
      <c r="G85" s="3">
        <f t="shared" si="123"/>
        <v>14.5</v>
      </c>
      <c r="H85" s="3">
        <f t="shared" si="123"/>
        <v>5</v>
      </c>
      <c r="I85" s="3">
        <f t="shared" si="123"/>
        <v>13.5</v>
      </c>
      <c r="J85" s="3">
        <f t="shared" si="123"/>
        <v>7</v>
      </c>
      <c r="K85" s="3">
        <f t="shared" si="123"/>
        <v>4</v>
      </c>
      <c r="L85" s="3">
        <f t="shared" si="123"/>
        <v>4.5</v>
      </c>
      <c r="M85" s="3">
        <f t="shared" si="123"/>
        <v>2</v>
      </c>
      <c r="N85" s="3">
        <f t="shared" si="123"/>
        <v>15.5</v>
      </c>
      <c r="O85" s="3">
        <f t="shared" si="123"/>
        <v>7.5</v>
      </c>
      <c r="P85" s="3">
        <f t="shared" si="123"/>
        <v>11.5</v>
      </c>
      <c r="Q85" s="3">
        <f t="shared" si="123"/>
        <v>3</v>
      </c>
      <c r="R85" s="3">
        <f t="shared" si="123"/>
        <v>5</v>
      </c>
      <c r="S85" s="3">
        <f t="shared" si="123"/>
        <v>7.5</v>
      </c>
      <c r="T85" s="3">
        <f t="shared" si="123"/>
        <v>4</v>
      </c>
      <c r="U85" s="3">
        <f t="shared" ref="U85:AA85" si="124">U59-U20</f>
        <v>11.5</v>
      </c>
      <c r="V85" s="3">
        <f t="shared" si="124"/>
        <v>13.5</v>
      </c>
      <c r="W85" s="3">
        <f t="shared" si="124"/>
        <v>6</v>
      </c>
      <c r="X85" s="3">
        <f t="shared" si="124"/>
        <v>6</v>
      </c>
      <c r="Y85" s="3">
        <f t="shared" si="124"/>
        <v>3.5</v>
      </c>
      <c r="Z85" s="3">
        <f t="shared" si="124"/>
        <v>15</v>
      </c>
      <c r="AA85" s="3">
        <f t="shared" si="124"/>
        <v>2</v>
      </c>
      <c r="AB85" s="3">
        <f t="shared" ref="AB85" si="125">AB59-AB20</f>
        <v>7</v>
      </c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T85">
        <v>63.5</v>
      </c>
      <c r="AU85">
        <v>65.5</v>
      </c>
      <c r="AV85">
        <v>67.5</v>
      </c>
      <c r="AW85">
        <v>11</v>
      </c>
    </row>
    <row r="86" spans="1:49">
      <c r="A86">
        <v>6</v>
      </c>
      <c r="B86" s="3" t="s">
        <v>18</v>
      </c>
      <c r="C86" s="3">
        <f t="shared" si="110"/>
        <v>121</v>
      </c>
      <c r="D86" s="3">
        <f t="shared" ref="D86:T86" si="126">D60-D21</f>
        <v>12</v>
      </c>
      <c r="E86" s="3">
        <f t="shared" si="126"/>
        <v>6.5</v>
      </c>
      <c r="F86" s="3">
        <f t="shared" si="126"/>
        <v>14.5</v>
      </c>
      <c r="G86" s="3">
        <f t="shared" si="126"/>
        <v>8.5</v>
      </c>
      <c r="H86" s="3">
        <f t="shared" si="126"/>
        <v>6</v>
      </c>
      <c r="I86" s="3">
        <f t="shared" si="126"/>
        <v>17.5</v>
      </c>
      <c r="J86" s="3">
        <f t="shared" si="126"/>
        <v>7</v>
      </c>
      <c r="K86" s="3">
        <f t="shared" si="126"/>
        <v>0.5</v>
      </c>
      <c r="L86" s="3">
        <f t="shared" si="126"/>
        <v>8.5</v>
      </c>
      <c r="M86" s="3">
        <f t="shared" si="126"/>
        <v>7</v>
      </c>
      <c r="N86" s="3">
        <f t="shared" si="126"/>
        <v>4</v>
      </c>
      <c r="O86" s="3">
        <f t="shared" si="126"/>
        <v>12</v>
      </c>
      <c r="P86" s="3">
        <f t="shared" si="126"/>
        <v>2.5</v>
      </c>
      <c r="Q86" s="3">
        <f t="shared" si="126"/>
        <v>6.5</v>
      </c>
      <c r="R86" s="3">
        <f t="shared" si="126"/>
        <v>6.5</v>
      </c>
      <c r="S86" s="3">
        <f t="shared" si="126"/>
        <v>6.5</v>
      </c>
      <c r="T86" s="3">
        <f t="shared" si="126"/>
        <v>4.5</v>
      </c>
      <c r="U86" s="3">
        <f t="shared" ref="U86:AA86" si="127">U60-U21</f>
        <v>3.5</v>
      </c>
      <c r="V86" s="3">
        <f t="shared" si="127"/>
        <v>1.5</v>
      </c>
      <c r="W86" s="3">
        <f t="shared" si="127"/>
        <v>6</v>
      </c>
      <c r="X86" s="3">
        <f t="shared" si="127"/>
        <v>9</v>
      </c>
      <c r="Y86" s="3">
        <f t="shared" si="127"/>
        <v>2.5</v>
      </c>
      <c r="Z86" s="3">
        <f t="shared" si="127"/>
        <v>5.5</v>
      </c>
      <c r="AA86" s="3">
        <f t="shared" si="127"/>
        <v>4</v>
      </c>
      <c r="AB86" s="3">
        <f t="shared" ref="AB86" si="128">AB60-AB21</f>
        <v>8.5</v>
      </c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T86">
        <v>71.5</v>
      </c>
      <c r="AU86">
        <v>72</v>
      </c>
      <c r="AV86">
        <v>72</v>
      </c>
      <c r="AW86">
        <v>11</v>
      </c>
    </row>
    <row r="87" spans="1:49">
      <c r="A87">
        <v>7</v>
      </c>
      <c r="B87" s="3" t="s">
        <v>21</v>
      </c>
      <c r="C87" s="3">
        <f t="shared" si="110"/>
        <v>116</v>
      </c>
      <c r="D87" s="3">
        <f t="shared" ref="D87:T87" si="129">D61-D22</f>
        <v>9.5</v>
      </c>
      <c r="E87" s="3">
        <f t="shared" si="129"/>
        <v>11</v>
      </c>
      <c r="F87" s="3">
        <f t="shared" si="129"/>
        <v>5.5</v>
      </c>
      <c r="G87" s="3">
        <f t="shared" si="129"/>
        <v>10</v>
      </c>
      <c r="H87" s="3">
        <f t="shared" si="129"/>
        <v>3.5</v>
      </c>
      <c r="I87" s="3">
        <f t="shared" si="129"/>
        <v>4</v>
      </c>
      <c r="J87" s="3">
        <f t="shared" si="129"/>
        <v>6</v>
      </c>
      <c r="K87" s="3">
        <f t="shared" si="129"/>
        <v>3.5</v>
      </c>
      <c r="L87" s="3">
        <f t="shared" si="129"/>
        <v>8.5</v>
      </c>
      <c r="M87" s="3">
        <f t="shared" si="129"/>
        <v>6.5</v>
      </c>
      <c r="N87" s="3">
        <f t="shared" si="129"/>
        <v>3</v>
      </c>
      <c r="O87" s="3">
        <f t="shared" si="129"/>
        <v>14</v>
      </c>
      <c r="P87" s="3">
        <f t="shared" si="129"/>
        <v>9.5</v>
      </c>
      <c r="Q87" s="3">
        <f t="shared" si="129"/>
        <v>4.5</v>
      </c>
      <c r="R87" s="3">
        <f t="shared" si="129"/>
        <v>12.5</v>
      </c>
      <c r="S87" s="3">
        <f t="shared" si="129"/>
        <v>3.5</v>
      </c>
      <c r="T87" s="3">
        <f t="shared" si="129"/>
        <v>9.5</v>
      </c>
      <c r="U87" s="3">
        <f t="shared" ref="U87:AA87" si="130">U61-U22</f>
        <v>8</v>
      </c>
      <c r="V87" s="3">
        <f t="shared" si="130"/>
        <v>2</v>
      </c>
      <c r="W87" s="3">
        <f t="shared" si="130"/>
        <v>3.5</v>
      </c>
      <c r="X87" s="3">
        <f t="shared" si="130"/>
        <v>4.5</v>
      </c>
      <c r="Y87" s="3">
        <f t="shared" si="130"/>
        <v>3.5</v>
      </c>
      <c r="Z87" s="3">
        <f t="shared" si="130"/>
        <v>4</v>
      </c>
      <c r="AA87" s="3">
        <f t="shared" si="130"/>
        <v>2</v>
      </c>
      <c r="AB87" s="3">
        <f t="shared" ref="AB87" si="131">AB61-AB22</f>
        <v>6.5</v>
      </c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T87">
        <v>67</v>
      </c>
      <c r="AU87">
        <v>66</v>
      </c>
      <c r="AV87">
        <v>70.5</v>
      </c>
      <c r="AW87">
        <v>11</v>
      </c>
    </row>
    <row r="88" spans="1:49">
      <c r="A88">
        <v>8</v>
      </c>
      <c r="B88" s="3" t="s">
        <v>19</v>
      </c>
      <c r="C88" s="3">
        <f t="shared" si="110"/>
        <v>111.5</v>
      </c>
      <c r="D88" s="3">
        <f t="shared" ref="D88:T88" si="132">D62-D23</f>
        <v>10.5</v>
      </c>
      <c r="E88" s="3">
        <f t="shared" si="132"/>
        <v>10</v>
      </c>
      <c r="F88" s="3">
        <f t="shared" si="132"/>
        <v>15.5</v>
      </c>
      <c r="G88" s="3">
        <f t="shared" si="132"/>
        <v>4</v>
      </c>
      <c r="H88" s="3">
        <f t="shared" si="132"/>
        <v>6</v>
      </c>
      <c r="I88" s="3">
        <f t="shared" si="132"/>
        <v>4</v>
      </c>
      <c r="J88" s="3">
        <f t="shared" si="132"/>
        <v>5.5</v>
      </c>
      <c r="K88" s="3">
        <f t="shared" si="132"/>
        <v>0.5</v>
      </c>
      <c r="L88" s="3">
        <f t="shared" si="132"/>
        <v>5.5</v>
      </c>
      <c r="M88" s="3">
        <f t="shared" si="132"/>
        <v>5</v>
      </c>
      <c r="N88" s="3">
        <f t="shared" si="132"/>
        <v>4.5</v>
      </c>
      <c r="O88" s="3">
        <f t="shared" si="132"/>
        <v>7</v>
      </c>
      <c r="P88" s="3">
        <f t="shared" si="132"/>
        <v>5.5</v>
      </c>
      <c r="Q88" s="3">
        <f t="shared" si="132"/>
        <v>17</v>
      </c>
      <c r="R88" s="3">
        <f t="shared" si="132"/>
        <v>5.5</v>
      </c>
      <c r="S88" s="3">
        <f t="shared" si="132"/>
        <v>2.5</v>
      </c>
      <c r="T88" s="3">
        <f t="shared" si="132"/>
        <v>5.5</v>
      </c>
      <c r="U88" s="3">
        <f t="shared" ref="U88:AA88" si="133">U62-U23</f>
        <v>1.5</v>
      </c>
      <c r="V88" s="3">
        <f t="shared" si="133"/>
        <v>7.5</v>
      </c>
      <c r="W88" s="3">
        <f t="shared" si="133"/>
        <v>5</v>
      </c>
      <c r="X88" s="3">
        <f t="shared" si="133"/>
        <v>5.5</v>
      </c>
      <c r="Y88" s="3">
        <f t="shared" si="133"/>
        <v>9.5</v>
      </c>
      <c r="Z88" s="3">
        <f t="shared" si="133"/>
        <v>1.5</v>
      </c>
      <c r="AA88" s="3">
        <f t="shared" si="133"/>
        <v>7</v>
      </c>
      <c r="AB88" s="3">
        <f t="shared" ref="AB88" si="134">AB62-AB23</f>
        <v>19.5</v>
      </c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T88">
        <v>66</v>
      </c>
      <c r="AU88">
        <v>66</v>
      </c>
      <c r="AV88">
        <v>66.5</v>
      </c>
      <c r="AW88">
        <v>11</v>
      </c>
    </row>
    <row r="89" spans="1:49">
      <c r="A89">
        <v>9</v>
      </c>
      <c r="B89" s="3" t="s">
        <v>20</v>
      </c>
      <c r="C89" s="3">
        <f t="shared" si="110"/>
        <v>117.5</v>
      </c>
      <c r="D89" s="3">
        <f t="shared" ref="D89:T89" si="135">D63-D24</f>
        <v>4.5</v>
      </c>
      <c r="E89" s="3">
        <f t="shared" si="135"/>
        <v>5.5</v>
      </c>
      <c r="F89" s="3">
        <f t="shared" si="135"/>
        <v>20</v>
      </c>
      <c r="G89" s="3">
        <f t="shared" si="135"/>
        <v>1.5</v>
      </c>
      <c r="H89" s="3">
        <f t="shared" si="135"/>
        <v>2</v>
      </c>
      <c r="I89" s="3">
        <f t="shared" si="135"/>
        <v>3.5</v>
      </c>
      <c r="J89" s="3">
        <f t="shared" si="135"/>
        <v>5.5</v>
      </c>
      <c r="K89" s="3">
        <f t="shared" si="135"/>
        <v>9</v>
      </c>
      <c r="L89" s="3">
        <f t="shared" si="135"/>
        <v>9.5</v>
      </c>
      <c r="M89" s="3">
        <f t="shared" si="135"/>
        <v>5.5</v>
      </c>
      <c r="N89" s="3">
        <f t="shared" si="135"/>
        <v>6.5</v>
      </c>
      <c r="O89" s="3">
        <f t="shared" si="135"/>
        <v>5</v>
      </c>
      <c r="P89" s="3">
        <f t="shared" si="135"/>
        <v>2</v>
      </c>
      <c r="Q89" s="3">
        <f t="shared" si="135"/>
        <v>8.5</v>
      </c>
      <c r="R89" s="3">
        <f t="shared" si="135"/>
        <v>5.5</v>
      </c>
      <c r="S89" s="3">
        <f t="shared" si="135"/>
        <v>13</v>
      </c>
      <c r="T89" s="3">
        <f t="shared" si="135"/>
        <v>4</v>
      </c>
      <c r="U89" s="3">
        <f t="shared" ref="U89:AA89" si="136">U63-U24</f>
        <v>8.5</v>
      </c>
      <c r="V89" s="3">
        <f t="shared" si="136"/>
        <v>7.5</v>
      </c>
      <c r="W89" s="3">
        <f t="shared" si="136"/>
        <v>2</v>
      </c>
      <c r="X89" s="3">
        <f t="shared" si="136"/>
        <v>3.5</v>
      </c>
      <c r="Y89" s="3">
        <f t="shared" si="136"/>
        <v>3.5</v>
      </c>
      <c r="Z89" s="3">
        <f t="shared" si="136"/>
        <v>3</v>
      </c>
      <c r="AA89" s="3">
        <f t="shared" si="136"/>
        <v>10</v>
      </c>
      <c r="AB89" s="3">
        <f t="shared" ref="AB89" si="137">AB63-AB24</f>
        <v>4.5</v>
      </c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T89">
        <v>85</v>
      </c>
      <c r="AU89">
        <v>79</v>
      </c>
      <c r="AV89">
        <v>94</v>
      </c>
      <c r="AW89">
        <v>11</v>
      </c>
    </row>
    <row r="90" spans="1:49" ht="15">
      <c r="C90" s="20">
        <f>SUM(C80:C89)</f>
        <v>1183</v>
      </c>
      <c r="D90" s="20">
        <f t="shared" ref="D90:T90" si="138">SUM(D80:D89)</f>
        <v>86</v>
      </c>
      <c r="E90" s="20">
        <f t="shared" si="138"/>
        <v>86.5</v>
      </c>
      <c r="F90" s="20">
        <f t="shared" si="138"/>
        <v>89</v>
      </c>
      <c r="G90" s="20">
        <f t="shared" si="138"/>
        <v>68.5</v>
      </c>
      <c r="H90" s="20">
        <f t="shared" si="138"/>
        <v>56</v>
      </c>
      <c r="I90" s="20">
        <f t="shared" si="138"/>
        <v>61</v>
      </c>
      <c r="J90" s="20">
        <f t="shared" si="138"/>
        <v>68</v>
      </c>
      <c r="K90" s="20">
        <f t="shared" si="138"/>
        <v>46.5</v>
      </c>
      <c r="L90" s="20">
        <f t="shared" si="138"/>
        <v>62.5</v>
      </c>
      <c r="M90" s="20">
        <f t="shared" si="138"/>
        <v>62</v>
      </c>
      <c r="N90" s="20">
        <f t="shared" si="138"/>
        <v>63</v>
      </c>
      <c r="O90" s="20">
        <f t="shared" si="138"/>
        <v>72</v>
      </c>
      <c r="P90" s="20">
        <f t="shared" si="138"/>
        <v>70.5</v>
      </c>
      <c r="Q90" s="20">
        <f t="shared" si="138"/>
        <v>66.5</v>
      </c>
      <c r="R90" s="20">
        <f t="shared" si="138"/>
        <v>75.5</v>
      </c>
      <c r="S90" s="20">
        <f t="shared" si="138"/>
        <v>51.5</v>
      </c>
      <c r="T90" s="20">
        <f t="shared" si="138"/>
        <v>55</v>
      </c>
      <c r="U90" s="20">
        <f t="shared" ref="U90:AA90" si="139">SUM(U80:U89)</f>
        <v>63.5</v>
      </c>
      <c r="V90" s="20">
        <f t="shared" si="139"/>
        <v>71.5</v>
      </c>
      <c r="W90" s="20">
        <f t="shared" si="139"/>
        <v>39.5</v>
      </c>
      <c r="X90" s="20">
        <f t="shared" si="139"/>
        <v>64</v>
      </c>
      <c r="Y90" s="20">
        <f t="shared" si="139"/>
        <v>31.5</v>
      </c>
      <c r="Z90" s="20">
        <f t="shared" si="139"/>
        <v>52</v>
      </c>
      <c r="AA90" s="20">
        <f t="shared" si="139"/>
        <v>51</v>
      </c>
      <c r="AB90" s="20">
        <f t="shared" ref="AB90" si="140">SUM(AB80:AB89)</f>
        <v>93.5</v>
      </c>
      <c r="AC90" s="20">
        <f t="shared" ref="AC90:AO90" si="141">SUM(AC80:AC89)</f>
        <v>0</v>
      </c>
      <c r="AD90" s="20">
        <f t="shared" si="141"/>
        <v>0</v>
      </c>
      <c r="AE90" s="20">
        <f t="shared" si="141"/>
        <v>0</v>
      </c>
      <c r="AF90" s="20">
        <f t="shared" si="141"/>
        <v>0</v>
      </c>
      <c r="AG90" s="20">
        <f t="shared" si="141"/>
        <v>0</v>
      </c>
      <c r="AH90" s="20">
        <f t="shared" si="141"/>
        <v>0</v>
      </c>
      <c r="AI90" s="20">
        <f t="shared" si="141"/>
        <v>0</v>
      </c>
      <c r="AJ90" s="20">
        <f t="shared" si="141"/>
        <v>0</v>
      </c>
      <c r="AK90" s="20">
        <f t="shared" si="141"/>
        <v>0</v>
      </c>
      <c r="AL90" s="20">
        <f t="shared" si="141"/>
        <v>0</v>
      </c>
      <c r="AM90" s="20">
        <f t="shared" si="141"/>
        <v>0</v>
      </c>
      <c r="AN90" s="20">
        <f t="shared" si="141"/>
        <v>0</v>
      </c>
      <c r="AO90" s="20">
        <f t="shared" si="141"/>
        <v>0</v>
      </c>
      <c r="AT90" t="s">
        <v>30</v>
      </c>
    </row>
    <row r="91" spans="1:49">
      <c r="AT91">
        <v>70</v>
      </c>
      <c r="AU91">
        <v>67</v>
      </c>
      <c r="AV91">
        <v>74</v>
      </c>
      <c r="AW91">
        <v>11</v>
      </c>
    </row>
    <row r="92" spans="1:49">
      <c r="AT92">
        <v>68</v>
      </c>
      <c r="AU92">
        <v>70</v>
      </c>
      <c r="AV92">
        <v>75</v>
      </c>
      <c r="AW92">
        <v>11</v>
      </c>
    </row>
    <row r="93" spans="1:49">
      <c r="AT93">
        <v>67</v>
      </c>
      <c r="AU93">
        <v>72</v>
      </c>
      <c r="AV93">
        <v>77.5</v>
      </c>
      <c r="AW93">
        <v>11</v>
      </c>
    </row>
    <row r="94" spans="1:49">
      <c r="AT94">
        <v>72</v>
      </c>
      <c r="AU94">
        <v>70</v>
      </c>
      <c r="AV94">
        <v>74</v>
      </c>
      <c r="AW94">
        <v>11</v>
      </c>
    </row>
    <row r="95" spans="1:49">
      <c r="AT95">
        <v>68</v>
      </c>
      <c r="AU95">
        <v>68</v>
      </c>
      <c r="AV95">
        <v>70.5</v>
      </c>
      <c r="AW95">
        <v>11</v>
      </c>
    </row>
    <row r="96" spans="1:49">
      <c r="AT96">
        <v>70.5</v>
      </c>
      <c r="AU96">
        <v>66</v>
      </c>
      <c r="AV96">
        <v>75</v>
      </c>
      <c r="AW96">
        <v>11</v>
      </c>
    </row>
    <row r="97" spans="46:49">
      <c r="AT97">
        <v>70.5</v>
      </c>
      <c r="AU97">
        <v>69.5</v>
      </c>
      <c r="AV97">
        <v>79</v>
      </c>
      <c r="AW97">
        <v>11</v>
      </c>
    </row>
    <row r="98" spans="46:49">
      <c r="AT98">
        <v>65</v>
      </c>
      <c r="AU98">
        <v>65</v>
      </c>
      <c r="AV98">
        <v>73.5</v>
      </c>
      <c r="AW98">
        <v>11</v>
      </c>
    </row>
    <row r="99" spans="46:49">
      <c r="AT99">
        <v>76</v>
      </c>
      <c r="AU99">
        <v>78</v>
      </c>
      <c r="AV99">
        <v>81.5</v>
      </c>
      <c r="AW99">
        <v>11</v>
      </c>
    </row>
    <row r="100" spans="46:49">
      <c r="AT100">
        <v>82.5</v>
      </c>
      <c r="AU100">
        <v>85.5</v>
      </c>
      <c r="AV100">
        <v>92</v>
      </c>
      <c r="AW100">
        <v>11</v>
      </c>
    </row>
    <row r="101" spans="46:49">
      <c r="AT101" t="s">
        <v>31</v>
      </c>
    </row>
    <row r="102" spans="46:49">
      <c r="AT102">
        <v>61.5</v>
      </c>
      <c r="AU102">
        <v>66.5</v>
      </c>
      <c r="AV102">
        <v>73</v>
      </c>
      <c r="AW102">
        <v>11</v>
      </c>
    </row>
    <row r="103" spans="46:49">
      <c r="AT103">
        <v>76.5</v>
      </c>
      <c r="AU103">
        <v>77.5</v>
      </c>
      <c r="AV103">
        <v>82</v>
      </c>
      <c r="AW103">
        <v>11</v>
      </c>
    </row>
    <row r="104" spans="46:49">
      <c r="AT104">
        <v>75</v>
      </c>
      <c r="AU104">
        <v>78</v>
      </c>
      <c r="AV104">
        <v>86</v>
      </c>
      <c r="AW104">
        <v>11</v>
      </c>
    </row>
    <row r="105" spans="46:49">
      <c r="AT105">
        <v>63.5</v>
      </c>
      <c r="AU105">
        <v>63.5</v>
      </c>
      <c r="AV105">
        <v>68</v>
      </c>
      <c r="AW105">
        <v>11</v>
      </c>
    </row>
    <row r="106" spans="46:49">
      <c r="AT106">
        <v>61</v>
      </c>
      <c r="AU106">
        <v>60.5</v>
      </c>
      <c r="AV106">
        <v>64.5</v>
      </c>
      <c r="AW106">
        <v>11</v>
      </c>
    </row>
    <row r="107" spans="46:49">
      <c r="AT107">
        <v>73.5</v>
      </c>
      <c r="AU107">
        <v>66</v>
      </c>
      <c r="AV107">
        <v>75.5</v>
      </c>
      <c r="AW107">
        <v>11</v>
      </c>
    </row>
    <row r="108" spans="46:49">
      <c r="AT108">
        <v>70.5</v>
      </c>
      <c r="AU108">
        <v>71</v>
      </c>
      <c r="AV108">
        <v>77.5</v>
      </c>
      <c r="AW108">
        <v>11</v>
      </c>
    </row>
    <row r="109" spans="46:49">
      <c r="AT109">
        <v>69</v>
      </c>
      <c r="AU109">
        <v>68</v>
      </c>
      <c r="AV109">
        <v>75.5</v>
      </c>
      <c r="AW109">
        <v>11</v>
      </c>
    </row>
    <row r="110" spans="46:49">
      <c r="AT110">
        <v>60.5</v>
      </c>
      <c r="AU110">
        <v>60</v>
      </c>
      <c r="AV110">
        <v>65.5</v>
      </c>
      <c r="AW110">
        <v>11</v>
      </c>
    </row>
    <row r="111" spans="46:49">
      <c r="AT111">
        <v>64</v>
      </c>
      <c r="AU111">
        <v>57.5</v>
      </c>
      <c r="AV111">
        <v>69.5</v>
      </c>
      <c r="AW111">
        <v>11</v>
      </c>
    </row>
    <row r="112" spans="46:49">
      <c r="AT112" t="s">
        <v>32</v>
      </c>
    </row>
    <row r="113" spans="46:49">
      <c r="AT113">
        <v>65.5</v>
      </c>
      <c r="AU113">
        <v>59</v>
      </c>
      <c r="AV113">
        <v>71.5</v>
      </c>
      <c r="AW113">
        <v>11</v>
      </c>
    </row>
    <row r="114" spans="46:49">
      <c r="AT114">
        <v>61.5</v>
      </c>
      <c r="AU114">
        <v>61</v>
      </c>
      <c r="AV114">
        <v>65</v>
      </c>
      <c r="AW114">
        <v>11</v>
      </c>
    </row>
    <row r="115" spans="46:49">
      <c r="AT115">
        <v>70.5</v>
      </c>
      <c r="AU115">
        <v>67</v>
      </c>
      <c r="AV115">
        <v>79</v>
      </c>
      <c r="AW115">
        <v>11</v>
      </c>
    </row>
    <row r="116" spans="46:49">
      <c r="AT116">
        <v>69.5</v>
      </c>
      <c r="AU116">
        <v>66</v>
      </c>
      <c r="AV116">
        <v>76</v>
      </c>
      <c r="AW116">
        <v>11</v>
      </c>
    </row>
    <row r="117" spans="46:49">
      <c r="AT117">
        <v>66</v>
      </c>
      <c r="AU117">
        <v>63</v>
      </c>
      <c r="AV117">
        <v>71</v>
      </c>
      <c r="AW117">
        <v>11</v>
      </c>
    </row>
    <row r="118" spans="46:49">
      <c r="AT118">
        <v>74</v>
      </c>
      <c r="AU118">
        <v>79</v>
      </c>
      <c r="AV118">
        <v>89.5</v>
      </c>
      <c r="AW118">
        <v>11</v>
      </c>
    </row>
    <row r="119" spans="46:49">
      <c r="AT119">
        <v>71</v>
      </c>
      <c r="AU119">
        <v>72</v>
      </c>
      <c r="AV119">
        <v>75</v>
      </c>
      <c r="AW119">
        <v>11</v>
      </c>
    </row>
    <row r="120" spans="46:49">
      <c r="AT120">
        <v>70.5</v>
      </c>
      <c r="AU120">
        <v>69</v>
      </c>
      <c r="AV120">
        <v>73.5</v>
      </c>
      <c r="AW120">
        <v>11</v>
      </c>
    </row>
    <row r="121" spans="46:49">
      <c r="AT121">
        <v>70.5</v>
      </c>
      <c r="AU121">
        <v>68.5</v>
      </c>
      <c r="AV121">
        <v>75</v>
      </c>
      <c r="AW121">
        <v>11</v>
      </c>
    </row>
    <row r="122" spans="46:49">
      <c r="AT122">
        <v>65</v>
      </c>
      <c r="AU122">
        <v>65.5</v>
      </c>
      <c r="AV122">
        <v>71.5</v>
      </c>
      <c r="AW122">
        <v>11</v>
      </c>
    </row>
    <row r="123" spans="46:49">
      <c r="AT123" t="s">
        <v>33</v>
      </c>
    </row>
    <row r="124" spans="46:49">
      <c r="AT124">
        <v>79.5</v>
      </c>
      <c r="AU124">
        <v>87.5</v>
      </c>
      <c r="AV124">
        <v>90</v>
      </c>
      <c r="AW124">
        <v>11</v>
      </c>
    </row>
    <row r="125" spans="46:49">
      <c r="AT125">
        <v>72.5</v>
      </c>
      <c r="AU125">
        <v>70.5</v>
      </c>
      <c r="AV125">
        <v>73</v>
      </c>
      <c r="AW125">
        <v>11</v>
      </c>
    </row>
    <row r="126" spans="46:49">
      <c r="AT126">
        <v>78</v>
      </c>
      <c r="AU126">
        <v>65</v>
      </c>
      <c r="AV126">
        <v>81.5</v>
      </c>
      <c r="AW126">
        <v>11</v>
      </c>
    </row>
    <row r="127" spans="46:49">
      <c r="AT127">
        <v>77</v>
      </c>
      <c r="AU127">
        <v>82</v>
      </c>
      <c r="AV127">
        <v>84</v>
      </c>
      <c r="AW127">
        <v>11</v>
      </c>
    </row>
    <row r="128" spans="46:49">
      <c r="AT128">
        <v>65.5</v>
      </c>
      <c r="AU128">
        <v>66.5</v>
      </c>
      <c r="AV128">
        <v>70.5</v>
      </c>
      <c r="AW128">
        <v>11</v>
      </c>
    </row>
    <row r="129" spans="46:49">
      <c r="AT129">
        <v>70.5</v>
      </c>
      <c r="AU129">
        <v>68.5</v>
      </c>
      <c r="AV129">
        <v>78</v>
      </c>
      <c r="AW129">
        <v>11</v>
      </c>
    </row>
    <row r="130" spans="46:49">
      <c r="AT130">
        <v>65</v>
      </c>
      <c r="AU130">
        <v>73</v>
      </c>
      <c r="AV130">
        <v>77</v>
      </c>
      <c r="AW130">
        <v>11</v>
      </c>
    </row>
    <row r="131" spans="46:49">
      <c r="AT131">
        <v>77.5</v>
      </c>
      <c r="AU131">
        <v>86</v>
      </c>
      <c r="AV131">
        <v>91.5</v>
      </c>
      <c r="AW131">
        <v>11</v>
      </c>
    </row>
    <row r="132" spans="46:49">
      <c r="AT132">
        <v>68</v>
      </c>
      <c r="AU132">
        <v>64</v>
      </c>
      <c r="AV132">
        <v>75</v>
      </c>
      <c r="AW132">
        <v>11</v>
      </c>
    </row>
    <row r="133" spans="46:49">
      <c r="AT133">
        <v>62.5</v>
      </c>
      <c r="AU133">
        <v>59.5</v>
      </c>
      <c r="AV133">
        <v>67.5</v>
      </c>
      <c r="AW133">
        <v>11</v>
      </c>
    </row>
    <row r="134" spans="46:49">
      <c r="AT134" t="s">
        <v>34</v>
      </c>
    </row>
    <row r="135" spans="46:49">
      <c r="AT135">
        <v>67.5</v>
      </c>
      <c r="AU135">
        <v>66.5</v>
      </c>
      <c r="AV135">
        <v>72.5</v>
      </c>
      <c r="AW135">
        <v>11</v>
      </c>
    </row>
    <row r="136" spans="46:49">
      <c r="AT136">
        <v>71</v>
      </c>
      <c r="AU136">
        <v>71</v>
      </c>
      <c r="AV136">
        <v>72</v>
      </c>
      <c r="AW136">
        <v>11</v>
      </c>
    </row>
    <row r="137" spans="46:49">
      <c r="AT137">
        <v>70</v>
      </c>
      <c r="AU137">
        <v>85.5</v>
      </c>
      <c r="AV137">
        <v>90.5</v>
      </c>
      <c r="AW137">
        <v>11</v>
      </c>
    </row>
    <row r="138" spans="46:49">
      <c r="AT138">
        <v>66</v>
      </c>
      <c r="AU138">
        <v>68.5</v>
      </c>
      <c r="AV138">
        <v>74</v>
      </c>
      <c r="AW138">
        <v>11</v>
      </c>
    </row>
    <row r="139" spans="46:49">
      <c r="AT139">
        <v>73</v>
      </c>
      <c r="AU139">
        <v>75.5</v>
      </c>
      <c r="AV139">
        <v>78</v>
      </c>
      <c r="AW139">
        <v>11</v>
      </c>
    </row>
    <row r="140" spans="46:49">
      <c r="AT140">
        <v>63</v>
      </c>
      <c r="AU140">
        <v>62.5</v>
      </c>
      <c r="AV140">
        <v>74.5</v>
      </c>
      <c r="AW140">
        <v>11</v>
      </c>
    </row>
    <row r="141" spans="46:49">
      <c r="AT141">
        <v>69</v>
      </c>
      <c r="AU141">
        <v>68</v>
      </c>
      <c r="AV141">
        <v>71.5</v>
      </c>
      <c r="AW141">
        <v>11</v>
      </c>
    </row>
    <row r="142" spans="46:49">
      <c r="AT142">
        <v>71.5</v>
      </c>
      <c r="AU142">
        <v>73.5</v>
      </c>
      <c r="AV142">
        <v>81</v>
      </c>
      <c r="AW142">
        <v>11</v>
      </c>
    </row>
    <row r="143" spans="46:49">
      <c r="AT143">
        <v>68</v>
      </c>
      <c r="AU143">
        <v>69</v>
      </c>
      <c r="AV143">
        <v>73.5</v>
      </c>
      <c r="AW143">
        <v>11</v>
      </c>
    </row>
    <row r="144" spans="46:49">
      <c r="AT144">
        <v>69.5</v>
      </c>
      <c r="AU144">
        <v>70</v>
      </c>
      <c r="AV144">
        <v>71.5</v>
      </c>
      <c r="AW144">
        <v>11</v>
      </c>
    </row>
    <row r="145" spans="46:49">
      <c r="AT145" t="s">
        <v>35</v>
      </c>
    </row>
    <row r="146" spans="46:49">
      <c r="AT146">
        <v>68.5</v>
      </c>
      <c r="AU146">
        <v>71.5</v>
      </c>
      <c r="AV146">
        <v>75.5</v>
      </c>
      <c r="AW146">
        <v>11</v>
      </c>
    </row>
    <row r="147" spans="46:49">
      <c r="AT147">
        <v>67.5</v>
      </c>
      <c r="AU147">
        <v>67</v>
      </c>
      <c r="AV147">
        <v>70</v>
      </c>
      <c r="AW147">
        <v>11</v>
      </c>
    </row>
    <row r="148" spans="46:49">
      <c r="AT148">
        <v>69.5</v>
      </c>
      <c r="AU148">
        <v>63.5</v>
      </c>
      <c r="AV148">
        <v>75</v>
      </c>
      <c r="AW148">
        <v>11</v>
      </c>
    </row>
    <row r="149" spans="46:49">
      <c r="AT149">
        <v>70.5</v>
      </c>
      <c r="AU149">
        <v>69.5</v>
      </c>
      <c r="AV149">
        <v>82</v>
      </c>
      <c r="AW149">
        <v>11</v>
      </c>
    </row>
    <row r="150" spans="46:49">
      <c r="AT150">
        <v>75.5</v>
      </c>
      <c r="AU150">
        <v>70</v>
      </c>
      <c r="AV150">
        <v>76</v>
      </c>
      <c r="AW150">
        <v>11</v>
      </c>
    </row>
    <row r="151" spans="46:49">
      <c r="AT151">
        <v>72.5</v>
      </c>
      <c r="AU151">
        <v>70.5</v>
      </c>
      <c r="AV151">
        <v>75.5</v>
      </c>
      <c r="AW151">
        <v>11</v>
      </c>
    </row>
    <row r="152" spans="46:49">
      <c r="AT152">
        <v>67</v>
      </c>
      <c r="AU152">
        <v>71</v>
      </c>
      <c r="AV152">
        <v>73.5</v>
      </c>
      <c r="AW152">
        <v>10</v>
      </c>
    </row>
    <row r="153" spans="46:49">
      <c r="AT153">
        <v>71.5</v>
      </c>
      <c r="AU153">
        <v>68</v>
      </c>
      <c r="AV153">
        <v>76</v>
      </c>
      <c r="AW153">
        <v>11</v>
      </c>
    </row>
    <row r="154" spans="46:49">
      <c r="AT154">
        <v>76</v>
      </c>
      <c r="AU154">
        <v>71</v>
      </c>
      <c r="AV154">
        <v>93</v>
      </c>
      <c r="AW154">
        <v>11</v>
      </c>
    </row>
    <row r="155" spans="46:49">
      <c r="AT155">
        <v>65.5</v>
      </c>
      <c r="AU155">
        <v>68</v>
      </c>
      <c r="AV155">
        <v>74</v>
      </c>
      <c r="AW155">
        <v>11</v>
      </c>
    </row>
    <row r="156" spans="46:49">
      <c r="AT156" t="s">
        <v>36</v>
      </c>
    </row>
    <row r="157" spans="46:49">
      <c r="AT157">
        <v>72</v>
      </c>
      <c r="AU157">
        <v>69</v>
      </c>
      <c r="AV157">
        <v>79</v>
      </c>
      <c r="AW157">
        <v>11</v>
      </c>
    </row>
    <row r="158" spans="46:49">
      <c r="AT158">
        <v>67</v>
      </c>
      <c r="AU158">
        <v>66.5</v>
      </c>
      <c r="AV158">
        <v>71</v>
      </c>
      <c r="AW158">
        <v>11</v>
      </c>
    </row>
    <row r="159" spans="46:49">
      <c r="AT159">
        <v>64.5</v>
      </c>
      <c r="AU159">
        <v>65</v>
      </c>
      <c r="AV159">
        <v>78</v>
      </c>
      <c r="AW159">
        <v>11</v>
      </c>
    </row>
    <row r="160" spans="46:49">
      <c r="AT160">
        <v>75.5</v>
      </c>
      <c r="AU160">
        <v>75</v>
      </c>
      <c r="AV160">
        <v>82</v>
      </c>
      <c r="AW160">
        <v>11</v>
      </c>
    </row>
    <row r="161" spans="46:49">
      <c r="AT161">
        <v>72.5</v>
      </c>
      <c r="AU161">
        <v>78</v>
      </c>
      <c r="AV161">
        <v>82</v>
      </c>
      <c r="AW161">
        <v>11</v>
      </c>
    </row>
    <row r="162" spans="46:49">
      <c r="AT162">
        <v>65.5</v>
      </c>
      <c r="AU162">
        <v>65.5</v>
      </c>
      <c r="AV162">
        <v>70.5</v>
      </c>
      <c r="AW162">
        <v>11</v>
      </c>
    </row>
    <row r="163" spans="46:49">
      <c r="AT163">
        <v>61</v>
      </c>
      <c r="AU163">
        <v>61.5</v>
      </c>
      <c r="AV163">
        <v>67.5</v>
      </c>
      <c r="AW163">
        <v>11</v>
      </c>
    </row>
    <row r="164" spans="46:49">
      <c r="AT164">
        <v>64.5</v>
      </c>
      <c r="AU164">
        <v>72</v>
      </c>
      <c r="AV164">
        <v>77</v>
      </c>
      <c r="AW164">
        <v>11</v>
      </c>
    </row>
    <row r="165" spans="46:49">
      <c r="AT165">
        <v>64</v>
      </c>
      <c r="AU165">
        <v>63</v>
      </c>
      <c r="AV165">
        <v>69.5</v>
      </c>
      <c r="AW165">
        <v>11</v>
      </c>
    </row>
    <row r="166" spans="46:49">
      <c r="AT166">
        <v>71</v>
      </c>
      <c r="AU166">
        <v>65</v>
      </c>
      <c r="AV166">
        <v>76.5</v>
      </c>
      <c r="AW166">
        <v>11</v>
      </c>
    </row>
    <row r="167" spans="46:49">
      <c r="AT167" t="s">
        <v>37</v>
      </c>
    </row>
    <row r="168" spans="46:49">
      <c r="AT168">
        <v>75</v>
      </c>
      <c r="AU168">
        <v>71.5</v>
      </c>
      <c r="AV168">
        <v>78</v>
      </c>
      <c r="AW168">
        <v>11</v>
      </c>
    </row>
    <row r="169" spans="46:49">
      <c r="AT169">
        <v>64.5</v>
      </c>
      <c r="AU169">
        <v>63.5</v>
      </c>
      <c r="AV169">
        <v>66.5</v>
      </c>
      <c r="AW169">
        <v>11</v>
      </c>
    </row>
    <row r="170" spans="46:49">
      <c r="AT170">
        <v>67</v>
      </c>
      <c r="AU170">
        <v>66.5</v>
      </c>
      <c r="AV170">
        <v>71.5</v>
      </c>
      <c r="AW170">
        <v>11</v>
      </c>
    </row>
    <row r="171" spans="46:49">
      <c r="AT171">
        <v>62.5</v>
      </c>
      <c r="AU171">
        <v>66</v>
      </c>
      <c r="AV171">
        <v>68.5</v>
      </c>
      <c r="AW171">
        <v>11</v>
      </c>
    </row>
    <row r="172" spans="46:49">
      <c r="AT172">
        <v>71</v>
      </c>
      <c r="AU172">
        <v>71</v>
      </c>
      <c r="AV172">
        <v>74</v>
      </c>
      <c r="AW172">
        <v>11</v>
      </c>
    </row>
    <row r="173" spans="46:49">
      <c r="AT173">
        <v>73.5</v>
      </c>
      <c r="AU173">
        <v>76</v>
      </c>
      <c r="AV173">
        <v>81</v>
      </c>
      <c r="AW173">
        <v>11</v>
      </c>
    </row>
    <row r="174" spans="46:49">
      <c r="AT174">
        <v>68</v>
      </c>
      <c r="AU174">
        <v>70.5</v>
      </c>
      <c r="AV174">
        <v>74.5</v>
      </c>
      <c r="AW174">
        <v>11</v>
      </c>
    </row>
    <row r="175" spans="46:49">
      <c r="AT175">
        <v>69.5</v>
      </c>
      <c r="AU175">
        <v>67</v>
      </c>
      <c r="AV175">
        <v>73</v>
      </c>
      <c r="AW175">
        <v>11</v>
      </c>
    </row>
    <row r="176" spans="46:49">
      <c r="AT176">
        <v>70</v>
      </c>
      <c r="AU176">
        <v>68</v>
      </c>
      <c r="AV176">
        <v>72.5</v>
      </c>
      <c r="AW176">
        <v>11</v>
      </c>
    </row>
    <row r="177" spans="46:49">
      <c r="AT177">
        <v>69.5</v>
      </c>
      <c r="AU177">
        <v>74.5</v>
      </c>
      <c r="AV177">
        <v>82.5</v>
      </c>
      <c r="AW177">
        <v>11</v>
      </c>
    </row>
    <row r="178" spans="46:49">
      <c r="AT178" t="s">
        <v>38</v>
      </c>
    </row>
    <row r="179" spans="46:49">
      <c r="AT179">
        <v>82.5</v>
      </c>
      <c r="AU179">
        <v>82.5</v>
      </c>
      <c r="AV179">
        <v>84</v>
      </c>
      <c r="AW179">
        <v>11</v>
      </c>
    </row>
    <row r="180" spans="46:49">
      <c r="AT180">
        <v>64</v>
      </c>
      <c r="AU180">
        <v>62.5</v>
      </c>
      <c r="AV180">
        <v>69.5</v>
      </c>
      <c r="AW180">
        <v>10</v>
      </c>
    </row>
    <row r="181" spans="46:49">
      <c r="AT181">
        <v>71.5</v>
      </c>
      <c r="AU181">
        <v>75</v>
      </c>
      <c r="AV181">
        <v>77</v>
      </c>
      <c r="AW181">
        <v>11</v>
      </c>
    </row>
    <row r="182" spans="46:49">
      <c r="AT182">
        <v>84.5</v>
      </c>
      <c r="AU182">
        <v>85.5</v>
      </c>
      <c r="AV182">
        <v>91</v>
      </c>
      <c r="AW182">
        <v>11</v>
      </c>
    </row>
    <row r="183" spans="46:49">
      <c r="AT183">
        <v>68</v>
      </c>
      <c r="AU183">
        <v>70</v>
      </c>
      <c r="AV183">
        <v>76.5</v>
      </c>
      <c r="AW183">
        <v>11</v>
      </c>
    </row>
    <row r="184" spans="46:49">
      <c r="AT184">
        <v>73.5</v>
      </c>
      <c r="AU184">
        <v>71</v>
      </c>
      <c r="AV184">
        <v>77.5</v>
      </c>
      <c r="AW184">
        <v>11</v>
      </c>
    </row>
    <row r="185" spans="46:49">
      <c r="AT185">
        <v>66</v>
      </c>
      <c r="AU185">
        <v>69</v>
      </c>
      <c r="AV185">
        <v>70.5</v>
      </c>
      <c r="AW185">
        <v>11</v>
      </c>
    </row>
    <row r="186" spans="46:49">
      <c r="AT186">
        <v>65.5</v>
      </c>
      <c r="AU186">
        <v>65.5</v>
      </c>
      <c r="AV186">
        <v>75</v>
      </c>
      <c r="AW186">
        <v>11</v>
      </c>
    </row>
    <row r="187" spans="46:49">
      <c r="AT187">
        <v>77.5</v>
      </c>
      <c r="AU187">
        <v>75</v>
      </c>
      <c r="AV187">
        <v>83</v>
      </c>
      <c r="AW187">
        <v>11</v>
      </c>
    </row>
    <row r="188" spans="46:49">
      <c r="AT188">
        <v>64.5</v>
      </c>
      <c r="AU188">
        <v>65.5</v>
      </c>
      <c r="AV188">
        <v>68.5</v>
      </c>
      <c r="AW188">
        <v>11</v>
      </c>
    </row>
    <row r="189" spans="46:49">
      <c r="AT189" t="s">
        <v>39</v>
      </c>
    </row>
    <row r="190" spans="46:49">
      <c r="AT190">
        <v>69.5</v>
      </c>
      <c r="AU190">
        <v>66</v>
      </c>
      <c r="AV190">
        <v>75</v>
      </c>
      <c r="AW190">
        <v>11</v>
      </c>
    </row>
    <row r="191" spans="46:49">
      <c r="AT191">
        <v>58.5</v>
      </c>
      <c r="AU191">
        <v>65</v>
      </c>
      <c r="AV191">
        <v>65</v>
      </c>
      <c r="AW191">
        <v>11</v>
      </c>
    </row>
    <row r="192" spans="46:49">
      <c r="AT192">
        <v>71</v>
      </c>
      <c r="AU192">
        <v>70</v>
      </c>
      <c r="AV192">
        <v>75</v>
      </c>
      <c r="AW192">
        <v>11</v>
      </c>
    </row>
    <row r="193" spans="46:49">
      <c r="AT193">
        <v>62</v>
      </c>
      <c r="AU193">
        <v>61.5</v>
      </c>
      <c r="AV193">
        <v>73.5</v>
      </c>
      <c r="AW193">
        <v>11</v>
      </c>
    </row>
    <row r="194" spans="46:49">
      <c r="AT194">
        <v>72</v>
      </c>
      <c r="AU194">
        <v>73</v>
      </c>
      <c r="AV194">
        <v>75</v>
      </c>
      <c r="AW194">
        <v>11</v>
      </c>
    </row>
    <row r="195" spans="46:49">
      <c r="AT195">
        <v>74.5</v>
      </c>
      <c r="AU195">
        <v>66</v>
      </c>
      <c r="AV195">
        <v>86</v>
      </c>
      <c r="AW195">
        <v>11</v>
      </c>
    </row>
    <row r="196" spans="46:49">
      <c r="AT196">
        <v>71.5</v>
      </c>
      <c r="AU196">
        <v>72.5</v>
      </c>
      <c r="AV196">
        <v>75</v>
      </c>
      <c r="AW196">
        <v>11</v>
      </c>
    </row>
    <row r="197" spans="46:49">
      <c r="AT197">
        <v>69</v>
      </c>
      <c r="AU197">
        <v>69</v>
      </c>
      <c r="AV197">
        <v>77</v>
      </c>
      <c r="AW197">
        <v>11</v>
      </c>
    </row>
    <row r="198" spans="46:49">
      <c r="AT198">
        <v>72.5</v>
      </c>
      <c r="AU198">
        <v>66.5</v>
      </c>
      <c r="AV198">
        <v>74</v>
      </c>
      <c r="AW198">
        <v>11</v>
      </c>
    </row>
    <row r="199" spans="46:49">
      <c r="AT199">
        <v>72.5</v>
      </c>
      <c r="AU199">
        <v>76</v>
      </c>
      <c r="AV199">
        <v>81</v>
      </c>
      <c r="AW199">
        <v>11</v>
      </c>
    </row>
    <row r="200" spans="46:49">
      <c r="AT200" t="s">
        <v>40</v>
      </c>
    </row>
    <row r="201" spans="46:49">
      <c r="AT201">
        <v>77</v>
      </c>
      <c r="AU201">
        <v>75.5</v>
      </c>
      <c r="AV201">
        <v>89</v>
      </c>
      <c r="AW201">
        <v>11</v>
      </c>
    </row>
    <row r="202" spans="46:49">
      <c r="AT202">
        <v>69.5</v>
      </c>
      <c r="AU202">
        <v>67</v>
      </c>
      <c r="AV202">
        <v>71</v>
      </c>
      <c r="AW202">
        <v>11</v>
      </c>
    </row>
    <row r="203" spans="46:49">
      <c r="AT203">
        <v>74.5</v>
      </c>
      <c r="AU203">
        <v>78.5</v>
      </c>
      <c r="AV203">
        <v>86.5</v>
      </c>
      <c r="AW203">
        <v>11</v>
      </c>
    </row>
    <row r="204" spans="46:49">
      <c r="AT204">
        <v>68.5</v>
      </c>
      <c r="AU204">
        <v>71</v>
      </c>
      <c r="AV204">
        <v>76.5</v>
      </c>
      <c r="AW204">
        <v>11</v>
      </c>
    </row>
    <row r="205" spans="46:49">
      <c r="AT205">
        <v>61</v>
      </c>
      <c r="AU205">
        <v>66.5</v>
      </c>
      <c r="AV205">
        <v>67</v>
      </c>
      <c r="AW205">
        <v>10</v>
      </c>
    </row>
    <row r="206" spans="46:49">
      <c r="AT206">
        <v>72.5</v>
      </c>
      <c r="AU206">
        <v>70</v>
      </c>
      <c r="AV206">
        <v>86</v>
      </c>
      <c r="AW206">
        <v>11</v>
      </c>
    </row>
    <row r="207" spans="46:49">
      <c r="AT207">
        <v>70.5</v>
      </c>
      <c r="AU207">
        <v>67.5</v>
      </c>
      <c r="AV207">
        <v>72</v>
      </c>
      <c r="AW207">
        <v>11</v>
      </c>
    </row>
    <row r="208" spans="46:49">
      <c r="AT208">
        <v>68</v>
      </c>
      <c r="AU208">
        <v>67</v>
      </c>
      <c r="AV208">
        <v>70</v>
      </c>
      <c r="AW208">
        <v>11</v>
      </c>
    </row>
    <row r="209" spans="46:49">
      <c r="AT209">
        <v>65.5</v>
      </c>
      <c r="AU209">
        <v>65</v>
      </c>
      <c r="AV209">
        <v>73</v>
      </c>
      <c r="AW209">
        <v>11</v>
      </c>
    </row>
    <row r="210" spans="46:49">
      <c r="AT210">
        <v>71.5</v>
      </c>
      <c r="AU210">
        <v>74.5</v>
      </c>
      <c r="AV210">
        <v>79</v>
      </c>
      <c r="AW210">
        <v>11</v>
      </c>
    </row>
    <row r="211" spans="46:49">
      <c r="AT211" t="s">
        <v>44</v>
      </c>
    </row>
    <row r="212" spans="46:49">
      <c r="AT212">
        <v>71</v>
      </c>
      <c r="AU212">
        <v>73</v>
      </c>
      <c r="AV212">
        <v>79</v>
      </c>
      <c r="AW212">
        <v>11</v>
      </c>
    </row>
    <row r="213" spans="46:49">
      <c r="AT213">
        <v>69.5</v>
      </c>
      <c r="AU213">
        <v>69.5</v>
      </c>
      <c r="AV213">
        <v>69.5</v>
      </c>
      <c r="AW213">
        <v>11</v>
      </c>
    </row>
    <row r="214" spans="46:49">
      <c r="AT214">
        <v>79</v>
      </c>
      <c r="AU214">
        <v>79.5</v>
      </c>
      <c r="AV214">
        <v>82</v>
      </c>
      <c r="AW214">
        <v>11</v>
      </c>
    </row>
    <row r="215" spans="46:49">
      <c r="AT215">
        <v>74</v>
      </c>
      <c r="AU215">
        <v>75.5</v>
      </c>
      <c r="AV215">
        <v>78.5</v>
      </c>
      <c r="AW215">
        <v>11</v>
      </c>
    </row>
    <row r="216" spans="46:49">
      <c r="AT216">
        <v>73</v>
      </c>
      <c r="AU216">
        <v>73</v>
      </c>
      <c r="AV216">
        <v>74.5</v>
      </c>
      <c r="AW216">
        <v>11</v>
      </c>
    </row>
    <row r="217" spans="46:49">
      <c r="AT217">
        <v>75</v>
      </c>
      <c r="AU217">
        <v>75</v>
      </c>
      <c r="AV217">
        <v>81</v>
      </c>
      <c r="AW217">
        <v>11</v>
      </c>
    </row>
    <row r="218" spans="46:49">
      <c r="AT218">
        <v>71</v>
      </c>
      <c r="AU218">
        <v>66.5</v>
      </c>
      <c r="AV218">
        <v>77</v>
      </c>
      <c r="AW218">
        <v>11</v>
      </c>
    </row>
    <row r="219" spans="46:49">
      <c r="AT219">
        <v>68</v>
      </c>
      <c r="AU219">
        <v>67.5</v>
      </c>
      <c r="AV219">
        <v>71.5</v>
      </c>
      <c r="AW219">
        <v>11</v>
      </c>
    </row>
    <row r="220" spans="46:49">
      <c r="AT220">
        <v>70</v>
      </c>
      <c r="AU220">
        <v>69</v>
      </c>
      <c r="AV220">
        <v>75</v>
      </c>
      <c r="AW220">
        <v>11</v>
      </c>
    </row>
    <row r="221" spans="46:49">
      <c r="AT221">
        <v>77.5</v>
      </c>
      <c r="AU221">
        <v>76</v>
      </c>
      <c r="AV221">
        <v>79.5</v>
      </c>
      <c r="AW221">
        <v>11</v>
      </c>
    </row>
    <row r="222" spans="46:49">
      <c r="AT222" t="s">
        <v>49</v>
      </c>
    </row>
    <row r="223" spans="46:49">
      <c r="AT223">
        <v>66</v>
      </c>
      <c r="AU223">
        <v>66.5</v>
      </c>
      <c r="AV223">
        <v>72</v>
      </c>
      <c r="AW223">
        <v>11</v>
      </c>
    </row>
    <row r="224" spans="46:49">
      <c r="AT224">
        <v>67.5</v>
      </c>
      <c r="AU224">
        <v>67</v>
      </c>
      <c r="AV224">
        <v>77.5</v>
      </c>
      <c r="AW224">
        <v>11</v>
      </c>
    </row>
    <row r="225" spans="46:49">
      <c r="AT225">
        <v>66.5</v>
      </c>
      <c r="AU225">
        <v>69</v>
      </c>
      <c r="AV225">
        <v>71</v>
      </c>
      <c r="AW225">
        <v>11</v>
      </c>
    </row>
    <row r="226" spans="46:49">
      <c r="AT226">
        <v>64</v>
      </c>
      <c r="AU226">
        <v>61.5</v>
      </c>
      <c r="AV226">
        <v>73.5</v>
      </c>
      <c r="AW226">
        <v>11</v>
      </c>
    </row>
    <row r="227" spans="46:49">
      <c r="AT227">
        <v>68.5</v>
      </c>
      <c r="AU227">
        <v>67.5</v>
      </c>
      <c r="AV227">
        <v>74</v>
      </c>
      <c r="AW227">
        <v>11</v>
      </c>
    </row>
    <row r="228" spans="46:49">
      <c r="AT228">
        <v>66.5</v>
      </c>
      <c r="AU228">
        <v>68</v>
      </c>
      <c r="AV228">
        <v>72.5</v>
      </c>
      <c r="AW228">
        <v>11</v>
      </c>
    </row>
    <row r="229" spans="46:49">
      <c r="AT229">
        <v>74.5</v>
      </c>
      <c r="AU229">
        <v>80</v>
      </c>
      <c r="AV229">
        <v>83.5</v>
      </c>
      <c r="AW229">
        <v>11</v>
      </c>
    </row>
    <row r="230" spans="46:49">
      <c r="AT230">
        <v>73.5</v>
      </c>
      <c r="AU230">
        <v>64</v>
      </c>
      <c r="AV230">
        <v>78</v>
      </c>
      <c r="AW230">
        <v>11</v>
      </c>
    </row>
    <row r="231" spans="46:49">
      <c r="AT231">
        <v>69</v>
      </c>
      <c r="AU231">
        <v>63.5</v>
      </c>
      <c r="AV231">
        <v>74.5</v>
      </c>
      <c r="AW231">
        <v>11</v>
      </c>
    </row>
    <row r="232" spans="46:49">
      <c r="AT232">
        <v>69</v>
      </c>
      <c r="AU232">
        <v>68.5</v>
      </c>
      <c r="AV232">
        <v>72.5</v>
      </c>
      <c r="AW232">
        <v>11</v>
      </c>
    </row>
    <row r="233" spans="46:49">
      <c r="AT233" t="s">
        <v>50</v>
      </c>
    </row>
    <row r="234" spans="46:49">
      <c r="AT234">
        <v>79.5</v>
      </c>
      <c r="AU234">
        <v>75.5</v>
      </c>
      <c r="AV234">
        <v>81</v>
      </c>
      <c r="AW234">
        <v>11</v>
      </c>
    </row>
    <row r="235" spans="46:49">
      <c r="AT235">
        <v>71</v>
      </c>
      <c r="AU235">
        <v>73</v>
      </c>
      <c r="AV235">
        <v>75</v>
      </c>
      <c r="AW235">
        <v>11</v>
      </c>
    </row>
    <row r="236" spans="46:49">
      <c r="AT236">
        <v>86.5</v>
      </c>
      <c r="AU236">
        <v>87</v>
      </c>
      <c r="AV236">
        <v>89.5</v>
      </c>
      <c r="AW236">
        <v>11</v>
      </c>
    </row>
    <row r="237" spans="46:49">
      <c r="AT237">
        <v>86</v>
      </c>
      <c r="AU237">
        <v>82</v>
      </c>
      <c r="AV237">
        <v>86.5</v>
      </c>
      <c r="AW237">
        <v>11</v>
      </c>
    </row>
    <row r="238" spans="46:49">
      <c r="AT238">
        <v>75.5</v>
      </c>
      <c r="AU238">
        <v>73.5</v>
      </c>
      <c r="AV238">
        <v>75.5</v>
      </c>
      <c r="AW238">
        <v>11</v>
      </c>
    </row>
    <row r="239" spans="46:49">
      <c r="AT239">
        <v>69.5</v>
      </c>
      <c r="AU239">
        <v>69.5</v>
      </c>
      <c r="AV239">
        <v>73</v>
      </c>
      <c r="AW239">
        <v>11</v>
      </c>
    </row>
    <row r="240" spans="46:49">
      <c r="AT240">
        <v>63.5</v>
      </c>
      <c r="AU240">
        <v>61.5</v>
      </c>
      <c r="AV240">
        <v>66</v>
      </c>
      <c r="AW240">
        <v>11</v>
      </c>
    </row>
    <row r="241" spans="46:49">
      <c r="AT241">
        <v>76</v>
      </c>
      <c r="AU241">
        <v>75</v>
      </c>
      <c r="AV241">
        <v>79.5</v>
      </c>
      <c r="AW241">
        <v>11</v>
      </c>
    </row>
    <row r="242" spans="46:49">
      <c r="AT242">
        <v>70</v>
      </c>
      <c r="AU242">
        <v>68</v>
      </c>
      <c r="AV242">
        <v>79.5</v>
      </c>
      <c r="AW242">
        <v>11</v>
      </c>
    </row>
    <row r="243" spans="46:49">
      <c r="AT243">
        <v>79.5</v>
      </c>
      <c r="AU243">
        <v>81</v>
      </c>
      <c r="AV243">
        <v>83</v>
      </c>
      <c r="AW243">
        <v>11</v>
      </c>
    </row>
    <row r="244" spans="46:49">
      <c r="AT244" t="s">
        <v>118</v>
      </c>
    </row>
    <row r="245" spans="46:49">
      <c r="AT245">
        <v>58.5</v>
      </c>
      <c r="AU245">
        <v>60</v>
      </c>
      <c r="AV245">
        <v>64.5</v>
      </c>
      <c r="AW245">
        <v>11</v>
      </c>
    </row>
    <row r="246" spans="46:49">
      <c r="AT246">
        <v>71</v>
      </c>
      <c r="AU246">
        <v>72</v>
      </c>
      <c r="AV246">
        <v>75.5</v>
      </c>
      <c r="AW246">
        <v>11</v>
      </c>
    </row>
    <row r="247" spans="46:49">
      <c r="AT247">
        <v>77</v>
      </c>
      <c r="AU247">
        <v>81.5</v>
      </c>
      <c r="AV247">
        <v>85</v>
      </c>
      <c r="AW247">
        <v>11</v>
      </c>
    </row>
    <row r="248" spans="46:49">
      <c r="AT248">
        <v>73.5</v>
      </c>
      <c r="AU248">
        <v>72</v>
      </c>
      <c r="AV248">
        <v>75.5</v>
      </c>
      <c r="AW248">
        <v>11</v>
      </c>
    </row>
    <row r="249" spans="46:49">
      <c r="AT249">
        <v>74.5</v>
      </c>
      <c r="AU249">
        <v>74.5</v>
      </c>
      <c r="AV249">
        <v>77</v>
      </c>
      <c r="AW249">
        <v>11</v>
      </c>
    </row>
    <row r="250" spans="46:49">
      <c r="AT250">
        <v>68.5</v>
      </c>
      <c r="AU250">
        <v>71</v>
      </c>
      <c r="AV250">
        <v>83.5</v>
      </c>
      <c r="AW250">
        <v>11</v>
      </c>
    </row>
    <row r="251" spans="46:49">
      <c r="AT251">
        <v>69</v>
      </c>
      <c r="AU251">
        <v>69.5</v>
      </c>
      <c r="AV251">
        <v>74.5</v>
      </c>
      <c r="AW251">
        <v>11</v>
      </c>
    </row>
    <row r="252" spans="46:49">
      <c r="AT252">
        <v>60.5</v>
      </c>
      <c r="AU252">
        <v>59.5</v>
      </c>
      <c r="AV252">
        <v>64.5</v>
      </c>
      <c r="AW252">
        <v>11</v>
      </c>
    </row>
    <row r="253" spans="46:49">
      <c r="AT253">
        <v>81</v>
      </c>
      <c r="AU253">
        <v>79</v>
      </c>
      <c r="AV253">
        <v>82.5</v>
      </c>
      <c r="AW253">
        <v>11</v>
      </c>
    </row>
    <row r="254" spans="46:49">
      <c r="AT254">
        <v>77.5</v>
      </c>
      <c r="AU254">
        <v>74</v>
      </c>
      <c r="AV254">
        <v>80.5</v>
      </c>
      <c r="AW254">
        <v>11</v>
      </c>
    </row>
    <row r="255" spans="46:49">
      <c r="AT255" t="s">
        <v>119</v>
      </c>
    </row>
    <row r="256" spans="46:49">
      <c r="AT256">
        <v>63.5</v>
      </c>
      <c r="AU256">
        <v>63.5</v>
      </c>
      <c r="AV256">
        <v>71.5</v>
      </c>
      <c r="AW256">
        <v>11</v>
      </c>
    </row>
    <row r="257" spans="46:49">
      <c r="AT257">
        <v>82.5</v>
      </c>
      <c r="AU257">
        <v>82.5</v>
      </c>
      <c r="AV257">
        <v>83.5</v>
      </c>
      <c r="AW257">
        <v>11</v>
      </c>
    </row>
    <row r="258" spans="46:49">
      <c r="AT258">
        <v>72</v>
      </c>
      <c r="AU258">
        <v>73.5</v>
      </c>
      <c r="AV258">
        <v>79.5</v>
      </c>
      <c r="AW258">
        <v>11</v>
      </c>
    </row>
    <row r="259" spans="46:49">
      <c r="AT259">
        <v>76</v>
      </c>
      <c r="AU259">
        <v>72</v>
      </c>
      <c r="AV259">
        <v>79</v>
      </c>
      <c r="AW259">
        <v>11</v>
      </c>
    </row>
    <row r="260" spans="46:49">
      <c r="AT260">
        <v>75</v>
      </c>
      <c r="AU260">
        <v>75</v>
      </c>
      <c r="AV260">
        <v>81.5</v>
      </c>
      <c r="AW260">
        <v>11</v>
      </c>
    </row>
    <row r="261" spans="46:49">
      <c r="AT261">
        <v>81.5</v>
      </c>
      <c r="AU261">
        <v>73</v>
      </c>
      <c r="AV261">
        <v>83.5</v>
      </c>
      <c r="AW261">
        <v>11</v>
      </c>
    </row>
    <row r="262" spans="46:49">
      <c r="AT262">
        <v>62</v>
      </c>
      <c r="AU262">
        <v>62</v>
      </c>
      <c r="AV262">
        <v>66</v>
      </c>
      <c r="AW262">
        <v>11</v>
      </c>
    </row>
    <row r="263" spans="46:49">
      <c r="AT263">
        <v>72</v>
      </c>
      <c r="AU263">
        <v>69.5</v>
      </c>
      <c r="AV263">
        <v>74</v>
      </c>
      <c r="AW263">
        <v>11</v>
      </c>
    </row>
    <row r="264" spans="46:49">
      <c r="AT264">
        <v>77</v>
      </c>
      <c r="AU264">
        <v>77</v>
      </c>
      <c r="AV264">
        <v>84</v>
      </c>
      <c r="AW264">
        <v>11</v>
      </c>
    </row>
    <row r="265" spans="46:49">
      <c r="AT265">
        <v>68.5</v>
      </c>
      <c r="AU265">
        <v>71.5</v>
      </c>
      <c r="AV265">
        <v>78.5</v>
      </c>
      <c r="AW265">
        <v>11</v>
      </c>
    </row>
    <row r="266" spans="46:49">
      <c r="AT266" t="s">
        <v>120</v>
      </c>
    </row>
    <row r="267" spans="46:49">
      <c r="AT267">
        <v>57</v>
      </c>
      <c r="AU267">
        <v>64.5</v>
      </c>
      <c r="AV267">
        <v>80.5</v>
      </c>
      <c r="AW267">
        <v>11</v>
      </c>
    </row>
    <row r="268" spans="46:49">
      <c r="AT268">
        <v>71.5</v>
      </c>
      <c r="AU268">
        <v>71.5</v>
      </c>
      <c r="AV268">
        <v>72.5</v>
      </c>
      <c r="AW268">
        <v>11</v>
      </c>
    </row>
    <row r="269" spans="46:49">
      <c r="AT269">
        <v>72</v>
      </c>
      <c r="AU269">
        <v>75.5</v>
      </c>
      <c r="AV269">
        <v>80.5</v>
      </c>
      <c r="AW269">
        <v>11</v>
      </c>
    </row>
    <row r="270" spans="46:49">
      <c r="AT270">
        <v>60.5</v>
      </c>
      <c r="AU270">
        <v>59.5</v>
      </c>
      <c r="AV270">
        <v>66.5</v>
      </c>
      <c r="AW270">
        <v>11</v>
      </c>
    </row>
    <row r="271" spans="46:49">
      <c r="AT271">
        <v>65</v>
      </c>
      <c r="AU271">
        <v>64</v>
      </c>
      <c r="AV271">
        <v>73.5</v>
      </c>
      <c r="AW271">
        <v>11</v>
      </c>
    </row>
    <row r="272" spans="46:49">
      <c r="AT272">
        <v>74</v>
      </c>
      <c r="AU272">
        <v>72</v>
      </c>
      <c r="AV272">
        <v>81</v>
      </c>
      <c r="AW272">
        <v>11</v>
      </c>
    </row>
    <row r="273" spans="46:49">
      <c r="AT273">
        <v>63.5</v>
      </c>
      <c r="AU273">
        <v>65.5</v>
      </c>
      <c r="AV273">
        <v>72</v>
      </c>
      <c r="AW273">
        <v>11</v>
      </c>
    </row>
    <row r="274" spans="46:49">
      <c r="AT274">
        <v>61</v>
      </c>
      <c r="AU274">
        <v>66</v>
      </c>
      <c r="AV274">
        <v>67.5</v>
      </c>
      <c r="AW274">
        <v>10</v>
      </c>
    </row>
    <row r="275" spans="46:49">
      <c r="AT275">
        <v>56</v>
      </c>
      <c r="AU275">
        <v>56</v>
      </c>
      <c r="AV275">
        <v>75.5</v>
      </c>
      <c r="AW275">
        <v>11</v>
      </c>
    </row>
    <row r="276" spans="46:49">
      <c r="AT276">
        <v>78</v>
      </c>
      <c r="AU276">
        <v>75.5</v>
      </c>
      <c r="AV276">
        <v>82.5</v>
      </c>
      <c r="AW276">
        <v>11</v>
      </c>
    </row>
  </sheetData>
  <conditionalFormatting sqref="D28:AB37">
    <cfRule type="cellIs" dxfId="24" priority="17" operator="lessThan">
      <formula>11</formula>
    </cfRule>
  </conditionalFormatting>
  <conditionalFormatting sqref="C41:AB51">
    <cfRule type="cellIs" dxfId="23" priority="15" operator="lessThan">
      <formula>0</formula>
    </cfRule>
  </conditionalFormatting>
  <conditionalFormatting sqref="D38:AB38">
    <cfRule type="cellIs" dxfId="22" priority="14" operator="greaterThan">
      <formula>0</formula>
    </cfRule>
  </conditionalFormatting>
  <conditionalFormatting sqref="C28:C37">
    <cfRule type="cellIs" dxfId="21" priority="13" operator="greaterThan">
      <formula>0</formula>
    </cfRule>
  </conditionalFormatting>
  <conditionalFormatting sqref="AC28:AO37">
    <cfRule type="cellIs" dxfId="20" priority="12" operator="lessThan">
      <formula>11</formula>
    </cfRule>
  </conditionalFormatting>
  <conditionalFormatting sqref="AC41:AO51">
    <cfRule type="cellIs" dxfId="19" priority="10" operator="lessThan">
      <formula>0</formula>
    </cfRule>
  </conditionalFormatting>
  <conditionalFormatting sqref="AC38:AO38">
    <cfRule type="cellIs" dxfId="18" priority="9" operator="greaterThan">
      <formula>0</formula>
    </cfRule>
  </conditionalFormatting>
  <conditionalFormatting sqref="C54:AB63">
    <cfRule type="cellIs" dxfId="17" priority="8" operator="lessThan">
      <formula>0</formula>
    </cfRule>
  </conditionalFormatting>
  <conditionalFormatting sqref="AC54:AO63">
    <cfRule type="cellIs" dxfId="16" priority="7" operator="lessThan">
      <formula>0</formula>
    </cfRule>
  </conditionalFormatting>
  <conditionalFormatting sqref="C67:AB76">
    <cfRule type="cellIs" dxfId="15" priority="6" operator="lessThan">
      <formula>0</formula>
    </cfRule>
  </conditionalFormatting>
  <conditionalFormatting sqref="AC67:AO76">
    <cfRule type="cellIs" dxfId="14" priority="5" operator="lessThan">
      <formula>0</formula>
    </cfRule>
  </conditionalFormatting>
  <conditionalFormatting sqref="C80:AB89">
    <cfRule type="cellIs" dxfId="13" priority="4" operator="lessThan">
      <formula>0</formula>
    </cfRule>
  </conditionalFormatting>
  <conditionalFormatting sqref="AC80:AO89">
    <cfRule type="cellIs" dxfId="12" priority="3" operator="lessThan">
      <formula>0</formula>
    </cfRule>
  </conditionalFormatting>
  <conditionalFormatting sqref="D15:AO24">
    <cfRule type="cellIs" dxfId="11" priority="2" operator="greaterThan">
      <formula>80</formula>
    </cfRule>
  </conditionalFormatting>
  <conditionalFormatting sqref="D2:AO11">
    <cfRule type="cellIs" dxfId="10" priority="1" operator="greaterThan">
      <formula>80</formula>
    </cfRule>
  </conditionalFormatting>
  <pageMargins left="0.7" right="0.7" top="0.75" bottom="0.75" header="0.3" footer="0.3"/>
  <pageSetup paperSize="9" orientation="portrait" horizontalDpi="0" verticalDpi="0" r:id="rId1"/>
  <headerFooter>
    <oddFooter>&amp;L_x000D_&amp;1#&amp;"Aptos"&amp;7&amp;K000000 C2 General</oddFooter>
  </headerFooter>
  <ignoredErrors>
    <ignoredError sqref="D38:J38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5.compile">
                <anchor moveWithCells="1" sizeWithCells="1">
                  <from>
                    <xdr:col>43</xdr:col>
                    <xdr:colOff>190500</xdr:colOff>
                    <xdr:row>3</xdr:row>
                    <xdr:rowOff>123825</xdr:rowOff>
                  </from>
                  <to>
                    <xdr:col>44</xdr:col>
                    <xdr:colOff>609600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44EBC-1D62-4EBF-AF0B-41CF22133547}">
  <sheetPr codeName="Sheet6"/>
  <dimension ref="B3:X25"/>
  <sheetViews>
    <sheetView workbookViewId="0">
      <selection activeCell="O11" sqref="O11"/>
    </sheetView>
  </sheetViews>
  <sheetFormatPr defaultColWidth="9" defaultRowHeight="14.25"/>
  <cols>
    <col min="1" max="16384" width="9" style="7"/>
  </cols>
  <sheetData>
    <row r="3" spans="2:24">
      <c r="B3" s="3">
        <v>73</v>
      </c>
      <c r="C3" s="3">
        <v>66.5</v>
      </c>
      <c r="D3" s="3">
        <v>75.5</v>
      </c>
      <c r="E3" s="3">
        <v>60</v>
      </c>
      <c r="F3" s="3">
        <v>63.5</v>
      </c>
      <c r="G3" s="3">
        <v>64.5</v>
      </c>
      <c r="J3" s="3">
        <v>69.5</v>
      </c>
      <c r="K3" s="3">
        <v>67</v>
      </c>
      <c r="L3" s="3">
        <v>73</v>
      </c>
      <c r="M3" s="3">
        <v>72</v>
      </c>
      <c r="N3" s="3">
        <v>82.5</v>
      </c>
      <c r="O3" s="3">
        <v>71.5</v>
      </c>
      <c r="R3" s="3">
        <v>79.5</v>
      </c>
      <c r="S3" s="3">
        <v>69</v>
      </c>
      <c r="T3" s="3">
        <v>87</v>
      </c>
      <c r="U3" s="3">
        <v>81.5</v>
      </c>
      <c r="V3" s="3">
        <v>73.5</v>
      </c>
      <c r="W3" s="3">
        <v>75.5</v>
      </c>
    </row>
    <row r="4" spans="2:24">
      <c r="B4" s="7">
        <v>71</v>
      </c>
      <c r="C4" s="7">
        <v>67.5</v>
      </c>
      <c r="D4" s="7">
        <v>81</v>
      </c>
      <c r="E4" s="7">
        <v>61</v>
      </c>
      <c r="F4" s="7">
        <v>68</v>
      </c>
      <c r="G4" s="7">
        <v>69.5</v>
      </c>
      <c r="J4" s="7">
        <v>69.5</v>
      </c>
      <c r="K4" s="7">
        <v>67.5</v>
      </c>
      <c r="L4" s="7">
        <v>71</v>
      </c>
      <c r="M4" s="7">
        <v>72</v>
      </c>
      <c r="N4" s="7">
        <v>82.5</v>
      </c>
      <c r="O4" s="7">
        <v>71.5</v>
      </c>
      <c r="R4" s="7">
        <v>79</v>
      </c>
      <c r="S4" s="7">
        <v>69.5</v>
      </c>
      <c r="T4" s="7">
        <v>88</v>
      </c>
      <c r="U4" s="7">
        <v>78</v>
      </c>
      <c r="V4" s="7">
        <v>73</v>
      </c>
      <c r="W4" s="7">
        <v>73.5</v>
      </c>
    </row>
    <row r="5" spans="2:24">
      <c r="B5" s="7">
        <f>B4-B3</f>
        <v>-2</v>
      </c>
      <c r="C5" s="7">
        <f t="shared" ref="C5:G5" si="0">C4-C3</f>
        <v>1</v>
      </c>
      <c r="D5" s="7">
        <f t="shared" si="0"/>
        <v>5.5</v>
      </c>
      <c r="E5" s="7">
        <f t="shared" si="0"/>
        <v>1</v>
      </c>
      <c r="F5" s="7">
        <f t="shared" si="0"/>
        <v>4.5</v>
      </c>
      <c r="G5" s="7">
        <f t="shared" si="0"/>
        <v>5</v>
      </c>
      <c r="H5" s="7">
        <v>15</v>
      </c>
      <c r="J5" s="7">
        <f>J4-J3</f>
        <v>0</v>
      </c>
      <c r="K5" s="7">
        <f t="shared" ref="K5:O5" si="1">K4-K3</f>
        <v>0.5</v>
      </c>
      <c r="L5" s="7">
        <f t="shared" si="1"/>
        <v>-2</v>
      </c>
      <c r="M5" s="7">
        <f t="shared" si="1"/>
        <v>0</v>
      </c>
      <c r="N5" s="7">
        <f t="shared" si="1"/>
        <v>0</v>
      </c>
      <c r="O5" s="7">
        <f t="shared" si="1"/>
        <v>0</v>
      </c>
      <c r="P5" s="7">
        <v>1.5</v>
      </c>
      <c r="R5" s="7">
        <f>R4-R3</f>
        <v>-0.5</v>
      </c>
      <c r="S5" s="7">
        <f t="shared" ref="S5:W5" si="2">S4-S3</f>
        <v>0.5</v>
      </c>
      <c r="T5" s="7">
        <f t="shared" si="2"/>
        <v>1</v>
      </c>
      <c r="U5" s="7">
        <f t="shared" si="2"/>
        <v>-3.5</v>
      </c>
      <c r="V5" s="7">
        <f t="shared" si="2"/>
        <v>-0.5</v>
      </c>
      <c r="W5" s="7">
        <f t="shared" si="2"/>
        <v>-2</v>
      </c>
      <c r="X5" s="7">
        <v>-5</v>
      </c>
    </row>
    <row r="6" spans="2:24">
      <c r="B6" s="7">
        <v>-2</v>
      </c>
      <c r="C6" s="7">
        <v>-0.5</v>
      </c>
      <c r="D6" s="7">
        <v>4</v>
      </c>
      <c r="E6" s="7">
        <v>1</v>
      </c>
      <c r="F6" s="7">
        <v>2</v>
      </c>
      <c r="G6" s="7">
        <v>5</v>
      </c>
      <c r="H6" s="7">
        <v>9.5</v>
      </c>
      <c r="J6" s="7">
        <v>0</v>
      </c>
      <c r="K6" s="7">
        <v>0.5</v>
      </c>
      <c r="L6" s="7">
        <v>-2</v>
      </c>
      <c r="M6" s="7">
        <v>-1</v>
      </c>
      <c r="N6" s="7">
        <v>0</v>
      </c>
      <c r="O6" s="7">
        <v>0</v>
      </c>
      <c r="P6" s="7">
        <v>-2.5</v>
      </c>
      <c r="R6" s="7">
        <v>-0.5</v>
      </c>
      <c r="S6" s="7">
        <v>-2.5</v>
      </c>
      <c r="T6" s="7">
        <v>-0.5</v>
      </c>
      <c r="U6" s="7">
        <v>-4.5</v>
      </c>
      <c r="V6" s="7">
        <v>-0.5</v>
      </c>
      <c r="W6" s="7">
        <v>-3.5</v>
      </c>
      <c r="X6" s="7">
        <v>-12</v>
      </c>
    </row>
    <row r="7" spans="2:24">
      <c r="H7" s="7">
        <f>H5-H6</f>
        <v>5.5</v>
      </c>
      <c r="P7" s="7">
        <f>P5-P6</f>
        <v>4</v>
      </c>
      <c r="X7" s="7">
        <f>X5-X6</f>
        <v>7</v>
      </c>
    </row>
    <row r="9" spans="2:24">
      <c r="B9" s="3">
        <v>75.5</v>
      </c>
      <c r="C9" s="3">
        <v>61.5</v>
      </c>
      <c r="D9" s="3">
        <v>82</v>
      </c>
      <c r="E9" s="3">
        <v>72</v>
      </c>
      <c r="F9" s="3">
        <v>72</v>
      </c>
      <c r="G9" s="3">
        <v>59.5</v>
      </c>
      <c r="J9" s="3">
        <v>73</v>
      </c>
      <c r="K9" s="3">
        <v>67.5</v>
      </c>
      <c r="L9" s="3">
        <v>73.5</v>
      </c>
      <c r="M9" s="3">
        <v>74.5</v>
      </c>
      <c r="N9" s="3">
        <v>75</v>
      </c>
      <c r="O9" s="3">
        <v>64</v>
      </c>
      <c r="R9" s="3">
        <v>75</v>
      </c>
      <c r="S9" s="3">
        <v>68</v>
      </c>
      <c r="T9" s="3">
        <v>69.5</v>
      </c>
      <c r="U9" s="3">
        <v>71</v>
      </c>
      <c r="V9" s="3">
        <v>73</v>
      </c>
      <c r="W9" s="3">
        <v>72</v>
      </c>
    </row>
    <row r="10" spans="2:24">
      <c r="B10" s="7">
        <v>74.5</v>
      </c>
      <c r="C10" s="7">
        <v>64.5</v>
      </c>
      <c r="D10" s="7">
        <v>86.5</v>
      </c>
      <c r="E10" s="7">
        <v>74</v>
      </c>
      <c r="F10" s="7">
        <v>76</v>
      </c>
      <c r="G10" s="7">
        <v>61</v>
      </c>
      <c r="J10" s="7">
        <v>73</v>
      </c>
      <c r="K10" s="7">
        <v>68.5</v>
      </c>
      <c r="L10" s="7">
        <v>75.5</v>
      </c>
      <c r="M10" s="7">
        <v>74.5</v>
      </c>
      <c r="N10" s="7">
        <v>75</v>
      </c>
      <c r="O10" s="7">
        <v>68.5</v>
      </c>
      <c r="R10" s="7">
        <v>75</v>
      </c>
      <c r="S10" s="7">
        <v>69</v>
      </c>
      <c r="T10" s="7">
        <v>69.5</v>
      </c>
      <c r="U10" s="7">
        <v>73</v>
      </c>
      <c r="V10" s="7">
        <v>81.5</v>
      </c>
      <c r="W10" s="7">
        <v>76</v>
      </c>
    </row>
    <row r="11" spans="2:24">
      <c r="B11" s="7">
        <f>B10-B9</f>
        <v>-1</v>
      </c>
      <c r="C11" s="7">
        <f t="shared" ref="C11:G11" si="3">C10-C9</f>
        <v>3</v>
      </c>
      <c r="D11" s="7">
        <f t="shared" si="3"/>
        <v>4.5</v>
      </c>
      <c r="E11" s="7">
        <f t="shared" si="3"/>
        <v>2</v>
      </c>
      <c r="F11" s="7">
        <f t="shared" si="3"/>
        <v>4</v>
      </c>
      <c r="G11" s="7">
        <f t="shared" si="3"/>
        <v>1.5</v>
      </c>
      <c r="H11" s="7">
        <v>14</v>
      </c>
      <c r="J11" s="7">
        <f>J10-J9</f>
        <v>0</v>
      </c>
      <c r="K11" s="7">
        <f t="shared" ref="K11:O11" si="4">K10-K9</f>
        <v>1</v>
      </c>
      <c r="L11" s="7">
        <f t="shared" si="4"/>
        <v>2</v>
      </c>
      <c r="M11" s="7">
        <f t="shared" si="4"/>
        <v>0</v>
      </c>
      <c r="N11" s="7">
        <f t="shared" si="4"/>
        <v>0</v>
      </c>
      <c r="O11" s="7">
        <f t="shared" si="4"/>
        <v>4.5</v>
      </c>
      <c r="P11" s="7">
        <v>7.5</v>
      </c>
      <c r="R11" s="7">
        <f>R10-R9</f>
        <v>0</v>
      </c>
      <c r="S11" s="7">
        <f t="shared" ref="S11:W11" si="5">S10-S9</f>
        <v>1</v>
      </c>
      <c r="T11" s="7">
        <f t="shared" si="5"/>
        <v>0</v>
      </c>
      <c r="U11" s="7">
        <f t="shared" si="5"/>
        <v>2</v>
      </c>
      <c r="V11" s="7">
        <f t="shared" si="5"/>
        <v>8.5</v>
      </c>
      <c r="W11" s="7">
        <f t="shared" si="5"/>
        <v>4</v>
      </c>
      <c r="X11" s="7">
        <v>15.5</v>
      </c>
    </row>
    <row r="12" spans="2:24">
      <c r="B12" s="7">
        <v>-1.5</v>
      </c>
      <c r="C12" s="7">
        <v>2.5</v>
      </c>
      <c r="D12" s="7">
        <v>4</v>
      </c>
      <c r="E12" s="7">
        <v>1.5</v>
      </c>
      <c r="F12" s="7">
        <v>4</v>
      </c>
      <c r="G12" s="7">
        <v>1</v>
      </c>
      <c r="H12" s="7">
        <v>11.5</v>
      </c>
      <c r="J12" s="7">
        <v>0</v>
      </c>
      <c r="K12" s="7">
        <v>1</v>
      </c>
      <c r="L12" s="7">
        <v>2</v>
      </c>
      <c r="M12" s="7">
        <v>0</v>
      </c>
      <c r="N12" s="7">
        <v>0</v>
      </c>
      <c r="O12" s="7">
        <v>1</v>
      </c>
      <c r="P12" s="7">
        <v>4</v>
      </c>
      <c r="R12" s="7">
        <v>0</v>
      </c>
      <c r="S12" s="7">
        <v>-1.5</v>
      </c>
      <c r="T12" s="7">
        <v>0</v>
      </c>
      <c r="U12" s="7">
        <v>-2.5</v>
      </c>
      <c r="V12" s="7">
        <v>8.5</v>
      </c>
      <c r="W12" s="7">
        <v>2</v>
      </c>
      <c r="X12" s="7">
        <v>6.5</v>
      </c>
    </row>
    <row r="13" spans="2:24">
      <c r="H13" s="7">
        <f>H11-H12</f>
        <v>2.5</v>
      </c>
      <c r="P13" s="7">
        <f>P11-P12</f>
        <v>3.5</v>
      </c>
      <c r="X13" s="7">
        <f>X11-X12</f>
        <v>9</v>
      </c>
    </row>
    <row r="15" spans="2:24">
      <c r="B15" s="3">
        <v>66.5</v>
      </c>
      <c r="C15" s="3">
        <v>80</v>
      </c>
      <c r="D15" s="3">
        <v>61.5</v>
      </c>
      <c r="E15" s="3">
        <v>69.5</v>
      </c>
      <c r="F15" s="3">
        <v>62</v>
      </c>
      <c r="G15" s="3">
        <v>65.5</v>
      </c>
      <c r="J15" s="3">
        <v>69</v>
      </c>
      <c r="K15" s="3">
        <v>63.5</v>
      </c>
      <c r="L15" s="3">
        <v>68</v>
      </c>
      <c r="M15" s="3">
        <v>79</v>
      </c>
      <c r="N15" s="3">
        <v>77</v>
      </c>
      <c r="O15" s="3">
        <v>56</v>
      </c>
      <c r="R15" s="3">
        <v>75.5</v>
      </c>
      <c r="S15" s="3">
        <v>61.5</v>
      </c>
      <c r="T15" s="3">
        <v>82</v>
      </c>
      <c r="U15" s="3">
        <v>72</v>
      </c>
      <c r="V15" s="3">
        <v>72</v>
      </c>
      <c r="W15" s="3">
        <v>59.5</v>
      </c>
    </row>
    <row r="16" spans="2:24">
      <c r="B16" s="7">
        <v>72</v>
      </c>
      <c r="C16" s="7">
        <v>81.5</v>
      </c>
      <c r="D16" s="7">
        <v>64.5</v>
      </c>
      <c r="E16" s="7">
        <v>70.5</v>
      </c>
      <c r="F16" s="7">
        <v>62</v>
      </c>
      <c r="G16" s="7">
        <v>64.5</v>
      </c>
      <c r="J16" s="7">
        <v>71.5</v>
      </c>
      <c r="K16" s="7">
        <v>71.5</v>
      </c>
      <c r="L16" s="7">
        <v>73.5</v>
      </c>
      <c r="M16" s="7">
        <v>81</v>
      </c>
      <c r="N16" s="7">
        <v>78</v>
      </c>
      <c r="O16" s="7">
        <v>58</v>
      </c>
      <c r="R16" s="7">
        <v>74.5</v>
      </c>
      <c r="S16" s="7">
        <v>64.5</v>
      </c>
      <c r="T16" s="7">
        <v>86.5</v>
      </c>
      <c r="U16" s="7">
        <v>74</v>
      </c>
      <c r="V16" s="7">
        <v>76</v>
      </c>
      <c r="W16" s="7">
        <v>61</v>
      </c>
    </row>
    <row r="17" spans="2:24">
      <c r="B17" s="7">
        <f>B16-B15</f>
        <v>5.5</v>
      </c>
      <c r="C17" s="7">
        <f t="shared" ref="C17:G17" si="6">C16-C15</f>
        <v>1.5</v>
      </c>
      <c r="D17" s="7">
        <f t="shared" si="6"/>
        <v>3</v>
      </c>
      <c r="E17" s="7">
        <f t="shared" si="6"/>
        <v>1</v>
      </c>
      <c r="F17" s="7">
        <f t="shared" si="6"/>
        <v>0</v>
      </c>
      <c r="G17" s="7">
        <f t="shared" si="6"/>
        <v>-1</v>
      </c>
      <c r="H17" s="7">
        <f>SUM(B17:G17)</f>
        <v>10</v>
      </c>
      <c r="J17" s="7">
        <f>J16-J15</f>
        <v>2.5</v>
      </c>
      <c r="K17" s="7">
        <f t="shared" ref="K17:O17" si="7">K16-K15</f>
        <v>8</v>
      </c>
      <c r="L17" s="7">
        <f t="shared" si="7"/>
        <v>5.5</v>
      </c>
      <c r="M17" s="7">
        <f t="shared" si="7"/>
        <v>2</v>
      </c>
      <c r="N17" s="7">
        <f t="shared" si="7"/>
        <v>1</v>
      </c>
      <c r="O17" s="7">
        <f t="shared" si="7"/>
        <v>2</v>
      </c>
      <c r="P17" s="7">
        <f>SUM(J17:O17)</f>
        <v>21</v>
      </c>
      <c r="R17" s="7">
        <f>R16-R15</f>
        <v>-1</v>
      </c>
      <c r="S17" s="7">
        <f t="shared" ref="S17:W17" si="8">S16-S15</f>
        <v>3</v>
      </c>
      <c r="T17" s="7">
        <f t="shared" si="8"/>
        <v>4.5</v>
      </c>
      <c r="U17" s="7">
        <f t="shared" si="8"/>
        <v>2</v>
      </c>
      <c r="V17" s="7">
        <f t="shared" si="8"/>
        <v>4</v>
      </c>
      <c r="W17" s="7">
        <f t="shared" si="8"/>
        <v>1.5</v>
      </c>
      <c r="X17" s="7">
        <f>SUM(R17:W17)</f>
        <v>14</v>
      </c>
    </row>
    <row r="18" spans="2:24">
      <c r="B18" s="7">
        <v>4.5</v>
      </c>
      <c r="C18" s="7">
        <v>1.5</v>
      </c>
      <c r="D18" s="7">
        <v>2</v>
      </c>
      <c r="E18" s="7">
        <v>-0.5</v>
      </c>
      <c r="F18" s="7">
        <v>0</v>
      </c>
      <c r="G18" s="7">
        <v>-1</v>
      </c>
      <c r="H18" s="7">
        <f>SUM(B18:G18)</f>
        <v>6.5</v>
      </c>
      <c r="J18" s="7">
        <v>1</v>
      </c>
      <c r="K18" s="7">
        <v>5.5</v>
      </c>
      <c r="L18" s="7">
        <v>4.5</v>
      </c>
      <c r="M18" s="7">
        <v>1.5</v>
      </c>
      <c r="N18" s="7">
        <v>0.5</v>
      </c>
      <c r="O18" s="7">
        <v>0</v>
      </c>
      <c r="P18" s="7">
        <f>SUM(J18:O18)</f>
        <v>13</v>
      </c>
      <c r="R18" s="7">
        <v>-1.5</v>
      </c>
      <c r="S18" s="7">
        <v>2.5</v>
      </c>
      <c r="T18" s="7">
        <v>4</v>
      </c>
      <c r="U18" s="7">
        <v>1.5</v>
      </c>
      <c r="V18" s="7">
        <v>4</v>
      </c>
      <c r="W18" s="7">
        <v>1</v>
      </c>
      <c r="X18" s="7">
        <f>SUM(R18:W18)</f>
        <v>11.5</v>
      </c>
    </row>
    <row r="19" spans="2:24">
      <c r="H19" s="7">
        <f>H17-H18</f>
        <v>3.5</v>
      </c>
      <c r="P19" s="7">
        <f>P17-P18</f>
        <v>8</v>
      </c>
      <c r="X19" s="7">
        <f>X17-X18</f>
        <v>2.5</v>
      </c>
    </row>
    <row r="21" spans="2:24">
      <c r="B21" s="3">
        <v>76</v>
      </c>
      <c r="C21" s="3">
        <v>68.5</v>
      </c>
      <c r="D21" s="3">
        <v>81</v>
      </c>
      <c r="E21" s="3">
        <v>74</v>
      </c>
      <c r="F21" s="3">
        <v>71.5</v>
      </c>
      <c r="G21" s="3">
        <v>75.5</v>
      </c>
    </row>
    <row r="22" spans="2:24">
      <c r="B22" s="7">
        <v>78</v>
      </c>
      <c r="C22" s="7">
        <v>69.5</v>
      </c>
      <c r="D22" s="7">
        <v>80</v>
      </c>
      <c r="E22" s="7">
        <v>77.5</v>
      </c>
      <c r="F22" s="7">
        <v>72.5</v>
      </c>
      <c r="G22" s="7">
        <v>78</v>
      </c>
    </row>
    <row r="23" spans="2:24">
      <c r="B23" s="7">
        <f>B22-B21</f>
        <v>2</v>
      </c>
      <c r="C23" s="7">
        <f t="shared" ref="C23:G23" si="9">C22-C21</f>
        <v>1</v>
      </c>
      <c r="D23" s="7">
        <f t="shared" si="9"/>
        <v>-1</v>
      </c>
      <c r="E23" s="7">
        <f t="shared" si="9"/>
        <v>3.5</v>
      </c>
      <c r="F23" s="7">
        <f t="shared" si="9"/>
        <v>1</v>
      </c>
      <c r="G23" s="7">
        <f t="shared" si="9"/>
        <v>2.5</v>
      </c>
      <c r="H23" s="7">
        <f>SUM(B23:G23)</f>
        <v>9</v>
      </c>
    </row>
    <row r="24" spans="2:24">
      <c r="B24" s="7">
        <v>1.5</v>
      </c>
      <c r="C24" s="7">
        <v>0.5</v>
      </c>
      <c r="D24" s="7">
        <v>-1.5</v>
      </c>
      <c r="E24" s="7">
        <v>3.5</v>
      </c>
      <c r="F24" s="7">
        <v>-3</v>
      </c>
      <c r="G24" s="7">
        <v>2.5</v>
      </c>
      <c r="H24" s="7">
        <f>SUM(B24:G24)</f>
        <v>3.5</v>
      </c>
    </row>
    <row r="25" spans="2:24">
      <c r="H25" s="7">
        <f>H23-H24</f>
        <v>5.5</v>
      </c>
    </row>
  </sheetData>
  <conditionalFormatting sqref="R3:W3">
    <cfRule type="cellIs" dxfId="9" priority="17" operator="greaterThan">
      <formula>80</formula>
    </cfRule>
  </conditionalFormatting>
  <conditionalFormatting sqref="B3:G3">
    <cfRule type="cellIs" dxfId="8" priority="16" operator="greaterThan">
      <formula>80</formula>
    </cfRule>
  </conditionalFormatting>
  <conditionalFormatting sqref="J3:O3">
    <cfRule type="cellIs" dxfId="7" priority="15" operator="greaterThan">
      <formula>80</formula>
    </cfRule>
  </conditionalFormatting>
  <conditionalFormatting sqref="B9:G9">
    <cfRule type="cellIs" dxfId="6" priority="11" operator="greaterThan">
      <formula>80</formula>
    </cfRule>
  </conditionalFormatting>
  <conditionalFormatting sqref="J9:O9">
    <cfRule type="cellIs" dxfId="5" priority="10" operator="greaterThan">
      <formula>80</formula>
    </cfRule>
  </conditionalFormatting>
  <conditionalFormatting sqref="R9:W9">
    <cfRule type="cellIs" dxfId="4" priority="9" operator="greaterThan">
      <formula>80</formula>
    </cfRule>
  </conditionalFormatting>
  <conditionalFormatting sqref="R15:W15">
    <cfRule type="cellIs" dxfId="3" priority="6" operator="greaterThan">
      <formula>80</formula>
    </cfRule>
  </conditionalFormatting>
  <conditionalFormatting sqref="B15:G15">
    <cfRule type="cellIs" dxfId="2" priority="4" operator="greaterThan">
      <formula>80</formula>
    </cfRule>
  </conditionalFormatting>
  <conditionalFormatting sqref="J15:O15">
    <cfRule type="cellIs" dxfId="1" priority="2" operator="greaterThan">
      <formula>80</formula>
    </cfRule>
  </conditionalFormatting>
  <conditionalFormatting sqref="B21:G21">
    <cfRule type="cellIs" dxfId="0" priority="1" operator="greaterThan">
      <formula>80</formula>
    </cfRule>
  </conditionalFormatting>
  <pageMargins left="0.7" right="0.7" top="0.75" bottom="0.75" header="0.3" footer="0.3"/>
  <headerFooter>
    <oddFooter>&amp;L_x000D_&amp;1#&amp;"Aptos"&amp;7&amp;K000000 C2 General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AB704-1AC2-44A9-8ECF-590AFFE771FD}">
  <sheetPr codeName="Sheet7"/>
  <dimension ref="B2:X53"/>
  <sheetViews>
    <sheetView topLeftCell="A16" workbookViewId="0">
      <selection activeCell="C32" sqref="C32:G32"/>
    </sheetView>
  </sheetViews>
  <sheetFormatPr defaultRowHeight="14.25"/>
  <cols>
    <col min="3" max="3" width="18.125" bestFit="1" customWidth="1"/>
    <col min="4" max="4" width="14.75" bestFit="1" customWidth="1"/>
    <col min="5" max="5" width="11" bestFit="1" customWidth="1"/>
    <col min="15" max="15" width="13.875" bestFit="1" customWidth="1"/>
    <col min="16" max="16" width="12.75" bestFit="1" customWidth="1"/>
    <col min="19" max="19" width="14.875" customWidth="1"/>
    <col min="21" max="21" width="15" bestFit="1" customWidth="1"/>
    <col min="22" max="22" width="12.75" bestFit="1" customWidth="1"/>
  </cols>
  <sheetData>
    <row r="2" spans="2:24">
      <c r="B2" t="s">
        <v>2818</v>
      </c>
      <c r="N2" t="s">
        <v>2818</v>
      </c>
    </row>
    <row r="3" spans="2:24">
      <c r="B3" t="s">
        <v>11</v>
      </c>
      <c r="C3" t="s">
        <v>2819</v>
      </c>
      <c r="D3" t="s">
        <v>2</v>
      </c>
      <c r="E3">
        <v>220</v>
      </c>
      <c r="F3">
        <v>70</v>
      </c>
      <c r="G3">
        <v>53</v>
      </c>
      <c r="H3">
        <v>17</v>
      </c>
      <c r="I3">
        <v>12</v>
      </c>
      <c r="J3">
        <v>30</v>
      </c>
      <c r="K3">
        <v>1</v>
      </c>
      <c r="L3">
        <v>6</v>
      </c>
      <c r="N3" t="s">
        <v>11</v>
      </c>
      <c r="O3" t="s">
        <v>2819</v>
      </c>
      <c r="P3" t="s">
        <v>2</v>
      </c>
      <c r="Q3">
        <v>247</v>
      </c>
      <c r="R3">
        <v>90</v>
      </c>
      <c r="S3">
        <v>53</v>
      </c>
      <c r="T3">
        <v>13</v>
      </c>
      <c r="U3">
        <v>23</v>
      </c>
      <c r="V3">
        <v>30</v>
      </c>
      <c r="W3">
        <v>1</v>
      </c>
      <c r="X3">
        <v>6</v>
      </c>
    </row>
    <row r="4" spans="2:24">
      <c r="B4" t="s">
        <v>10</v>
      </c>
      <c r="C4" t="s">
        <v>2820</v>
      </c>
      <c r="D4" t="s">
        <v>2</v>
      </c>
      <c r="E4">
        <v>188</v>
      </c>
      <c r="F4">
        <v>49</v>
      </c>
      <c r="G4">
        <v>70</v>
      </c>
      <c r="H4">
        <v>3</v>
      </c>
      <c r="I4">
        <v>10</v>
      </c>
      <c r="J4">
        <v>18</v>
      </c>
      <c r="K4">
        <v>1</v>
      </c>
      <c r="L4">
        <v>6</v>
      </c>
      <c r="N4" t="s">
        <v>10</v>
      </c>
      <c r="O4" t="s">
        <v>2820</v>
      </c>
      <c r="P4" t="s">
        <v>2</v>
      </c>
      <c r="Q4">
        <v>210</v>
      </c>
      <c r="R4">
        <v>62</v>
      </c>
      <c r="S4">
        <v>70</v>
      </c>
      <c r="T4">
        <v>3</v>
      </c>
      <c r="U4">
        <v>19</v>
      </c>
      <c r="V4">
        <v>18</v>
      </c>
      <c r="W4">
        <v>1</v>
      </c>
      <c r="X4">
        <v>6</v>
      </c>
    </row>
    <row r="5" spans="2:24">
      <c r="B5" t="s">
        <v>10</v>
      </c>
      <c r="C5" t="s">
        <v>2821</v>
      </c>
      <c r="D5" t="s">
        <v>2</v>
      </c>
      <c r="E5">
        <v>184</v>
      </c>
      <c r="F5">
        <v>51</v>
      </c>
      <c r="G5">
        <v>70</v>
      </c>
      <c r="H5">
        <v>4</v>
      </c>
      <c r="I5">
        <v>11</v>
      </c>
      <c r="J5">
        <v>10</v>
      </c>
      <c r="K5">
        <v>1</v>
      </c>
      <c r="L5">
        <v>6</v>
      </c>
      <c r="N5" t="s">
        <v>10</v>
      </c>
      <c r="O5" t="s">
        <v>2821</v>
      </c>
      <c r="P5" t="s">
        <v>2</v>
      </c>
      <c r="Q5">
        <v>210</v>
      </c>
      <c r="R5">
        <v>67</v>
      </c>
      <c r="S5">
        <v>70</v>
      </c>
      <c r="T5">
        <v>4</v>
      </c>
      <c r="U5">
        <v>21</v>
      </c>
      <c r="V5">
        <v>10</v>
      </c>
      <c r="W5">
        <v>1</v>
      </c>
      <c r="X5">
        <v>6</v>
      </c>
    </row>
    <row r="6" spans="2:24">
      <c r="B6" t="s">
        <v>10</v>
      </c>
      <c r="C6" t="s">
        <v>2822</v>
      </c>
      <c r="D6" t="s">
        <v>2823</v>
      </c>
      <c r="E6">
        <v>172</v>
      </c>
      <c r="F6">
        <v>51</v>
      </c>
      <c r="G6">
        <v>64</v>
      </c>
      <c r="H6">
        <v>6</v>
      </c>
      <c r="I6">
        <v>13</v>
      </c>
      <c r="J6">
        <v>18</v>
      </c>
      <c r="K6">
        <v>1</v>
      </c>
      <c r="L6">
        <v>4</v>
      </c>
      <c r="N6" t="s">
        <v>10</v>
      </c>
      <c r="O6" t="s">
        <v>2822</v>
      </c>
      <c r="P6" t="s">
        <v>2823</v>
      </c>
      <c r="Q6">
        <v>197</v>
      </c>
      <c r="R6">
        <v>65</v>
      </c>
      <c r="S6">
        <v>64</v>
      </c>
      <c r="T6">
        <v>6</v>
      </c>
      <c r="U6">
        <v>24</v>
      </c>
      <c r="V6">
        <v>18</v>
      </c>
      <c r="W6">
        <v>1</v>
      </c>
      <c r="X6">
        <v>4</v>
      </c>
    </row>
    <row r="7" spans="2:24">
      <c r="B7" t="s">
        <v>9</v>
      </c>
      <c r="C7" t="s">
        <v>2824</v>
      </c>
      <c r="D7" t="s">
        <v>2</v>
      </c>
      <c r="E7">
        <v>161</v>
      </c>
      <c r="F7">
        <v>53</v>
      </c>
      <c r="G7">
        <v>55</v>
      </c>
      <c r="H7">
        <v>4</v>
      </c>
      <c r="I7">
        <v>14</v>
      </c>
      <c r="J7">
        <v>0</v>
      </c>
      <c r="K7">
        <v>1</v>
      </c>
      <c r="L7">
        <v>6</v>
      </c>
      <c r="N7" t="s">
        <v>9</v>
      </c>
      <c r="O7" t="s">
        <v>2824</v>
      </c>
      <c r="P7" t="s">
        <v>2</v>
      </c>
      <c r="Q7">
        <v>187</v>
      </c>
      <c r="R7">
        <v>67</v>
      </c>
      <c r="S7">
        <v>55</v>
      </c>
      <c r="T7">
        <v>4</v>
      </c>
      <c r="U7">
        <v>26</v>
      </c>
      <c r="V7">
        <v>0</v>
      </c>
      <c r="W7">
        <v>1</v>
      </c>
      <c r="X7">
        <v>6</v>
      </c>
    </row>
    <row r="8" spans="2:24">
      <c r="B8" t="s">
        <v>10</v>
      </c>
      <c r="C8" t="s">
        <v>2825</v>
      </c>
      <c r="D8" t="s">
        <v>5</v>
      </c>
      <c r="E8">
        <v>152</v>
      </c>
      <c r="F8">
        <v>49</v>
      </c>
      <c r="G8">
        <v>49</v>
      </c>
      <c r="H8">
        <v>0</v>
      </c>
      <c r="I8">
        <v>12</v>
      </c>
      <c r="J8">
        <v>9</v>
      </c>
      <c r="K8">
        <v>1</v>
      </c>
      <c r="L8">
        <v>6</v>
      </c>
      <c r="N8" t="s">
        <v>10</v>
      </c>
      <c r="O8" t="s">
        <v>2825</v>
      </c>
      <c r="P8" t="s">
        <v>5</v>
      </c>
      <c r="Q8">
        <v>177</v>
      </c>
      <c r="R8">
        <v>62</v>
      </c>
      <c r="S8">
        <v>49</v>
      </c>
      <c r="T8">
        <v>0</v>
      </c>
      <c r="U8">
        <v>24</v>
      </c>
      <c r="V8">
        <v>9</v>
      </c>
      <c r="W8">
        <v>1</v>
      </c>
      <c r="X8">
        <v>6</v>
      </c>
    </row>
    <row r="9" spans="2:24">
      <c r="B9" t="s">
        <v>10</v>
      </c>
      <c r="C9" t="s">
        <v>2826</v>
      </c>
      <c r="D9" t="s">
        <v>2</v>
      </c>
      <c r="E9">
        <v>140</v>
      </c>
      <c r="F9">
        <v>26</v>
      </c>
      <c r="G9">
        <v>70</v>
      </c>
      <c r="H9">
        <v>0</v>
      </c>
      <c r="I9">
        <v>3</v>
      </c>
      <c r="J9">
        <v>18</v>
      </c>
      <c r="K9">
        <v>0.9</v>
      </c>
      <c r="L9">
        <v>6</v>
      </c>
      <c r="N9" t="s">
        <v>10</v>
      </c>
      <c r="O9" t="s">
        <v>2826</v>
      </c>
      <c r="P9" t="s">
        <v>2</v>
      </c>
      <c r="Q9">
        <v>152</v>
      </c>
      <c r="R9">
        <v>36</v>
      </c>
      <c r="S9">
        <v>70</v>
      </c>
      <c r="T9">
        <v>0</v>
      </c>
      <c r="U9">
        <v>7</v>
      </c>
      <c r="V9">
        <v>18</v>
      </c>
      <c r="W9">
        <v>0.9</v>
      </c>
      <c r="X9">
        <v>6</v>
      </c>
    </row>
    <row r="10" spans="2:24">
      <c r="B10" t="s">
        <v>10</v>
      </c>
      <c r="C10" t="s">
        <v>2827</v>
      </c>
      <c r="D10" t="s">
        <v>5</v>
      </c>
      <c r="E10">
        <v>132</v>
      </c>
      <c r="F10">
        <v>37</v>
      </c>
      <c r="G10">
        <v>49</v>
      </c>
      <c r="H10">
        <v>4</v>
      </c>
      <c r="I10">
        <v>6</v>
      </c>
      <c r="J10">
        <v>18</v>
      </c>
      <c r="K10">
        <v>0.9</v>
      </c>
      <c r="L10">
        <v>6</v>
      </c>
      <c r="N10" t="s">
        <v>10</v>
      </c>
      <c r="O10" t="s">
        <v>2827</v>
      </c>
      <c r="P10" t="s">
        <v>5</v>
      </c>
      <c r="Q10">
        <v>148</v>
      </c>
      <c r="R10">
        <v>49</v>
      </c>
      <c r="S10">
        <v>49</v>
      </c>
      <c r="T10">
        <v>4</v>
      </c>
      <c r="U10">
        <v>12</v>
      </c>
      <c r="V10">
        <v>18</v>
      </c>
      <c r="W10">
        <v>0.9</v>
      </c>
      <c r="X10">
        <v>6</v>
      </c>
    </row>
    <row r="11" spans="2:24">
      <c r="B11" t="s">
        <v>10</v>
      </c>
      <c r="C11" t="s">
        <v>2828</v>
      </c>
      <c r="D11" t="s">
        <v>2829</v>
      </c>
      <c r="E11">
        <v>115</v>
      </c>
      <c r="F11">
        <v>28</v>
      </c>
      <c r="G11">
        <v>34</v>
      </c>
      <c r="H11">
        <v>2</v>
      </c>
      <c r="I11">
        <v>4</v>
      </c>
      <c r="J11">
        <v>10</v>
      </c>
      <c r="K11">
        <v>1</v>
      </c>
      <c r="L11">
        <v>6</v>
      </c>
      <c r="N11" t="s">
        <v>9</v>
      </c>
      <c r="O11" t="s">
        <v>2831</v>
      </c>
      <c r="P11" t="s">
        <v>2829</v>
      </c>
      <c r="Q11">
        <v>127</v>
      </c>
      <c r="R11">
        <v>56</v>
      </c>
      <c r="S11">
        <v>18</v>
      </c>
      <c r="T11">
        <v>0</v>
      </c>
      <c r="U11">
        <v>19</v>
      </c>
      <c r="V11">
        <v>0</v>
      </c>
      <c r="W11">
        <v>1</v>
      </c>
      <c r="X11">
        <v>6</v>
      </c>
    </row>
    <row r="12" spans="2:24">
      <c r="B12" t="s">
        <v>10</v>
      </c>
      <c r="C12" t="s">
        <v>2830</v>
      </c>
      <c r="D12" t="s">
        <v>2</v>
      </c>
      <c r="E12">
        <v>108</v>
      </c>
      <c r="F12">
        <v>11</v>
      </c>
      <c r="G12">
        <v>70</v>
      </c>
      <c r="H12">
        <v>0</v>
      </c>
      <c r="I12">
        <v>1</v>
      </c>
      <c r="J12">
        <v>0</v>
      </c>
      <c r="K12">
        <v>0.9</v>
      </c>
      <c r="L12">
        <v>6</v>
      </c>
      <c r="N12" t="s">
        <v>10</v>
      </c>
      <c r="O12" t="s">
        <v>2828</v>
      </c>
      <c r="P12" t="s">
        <v>2829</v>
      </c>
      <c r="Q12">
        <v>127</v>
      </c>
      <c r="R12">
        <v>36</v>
      </c>
      <c r="S12">
        <v>34</v>
      </c>
      <c r="T12">
        <v>2</v>
      </c>
      <c r="U12">
        <v>8</v>
      </c>
      <c r="V12">
        <v>10</v>
      </c>
      <c r="W12">
        <v>1</v>
      </c>
      <c r="X12">
        <v>6</v>
      </c>
    </row>
    <row r="13" spans="2:24">
      <c r="B13" t="s">
        <v>9</v>
      </c>
      <c r="C13" t="s">
        <v>2831</v>
      </c>
      <c r="D13" t="s">
        <v>2829</v>
      </c>
      <c r="E13">
        <v>105</v>
      </c>
      <c r="F13">
        <v>43</v>
      </c>
      <c r="G13">
        <v>18</v>
      </c>
      <c r="H13">
        <v>0</v>
      </c>
      <c r="I13">
        <v>10</v>
      </c>
      <c r="J13">
        <v>0</v>
      </c>
      <c r="K13">
        <v>1</v>
      </c>
      <c r="L13">
        <v>6</v>
      </c>
      <c r="N13" t="s">
        <v>9</v>
      </c>
      <c r="O13" t="s">
        <v>2834</v>
      </c>
      <c r="P13" t="s">
        <v>122</v>
      </c>
      <c r="Q13">
        <v>124</v>
      </c>
      <c r="R13">
        <v>50</v>
      </c>
      <c r="S13">
        <v>36</v>
      </c>
      <c r="T13">
        <v>0</v>
      </c>
      <c r="U13">
        <v>25</v>
      </c>
      <c r="V13">
        <v>1</v>
      </c>
      <c r="W13">
        <v>1</v>
      </c>
      <c r="X13">
        <v>5</v>
      </c>
    </row>
    <row r="14" spans="2:24">
      <c r="B14" t="s">
        <v>11</v>
      </c>
      <c r="C14" t="s">
        <v>2832</v>
      </c>
      <c r="D14" t="s">
        <v>4</v>
      </c>
      <c r="E14">
        <v>105</v>
      </c>
      <c r="F14">
        <v>20</v>
      </c>
      <c r="G14">
        <v>66</v>
      </c>
      <c r="H14">
        <v>0</v>
      </c>
      <c r="I14">
        <v>1</v>
      </c>
      <c r="J14">
        <v>0</v>
      </c>
      <c r="K14">
        <v>0.9</v>
      </c>
      <c r="L14">
        <v>4</v>
      </c>
      <c r="N14" t="s">
        <v>11</v>
      </c>
      <c r="O14" t="s">
        <v>2835</v>
      </c>
      <c r="P14" t="s">
        <v>2836</v>
      </c>
      <c r="Q14">
        <v>116</v>
      </c>
      <c r="R14">
        <v>43</v>
      </c>
      <c r="S14">
        <v>14</v>
      </c>
      <c r="T14">
        <v>1</v>
      </c>
      <c r="U14">
        <v>15</v>
      </c>
      <c r="V14">
        <v>30</v>
      </c>
      <c r="W14">
        <v>1</v>
      </c>
      <c r="X14">
        <v>5</v>
      </c>
    </row>
    <row r="15" spans="2:24">
      <c r="B15" t="s">
        <v>9</v>
      </c>
      <c r="C15" t="s">
        <v>2833</v>
      </c>
      <c r="D15" t="s">
        <v>2</v>
      </c>
      <c r="E15">
        <v>104</v>
      </c>
      <c r="F15">
        <v>20</v>
      </c>
      <c r="G15">
        <v>55</v>
      </c>
      <c r="H15">
        <v>0</v>
      </c>
      <c r="I15">
        <v>5</v>
      </c>
      <c r="J15">
        <v>1</v>
      </c>
      <c r="K15">
        <v>0.9</v>
      </c>
      <c r="L15">
        <v>6</v>
      </c>
      <c r="N15" t="s">
        <v>11</v>
      </c>
      <c r="O15" t="s">
        <v>2832</v>
      </c>
      <c r="P15" t="s">
        <v>4</v>
      </c>
      <c r="Q15">
        <v>114</v>
      </c>
      <c r="R15">
        <v>28</v>
      </c>
      <c r="S15" s="6">
        <v>66</v>
      </c>
      <c r="T15">
        <v>0</v>
      </c>
      <c r="U15">
        <v>3</v>
      </c>
      <c r="V15">
        <v>0</v>
      </c>
      <c r="W15">
        <v>0.9</v>
      </c>
      <c r="X15">
        <v>4</v>
      </c>
    </row>
    <row r="16" spans="2:24">
      <c r="B16" t="s">
        <v>9</v>
      </c>
      <c r="C16" t="s">
        <v>2834</v>
      </c>
      <c r="D16" t="s">
        <v>122</v>
      </c>
      <c r="E16">
        <v>100</v>
      </c>
      <c r="F16">
        <v>38</v>
      </c>
      <c r="G16">
        <v>36</v>
      </c>
      <c r="H16">
        <v>0</v>
      </c>
      <c r="I16">
        <v>13</v>
      </c>
      <c r="J16">
        <v>1</v>
      </c>
      <c r="K16">
        <v>1</v>
      </c>
      <c r="L16">
        <v>5</v>
      </c>
      <c r="N16" t="s">
        <v>10</v>
      </c>
      <c r="O16" t="s">
        <v>2830</v>
      </c>
      <c r="P16" t="s">
        <v>2</v>
      </c>
      <c r="Q16">
        <v>113</v>
      </c>
      <c r="R16">
        <v>16</v>
      </c>
      <c r="S16">
        <v>70</v>
      </c>
      <c r="T16">
        <v>0</v>
      </c>
      <c r="U16">
        <v>2</v>
      </c>
      <c r="V16">
        <v>0</v>
      </c>
      <c r="W16">
        <v>0.9</v>
      </c>
      <c r="X16">
        <v>6</v>
      </c>
    </row>
    <row r="17" spans="2:24">
      <c r="B17" t="s">
        <v>11</v>
      </c>
      <c r="C17" t="s">
        <v>2835</v>
      </c>
      <c r="D17" t="s">
        <v>2836</v>
      </c>
      <c r="E17">
        <v>98</v>
      </c>
      <c r="F17">
        <v>33</v>
      </c>
      <c r="G17">
        <v>14</v>
      </c>
      <c r="H17">
        <v>1</v>
      </c>
      <c r="I17">
        <v>7</v>
      </c>
      <c r="J17">
        <v>30</v>
      </c>
      <c r="K17">
        <v>1</v>
      </c>
      <c r="L17">
        <v>5</v>
      </c>
      <c r="N17" t="s">
        <v>9</v>
      </c>
      <c r="O17" t="s">
        <v>2833</v>
      </c>
      <c r="P17" t="s">
        <v>2</v>
      </c>
      <c r="Q17">
        <v>111</v>
      </c>
      <c r="R17">
        <v>23</v>
      </c>
      <c r="S17">
        <v>55</v>
      </c>
      <c r="T17">
        <v>0</v>
      </c>
      <c r="U17">
        <v>9</v>
      </c>
      <c r="V17">
        <v>1</v>
      </c>
      <c r="W17">
        <v>0.9</v>
      </c>
      <c r="X17">
        <v>6</v>
      </c>
    </row>
    <row r="18" spans="2:24">
      <c r="B18" t="s">
        <v>8</v>
      </c>
      <c r="C18" t="s">
        <v>2837</v>
      </c>
      <c r="D18" t="s">
        <v>7</v>
      </c>
      <c r="E18">
        <v>95</v>
      </c>
      <c r="F18">
        <v>5</v>
      </c>
      <c r="G18">
        <v>75</v>
      </c>
      <c r="H18">
        <v>-8</v>
      </c>
      <c r="I18">
        <v>14</v>
      </c>
      <c r="J18">
        <v>0</v>
      </c>
      <c r="K18">
        <v>1</v>
      </c>
      <c r="L18">
        <v>8</v>
      </c>
      <c r="N18" t="s">
        <v>8</v>
      </c>
      <c r="O18" t="s">
        <v>2837</v>
      </c>
      <c r="P18" t="s">
        <v>7</v>
      </c>
      <c r="Q18">
        <v>109</v>
      </c>
      <c r="R18">
        <v>6</v>
      </c>
      <c r="S18">
        <v>75</v>
      </c>
      <c r="T18">
        <v>-7</v>
      </c>
      <c r="U18">
        <v>26</v>
      </c>
      <c r="V18">
        <v>0</v>
      </c>
      <c r="W18">
        <v>1</v>
      </c>
      <c r="X18">
        <v>8</v>
      </c>
    </row>
    <row r="19" spans="2:24">
      <c r="B19" t="s">
        <v>11</v>
      </c>
      <c r="C19" t="s">
        <v>2838</v>
      </c>
      <c r="D19" t="s">
        <v>5</v>
      </c>
      <c r="E19">
        <v>94</v>
      </c>
      <c r="F19">
        <v>20</v>
      </c>
      <c r="G19">
        <v>15</v>
      </c>
      <c r="H19">
        <v>2</v>
      </c>
      <c r="I19">
        <v>4</v>
      </c>
      <c r="J19">
        <v>30</v>
      </c>
      <c r="K19">
        <v>0.9</v>
      </c>
      <c r="L19">
        <v>6</v>
      </c>
      <c r="N19" t="s">
        <v>11</v>
      </c>
      <c r="O19" t="s">
        <v>2838</v>
      </c>
      <c r="P19" t="s">
        <v>5</v>
      </c>
      <c r="Q19">
        <v>105</v>
      </c>
      <c r="R19">
        <v>29</v>
      </c>
      <c r="S19">
        <v>15</v>
      </c>
      <c r="T19">
        <v>2</v>
      </c>
      <c r="U19">
        <v>8</v>
      </c>
      <c r="V19">
        <v>30</v>
      </c>
      <c r="W19">
        <v>0.9</v>
      </c>
      <c r="X19">
        <v>6</v>
      </c>
    </row>
    <row r="20" spans="2:24">
      <c r="B20" t="s">
        <v>8</v>
      </c>
      <c r="C20" t="s">
        <v>2839</v>
      </c>
      <c r="D20" t="s">
        <v>2823</v>
      </c>
      <c r="E20">
        <v>89</v>
      </c>
      <c r="F20">
        <v>8</v>
      </c>
      <c r="G20">
        <v>65</v>
      </c>
      <c r="H20">
        <v>-4</v>
      </c>
      <c r="I20">
        <v>14</v>
      </c>
      <c r="J20">
        <v>0</v>
      </c>
      <c r="K20">
        <v>1</v>
      </c>
      <c r="L20">
        <v>4</v>
      </c>
      <c r="N20" t="s">
        <v>8</v>
      </c>
      <c r="O20" t="s">
        <v>2839</v>
      </c>
      <c r="P20" t="s">
        <v>2823</v>
      </c>
      <c r="Q20">
        <v>103</v>
      </c>
      <c r="R20">
        <v>10</v>
      </c>
      <c r="S20">
        <v>65</v>
      </c>
      <c r="T20">
        <v>-4</v>
      </c>
      <c r="U20">
        <v>26</v>
      </c>
      <c r="V20">
        <v>0</v>
      </c>
      <c r="W20">
        <v>1</v>
      </c>
      <c r="X20">
        <v>4</v>
      </c>
    </row>
    <row r="21" spans="2:24">
      <c r="B21" t="s">
        <v>11</v>
      </c>
      <c r="C21" t="s">
        <v>2840</v>
      </c>
      <c r="D21" t="s">
        <v>113</v>
      </c>
      <c r="E21">
        <v>89</v>
      </c>
      <c r="F21">
        <v>22</v>
      </c>
      <c r="G21">
        <v>24</v>
      </c>
      <c r="H21">
        <v>1</v>
      </c>
      <c r="I21">
        <v>2</v>
      </c>
      <c r="J21">
        <v>30</v>
      </c>
      <c r="K21">
        <v>0.9</v>
      </c>
      <c r="L21">
        <v>6</v>
      </c>
      <c r="N21" t="s">
        <v>9</v>
      </c>
      <c r="O21" t="s">
        <v>2842</v>
      </c>
      <c r="P21" t="s">
        <v>123</v>
      </c>
      <c r="Q21">
        <v>99</v>
      </c>
      <c r="R21">
        <v>53</v>
      </c>
      <c r="S21">
        <v>0</v>
      </c>
      <c r="T21">
        <v>0</v>
      </c>
      <c r="U21">
        <v>26</v>
      </c>
      <c r="V21">
        <v>0</v>
      </c>
      <c r="W21">
        <v>1</v>
      </c>
      <c r="X21">
        <v>6</v>
      </c>
    </row>
    <row r="22" spans="2:24">
      <c r="B22" t="s">
        <v>9</v>
      </c>
      <c r="C22" t="s">
        <v>2841</v>
      </c>
      <c r="D22" t="s">
        <v>124</v>
      </c>
      <c r="E22">
        <v>77</v>
      </c>
      <c r="F22">
        <v>36</v>
      </c>
      <c r="G22">
        <v>18</v>
      </c>
      <c r="H22">
        <v>0</v>
      </c>
      <c r="I22">
        <v>0</v>
      </c>
      <c r="J22">
        <v>0</v>
      </c>
      <c r="K22">
        <v>1</v>
      </c>
      <c r="L22">
        <v>3</v>
      </c>
      <c r="N22" t="s">
        <v>11</v>
      </c>
      <c r="O22" t="s">
        <v>2840</v>
      </c>
      <c r="P22" t="s">
        <v>113</v>
      </c>
      <c r="Q22">
        <v>94</v>
      </c>
      <c r="R22">
        <v>25</v>
      </c>
      <c r="S22">
        <v>24</v>
      </c>
      <c r="T22">
        <v>1</v>
      </c>
      <c r="U22">
        <v>4</v>
      </c>
      <c r="V22">
        <v>30</v>
      </c>
      <c r="W22">
        <v>0.9</v>
      </c>
      <c r="X22">
        <v>6</v>
      </c>
    </row>
    <row r="23" spans="2:24">
      <c r="B23" t="s">
        <v>9</v>
      </c>
      <c r="C23" t="s">
        <v>2842</v>
      </c>
      <c r="D23" t="s">
        <v>123</v>
      </c>
      <c r="E23">
        <v>76</v>
      </c>
      <c r="F23">
        <v>42</v>
      </c>
      <c r="G23">
        <v>0</v>
      </c>
      <c r="H23">
        <v>0</v>
      </c>
      <c r="I23">
        <v>14</v>
      </c>
      <c r="J23">
        <v>0</v>
      </c>
      <c r="K23">
        <v>1</v>
      </c>
      <c r="L23">
        <v>6</v>
      </c>
      <c r="N23" t="s">
        <v>9</v>
      </c>
      <c r="O23" t="s">
        <v>2841</v>
      </c>
      <c r="P23" t="s">
        <v>124</v>
      </c>
      <c r="Q23">
        <v>90</v>
      </c>
      <c r="R23">
        <v>50</v>
      </c>
      <c r="S23">
        <v>18</v>
      </c>
      <c r="T23">
        <v>0</v>
      </c>
      <c r="U23">
        <v>0</v>
      </c>
      <c r="V23">
        <v>0</v>
      </c>
      <c r="W23">
        <v>1</v>
      </c>
      <c r="X23">
        <v>2</v>
      </c>
    </row>
    <row r="24" spans="2:24">
      <c r="B24" t="s">
        <v>8</v>
      </c>
      <c r="C24" t="s">
        <v>2843</v>
      </c>
      <c r="D24" t="s">
        <v>2823</v>
      </c>
      <c r="E24">
        <v>37</v>
      </c>
      <c r="F24">
        <v>0</v>
      </c>
      <c r="G24">
        <v>65</v>
      </c>
      <c r="H24">
        <v>0</v>
      </c>
      <c r="I24">
        <v>0</v>
      </c>
      <c r="J24">
        <v>0</v>
      </c>
      <c r="K24">
        <v>0.52749999999999997</v>
      </c>
      <c r="L24">
        <v>4</v>
      </c>
      <c r="N24" t="s">
        <v>8</v>
      </c>
      <c r="O24" t="s">
        <v>2843</v>
      </c>
      <c r="P24" t="s">
        <v>2823</v>
      </c>
      <c r="Q24">
        <v>37</v>
      </c>
      <c r="R24">
        <v>0</v>
      </c>
      <c r="S24">
        <v>65</v>
      </c>
      <c r="T24">
        <v>0</v>
      </c>
      <c r="U24">
        <v>0</v>
      </c>
      <c r="V24">
        <v>0</v>
      </c>
      <c r="W24">
        <v>0.52749999999999997</v>
      </c>
      <c r="X24">
        <v>4</v>
      </c>
    </row>
    <row r="25" spans="2:24">
      <c r="B25" t="s">
        <v>11</v>
      </c>
      <c r="C25" t="s">
        <v>2844</v>
      </c>
      <c r="D25" t="s">
        <v>5</v>
      </c>
      <c r="E25">
        <v>7</v>
      </c>
      <c r="F25">
        <v>42</v>
      </c>
      <c r="G25">
        <v>15</v>
      </c>
      <c r="H25">
        <v>6</v>
      </c>
      <c r="I25">
        <v>8</v>
      </c>
      <c r="J25">
        <v>30</v>
      </c>
      <c r="K25">
        <v>0.05</v>
      </c>
      <c r="L25">
        <v>6</v>
      </c>
      <c r="N25" t="s">
        <v>9</v>
      </c>
      <c r="O25" t="s">
        <v>2845</v>
      </c>
      <c r="P25" t="s">
        <v>3</v>
      </c>
      <c r="Q25">
        <v>8</v>
      </c>
      <c r="R25">
        <v>49</v>
      </c>
      <c r="S25">
        <v>55</v>
      </c>
      <c r="T25">
        <v>0</v>
      </c>
      <c r="U25">
        <v>25</v>
      </c>
      <c r="V25">
        <v>0</v>
      </c>
      <c r="W25">
        <v>0.05</v>
      </c>
      <c r="X25">
        <v>5</v>
      </c>
    </row>
    <row r="26" spans="2:24">
      <c r="B26" t="s">
        <v>9</v>
      </c>
      <c r="C26" t="s">
        <v>2845</v>
      </c>
      <c r="D26" t="s">
        <v>3</v>
      </c>
      <c r="E26">
        <v>6</v>
      </c>
      <c r="F26">
        <v>38</v>
      </c>
      <c r="G26">
        <v>55</v>
      </c>
      <c r="H26">
        <v>0</v>
      </c>
      <c r="I26">
        <v>13</v>
      </c>
      <c r="J26">
        <v>0</v>
      </c>
      <c r="K26">
        <v>0.05</v>
      </c>
      <c r="L26">
        <v>5</v>
      </c>
      <c r="N26" t="s">
        <v>11</v>
      </c>
      <c r="O26" t="s">
        <v>2844</v>
      </c>
      <c r="P26" t="s">
        <v>5</v>
      </c>
      <c r="Q26">
        <v>7</v>
      </c>
      <c r="R26">
        <v>50</v>
      </c>
      <c r="S26">
        <v>15</v>
      </c>
      <c r="T26">
        <v>6</v>
      </c>
      <c r="U26">
        <v>15</v>
      </c>
      <c r="V26">
        <v>30</v>
      </c>
      <c r="W26">
        <v>0.05</v>
      </c>
      <c r="X26">
        <v>6</v>
      </c>
    </row>
    <row r="27" spans="2:24">
      <c r="B27" t="s">
        <v>9</v>
      </c>
      <c r="C27" t="s">
        <v>2846</v>
      </c>
      <c r="D27" t="s">
        <v>2</v>
      </c>
      <c r="E27">
        <v>4</v>
      </c>
      <c r="F27">
        <v>0</v>
      </c>
      <c r="G27">
        <v>55</v>
      </c>
      <c r="H27">
        <v>0</v>
      </c>
      <c r="I27">
        <v>0</v>
      </c>
      <c r="J27">
        <v>0</v>
      </c>
      <c r="K27">
        <v>0.05</v>
      </c>
      <c r="L27">
        <v>6</v>
      </c>
      <c r="N27" t="s">
        <v>9</v>
      </c>
      <c r="O27" t="s">
        <v>2846</v>
      </c>
      <c r="P27" t="s">
        <v>2</v>
      </c>
      <c r="Q27">
        <v>4</v>
      </c>
      <c r="R27">
        <v>0</v>
      </c>
      <c r="S27">
        <v>55</v>
      </c>
      <c r="T27">
        <v>0</v>
      </c>
      <c r="U27">
        <v>0</v>
      </c>
      <c r="V27">
        <v>0</v>
      </c>
      <c r="W27">
        <v>0.05</v>
      </c>
      <c r="X27">
        <v>6</v>
      </c>
    </row>
    <row r="28" spans="2:24">
      <c r="B28" t="s">
        <v>2847</v>
      </c>
      <c r="N28" t="s">
        <v>2847</v>
      </c>
    </row>
    <row r="29" spans="2:24">
      <c r="B29" t="s">
        <v>8</v>
      </c>
      <c r="C29" t="s">
        <v>2837</v>
      </c>
      <c r="D29" t="s">
        <v>7</v>
      </c>
      <c r="E29">
        <v>1</v>
      </c>
      <c r="F29">
        <v>1</v>
      </c>
      <c r="G29">
        <v>60</v>
      </c>
      <c r="N29" t="s">
        <v>8</v>
      </c>
      <c r="O29" t="s">
        <v>2837</v>
      </c>
      <c r="P29" t="s">
        <v>7</v>
      </c>
      <c r="Q29">
        <v>1</v>
      </c>
      <c r="R29">
        <v>1</v>
      </c>
      <c r="S29">
        <v>60</v>
      </c>
    </row>
    <row r="30" spans="2:24">
      <c r="B30" t="s">
        <v>9</v>
      </c>
      <c r="C30" t="s">
        <v>2824</v>
      </c>
      <c r="D30" t="s">
        <v>2</v>
      </c>
      <c r="E30">
        <v>1</v>
      </c>
      <c r="F30">
        <v>1</v>
      </c>
      <c r="G30">
        <v>41</v>
      </c>
      <c r="N30" t="s">
        <v>9</v>
      </c>
      <c r="O30" t="s">
        <v>2834</v>
      </c>
      <c r="P30" t="s">
        <v>122</v>
      </c>
      <c r="Q30">
        <v>1</v>
      </c>
      <c r="R30">
        <v>1</v>
      </c>
      <c r="S30">
        <v>38</v>
      </c>
    </row>
    <row r="31" spans="2:24">
      <c r="B31" t="s">
        <v>9</v>
      </c>
      <c r="C31" t="s">
        <v>2833</v>
      </c>
      <c r="D31" t="s">
        <v>2</v>
      </c>
      <c r="E31">
        <v>1</v>
      </c>
      <c r="F31">
        <v>1</v>
      </c>
      <c r="G31">
        <v>28</v>
      </c>
      <c r="N31" t="s">
        <v>9</v>
      </c>
      <c r="O31" t="s">
        <v>2824</v>
      </c>
      <c r="P31" t="s">
        <v>2</v>
      </c>
      <c r="Q31">
        <v>1</v>
      </c>
      <c r="R31">
        <v>1</v>
      </c>
      <c r="S31">
        <v>42</v>
      </c>
    </row>
    <row r="32" spans="2:24">
      <c r="B32" t="s">
        <v>9</v>
      </c>
      <c r="C32" t="s">
        <v>2831</v>
      </c>
      <c r="D32" t="s">
        <v>2829</v>
      </c>
      <c r="E32">
        <v>1</v>
      </c>
      <c r="F32">
        <v>1</v>
      </c>
      <c r="G32">
        <v>39</v>
      </c>
      <c r="N32" t="s">
        <v>9</v>
      </c>
      <c r="O32" t="s">
        <v>2831</v>
      </c>
      <c r="P32" t="s">
        <v>2829</v>
      </c>
      <c r="Q32">
        <v>1</v>
      </c>
      <c r="R32">
        <v>1</v>
      </c>
      <c r="S32">
        <v>42</v>
      </c>
    </row>
    <row r="33" spans="2:19">
      <c r="B33" t="s">
        <v>10</v>
      </c>
      <c r="C33" t="s">
        <v>2825</v>
      </c>
      <c r="D33" t="s">
        <v>5</v>
      </c>
      <c r="E33">
        <v>1</v>
      </c>
      <c r="F33">
        <v>1</v>
      </c>
      <c r="G33">
        <v>38</v>
      </c>
      <c r="N33" t="s">
        <v>10</v>
      </c>
      <c r="O33" t="s">
        <v>2825</v>
      </c>
      <c r="P33" t="s">
        <v>5</v>
      </c>
      <c r="Q33">
        <v>1</v>
      </c>
      <c r="R33">
        <v>1</v>
      </c>
      <c r="S33">
        <v>39</v>
      </c>
    </row>
    <row r="34" spans="2:19">
      <c r="B34" t="s">
        <v>10</v>
      </c>
      <c r="C34" t="s">
        <v>2820</v>
      </c>
      <c r="D34" t="s">
        <v>2</v>
      </c>
      <c r="E34">
        <v>1</v>
      </c>
      <c r="F34">
        <v>1</v>
      </c>
      <c r="G34">
        <v>38</v>
      </c>
      <c r="N34" t="s">
        <v>10</v>
      </c>
      <c r="O34" t="s">
        <v>2820</v>
      </c>
      <c r="P34" t="s">
        <v>2</v>
      </c>
      <c r="Q34">
        <v>1</v>
      </c>
      <c r="R34">
        <v>1</v>
      </c>
      <c r="S34">
        <v>39</v>
      </c>
    </row>
    <row r="35" spans="2:19">
      <c r="B35" t="s">
        <v>10</v>
      </c>
      <c r="C35" t="s">
        <v>2826</v>
      </c>
      <c r="D35" t="s">
        <v>2</v>
      </c>
      <c r="E35">
        <v>1</v>
      </c>
      <c r="F35">
        <v>1</v>
      </c>
      <c r="G35">
        <v>47</v>
      </c>
      <c r="N35" t="s">
        <v>10</v>
      </c>
      <c r="O35" t="s">
        <v>2826</v>
      </c>
      <c r="P35" t="s">
        <v>2</v>
      </c>
      <c r="Q35">
        <v>1</v>
      </c>
      <c r="R35">
        <v>1</v>
      </c>
      <c r="S35">
        <v>45</v>
      </c>
    </row>
    <row r="36" spans="2:19">
      <c r="B36" t="s">
        <v>10</v>
      </c>
      <c r="C36" t="s">
        <v>2821</v>
      </c>
      <c r="D36" t="s">
        <v>2</v>
      </c>
      <c r="E36">
        <v>1</v>
      </c>
      <c r="F36">
        <v>1</v>
      </c>
      <c r="G36">
        <v>40</v>
      </c>
      <c r="N36" t="s">
        <v>10</v>
      </c>
      <c r="O36" t="s">
        <v>2821</v>
      </c>
      <c r="P36" t="s">
        <v>2</v>
      </c>
      <c r="Q36">
        <v>1</v>
      </c>
      <c r="R36">
        <v>1</v>
      </c>
      <c r="S36">
        <v>42</v>
      </c>
    </row>
    <row r="37" spans="2:19">
      <c r="B37" t="s">
        <v>10</v>
      </c>
      <c r="C37" t="s">
        <v>2822</v>
      </c>
      <c r="D37" t="s">
        <v>2823</v>
      </c>
      <c r="E37">
        <v>1</v>
      </c>
      <c r="F37">
        <v>1</v>
      </c>
      <c r="G37">
        <v>40</v>
      </c>
      <c r="N37" t="s">
        <v>10</v>
      </c>
      <c r="O37" t="s">
        <v>2822</v>
      </c>
      <c r="P37" t="s">
        <v>2823</v>
      </c>
      <c r="Q37">
        <v>1</v>
      </c>
      <c r="R37">
        <v>1</v>
      </c>
      <c r="S37">
        <v>41</v>
      </c>
    </row>
    <row r="38" spans="2:19">
      <c r="B38" t="s">
        <v>11</v>
      </c>
      <c r="C38" t="s">
        <v>2819</v>
      </c>
      <c r="D38" t="s">
        <v>2</v>
      </c>
      <c r="E38">
        <v>1</v>
      </c>
      <c r="F38">
        <v>1</v>
      </c>
      <c r="G38">
        <v>54</v>
      </c>
      <c r="N38" t="s">
        <v>11</v>
      </c>
      <c r="O38" t="s">
        <v>2819</v>
      </c>
      <c r="P38" t="s">
        <v>2</v>
      </c>
      <c r="Q38">
        <v>1</v>
      </c>
      <c r="R38">
        <v>1</v>
      </c>
      <c r="S38">
        <v>56</v>
      </c>
    </row>
    <row r="39" spans="2:19">
      <c r="B39" t="s">
        <v>11</v>
      </c>
      <c r="C39" t="s">
        <v>2832</v>
      </c>
      <c r="D39" t="s">
        <v>4</v>
      </c>
      <c r="E39">
        <v>1</v>
      </c>
      <c r="F39">
        <v>1</v>
      </c>
      <c r="G39">
        <v>54</v>
      </c>
      <c r="N39" t="s">
        <v>11</v>
      </c>
      <c r="O39" t="s">
        <v>2835</v>
      </c>
      <c r="P39" t="s">
        <v>2836</v>
      </c>
      <c r="Q39">
        <v>1</v>
      </c>
      <c r="R39">
        <v>1</v>
      </c>
      <c r="S39">
        <v>41</v>
      </c>
    </row>
    <row r="40" spans="2:19">
      <c r="B40" t="s">
        <v>8</v>
      </c>
      <c r="C40" t="s">
        <v>2839</v>
      </c>
      <c r="D40" t="s">
        <v>2823</v>
      </c>
      <c r="E40">
        <v>2</v>
      </c>
      <c r="F40">
        <v>0</v>
      </c>
      <c r="G40">
        <v>60</v>
      </c>
      <c r="N40" t="s">
        <v>8</v>
      </c>
      <c r="O40" t="s">
        <v>2839</v>
      </c>
      <c r="P40" t="s">
        <v>2823</v>
      </c>
      <c r="Q40">
        <v>2</v>
      </c>
      <c r="R40">
        <v>0</v>
      </c>
      <c r="S40">
        <v>60</v>
      </c>
    </row>
    <row r="41" spans="2:19">
      <c r="B41" t="s">
        <v>11</v>
      </c>
      <c r="C41" t="s">
        <v>2835</v>
      </c>
      <c r="D41" t="s">
        <v>2836</v>
      </c>
      <c r="E41">
        <v>2</v>
      </c>
      <c r="F41">
        <v>0</v>
      </c>
      <c r="G41">
        <v>36</v>
      </c>
      <c r="N41" t="s">
        <v>11</v>
      </c>
      <c r="O41" t="s">
        <v>2832</v>
      </c>
      <c r="P41" t="s">
        <v>4</v>
      </c>
      <c r="Q41">
        <v>2</v>
      </c>
      <c r="R41">
        <v>0</v>
      </c>
      <c r="S41">
        <v>53</v>
      </c>
    </row>
    <row r="42" spans="2:19">
      <c r="B42" t="s">
        <v>11</v>
      </c>
      <c r="C42" t="s">
        <v>2838</v>
      </c>
      <c r="D42" t="s">
        <v>5</v>
      </c>
      <c r="E42">
        <v>2</v>
      </c>
      <c r="F42">
        <v>0</v>
      </c>
      <c r="G42">
        <v>56</v>
      </c>
      <c r="N42" t="s">
        <v>11</v>
      </c>
      <c r="O42" t="s">
        <v>2838</v>
      </c>
      <c r="P42" t="s">
        <v>5</v>
      </c>
      <c r="Q42">
        <v>2</v>
      </c>
      <c r="R42">
        <v>0</v>
      </c>
      <c r="S42">
        <v>55</v>
      </c>
    </row>
    <row r="43" spans="2:19">
      <c r="B43" t="s">
        <v>11</v>
      </c>
      <c r="C43" t="s">
        <v>2840</v>
      </c>
      <c r="D43" t="s">
        <v>113</v>
      </c>
      <c r="E43">
        <v>2</v>
      </c>
      <c r="F43">
        <v>0</v>
      </c>
      <c r="G43">
        <v>24</v>
      </c>
      <c r="N43" t="s">
        <v>11</v>
      </c>
      <c r="O43" t="s">
        <v>2840</v>
      </c>
      <c r="P43" t="s">
        <v>113</v>
      </c>
      <c r="Q43">
        <v>2</v>
      </c>
      <c r="R43">
        <v>0</v>
      </c>
      <c r="S43">
        <v>24</v>
      </c>
    </row>
    <row r="44" spans="2:19">
      <c r="B44" t="s">
        <v>10</v>
      </c>
      <c r="C44" t="s">
        <v>2827</v>
      </c>
      <c r="D44" t="s">
        <v>5</v>
      </c>
      <c r="E44">
        <v>2</v>
      </c>
      <c r="F44">
        <v>0</v>
      </c>
      <c r="G44">
        <v>50</v>
      </c>
      <c r="N44" t="s">
        <v>10</v>
      </c>
      <c r="O44" t="s">
        <v>2827</v>
      </c>
      <c r="P44" t="s">
        <v>5</v>
      </c>
      <c r="Q44">
        <v>2</v>
      </c>
      <c r="R44">
        <v>0</v>
      </c>
      <c r="S44">
        <v>46</v>
      </c>
    </row>
    <row r="45" spans="2:19">
      <c r="B45" t="s">
        <v>10</v>
      </c>
      <c r="C45" t="s">
        <v>2828</v>
      </c>
      <c r="D45" t="s">
        <v>2829</v>
      </c>
      <c r="E45">
        <v>2</v>
      </c>
      <c r="F45">
        <v>0</v>
      </c>
      <c r="G45">
        <v>38</v>
      </c>
      <c r="N45" t="s">
        <v>10</v>
      </c>
      <c r="O45" t="s">
        <v>2828</v>
      </c>
      <c r="P45" t="s">
        <v>2829</v>
      </c>
      <c r="Q45">
        <v>2</v>
      </c>
      <c r="R45">
        <v>0</v>
      </c>
      <c r="S45">
        <v>45</v>
      </c>
    </row>
    <row r="46" spans="2:19">
      <c r="B46" t="s">
        <v>10</v>
      </c>
      <c r="C46" t="s">
        <v>2830</v>
      </c>
      <c r="D46" t="s">
        <v>2</v>
      </c>
      <c r="E46">
        <v>2</v>
      </c>
      <c r="F46">
        <v>0</v>
      </c>
      <c r="G46">
        <v>60</v>
      </c>
      <c r="N46" t="s">
        <v>10</v>
      </c>
      <c r="O46" t="s">
        <v>2830</v>
      </c>
      <c r="P46" t="s">
        <v>2</v>
      </c>
      <c r="Q46">
        <v>2</v>
      </c>
      <c r="R46">
        <v>0</v>
      </c>
      <c r="S46">
        <v>60</v>
      </c>
    </row>
    <row r="47" spans="2:19">
      <c r="B47" t="s">
        <v>9</v>
      </c>
      <c r="C47" t="s">
        <v>2834</v>
      </c>
      <c r="D47" t="s">
        <v>122</v>
      </c>
      <c r="E47">
        <v>2</v>
      </c>
      <c r="F47">
        <v>0</v>
      </c>
      <c r="G47">
        <v>35</v>
      </c>
      <c r="N47" t="s">
        <v>9</v>
      </c>
      <c r="O47" t="s">
        <v>2833</v>
      </c>
      <c r="P47" t="s">
        <v>2</v>
      </c>
      <c r="Q47">
        <v>2</v>
      </c>
      <c r="R47">
        <v>0</v>
      </c>
      <c r="S47">
        <v>29</v>
      </c>
    </row>
    <row r="48" spans="2:19">
      <c r="B48" t="s">
        <v>9</v>
      </c>
      <c r="C48" t="s">
        <v>2841</v>
      </c>
      <c r="D48" t="s">
        <v>124</v>
      </c>
      <c r="E48">
        <v>2</v>
      </c>
      <c r="F48">
        <v>0</v>
      </c>
      <c r="G48">
        <v>49</v>
      </c>
      <c r="N48" t="s">
        <v>9</v>
      </c>
      <c r="O48" t="s">
        <v>2842</v>
      </c>
      <c r="P48" t="s">
        <v>123</v>
      </c>
      <c r="Q48">
        <v>2</v>
      </c>
      <c r="R48">
        <v>0</v>
      </c>
      <c r="S48">
        <v>33</v>
      </c>
    </row>
    <row r="49" spans="2:19">
      <c r="B49" t="s">
        <v>9</v>
      </c>
      <c r="C49" t="s">
        <v>2842</v>
      </c>
      <c r="D49" t="s">
        <v>123</v>
      </c>
      <c r="E49">
        <v>2</v>
      </c>
      <c r="F49">
        <v>0</v>
      </c>
      <c r="G49">
        <v>33</v>
      </c>
      <c r="N49" t="s">
        <v>9</v>
      </c>
      <c r="O49" t="s">
        <v>2841</v>
      </c>
      <c r="P49" t="s">
        <v>124</v>
      </c>
      <c r="Q49">
        <v>2</v>
      </c>
      <c r="R49">
        <v>0</v>
      </c>
      <c r="S49">
        <v>47</v>
      </c>
    </row>
    <row r="50" spans="2:19">
      <c r="B50">
        <v>2</v>
      </c>
      <c r="C50" t="s">
        <v>10</v>
      </c>
      <c r="D50" t="s">
        <v>114</v>
      </c>
      <c r="E50" t="s">
        <v>111</v>
      </c>
      <c r="F50">
        <v>0</v>
      </c>
      <c r="G50">
        <v>65</v>
      </c>
    </row>
    <row r="51" spans="2:19">
      <c r="B51">
        <v>2</v>
      </c>
      <c r="C51" t="s">
        <v>9</v>
      </c>
      <c r="D51" t="s">
        <v>115</v>
      </c>
      <c r="E51" t="s">
        <v>2</v>
      </c>
      <c r="F51">
        <v>0</v>
      </c>
      <c r="G51">
        <v>80</v>
      </c>
    </row>
    <row r="52" spans="2:19">
      <c r="B52">
        <v>2</v>
      </c>
      <c r="C52" t="s">
        <v>9</v>
      </c>
      <c r="D52" t="s">
        <v>116</v>
      </c>
      <c r="E52" t="s">
        <v>112</v>
      </c>
      <c r="F52">
        <v>0</v>
      </c>
      <c r="G52">
        <v>70</v>
      </c>
    </row>
    <row r="53" spans="2:19">
      <c r="B53">
        <v>2</v>
      </c>
      <c r="C53" t="s">
        <v>9</v>
      </c>
      <c r="D53" t="s">
        <v>117</v>
      </c>
      <c r="E53" t="s">
        <v>6</v>
      </c>
      <c r="F53">
        <v>0</v>
      </c>
      <c r="G53">
        <v>60</v>
      </c>
    </row>
  </sheetData>
  <sortState ref="B20:P44">
    <sortCondition descending="1" ref="F20:F44"/>
  </sortState>
  <phoneticPr fontId="4" type="noConversion"/>
  <pageMargins left="0.7" right="0.7" top="0.75" bottom="0.75" header="0.3" footer="0.3"/>
  <headerFooter>
    <oddFooter>&amp;L_x000D_&amp;1#&amp;"Aptos"&amp;7&amp;K000000 C2 General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B1407-0E5B-4604-9F5C-B52E4FF790D4}">
  <sheetPr codeName="Sheet8"/>
  <dimension ref="B1:N45"/>
  <sheetViews>
    <sheetView workbookViewId="0">
      <selection activeCell="P10" sqref="P10"/>
    </sheetView>
  </sheetViews>
  <sheetFormatPr defaultRowHeight="14.25"/>
  <sheetData>
    <row r="1" spans="2:13">
      <c r="B1" t="s">
        <v>36</v>
      </c>
      <c r="E1" t="s">
        <v>36</v>
      </c>
      <c r="H1" t="s">
        <v>36</v>
      </c>
      <c r="K1" t="s">
        <v>36</v>
      </c>
    </row>
    <row r="2" spans="2:13">
      <c r="B2">
        <v>75.5</v>
      </c>
      <c r="C2">
        <v>75</v>
      </c>
      <c r="D2">
        <v>11</v>
      </c>
      <c r="E2">
        <v>75.5</v>
      </c>
      <c r="F2">
        <v>75</v>
      </c>
      <c r="G2">
        <v>11</v>
      </c>
      <c r="H2">
        <v>75.5</v>
      </c>
      <c r="I2">
        <v>75</v>
      </c>
      <c r="J2">
        <v>11</v>
      </c>
      <c r="K2">
        <v>75.5</v>
      </c>
      <c r="L2">
        <v>75</v>
      </c>
      <c r="M2">
        <v>11</v>
      </c>
    </row>
    <row r="3" spans="2:13">
      <c r="B3" t="s">
        <v>37</v>
      </c>
      <c r="E3" t="s">
        <v>37</v>
      </c>
      <c r="H3" t="s">
        <v>37</v>
      </c>
      <c r="K3" t="s">
        <v>37</v>
      </c>
    </row>
    <row r="4" spans="2:13">
      <c r="B4">
        <v>62.5</v>
      </c>
      <c r="C4">
        <v>66</v>
      </c>
      <c r="D4">
        <v>11</v>
      </c>
      <c r="E4">
        <v>62.5</v>
      </c>
      <c r="F4">
        <v>66</v>
      </c>
      <c r="G4">
        <v>11</v>
      </c>
      <c r="H4">
        <v>62.5</v>
      </c>
      <c r="I4">
        <v>66</v>
      </c>
      <c r="J4">
        <v>11</v>
      </c>
      <c r="K4">
        <v>62.5</v>
      </c>
      <c r="L4">
        <v>66</v>
      </c>
      <c r="M4">
        <v>11</v>
      </c>
    </row>
    <row r="5" spans="2:13">
      <c r="B5" t="s">
        <v>38</v>
      </c>
      <c r="E5" t="s">
        <v>38</v>
      </c>
      <c r="H5" t="s">
        <v>38</v>
      </c>
      <c r="K5" t="s">
        <v>38</v>
      </c>
    </row>
    <row r="6" spans="2:13">
      <c r="B6">
        <v>84</v>
      </c>
      <c r="C6">
        <v>85.5</v>
      </c>
      <c r="D6">
        <v>11</v>
      </c>
      <c r="E6">
        <v>84</v>
      </c>
      <c r="F6">
        <v>85.5</v>
      </c>
      <c r="G6">
        <v>11</v>
      </c>
      <c r="H6">
        <v>84</v>
      </c>
      <c r="I6">
        <v>85.5</v>
      </c>
      <c r="J6">
        <v>11</v>
      </c>
      <c r="K6">
        <v>84</v>
      </c>
      <c r="L6">
        <v>85.5</v>
      </c>
      <c r="M6">
        <v>11</v>
      </c>
    </row>
    <row r="7" spans="2:13">
      <c r="B7" t="s">
        <v>39</v>
      </c>
      <c r="E7" t="s">
        <v>39</v>
      </c>
      <c r="H7" t="s">
        <v>39</v>
      </c>
      <c r="K7" t="s">
        <v>39</v>
      </c>
    </row>
    <row r="8" spans="2:13">
      <c r="B8">
        <v>61</v>
      </c>
      <c r="C8">
        <v>61.5</v>
      </c>
      <c r="D8">
        <v>11</v>
      </c>
      <c r="E8">
        <v>61</v>
      </c>
      <c r="F8">
        <v>61.5</v>
      </c>
      <c r="G8">
        <v>11</v>
      </c>
      <c r="H8">
        <v>61</v>
      </c>
      <c r="I8">
        <v>61.5</v>
      </c>
      <c r="J8">
        <v>11</v>
      </c>
      <c r="K8">
        <v>61</v>
      </c>
      <c r="L8">
        <v>61.5</v>
      </c>
      <c r="M8">
        <v>11</v>
      </c>
    </row>
    <row r="9" spans="2:13">
      <c r="B9" t="s">
        <v>40</v>
      </c>
      <c r="E9" t="s">
        <v>40</v>
      </c>
      <c r="H9" t="s">
        <v>40</v>
      </c>
      <c r="K9" t="s">
        <v>40</v>
      </c>
    </row>
    <row r="10" spans="2:13">
      <c r="B10">
        <v>66.5</v>
      </c>
      <c r="C10">
        <v>71</v>
      </c>
      <c r="D10">
        <v>11</v>
      </c>
      <c r="E10">
        <v>66.5</v>
      </c>
      <c r="F10">
        <v>71</v>
      </c>
      <c r="G10">
        <v>11</v>
      </c>
      <c r="H10">
        <v>66.5</v>
      </c>
      <c r="I10">
        <v>71</v>
      </c>
      <c r="J10">
        <v>11</v>
      </c>
      <c r="K10">
        <v>66.5</v>
      </c>
      <c r="L10">
        <v>71</v>
      </c>
      <c r="M10">
        <v>11</v>
      </c>
    </row>
    <row r="11" spans="2:13">
      <c r="B11" t="s">
        <v>44</v>
      </c>
      <c r="E11" t="s">
        <v>44</v>
      </c>
      <c r="H11" t="s">
        <v>44</v>
      </c>
      <c r="K11" t="s">
        <v>44</v>
      </c>
    </row>
    <row r="12" spans="2:13">
      <c r="B12">
        <v>74</v>
      </c>
      <c r="C12">
        <v>75.5</v>
      </c>
      <c r="D12">
        <v>11</v>
      </c>
      <c r="E12">
        <v>74</v>
      </c>
      <c r="F12">
        <v>75.5</v>
      </c>
      <c r="G12">
        <v>11</v>
      </c>
      <c r="H12">
        <v>74</v>
      </c>
      <c r="I12">
        <v>75.5</v>
      </c>
      <c r="J12">
        <v>11</v>
      </c>
      <c r="K12">
        <v>74</v>
      </c>
      <c r="L12">
        <v>75.5</v>
      </c>
      <c r="M12">
        <v>11</v>
      </c>
    </row>
    <row r="13" spans="2:13">
      <c r="B13" t="s">
        <v>49</v>
      </c>
      <c r="E13" t="s">
        <v>49</v>
      </c>
      <c r="H13" t="s">
        <v>49</v>
      </c>
      <c r="K13" t="s">
        <v>49</v>
      </c>
    </row>
    <row r="14" spans="2:13">
      <c r="B14">
        <v>64</v>
      </c>
      <c r="C14">
        <v>61.5</v>
      </c>
      <c r="D14">
        <v>11</v>
      </c>
      <c r="E14">
        <v>64</v>
      </c>
      <c r="F14">
        <v>61.5</v>
      </c>
      <c r="G14">
        <v>11</v>
      </c>
      <c r="H14">
        <v>64</v>
      </c>
      <c r="I14">
        <v>61.5</v>
      </c>
      <c r="J14">
        <v>11</v>
      </c>
      <c r="K14">
        <v>64</v>
      </c>
      <c r="L14">
        <v>61.5</v>
      </c>
      <c r="M14">
        <v>11</v>
      </c>
    </row>
    <row r="15" spans="2:13">
      <c r="B15" t="s">
        <v>50</v>
      </c>
      <c r="E15" t="s">
        <v>50</v>
      </c>
      <c r="H15" t="s">
        <v>50</v>
      </c>
      <c r="K15" t="s">
        <v>50</v>
      </c>
    </row>
    <row r="16" spans="2:13">
      <c r="B16">
        <v>86</v>
      </c>
      <c r="C16">
        <v>82</v>
      </c>
      <c r="D16">
        <v>11</v>
      </c>
      <c r="E16">
        <v>86</v>
      </c>
      <c r="F16">
        <v>82</v>
      </c>
      <c r="G16">
        <v>11</v>
      </c>
      <c r="H16">
        <v>86</v>
      </c>
      <c r="I16">
        <v>82</v>
      </c>
      <c r="J16">
        <v>11</v>
      </c>
      <c r="K16">
        <v>86</v>
      </c>
      <c r="L16">
        <v>82</v>
      </c>
      <c r="M16">
        <v>11</v>
      </c>
    </row>
    <row r="45" spans="2:14">
      <c r="B45">
        <f>SUM(B1:B44)</f>
        <v>573.5</v>
      </c>
      <c r="E45">
        <f>SUM(E1:E44)</f>
        <v>573.5</v>
      </c>
      <c r="H45">
        <f>SUM(H1:H44)</f>
        <v>573.5</v>
      </c>
      <c r="K45">
        <f>SUM(K1:K44)</f>
        <v>573.5</v>
      </c>
      <c r="N45">
        <f>SUM(N1:N44)</f>
        <v>0</v>
      </c>
    </row>
  </sheetData>
  <pageMargins left="0.7" right="0.7" top="0.75" bottom="0.75" header="0.3" footer="0.3"/>
  <headerFooter>
    <oddFooter>&amp;L_x000D_&amp;1#&amp;"Aptos"&amp;7&amp;K000000 C2 General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4634B-DBA0-4B75-BD8A-780883F38EDD}">
  <sheetPr codeName="Foglio1"/>
  <dimension ref="A2:AG423"/>
  <sheetViews>
    <sheetView topLeftCell="A37" workbookViewId="0">
      <selection activeCell="E12" sqref="E12"/>
    </sheetView>
  </sheetViews>
  <sheetFormatPr defaultRowHeight="14.25"/>
  <cols>
    <col min="1" max="1" width="17.75" bestFit="1" customWidth="1"/>
    <col min="2" max="2" width="18.75" bestFit="1" customWidth="1"/>
    <col min="3" max="3" width="2.875" bestFit="1" customWidth="1"/>
    <col min="4" max="4" width="3.875" bestFit="1" customWidth="1"/>
    <col min="5" max="5" width="17.75" bestFit="1" customWidth="1"/>
  </cols>
  <sheetData>
    <row r="2" spans="1:33">
      <c r="A2" t="s">
        <v>110</v>
      </c>
      <c r="B2" t="s">
        <v>51</v>
      </c>
    </row>
    <row r="3" spans="1:33">
      <c r="A3" t="s">
        <v>62</v>
      </c>
      <c r="B3" t="s">
        <v>62</v>
      </c>
      <c r="C3" s="12"/>
      <c r="D3" s="7"/>
      <c r="E3" s="7"/>
      <c r="F3" t="b">
        <f>A3=B3</f>
        <v>1</v>
      </c>
      <c r="H3" s="8"/>
    </row>
    <row r="4" spans="1:33">
      <c r="A4" s="7" t="s">
        <v>63</v>
      </c>
      <c r="B4" t="s">
        <v>63</v>
      </c>
      <c r="C4" s="12"/>
      <c r="D4" s="7"/>
      <c r="E4" s="7"/>
      <c r="F4" t="b">
        <f t="shared" ref="F4:F67" si="0">A4=B4</f>
        <v>1</v>
      </c>
      <c r="H4" s="8"/>
      <c r="M4">
        <v>1</v>
      </c>
      <c r="N4">
        <v>3</v>
      </c>
      <c r="O4">
        <v>0</v>
      </c>
      <c r="P4">
        <v>15</v>
      </c>
      <c r="Q4">
        <v>6</v>
      </c>
      <c r="R4">
        <v>6</v>
      </c>
      <c r="S4">
        <v>5</v>
      </c>
      <c r="T4">
        <v>20</v>
      </c>
      <c r="U4">
        <v>80</v>
      </c>
      <c r="V4">
        <v>70</v>
      </c>
      <c r="W4">
        <v>30</v>
      </c>
      <c r="X4" t="e">
        <f>#REF!=N4</f>
        <v>#REF!</v>
      </c>
      <c r="Y4" t="b">
        <f>B4=O4</f>
        <v>0</v>
      </c>
      <c r="Z4" t="b">
        <f>C4=P4</f>
        <v>0</v>
      </c>
      <c r="AA4" t="b">
        <f t="shared" ref="AA4:AF4" si="1">F4=Q4</f>
        <v>0</v>
      </c>
      <c r="AB4" t="b">
        <f t="shared" si="1"/>
        <v>0</v>
      </c>
      <c r="AC4" t="b">
        <f t="shared" si="1"/>
        <v>0</v>
      </c>
      <c r="AD4" t="b">
        <f t="shared" si="1"/>
        <v>0</v>
      </c>
      <c r="AE4" t="b">
        <f t="shared" si="1"/>
        <v>0</v>
      </c>
      <c r="AF4" t="b">
        <f t="shared" si="1"/>
        <v>0</v>
      </c>
      <c r="AG4" t="b">
        <f>L4=W4</f>
        <v>0</v>
      </c>
    </row>
    <row r="5" spans="1:33">
      <c r="A5" t="s">
        <v>64</v>
      </c>
      <c r="B5" t="s">
        <v>64</v>
      </c>
      <c r="C5" s="11"/>
      <c r="F5" t="b">
        <f t="shared" si="0"/>
        <v>1</v>
      </c>
      <c r="H5" s="7"/>
      <c r="M5">
        <v>1</v>
      </c>
      <c r="N5">
        <v>3</v>
      </c>
      <c r="O5">
        <v>0</v>
      </c>
      <c r="P5">
        <v>15</v>
      </c>
      <c r="Q5">
        <v>6</v>
      </c>
      <c r="R5">
        <v>6</v>
      </c>
      <c r="S5">
        <v>5</v>
      </c>
      <c r="T5">
        <v>20</v>
      </c>
      <c r="U5">
        <v>80</v>
      </c>
      <c r="V5">
        <v>70</v>
      </c>
      <c r="W5">
        <v>30</v>
      </c>
      <c r="X5" t="e">
        <f>#REF!=N5</f>
        <v>#REF!</v>
      </c>
      <c r="Y5" t="b">
        <f t="shared" ref="Y5:Y24" si="2">B5=O5</f>
        <v>0</v>
      </c>
      <c r="Z5" t="b">
        <f t="shared" ref="Z5:Z24" si="3">C5=P5</f>
        <v>0</v>
      </c>
      <c r="AA5" t="b">
        <f t="shared" ref="AA5:AA24" si="4">F5=Q5</f>
        <v>0</v>
      </c>
      <c r="AB5" t="b">
        <f t="shared" ref="AB5:AB24" si="5">G5=R5</f>
        <v>0</v>
      </c>
      <c r="AC5" t="b">
        <f t="shared" ref="AC5:AC24" si="6">H5=S5</f>
        <v>0</v>
      </c>
      <c r="AD5" t="b">
        <f t="shared" ref="AD5:AD24" si="7">I5=T5</f>
        <v>0</v>
      </c>
      <c r="AE5" t="b">
        <f t="shared" ref="AE5:AE24" si="8">J5=U5</f>
        <v>0</v>
      </c>
      <c r="AF5" t="b">
        <f t="shared" ref="AF5:AF24" si="9">K5=V5</f>
        <v>0</v>
      </c>
      <c r="AG5" t="b">
        <f t="shared" ref="AG5:AG24" si="10">L5=W5</f>
        <v>0</v>
      </c>
    </row>
    <row r="6" spans="1:33">
      <c r="A6" t="s">
        <v>65</v>
      </c>
      <c r="B6" t="s">
        <v>65</v>
      </c>
      <c r="C6" s="8"/>
      <c r="D6" s="13"/>
      <c r="E6" s="13"/>
      <c r="F6" t="b">
        <f t="shared" si="0"/>
        <v>1</v>
      </c>
      <c r="H6" s="7"/>
      <c r="M6">
        <v>1</v>
      </c>
      <c r="N6">
        <v>3</v>
      </c>
      <c r="O6">
        <v>0</v>
      </c>
      <c r="P6">
        <v>15</v>
      </c>
      <c r="Q6">
        <v>6</v>
      </c>
      <c r="R6">
        <v>6</v>
      </c>
      <c r="S6">
        <v>5</v>
      </c>
      <c r="T6">
        <v>20</v>
      </c>
      <c r="U6">
        <v>80</v>
      </c>
      <c r="V6">
        <v>70</v>
      </c>
      <c r="W6">
        <v>30</v>
      </c>
      <c r="X6" t="e">
        <f>#REF!=N6</f>
        <v>#REF!</v>
      </c>
      <c r="Y6" t="b">
        <f t="shared" si="2"/>
        <v>0</v>
      </c>
      <c r="Z6" t="b">
        <f t="shared" si="3"/>
        <v>0</v>
      </c>
      <c r="AA6" t="b">
        <f t="shared" si="4"/>
        <v>0</v>
      </c>
      <c r="AB6" t="b">
        <f t="shared" si="5"/>
        <v>0</v>
      </c>
      <c r="AC6" t="b">
        <f t="shared" si="6"/>
        <v>0</v>
      </c>
      <c r="AD6" t="b">
        <f t="shared" si="7"/>
        <v>0</v>
      </c>
      <c r="AE6" t="b">
        <f t="shared" si="8"/>
        <v>0</v>
      </c>
      <c r="AF6" t="b">
        <f t="shared" si="9"/>
        <v>0</v>
      </c>
      <c r="AG6" t="b">
        <f t="shared" si="10"/>
        <v>0</v>
      </c>
    </row>
    <row r="7" spans="1:33">
      <c r="A7" t="s">
        <v>66</v>
      </c>
      <c r="B7" t="s">
        <v>66</v>
      </c>
      <c r="C7" s="11"/>
      <c r="F7" t="b">
        <f t="shared" si="0"/>
        <v>1</v>
      </c>
      <c r="M7">
        <v>1</v>
      </c>
      <c r="N7">
        <v>3</v>
      </c>
      <c r="O7">
        <v>0</v>
      </c>
      <c r="P7">
        <v>15</v>
      </c>
      <c r="Q7">
        <v>6</v>
      </c>
      <c r="R7">
        <v>6</v>
      </c>
      <c r="S7">
        <v>5</v>
      </c>
      <c r="T7">
        <v>20</v>
      </c>
      <c r="U7">
        <v>80</v>
      </c>
      <c r="V7">
        <v>70</v>
      </c>
      <c r="W7">
        <v>30</v>
      </c>
      <c r="X7" t="e">
        <f>#REF!=N7</f>
        <v>#REF!</v>
      </c>
      <c r="Y7" t="b">
        <f t="shared" si="2"/>
        <v>0</v>
      </c>
      <c r="Z7" t="b">
        <f t="shared" si="3"/>
        <v>0</v>
      </c>
      <c r="AA7" t="b">
        <f t="shared" si="4"/>
        <v>0</v>
      </c>
      <c r="AB7" t="b">
        <f t="shared" si="5"/>
        <v>0</v>
      </c>
      <c r="AC7" t="b">
        <f t="shared" si="6"/>
        <v>0</v>
      </c>
      <c r="AD7" t="b">
        <f t="shared" si="7"/>
        <v>0</v>
      </c>
      <c r="AE7" t="b">
        <f t="shared" si="8"/>
        <v>0</v>
      </c>
      <c r="AF7" t="b">
        <f t="shared" si="9"/>
        <v>0</v>
      </c>
      <c r="AG7" t="b">
        <f t="shared" si="10"/>
        <v>0</v>
      </c>
    </row>
    <row r="8" spans="1:33">
      <c r="A8" t="s">
        <v>86</v>
      </c>
      <c r="B8" t="s">
        <v>86</v>
      </c>
      <c r="C8" s="11"/>
      <c r="F8" t="b">
        <f t="shared" si="0"/>
        <v>1</v>
      </c>
      <c r="M8">
        <v>1</v>
      </c>
      <c r="N8">
        <v>3</v>
      </c>
      <c r="O8">
        <v>0</v>
      </c>
      <c r="P8">
        <v>15</v>
      </c>
      <c r="Q8">
        <v>6</v>
      </c>
      <c r="R8">
        <v>6</v>
      </c>
      <c r="S8">
        <v>5</v>
      </c>
      <c r="T8">
        <v>20</v>
      </c>
      <c r="U8">
        <v>80</v>
      </c>
      <c r="V8">
        <v>70</v>
      </c>
      <c r="W8">
        <v>30</v>
      </c>
      <c r="X8" t="e">
        <f>#REF!=N8</f>
        <v>#REF!</v>
      </c>
      <c r="Y8" t="b">
        <f t="shared" si="2"/>
        <v>0</v>
      </c>
      <c r="Z8" t="b">
        <f t="shared" si="3"/>
        <v>0</v>
      </c>
      <c r="AA8" t="b">
        <f t="shared" si="4"/>
        <v>0</v>
      </c>
      <c r="AB8" t="b">
        <f t="shared" si="5"/>
        <v>0</v>
      </c>
      <c r="AC8" t="b">
        <f t="shared" si="6"/>
        <v>0</v>
      </c>
      <c r="AD8" t="b">
        <f t="shared" si="7"/>
        <v>0</v>
      </c>
      <c r="AE8" t="b">
        <f t="shared" si="8"/>
        <v>0</v>
      </c>
      <c r="AF8" t="b">
        <f t="shared" si="9"/>
        <v>0</v>
      </c>
      <c r="AG8" t="b">
        <f t="shared" si="10"/>
        <v>0</v>
      </c>
    </row>
    <row r="9" spans="1:33">
      <c r="A9" t="s">
        <v>87</v>
      </c>
      <c r="B9" t="s">
        <v>87</v>
      </c>
      <c r="C9" s="11"/>
      <c r="F9" t="b">
        <f t="shared" si="0"/>
        <v>1</v>
      </c>
      <c r="M9">
        <v>1</v>
      </c>
      <c r="N9">
        <v>3</v>
      </c>
      <c r="O9">
        <v>0</v>
      </c>
      <c r="P9">
        <v>15</v>
      </c>
      <c r="Q9">
        <v>6</v>
      </c>
      <c r="R9">
        <v>6</v>
      </c>
      <c r="S9">
        <v>5</v>
      </c>
      <c r="T9">
        <v>20</v>
      </c>
      <c r="U9">
        <v>80</v>
      </c>
      <c r="V9">
        <v>70</v>
      </c>
      <c r="W9">
        <v>30</v>
      </c>
      <c r="X9" t="e">
        <f>#REF!=N9</f>
        <v>#REF!</v>
      </c>
      <c r="Y9" t="b">
        <f t="shared" si="2"/>
        <v>0</v>
      </c>
      <c r="Z9" t="b">
        <f t="shared" si="3"/>
        <v>0</v>
      </c>
      <c r="AA9" t="b">
        <f t="shared" si="4"/>
        <v>0</v>
      </c>
      <c r="AB9" t="b">
        <f t="shared" si="5"/>
        <v>0</v>
      </c>
      <c r="AC9" t="b">
        <f t="shared" si="6"/>
        <v>0</v>
      </c>
      <c r="AD9" t="b">
        <f t="shared" si="7"/>
        <v>0</v>
      </c>
      <c r="AE9" t="b">
        <f t="shared" si="8"/>
        <v>0</v>
      </c>
      <c r="AF9" t="b">
        <f t="shared" si="9"/>
        <v>0</v>
      </c>
      <c r="AG9" t="b">
        <f t="shared" si="10"/>
        <v>0</v>
      </c>
    </row>
    <row r="10" spans="1:33">
      <c r="A10" t="s">
        <v>88</v>
      </c>
      <c r="B10" t="s">
        <v>88</v>
      </c>
      <c r="C10" s="11"/>
      <c r="F10" t="b">
        <f t="shared" si="0"/>
        <v>1</v>
      </c>
      <c r="M10">
        <v>1</v>
      </c>
      <c r="N10">
        <v>3</v>
      </c>
      <c r="O10">
        <v>0</v>
      </c>
      <c r="P10">
        <v>15</v>
      </c>
      <c r="Q10">
        <v>6</v>
      </c>
      <c r="R10">
        <v>6</v>
      </c>
      <c r="S10">
        <v>5</v>
      </c>
      <c r="T10">
        <v>20</v>
      </c>
      <c r="U10">
        <v>80</v>
      </c>
      <c r="V10">
        <v>70</v>
      </c>
      <c r="W10">
        <v>30</v>
      </c>
      <c r="X10" t="e">
        <f>#REF!=N10</f>
        <v>#REF!</v>
      </c>
      <c r="Y10" t="b">
        <f t="shared" si="2"/>
        <v>0</v>
      </c>
      <c r="Z10" t="b">
        <f t="shared" si="3"/>
        <v>0</v>
      </c>
      <c r="AA10" t="b">
        <f t="shared" si="4"/>
        <v>0</v>
      </c>
      <c r="AB10" t="b">
        <f t="shared" si="5"/>
        <v>0</v>
      </c>
      <c r="AC10" t="b">
        <f t="shared" si="6"/>
        <v>0</v>
      </c>
      <c r="AD10" t="b">
        <f t="shared" si="7"/>
        <v>0</v>
      </c>
      <c r="AE10" t="b">
        <f t="shared" si="8"/>
        <v>0</v>
      </c>
      <c r="AF10" t="b">
        <f t="shared" si="9"/>
        <v>0</v>
      </c>
      <c r="AG10" t="b">
        <f t="shared" si="10"/>
        <v>0</v>
      </c>
    </row>
    <row r="11" spans="1:33">
      <c r="A11" t="s">
        <v>89</v>
      </c>
      <c r="B11" t="s">
        <v>89</v>
      </c>
      <c r="C11" s="8"/>
      <c r="D11" s="13"/>
      <c r="E11" s="13"/>
      <c r="F11" t="b">
        <f t="shared" si="0"/>
        <v>1</v>
      </c>
      <c r="M11">
        <v>1</v>
      </c>
      <c r="N11">
        <v>3</v>
      </c>
      <c r="O11">
        <v>0</v>
      </c>
      <c r="P11">
        <v>15</v>
      </c>
      <c r="Q11">
        <v>6</v>
      </c>
      <c r="R11">
        <v>6</v>
      </c>
      <c r="S11">
        <v>5</v>
      </c>
      <c r="T11">
        <v>20</v>
      </c>
      <c r="U11">
        <v>80</v>
      </c>
      <c r="V11">
        <v>70</v>
      </c>
      <c r="W11">
        <v>30</v>
      </c>
      <c r="X11" t="e">
        <f>#REF!=N11</f>
        <v>#REF!</v>
      </c>
      <c r="Y11" t="b">
        <f t="shared" si="2"/>
        <v>0</v>
      </c>
      <c r="Z11" t="b">
        <f t="shared" si="3"/>
        <v>0</v>
      </c>
      <c r="AA11" t="b">
        <f t="shared" si="4"/>
        <v>0</v>
      </c>
      <c r="AB11" t="b">
        <f t="shared" si="5"/>
        <v>0</v>
      </c>
      <c r="AC11" t="b">
        <f t="shared" si="6"/>
        <v>0</v>
      </c>
      <c r="AD11" t="b">
        <f t="shared" si="7"/>
        <v>0</v>
      </c>
      <c r="AE11" t="b">
        <f t="shared" si="8"/>
        <v>0</v>
      </c>
      <c r="AF11" t="b">
        <f t="shared" si="9"/>
        <v>0</v>
      </c>
      <c r="AG11" t="b">
        <f t="shared" si="10"/>
        <v>0</v>
      </c>
    </row>
    <row r="12" spans="1:33">
      <c r="A12" s="7" t="s">
        <v>90</v>
      </c>
      <c r="B12" t="s">
        <v>90</v>
      </c>
      <c r="C12" s="11"/>
      <c r="F12" t="b">
        <f t="shared" si="0"/>
        <v>1</v>
      </c>
      <c r="M12">
        <v>1</v>
      </c>
      <c r="N12">
        <v>3</v>
      </c>
      <c r="O12">
        <v>0</v>
      </c>
      <c r="P12">
        <v>15</v>
      </c>
      <c r="Q12">
        <v>6</v>
      </c>
      <c r="R12">
        <v>6</v>
      </c>
      <c r="S12">
        <v>5</v>
      </c>
      <c r="T12">
        <v>20</v>
      </c>
      <c r="U12">
        <v>80</v>
      </c>
      <c r="V12">
        <v>70</v>
      </c>
      <c r="W12">
        <v>30</v>
      </c>
      <c r="X12" t="e">
        <f>#REF!=N12</f>
        <v>#REF!</v>
      </c>
      <c r="Y12" t="b">
        <f t="shared" si="2"/>
        <v>0</v>
      </c>
      <c r="Z12" t="b">
        <f t="shared" si="3"/>
        <v>0</v>
      </c>
      <c r="AA12" t="b">
        <f t="shared" si="4"/>
        <v>0</v>
      </c>
      <c r="AB12" t="b">
        <f t="shared" si="5"/>
        <v>0</v>
      </c>
      <c r="AC12" t="b">
        <f t="shared" si="6"/>
        <v>0</v>
      </c>
      <c r="AD12" t="b">
        <f t="shared" si="7"/>
        <v>0</v>
      </c>
      <c r="AE12" t="b">
        <f t="shared" si="8"/>
        <v>0</v>
      </c>
      <c r="AF12" t="b">
        <f t="shared" si="9"/>
        <v>0</v>
      </c>
      <c r="AG12" t="b">
        <f t="shared" si="10"/>
        <v>0</v>
      </c>
    </row>
    <row r="13" spans="1:33">
      <c r="A13" t="s">
        <v>67</v>
      </c>
      <c r="B13" t="s">
        <v>67</v>
      </c>
      <c r="C13" s="8"/>
      <c r="D13" s="13"/>
      <c r="E13" s="13"/>
      <c r="F13" t="b">
        <f t="shared" si="0"/>
        <v>1</v>
      </c>
      <c r="M13">
        <v>1</v>
      </c>
      <c r="N13">
        <v>3</v>
      </c>
      <c r="O13">
        <v>0</v>
      </c>
      <c r="P13">
        <v>15</v>
      </c>
      <c r="Q13">
        <v>6</v>
      </c>
      <c r="R13">
        <v>6</v>
      </c>
      <c r="S13">
        <v>5</v>
      </c>
      <c r="T13">
        <v>20</v>
      </c>
      <c r="U13">
        <v>80</v>
      </c>
      <c r="V13">
        <v>70</v>
      </c>
      <c r="W13">
        <v>30</v>
      </c>
      <c r="X13" t="e">
        <f>#REF!=N13</f>
        <v>#REF!</v>
      </c>
      <c r="Y13" t="b">
        <f t="shared" si="2"/>
        <v>0</v>
      </c>
      <c r="Z13" t="b">
        <f t="shared" si="3"/>
        <v>0</v>
      </c>
      <c r="AA13" t="b">
        <f t="shared" si="4"/>
        <v>0</v>
      </c>
      <c r="AB13" t="b">
        <f t="shared" si="5"/>
        <v>0</v>
      </c>
      <c r="AC13" t="b">
        <f t="shared" si="6"/>
        <v>0</v>
      </c>
      <c r="AD13" t="b">
        <f t="shared" si="7"/>
        <v>0</v>
      </c>
      <c r="AE13" t="b">
        <f t="shared" si="8"/>
        <v>0</v>
      </c>
      <c r="AF13" t="b">
        <f t="shared" si="9"/>
        <v>0</v>
      </c>
      <c r="AG13" t="b">
        <f t="shared" si="10"/>
        <v>0</v>
      </c>
    </row>
    <row r="14" spans="1:33">
      <c r="A14" t="s">
        <v>68</v>
      </c>
      <c r="B14" t="s">
        <v>68</v>
      </c>
      <c r="C14" s="11"/>
      <c r="F14" t="b">
        <f t="shared" si="0"/>
        <v>1</v>
      </c>
      <c r="M14">
        <v>1</v>
      </c>
      <c r="N14">
        <v>3</v>
      </c>
      <c r="O14">
        <v>0</v>
      </c>
      <c r="P14">
        <v>15</v>
      </c>
      <c r="Q14">
        <v>6</v>
      </c>
      <c r="R14">
        <v>6</v>
      </c>
      <c r="S14">
        <v>5</v>
      </c>
      <c r="T14">
        <v>20</v>
      </c>
      <c r="U14">
        <v>80</v>
      </c>
      <c r="V14">
        <v>70</v>
      </c>
      <c r="W14">
        <v>30</v>
      </c>
      <c r="X14" t="e">
        <f>#REF!=N14</f>
        <v>#REF!</v>
      </c>
      <c r="Y14" t="b">
        <f t="shared" si="2"/>
        <v>0</v>
      </c>
      <c r="Z14" t="b">
        <f t="shared" si="3"/>
        <v>0</v>
      </c>
      <c r="AA14" t="b">
        <f t="shared" si="4"/>
        <v>0</v>
      </c>
      <c r="AB14" t="b">
        <f t="shared" si="5"/>
        <v>0</v>
      </c>
      <c r="AC14" t="b">
        <f t="shared" si="6"/>
        <v>0</v>
      </c>
      <c r="AD14" t="b">
        <f t="shared" si="7"/>
        <v>0</v>
      </c>
      <c r="AE14" t="b">
        <f t="shared" si="8"/>
        <v>0</v>
      </c>
      <c r="AF14" t="b">
        <f t="shared" si="9"/>
        <v>0</v>
      </c>
      <c r="AG14" t="b">
        <f t="shared" si="10"/>
        <v>0</v>
      </c>
    </row>
    <row r="15" spans="1:33">
      <c r="A15" t="s">
        <v>69</v>
      </c>
      <c r="B15" t="s">
        <v>69</v>
      </c>
      <c r="C15" s="11"/>
      <c r="F15" t="b">
        <f t="shared" si="0"/>
        <v>1</v>
      </c>
      <c r="M15">
        <v>1</v>
      </c>
      <c r="N15">
        <v>3</v>
      </c>
      <c r="O15">
        <v>0</v>
      </c>
      <c r="P15">
        <v>15</v>
      </c>
      <c r="Q15">
        <v>6</v>
      </c>
      <c r="R15">
        <v>6</v>
      </c>
      <c r="S15">
        <v>5</v>
      </c>
      <c r="T15">
        <v>20</v>
      </c>
      <c r="U15">
        <v>80</v>
      </c>
      <c r="V15">
        <v>70</v>
      </c>
      <c r="W15">
        <v>30</v>
      </c>
      <c r="X15" t="e">
        <f>#REF!=N15</f>
        <v>#REF!</v>
      </c>
      <c r="Y15" t="b">
        <f t="shared" si="2"/>
        <v>0</v>
      </c>
      <c r="Z15" t="b">
        <f t="shared" si="3"/>
        <v>0</v>
      </c>
      <c r="AA15" t="b">
        <f t="shared" si="4"/>
        <v>0</v>
      </c>
      <c r="AB15" t="b">
        <f t="shared" si="5"/>
        <v>0</v>
      </c>
      <c r="AC15" t="b">
        <f t="shared" si="6"/>
        <v>0</v>
      </c>
      <c r="AD15" t="b">
        <f t="shared" si="7"/>
        <v>0</v>
      </c>
      <c r="AE15" t="b">
        <f t="shared" si="8"/>
        <v>0</v>
      </c>
      <c r="AF15" t="b">
        <f t="shared" si="9"/>
        <v>0</v>
      </c>
      <c r="AG15" t="b">
        <f t="shared" si="10"/>
        <v>0</v>
      </c>
    </row>
    <row r="16" spans="1:33">
      <c r="A16" t="s">
        <v>70</v>
      </c>
      <c r="B16" t="s">
        <v>70</v>
      </c>
      <c r="F16" t="b">
        <f t="shared" si="0"/>
        <v>1</v>
      </c>
      <c r="M16">
        <v>1</v>
      </c>
      <c r="N16">
        <v>3</v>
      </c>
      <c r="O16">
        <v>0</v>
      </c>
      <c r="P16">
        <v>15</v>
      </c>
      <c r="Q16">
        <v>6</v>
      </c>
      <c r="R16">
        <v>6</v>
      </c>
      <c r="S16">
        <v>5</v>
      </c>
      <c r="T16">
        <v>20</v>
      </c>
      <c r="U16">
        <v>80</v>
      </c>
      <c r="V16">
        <v>70</v>
      </c>
      <c r="W16">
        <v>30</v>
      </c>
      <c r="X16" t="e">
        <f>#REF!=N16</f>
        <v>#REF!</v>
      </c>
      <c r="Y16" t="b">
        <f t="shared" si="2"/>
        <v>0</v>
      </c>
      <c r="Z16" t="b">
        <f t="shared" si="3"/>
        <v>0</v>
      </c>
      <c r="AA16" t="b">
        <f t="shared" si="4"/>
        <v>0</v>
      </c>
      <c r="AB16" t="b">
        <f t="shared" si="5"/>
        <v>0</v>
      </c>
      <c r="AC16" t="b">
        <f t="shared" si="6"/>
        <v>0</v>
      </c>
      <c r="AD16" t="b">
        <f t="shared" si="7"/>
        <v>0</v>
      </c>
      <c r="AE16" t="b">
        <f t="shared" si="8"/>
        <v>0</v>
      </c>
      <c r="AF16" t="b">
        <f t="shared" si="9"/>
        <v>0</v>
      </c>
      <c r="AG16" t="b">
        <f t="shared" si="10"/>
        <v>0</v>
      </c>
    </row>
    <row r="17" spans="1:33">
      <c r="A17" s="7" t="s">
        <v>71</v>
      </c>
      <c r="B17" t="s">
        <v>71</v>
      </c>
      <c r="F17" t="b">
        <f t="shared" si="0"/>
        <v>1</v>
      </c>
      <c r="M17">
        <v>1</v>
      </c>
      <c r="N17">
        <v>3</v>
      </c>
      <c r="O17">
        <v>0</v>
      </c>
      <c r="P17">
        <v>15</v>
      </c>
      <c r="Q17">
        <v>6</v>
      </c>
      <c r="R17">
        <v>6</v>
      </c>
      <c r="S17">
        <v>5</v>
      </c>
      <c r="T17">
        <v>20</v>
      </c>
      <c r="U17">
        <v>80</v>
      </c>
      <c r="V17">
        <v>70</v>
      </c>
      <c r="W17">
        <v>30</v>
      </c>
      <c r="X17" t="e">
        <f>#REF!=N17</f>
        <v>#REF!</v>
      </c>
      <c r="Y17" t="b">
        <f t="shared" si="2"/>
        <v>0</v>
      </c>
      <c r="Z17" t="b">
        <f t="shared" si="3"/>
        <v>0</v>
      </c>
      <c r="AA17" t="b">
        <f t="shared" si="4"/>
        <v>0</v>
      </c>
      <c r="AB17" t="b">
        <f t="shared" si="5"/>
        <v>0</v>
      </c>
      <c r="AC17" t="b">
        <f t="shared" si="6"/>
        <v>0</v>
      </c>
      <c r="AD17" t="b">
        <f t="shared" si="7"/>
        <v>0</v>
      </c>
      <c r="AE17" t="b">
        <f t="shared" si="8"/>
        <v>0</v>
      </c>
      <c r="AF17" t="b">
        <f t="shared" si="9"/>
        <v>0</v>
      </c>
      <c r="AG17" t="b">
        <f t="shared" si="10"/>
        <v>0</v>
      </c>
    </row>
    <row r="18" spans="1:33">
      <c r="A18" t="s">
        <v>91</v>
      </c>
      <c r="B18" t="s">
        <v>91</v>
      </c>
      <c r="F18" t="b">
        <f t="shared" si="0"/>
        <v>1</v>
      </c>
      <c r="M18">
        <v>1</v>
      </c>
      <c r="N18">
        <v>3</v>
      </c>
      <c r="O18">
        <v>0</v>
      </c>
      <c r="P18">
        <v>15</v>
      </c>
      <c r="Q18">
        <v>6</v>
      </c>
      <c r="R18">
        <v>6</v>
      </c>
      <c r="S18">
        <v>5</v>
      </c>
      <c r="T18">
        <v>20</v>
      </c>
      <c r="U18">
        <v>80</v>
      </c>
      <c r="V18">
        <v>70</v>
      </c>
      <c r="W18">
        <v>30</v>
      </c>
      <c r="X18" t="e">
        <f>#REF!=N18</f>
        <v>#REF!</v>
      </c>
      <c r="Y18" t="b">
        <f t="shared" si="2"/>
        <v>0</v>
      </c>
      <c r="Z18" t="b">
        <f t="shared" si="3"/>
        <v>0</v>
      </c>
      <c r="AA18" t="b">
        <f t="shared" si="4"/>
        <v>0</v>
      </c>
      <c r="AB18" t="b">
        <f t="shared" si="5"/>
        <v>0</v>
      </c>
      <c r="AC18" t="b">
        <f t="shared" si="6"/>
        <v>0</v>
      </c>
      <c r="AD18" t="b">
        <f t="shared" si="7"/>
        <v>0</v>
      </c>
      <c r="AE18" t="b">
        <f t="shared" si="8"/>
        <v>0</v>
      </c>
      <c r="AF18" t="b">
        <f t="shared" si="9"/>
        <v>0</v>
      </c>
      <c r="AG18" t="b">
        <f t="shared" si="10"/>
        <v>0</v>
      </c>
    </row>
    <row r="19" spans="1:33">
      <c r="A19" t="s">
        <v>92</v>
      </c>
      <c r="B19" t="s">
        <v>92</v>
      </c>
      <c r="F19" t="b">
        <f t="shared" si="0"/>
        <v>1</v>
      </c>
      <c r="M19">
        <v>1</v>
      </c>
      <c r="N19">
        <v>3</v>
      </c>
      <c r="O19">
        <v>0</v>
      </c>
      <c r="P19">
        <v>15</v>
      </c>
      <c r="Q19">
        <v>6</v>
      </c>
      <c r="R19">
        <v>6</v>
      </c>
      <c r="S19">
        <v>5</v>
      </c>
      <c r="T19">
        <v>20</v>
      </c>
      <c r="U19">
        <v>80</v>
      </c>
      <c r="V19">
        <v>70</v>
      </c>
      <c r="W19">
        <v>30</v>
      </c>
      <c r="X19" t="e">
        <f>#REF!=N19</f>
        <v>#REF!</v>
      </c>
      <c r="Y19" t="b">
        <f t="shared" si="2"/>
        <v>0</v>
      </c>
      <c r="Z19" t="b">
        <f t="shared" si="3"/>
        <v>0</v>
      </c>
      <c r="AA19" t="b">
        <f t="shared" si="4"/>
        <v>0</v>
      </c>
      <c r="AB19" t="b">
        <f t="shared" si="5"/>
        <v>0</v>
      </c>
      <c r="AC19" t="b">
        <f t="shared" si="6"/>
        <v>0</v>
      </c>
      <c r="AD19" t="b">
        <f t="shared" si="7"/>
        <v>0</v>
      </c>
      <c r="AE19" t="b">
        <f t="shared" si="8"/>
        <v>0</v>
      </c>
      <c r="AF19" t="b">
        <f t="shared" si="9"/>
        <v>0</v>
      </c>
      <c r="AG19" t="b">
        <f t="shared" si="10"/>
        <v>0</v>
      </c>
    </row>
    <row r="20" spans="1:33">
      <c r="A20" t="s">
        <v>93</v>
      </c>
      <c r="B20" t="s">
        <v>93</v>
      </c>
      <c r="F20" t="b">
        <f t="shared" si="0"/>
        <v>1</v>
      </c>
      <c r="M20">
        <v>1</v>
      </c>
      <c r="N20">
        <v>3</v>
      </c>
      <c r="O20">
        <v>0</v>
      </c>
      <c r="P20">
        <v>15</v>
      </c>
      <c r="Q20">
        <v>6</v>
      </c>
      <c r="R20">
        <v>6</v>
      </c>
      <c r="S20">
        <v>5</v>
      </c>
      <c r="T20">
        <v>20</v>
      </c>
      <c r="U20">
        <v>80</v>
      </c>
      <c r="V20">
        <v>70</v>
      </c>
      <c r="W20">
        <v>30</v>
      </c>
      <c r="X20" t="e">
        <f>#REF!=N20</f>
        <v>#REF!</v>
      </c>
      <c r="Y20" t="b">
        <f t="shared" si="2"/>
        <v>0</v>
      </c>
      <c r="Z20" t="b">
        <f t="shared" si="3"/>
        <v>0</v>
      </c>
      <c r="AA20" t="b">
        <f t="shared" si="4"/>
        <v>0</v>
      </c>
      <c r="AB20" t="b">
        <f t="shared" si="5"/>
        <v>0</v>
      </c>
      <c r="AC20" t="b">
        <f t="shared" si="6"/>
        <v>0</v>
      </c>
      <c r="AD20" t="b">
        <f t="shared" si="7"/>
        <v>0</v>
      </c>
      <c r="AE20" t="b">
        <f t="shared" si="8"/>
        <v>0</v>
      </c>
      <c r="AF20" t="b">
        <f t="shared" si="9"/>
        <v>0</v>
      </c>
      <c r="AG20" t="b">
        <f t="shared" si="10"/>
        <v>0</v>
      </c>
    </row>
    <row r="21" spans="1:33">
      <c r="A21" s="7" t="s">
        <v>94</v>
      </c>
      <c r="B21" t="s">
        <v>94</v>
      </c>
      <c r="F21" t="b">
        <f t="shared" si="0"/>
        <v>1</v>
      </c>
      <c r="M21">
        <v>1</v>
      </c>
      <c r="N21">
        <v>3</v>
      </c>
      <c r="O21">
        <v>0</v>
      </c>
      <c r="P21">
        <v>15</v>
      </c>
      <c r="Q21">
        <v>6</v>
      </c>
      <c r="R21">
        <v>6</v>
      </c>
      <c r="S21">
        <v>5</v>
      </c>
      <c r="T21">
        <v>20</v>
      </c>
      <c r="U21">
        <v>80</v>
      </c>
      <c r="V21">
        <v>70</v>
      </c>
      <c r="W21">
        <v>30</v>
      </c>
      <c r="X21" t="e">
        <f>#REF!=N21</f>
        <v>#REF!</v>
      </c>
      <c r="Y21" t="b">
        <f t="shared" si="2"/>
        <v>0</v>
      </c>
      <c r="Z21" t="b">
        <f t="shared" si="3"/>
        <v>0</v>
      </c>
      <c r="AA21" t="b">
        <f t="shared" si="4"/>
        <v>0</v>
      </c>
      <c r="AB21" t="b">
        <f t="shared" si="5"/>
        <v>0</v>
      </c>
      <c r="AC21" t="b">
        <f t="shared" si="6"/>
        <v>0</v>
      </c>
      <c r="AD21" t="b">
        <f t="shared" si="7"/>
        <v>0</v>
      </c>
      <c r="AE21" t="b">
        <f t="shared" si="8"/>
        <v>0</v>
      </c>
      <c r="AF21" t="b">
        <f t="shared" si="9"/>
        <v>0</v>
      </c>
      <c r="AG21" t="b">
        <f t="shared" si="10"/>
        <v>0</v>
      </c>
    </row>
    <row r="22" spans="1:33">
      <c r="A22" t="s">
        <v>95</v>
      </c>
      <c r="B22" t="s">
        <v>95</v>
      </c>
      <c r="F22" t="b">
        <f t="shared" si="0"/>
        <v>1</v>
      </c>
      <c r="M22">
        <v>1</v>
      </c>
      <c r="N22">
        <v>3</v>
      </c>
      <c r="O22">
        <v>0</v>
      </c>
      <c r="P22">
        <v>15</v>
      </c>
      <c r="Q22">
        <v>6</v>
      </c>
      <c r="R22">
        <v>6</v>
      </c>
      <c r="S22">
        <v>5</v>
      </c>
      <c r="T22">
        <v>20</v>
      </c>
      <c r="U22">
        <v>80</v>
      </c>
      <c r="V22">
        <v>70</v>
      </c>
      <c r="W22">
        <v>30</v>
      </c>
      <c r="X22" t="e">
        <f>#REF!=N22</f>
        <v>#REF!</v>
      </c>
      <c r="Y22" t="b">
        <f t="shared" si="2"/>
        <v>0</v>
      </c>
      <c r="Z22" t="b">
        <f t="shared" si="3"/>
        <v>0</v>
      </c>
      <c r="AA22" t="b">
        <f t="shared" si="4"/>
        <v>0</v>
      </c>
      <c r="AB22" t="b">
        <f t="shared" si="5"/>
        <v>0</v>
      </c>
      <c r="AC22" t="b">
        <f t="shared" si="6"/>
        <v>0</v>
      </c>
      <c r="AD22" t="b">
        <f t="shared" si="7"/>
        <v>0</v>
      </c>
      <c r="AE22" t="b">
        <f t="shared" si="8"/>
        <v>0</v>
      </c>
      <c r="AF22" t="b">
        <f t="shared" si="9"/>
        <v>0</v>
      </c>
      <c r="AG22" t="b">
        <f t="shared" si="10"/>
        <v>0</v>
      </c>
    </row>
    <row r="23" spans="1:33">
      <c r="A23" t="s">
        <v>101</v>
      </c>
      <c r="B23" t="s">
        <v>101</v>
      </c>
      <c r="C23" s="7"/>
      <c r="D23" s="7"/>
      <c r="E23" s="7"/>
      <c r="F23" t="b">
        <f t="shared" si="0"/>
        <v>1</v>
      </c>
      <c r="M23">
        <v>1</v>
      </c>
      <c r="N23">
        <v>3</v>
      </c>
      <c r="O23">
        <v>0</v>
      </c>
      <c r="P23">
        <v>15</v>
      </c>
      <c r="Q23">
        <v>6</v>
      </c>
      <c r="R23">
        <v>6</v>
      </c>
      <c r="S23">
        <v>5</v>
      </c>
      <c r="T23">
        <v>20</v>
      </c>
      <c r="U23">
        <v>80</v>
      </c>
      <c r="V23">
        <v>70</v>
      </c>
      <c r="W23">
        <v>30</v>
      </c>
      <c r="X23" t="e">
        <f>#REF!=N23</f>
        <v>#REF!</v>
      </c>
      <c r="Y23" t="b">
        <f t="shared" si="2"/>
        <v>0</v>
      </c>
      <c r="Z23" t="b">
        <f t="shared" si="3"/>
        <v>0</v>
      </c>
      <c r="AA23" t="b">
        <f t="shared" si="4"/>
        <v>0</v>
      </c>
      <c r="AB23" t="b">
        <f t="shared" si="5"/>
        <v>0</v>
      </c>
      <c r="AC23" t="b">
        <f t="shared" si="6"/>
        <v>0</v>
      </c>
      <c r="AD23" t="b">
        <f t="shared" si="7"/>
        <v>0</v>
      </c>
      <c r="AE23" t="b">
        <f t="shared" si="8"/>
        <v>0</v>
      </c>
      <c r="AF23" t="b">
        <f t="shared" si="9"/>
        <v>0</v>
      </c>
      <c r="AG23" t="b">
        <f t="shared" si="10"/>
        <v>0</v>
      </c>
    </row>
    <row r="24" spans="1:33">
      <c r="A24" t="s">
        <v>102</v>
      </c>
      <c r="B24" t="s">
        <v>102</v>
      </c>
      <c r="F24" t="b">
        <f t="shared" si="0"/>
        <v>1</v>
      </c>
      <c r="M24">
        <v>1</v>
      </c>
      <c r="N24">
        <v>3</v>
      </c>
      <c r="O24">
        <v>0</v>
      </c>
      <c r="P24">
        <v>15</v>
      </c>
      <c r="Q24">
        <v>6</v>
      </c>
      <c r="R24">
        <v>6</v>
      </c>
      <c r="S24">
        <v>5</v>
      </c>
      <c r="T24">
        <v>20</v>
      </c>
      <c r="U24">
        <v>80</v>
      </c>
      <c r="V24">
        <v>70</v>
      </c>
      <c r="W24">
        <v>30</v>
      </c>
      <c r="X24" t="e">
        <f>#REF!=N24</f>
        <v>#REF!</v>
      </c>
      <c r="Y24" t="b">
        <f t="shared" si="2"/>
        <v>0</v>
      </c>
      <c r="Z24" t="b">
        <f t="shared" si="3"/>
        <v>0</v>
      </c>
      <c r="AA24" t="b">
        <f t="shared" si="4"/>
        <v>0</v>
      </c>
      <c r="AB24" t="b">
        <f t="shared" si="5"/>
        <v>0</v>
      </c>
      <c r="AC24" t="b">
        <f t="shared" si="6"/>
        <v>0</v>
      </c>
      <c r="AD24" t="b">
        <f t="shared" si="7"/>
        <v>0</v>
      </c>
      <c r="AE24" t="b">
        <f t="shared" si="8"/>
        <v>0</v>
      </c>
      <c r="AF24" t="b">
        <f t="shared" si="9"/>
        <v>0</v>
      </c>
      <c r="AG24" t="b">
        <f t="shared" si="10"/>
        <v>0</v>
      </c>
    </row>
    <row r="25" spans="1:33">
      <c r="A25" t="s">
        <v>103</v>
      </c>
      <c r="B25" t="s">
        <v>103</v>
      </c>
      <c r="F25" t="b">
        <f t="shared" si="0"/>
        <v>1</v>
      </c>
      <c r="M25">
        <v>2</v>
      </c>
      <c r="N25">
        <v>20</v>
      </c>
      <c r="O25">
        <v>10</v>
      </c>
      <c r="P25">
        <v>4</v>
      </c>
      <c r="Q25">
        <v>5</v>
      </c>
      <c r="R25">
        <v>30</v>
      </c>
      <c r="S25">
        <v>120</v>
      </c>
      <c r="T25">
        <v>85</v>
      </c>
      <c r="U25">
        <v>30</v>
      </c>
    </row>
    <row r="26" spans="1:33">
      <c r="A26" t="s">
        <v>104</v>
      </c>
      <c r="B26" t="s">
        <v>104</v>
      </c>
      <c r="C26" s="13"/>
      <c r="D26" s="13"/>
      <c r="E26" s="13"/>
      <c r="F26" t="b">
        <f t="shared" si="0"/>
        <v>1</v>
      </c>
      <c r="M26">
        <v>2</v>
      </c>
      <c r="N26">
        <v>20</v>
      </c>
      <c r="O26">
        <v>10</v>
      </c>
      <c r="P26">
        <v>4</v>
      </c>
      <c r="Q26">
        <v>5</v>
      </c>
      <c r="R26">
        <v>30</v>
      </c>
      <c r="S26">
        <v>100</v>
      </c>
      <c r="T26">
        <v>85</v>
      </c>
      <c r="U26">
        <v>30</v>
      </c>
    </row>
    <row r="27" spans="1:33">
      <c r="A27" t="s">
        <v>72</v>
      </c>
      <c r="B27" t="s">
        <v>72</v>
      </c>
      <c r="F27" t="b">
        <f t="shared" si="0"/>
        <v>1</v>
      </c>
      <c r="M27">
        <v>2</v>
      </c>
      <c r="N27">
        <v>20</v>
      </c>
      <c r="O27">
        <v>10</v>
      </c>
      <c r="P27">
        <v>4</v>
      </c>
      <c r="Q27">
        <v>5</v>
      </c>
      <c r="R27">
        <v>30</v>
      </c>
      <c r="S27">
        <v>120</v>
      </c>
      <c r="T27">
        <v>70</v>
      </c>
      <c r="U27">
        <v>30</v>
      </c>
    </row>
    <row r="28" spans="1:33">
      <c r="A28" t="s">
        <v>73</v>
      </c>
      <c r="B28" t="s">
        <v>73</v>
      </c>
      <c r="F28" t="b">
        <f t="shared" si="0"/>
        <v>1</v>
      </c>
      <c r="M28">
        <v>2</v>
      </c>
      <c r="N28">
        <v>20</v>
      </c>
      <c r="O28">
        <v>10</v>
      </c>
      <c r="P28">
        <v>4</v>
      </c>
      <c r="Q28">
        <v>5</v>
      </c>
      <c r="R28">
        <v>30</v>
      </c>
      <c r="S28">
        <v>110</v>
      </c>
      <c r="T28">
        <v>70</v>
      </c>
      <c r="U28">
        <v>30</v>
      </c>
    </row>
    <row r="29" spans="1:33">
      <c r="A29" s="7" t="s">
        <v>74</v>
      </c>
      <c r="B29" t="s">
        <v>74</v>
      </c>
      <c r="F29" t="b">
        <f t="shared" si="0"/>
        <v>1</v>
      </c>
      <c r="M29">
        <v>2</v>
      </c>
      <c r="N29">
        <v>20</v>
      </c>
      <c r="O29">
        <v>10</v>
      </c>
      <c r="P29">
        <v>4</v>
      </c>
      <c r="Q29">
        <v>5</v>
      </c>
      <c r="R29">
        <v>30</v>
      </c>
      <c r="S29">
        <v>80</v>
      </c>
      <c r="T29">
        <v>70</v>
      </c>
      <c r="U29">
        <v>20</v>
      </c>
    </row>
    <row r="30" spans="1:33">
      <c r="A30" t="s">
        <v>75</v>
      </c>
      <c r="B30" t="s">
        <v>75</v>
      </c>
      <c r="F30" t="b">
        <f t="shared" si="0"/>
        <v>1</v>
      </c>
      <c r="M30">
        <v>2</v>
      </c>
      <c r="N30">
        <v>20</v>
      </c>
      <c r="O30">
        <v>10</v>
      </c>
      <c r="P30">
        <v>4</v>
      </c>
      <c r="Q30">
        <v>5</v>
      </c>
      <c r="R30">
        <v>30</v>
      </c>
      <c r="S30">
        <v>90</v>
      </c>
      <c r="T30">
        <v>55</v>
      </c>
      <c r="U30">
        <v>30</v>
      </c>
    </row>
    <row r="31" spans="1:33">
      <c r="A31" t="s">
        <v>76</v>
      </c>
      <c r="B31" t="s">
        <v>76</v>
      </c>
      <c r="F31" t="b">
        <f t="shared" si="0"/>
        <v>1</v>
      </c>
      <c r="M31">
        <v>2</v>
      </c>
      <c r="N31">
        <v>20</v>
      </c>
      <c r="O31">
        <v>10</v>
      </c>
      <c r="P31">
        <v>4</v>
      </c>
      <c r="Q31">
        <v>5</v>
      </c>
      <c r="R31">
        <v>30</v>
      </c>
      <c r="S31">
        <v>100</v>
      </c>
      <c r="T31">
        <v>40</v>
      </c>
      <c r="U31">
        <v>25</v>
      </c>
    </row>
    <row r="32" spans="1:33">
      <c r="A32" s="7" t="s">
        <v>96</v>
      </c>
      <c r="B32" t="s">
        <v>96</v>
      </c>
      <c r="F32" t="b">
        <f t="shared" si="0"/>
        <v>1</v>
      </c>
      <c r="M32">
        <v>2</v>
      </c>
      <c r="N32">
        <v>20</v>
      </c>
      <c r="O32">
        <v>10</v>
      </c>
      <c r="P32">
        <v>4</v>
      </c>
      <c r="Q32">
        <v>5</v>
      </c>
      <c r="R32">
        <v>30</v>
      </c>
      <c r="S32">
        <v>120</v>
      </c>
      <c r="T32">
        <v>25</v>
      </c>
      <c r="U32">
        <v>30</v>
      </c>
    </row>
    <row r="33" spans="1:21">
      <c r="A33" t="s">
        <v>97</v>
      </c>
      <c r="B33" t="s">
        <v>97</v>
      </c>
      <c r="C33" s="7"/>
      <c r="D33" s="7"/>
      <c r="E33" s="7"/>
      <c r="F33" t="b">
        <f t="shared" si="0"/>
        <v>1</v>
      </c>
      <c r="M33">
        <v>2</v>
      </c>
      <c r="N33">
        <v>20</v>
      </c>
      <c r="O33">
        <v>10</v>
      </c>
      <c r="P33">
        <v>4</v>
      </c>
      <c r="Q33">
        <v>5</v>
      </c>
      <c r="R33">
        <v>30</v>
      </c>
      <c r="S33">
        <v>90</v>
      </c>
      <c r="T33">
        <v>25</v>
      </c>
      <c r="U33">
        <v>30</v>
      </c>
    </row>
    <row r="34" spans="1:21">
      <c r="A34" s="7" t="s">
        <v>98</v>
      </c>
      <c r="B34" t="s">
        <v>98</v>
      </c>
      <c r="F34" t="b">
        <f t="shared" si="0"/>
        <v>1</v>
      </c>
      <c r="M34">
        <v>3</v>
      </c>
      <c r="N34">
        <v>20</v>
      </c>
      <c r="O34">
        <v>10</v>
      </c>
      <c r="P34">
        <v>7</v>
      </c>
      <c r="Q34">
        <v>5</v>
      </c>
      <c r="R34">
        <v>30</v>
      </c>
      <c r="S34">
        <v>120</v>
      </c>
      <c r="T34">
        <v>85</v>
      </c>
      <c r="U34">
        <v>25</v>
      </c>
    </row>
    <row r="35" spans="1:21">
      <c r="A35" t="s">
        <v>99</v>
      </c>
      <c r="B35" t="s">
        <v>99</v>
      </c>
      <c r="F35" t="b">
        <f t="shared" si="0"/>
        <v>1</v>
      </c>
      <c r="M35">
        <v>3</v>
      </c>
      <c r="N35">
        <v>20</v>
      </c>
      <c r="O35">
        <v>10</v>
      </c>
      <c r="P35">
        <v>7</v>
      </c>
      <c r="Q35">
        <v>5</v>
      </c>
      <c r="R35">
        <v>30</v>
      </c>
      <c r="S35">
        <v>90</v>
      </c>
      <c r="T35">
        <v>85</v>
      </c>
      <c r="U35">
        <v>25</v>
      </c>
    </row>
    <row r="36" spans="1:21">
      <c r="A36" s="7" t="s">
        <v>100</v>
      </c>
      <c r="B36" t="s">
        <v>100</v>
      </c>
      <c r="F36" t="b">
        <f t="shared" si="0"/>
        <v>1</v>
      </c>
      <c r="M36">
        <v>3</v>
      </c>
      <c r="N36">
        <v>20</v>
      </c>
      <c r="O36">
        <v>10</v>
      </c>
      <c r="P36">
        <v>7</v>
      </c>
      <c r="Q36">
        <v>5</v>
      </c>
      <c r="R36">
        <v>30</v>
      </c>
      <c r="S36">
        <v>110</v>
      </c>
      <c r="T36">
        <v>70</v>
      </c>
      <c r="U36">
        <v>10</v>
      </c>
    </row>
    <row r="37" spans="1:21">
      <c r="A37" t="s">
        <v>105</v>
      </c>
      <c r="B37" t="s">
        <v>105</v>
      </c>
      <c r="F37" t="b">
        <f t="shared" si="0"/>
        <v>1</v>
      </c>
      <c r="M37">
        <v>3</v>
      </c>
      <c r="N37">
        <v>20</v>
      </c>
      <c r="O37">
        <v>10</v>
      </c>
      <c r="P37">
        <v>7</v>
      </c>
      <c r="Q37">
        <v>5</v>
      </c>
      <c r="R37">
        <v>30</v>
      </c>
      <c r="S37">
        <v>120</v>
      </c>
      <c r="T37">
        <v>55</v>
      </c>
      <c r="U37">
        <v>10</v>
      </c>
    </row>
    <row r="38" spans="1:21">
      <c r="A38" s="7" t="s">
        <v>106</v>
      </c>
      <c r="B38" t="s">
        <v>106</v>
      </c>
      <c r="F38" t="b">
        <f t="shared" si="0"/>
        <v>1</v>
      </c>
      <c r="M38">
        <v>3</v>
      </c>
      <c r="N38">
        <v>20</v>
      </c>
      <c r="O38">
        <v>10</v>
      </c>
      <c r="P38">
        <v>7</v>
      </c>
      <c r="Q38">
        <v>5</v>
      </c>
      <c r="R38">
        <v>30</v>
      </c>
      <c r="S38">
        <v>100</v>
      </c>
      <c r="T38">
        <v>55</v>
      </c>
      <c r="U38">
        <v>15</v>
      </c>
    </row>
    <row r="39" spans="1:21">
      <c r="A39" t="s">
        <v>107</v>
      </c>
      <c r="B39" t="s">
        <v>107</v>
      </c>
      <c r="F39" t="b">
        <f t="shared" si="0"/>
        <v>1</v>
      </c>
      <c r="M39">
        <v>3</v>
      </c>
      <c r="N39">
        <v>20</v>
      </c>
      <c r="O39">
        <v>10</v>
      </c>
      <c r="P39">
        <v>7</v>
      </c>
      <c r="Q39">
        <v>5</v>
      </c>
      <c r="R39">
        <v>30</v>
      </c>
      <c r="S39">
        <v>120</v>
      </c>
      <c r="T39">
        <v>40</v>
      </c>
      <c r="U39">
        <v>25</v>
      </c>
    </row>
    <row r="40" spans="1:21">
      <c r="A40" t="s">
        <v>108</v>
      </c>
      <c r="B40" t="s">
        <v>108</v>
      </c>
      <c r="F40" t="b">
        <f t="shared" si="0"/>
        <v>1</v>
      </c>
      <c r="M40">
        <v>3</v>
      </c>
      <c r="N40">
        <v>20</v>
      </c>
      <c r="O40">
        <v>10</v>
      </c>
      <c r="P40">
        <v>7</v>
      </c>
      <c r="Q40">
        <v>5</v>
      </c>
      <c r="R40">
        <v>30</v>
      </c>
      <c r="S40">
        <v>90</v>
      </c>
      <c r="T40">
        <v>40</v>
      </c>
      <c r="U40">
        <v>15</v>
      </c>
    </row>
    <row r="41" spans="1:21">
      <c r="A41" t="s">
        <v>109</v>
      </c>
      <c r="B41" t="s">
        <v>109</v>
      </c>
      <c r="F41" t="b">
        <f t="shared" si="0"/>
        <v>1</v>
      </c>
      <c r="M41">
        <v>3</v>
      </c>
      <c r="N41">
        <v>20</v>
      </c>
      <c r="O41">
        <v>10</v>
      </c>
      <c r="P41">
        <v>7</v>
      </c>
      <c r="Q41">
        <v>5</v>
      </c>
      <c r="R41">
        <v>30</v>
      </c>
      <c r="S41">
        <v>110</v>
      </c>
      <c r="T41">
        <v>25</v>
      </c>
      <c r="U41">
        <v>30</v>
      </c>
    </row>
    <row r="42" spans="1:21">
      <c r="A42" t="s">
        <v>52</v>
      </c>
      <c r="B42" t="s">
        <v>52</v>
      </c>
      <c r="F42" t="b">
        <f t="shared" si="0"/>
        <v>1</v>
      </c>
      <c r="M42">
        <v>3</v>
      </c>
      <c r="N42">
        <v>20</v>
      </c>
      <c r="O42">
        <v>10</v>
      </c>
      <c r="P42">
        <v>7</v>
      </c>
      <c r="Q42">
        <v>5</v>
      </c>
      <c r="R42">
        <v>30</v>
      </c>
      <c r="S42">
        <v>100</v>
      </c>
      <c r="T42">
        <v>25</v>
      </c>
      <c r="U42">
        <v>25</v>
      </c>
    </row>
    <row r="43" spans="1:21">
      <c r="A43" t="s">
        <v>53</v>
      </c>
      <c r="B43" t="s">
        <v>53</v>
      </c>
      <c r="C43" s="7"/>
      <c r="D43" s="7"/>
      <c r="E43" s="7"/>
      <c r="F43" t="b">
        <f t="shared" si="0"/>
        <v>1</v>
      </c>
      <c r="M43">
        <v>3</v>
      </c>
      <c r="N43">
        <v>20</v>
      </c>
      <c r="O43">
        <v>10</v>
      </c>
      <c r="P43">
        <v>7</v>
      </c>
      <c r="Q43">
        <v>5</v>
      </c>
      <c r="R43">
        <v>30</v>
      </c>
      <c r="S43">
        <v>80</v>
      </c>
      <c r="T43">
        <v>25</v>
      </c>
      <c r="U43">
        <v>10</v>
      </c>
    </row>
    <row r="44" spans="1:21">
      <c r="A44" t="s">
        <v>54</v>
      </c>
      <c r="B44" t="s">
        <v>54</v>
      </c>
      <c r="F44" t="b">
        <f t="shared" si="0"/>
        <v>1</v>
      </c>
      <c r="M44">
        <v>3</v>
      </c>
      <c r="N44">
        <v>20</v>
      </c>
      <c r="O44">
        <v>10</v>
      </c>
      <c r="P44">
        <v>7</v>
      </c>
      <c r="Q44">
        <v>5</v>
      </c>
      <c r="R44">
        <v>20</v>
      </c>
      <c r="S44">
        <v>100</v>
      </c>
      <c r="T44">
        <v>85</v>
      </c>
      <c r="U44">
        <v>25</v>
      </c>
    </row>
    <row r="45" spans="1:21">
      <c r="A45" t="s">
        <v>55</v>
      </c>
      <c r="B45" t="s">
        <v>55</v>
      </c>
      <c r="F45" t="b">
        <f t="shared" si="0"/>
        <v>1</v>
      </c>
      <c r="M45">
        <v>3</v>
      </c>
      <c r="N45">
        <v>20</v>
      </c>
      <c r="O45">
        <v>10</v>
      </c>
      <c r="P45">
        <v>7</v>
      </c>
      <c r="Q45">
        <v>5</v>
      </c>
      <c r="R45">
        <v>20</v>
      </c>
      <c r="S45">
        <v>120</v>
      </c>
      <c r="T45">
        <v>70</v>
      </c>
      <c r="U45">
        <v>30</v>
      </c>
    </row>
    <row r="46" spans="1:21">
      <c r="A46" s="7" t="s">
        <v>56</v>
      </c>
      <c r="B46" t="s">
        <v>56</v>
      </c>
      <c r="F46" t="b">
        <f t="shared" si="0"/>
        <v>1</v>
      </c>
      <c r="M46">
        <v>3</v>
      </c>
      <c r="N46">
        <v>20</v>
      </c>
      <c r="O46">
        <v>10</v>
      </c>
      <c r="P46">
        <v>7</v>
      </c>
      <c r="Q46">
        <v>5</v>
      </c>
      <c r="R46">
        <v>20</v>
      </c>
      <c r="S46">
        <v>100</v>
      </c>
      <c r="T46">
        <v>70</v>
      </c>
      <c r="U46">
        <v>15</v>
      </c>
    </row>
    <row r="47" spans="1:21">
      <c r="A47" t="s">
        <v>77</v>
      </c>
      <c r="B47" t="s">
        <v>77</v>
      </c>
      <c r="F47" t="b">
        <f t="shared" si="0"/>
        <v>1</v>
      </c>
      <c r="M47">
        <v>3</v>
      </c>
      <c r="N47">
        <v>20</v>
      </c>
      <c r="O47">
        <v>10</v>
      </c>
      <c r="P47">
        <v>7</v>
      </c>
      <c r="Q47">
        <v>5</v>
      </c>
      <c r="R47">
        <v>20</v>
      </c>
      <c r="S47">
        <v>120</v>
      </c>
      <c r="T47">
        <v>55</v>
      </c>
      <c r="U47">
        <v>20</v>
      </c>
    </row>
    <row r="48" spans="1:21">
      <c r="A48" t="s">
        <v>78</v>
      </c>
      <c r="B48" t="s">
        <v>78</v>
      </c>
      <c r="F48" t="b">
        <f t="shared" si="0"/>
        <v>1</v>
      </c>
      <c r="M48">
        <v>3</v>
      </c>
      <c r="N48">
        <v>20</v>
      </c>
      <c r="O48">
        <v>10</v>
      </c>
      <c r="P48">
        <v>7</v>
      </c>
      <c r="Q48">
        <v>5</v>
      </c>
      <c r="R48">
        <v>20</v>
      </c>
      <c r="S48">
        <v>110</v>
      </c>
      <c r="T48">
        <v>55</v>
      </c>
      <c r="U48">
        <v>25</v>
      </c>
    </row>
    <row r="49" spans="1:21">
      <c r="A49" t="s">
        <v>79</v>
      </c>
      <c r="B49" t="s">
        <v>79</v>
      </c>
      <c r="F49" t="b">
        <f t="shared" si="0"/>
        <v>1</v>
      </c>
      <c r="M49">
        <v>3</v>
      </c>
      <c r="N49">
        <v>20</v>
      </c>
      <c r="O49">
        <v>10</v>
      </c>
      <c r="P49">
        <v>7</v>
      </c>
      <c r="Q49">
        <v>5</v>
      </c>
      <c r="R49">
        <v>20</v>
      </c>
      <c r="S49">
        <v>90</v>
      </c>
      <c r="T49">
        <v>55</v>
      </c>
      <c r="U49">
        <v>20</v>
      </c>
    </row>
    <row r="50" spans="1:21">
      <c r="A50" t="s">
        <v>80</v>
      </c>
      <c r="B50" t="s">
        <v>80</v>
      </c>
      <c r="F50" t="b">
        <f t="shared" si="0"/>
        <v>1</v>
      </c>
      <c r="M50">
        <v>3</v>
      </c>
      <c r="N50">
        <v>20</v>
      </c>
      <c r="O50">
        <v>10</v>
      </c>
      <c r="P50">
        <v>7</v>
      </c>
      <c r="Q50">
        <v>5</v>
      </c>
      <c r="R50">
        <v>20</v>
      </c>
      <c r="S50">
        <v>110</v>
      </c>
      <c r="T50">
        <v>40</v>
      </c>
      <c r="U50">
        <v>15</v>
      </c>
    </row>
    <row r="51" spans="1:21">
      <c r="A51" s="7" t="s">
        <v>57</v>
      </c>
      <c r="B51" t="s">
        <v>57</v>
      </c>
      <c r="F51" t="b">
        <f t="shared" si="0"/>
        <v>1</v>
      </c>
      <c r="M51">
        <v>3</v>
      </c>
      <c r="N51">
        <v>20</v>
      </c>
      <c r="O51">
        <v>10</v>
      </c>
      <c r="P51">
        <v>7</v>
      </c>
      <c r="Q51">
        <v>5</v>
      </c>
      <c r="R51">
        <v>20</v>
      </c>
      <c r="S51">
        <v>100</v>
      </c>
      <c r="T51">
        <v>40</v>
      </c>
      <c r="U51">
        <v>20</v>
      </c>
    </row>
    <row r="52" spans="1:21">
      <c r="A52" t="s">
        <v>58</v>
      </c>
      <c r="B52" t="s">
        <v>58</v>
      </c>
      <c r="F52" t="b">
        <f t="shared" si="0"/>
        <v>1</v>
      </c>
      <c r="M52">
        <v>3</v>
      </c>
      <c r="N52">
        <v>20</v>
      </c>
      <c r="O52">
        <v>10</v>
      </c>
      <c r="P52">
        <v>7</v>
      </c>
      <c r="Q52">
        <v>5</v>
      </c>
      <c r="R52">
        <v>20</v>
      </c>
      <c r="S52">
        <v>120</v>
      </c>
      <c r="T52">
        <v>25</v>
      </c>
      <c r="U52">
        <v>15</v>
      </c>
    </row>
    <row r="53" spans="1:21">
      <c r="A53" t="s">
        <v>59</v>
      </c>
      <c r="B53" t="s">
        <v>59</v>
      </c>
      <c r="F53" t="b">
        <f t="shared" si="0"/>
        <v>1</v>
      </c>
      <c r="M53">
        <v>3</v>
      </c>
      <c r="N53">
        <v>20</v>
      </c>
      <c r="O53">
        <v>10</v>
      </c>
      <c r="P53">
        <v>7</v>
      </c>
      <c r="Q53">
        <v>5</v>
      </c>
      <c r="R53">
        <v>20</v>
      </c>
      <c r="S53">
        <v>110</v>
      </c>
      <c r="T53">
        <v>25</v>
      </c>
      <c r="U53">
        <v>30</v>
      </c>
    </row>
    <row r="54" spans="1:21">
      <c r="A54" t="s">
        <v>60</v>
      </c>
      <c r="B54" t="s">
        <v>60</v>
      </c>
      <c r="C54" s="13"/>
      <c r="D54" s="13"/>
      <c r="E54" s="13"/>
      <c r="F54" t="b">
        <f t="shared" si="0"/>
        <v>1</v>
      </c>
      <c r="M54">
        <v>3</v>
      </c>
      <c r="N54">
        <v>20</v>
      </c>
      <c r="O54">
        <v>10</v>
      </c>
      <c r="P54">
        <v>7</v>
      </c>
      <c r="Q54">
        <v>5</v>
      </c>
      <c r="R54">
        <v>20</v>
      </c>
      <c r="S54">
        <v>80</v>
      </c>
      <c r="T54">
        <v>25</v>
      </c>
      <c r="U54">
        <v>15</v>
      </c>
    </row>
    <row r="55" spans="1:21">
      <c r="A55" t="s">
        <v>61</v>
      </c>
      <c r="B55" t="s">
        <v>61</v>
      </c>
      <c r="F55" t="b">
        <f t="shared" si="0"/>
        <v>1</v>
      </c>
      <c r="M55">
        <v>3</v>
      </c>
      <c r="N55">
        <v>20</v>
      </c>
      <c r="O55">
        <v>10</v>
      </c>
      <c r="P55">
        <v>4</v>
      </c>
      <c r="Q55">
        <v>5</v>
      </c>
      <c r="R55">
        <v>30</v>
      </c>
      <c r="S55">
        <v>120</v>
      </c>
      <c r="T55">
        <v>85</v>
      </c>
      <c r="U55">
        <v>30</v>
      </c>
    </row>
    <row r="56" spans="1:21">
      <c r="A56" t="s">
        <v>81</v>
      </c>
      <c r="B56" t="s">
        <v>81</v>
      </c>
      <c r="F56" t="b">
        <f t="shared" si="0"/>
        <v>1</v>
      </c>
      <c r="M56">
        <v>3</v>
      </c>
      <c r="N56">
        <v>20</v>
      </c>
      <c r="O56">
        <v>10</v>
      </c>
      <c r="P56">
        <v>4</v>
      </c>
      <c r="Q56">
        <v>5</v>
      </c>
      <c r="R56">
        <v>30</v>
      </c>
      <c r="S56">
        <v>100</v>
      </c>
      <c r="T56">
        <v>85</v>
      </c>
      <c r="U56">
        <v>30</v>
      </c>
    </row>
    <row r="57" spans="1:21">
      <c r="A57" t="s">
        <v>82</v>
      </c>
      <c r="B57" t="s">
        <v>82</v>
      </c>
      <c r="F57" t="b">
        <f t="shared" si="0"/>
        <v>1</v>
      </c>
      <c r="M57">
        <v>3</v>
      </c>
      <c r="N57">
        <v>20</v>
      </c>
      <c r="O57">
        <v>10</v>
      </c>
      <c r="P57">
        <v>4</v>
      </c>
      <c r="Q57">
        <v>5</v>
      </c>
      <c r="R57">
        <v>30</v>
      </c>
      <c r="S57">
        <v>120</v>
      </c>
      <c r="T57">
        <v>70</v>
      </c>
      <c r="U57">
        <v>30</v>
      </c>
    </row>
    <row r="58" spans="1:21">
      <c r="A58" s="7" t="s">
        <v>83</v>
      </c>
      <c r="B58" t="s">
        <v>83</v>
      </c>
      <c r="F58" t="b">
        <f t="shared" si="0"/>
        <v>1</v>
      </c>
      <c r="M58">
        <v>3</v>
      </c>
      <c r="N58">
        <v>20</v>
      </c>
      <c r="O58">
        <v>10</v>
      </c>
      <c r="P58">
        <v>4</v>
      </c>
      <c r="Q58">
        <v>5</v>
      </c>
      <c r="R58">
        <v>30</v>
      </c>
      <c r="S58">
        <v>110</v>
      </c>
      <c r="T58">
        <v>70</v>
      </c>
      <c r="U58">
        <v>30</v>
      </c>
    </row>
    <row r="59" spans="1:21">
      <c r="A59" s="7" t="s">
        <v>84</v>
      </c>
      <c r="B59" t="s">
        <v>84</v>
      </c>
      <c r="F59" t="b">
        <f t="shared" si="0"/>
        <v>1</v>
      </c>
      <c r="M59">
        <v>3</v>
      </c>
      <c r="N59">
        <v>20</v>
      </c>
      <c r="O59">
        <v>10</v>
      </c>
      <c r="P59">
        <v>4</v>
      </c>
      <c r="Q59">
        <v>5</v>
      </c>
      <c r="R59">
        <v>30</v>
      </c>
      <c r="S59">
        <v>80</v>
      </c>
      <c r="T59">
        <v>70</v>
      </c>
      <c r="U59">
        <v>20</v>
      </c>
    </row>
    <row r="60" spans="1:21">
      <c r="A60" t="s">
        <v>85</v>
      </c>
      <c r="B60" t="s">
        <v>85</v>
      </c>
      <c r="F60" t="b">
        <f t="shared" si="0"/>
        <v>1</v>
      </c>
      <c r="M60">
        <v>3</v>
      </c>
      <c r="N60">
        <v>20</v>
      </c>
      <c r="O60">
        <v>10</v>
      </c>
      <c r="P60">
        <v>4</v>
      </c>
      <c r="Q60">
        <v>5</v>
      </c>
      <c r="R60">
        <v>30</v>
      </c>
      <c r="S60">
        <v>90</v>
      </c>
      <c r="T60">
        <v>55</v>
      </c>
      <c r="U60">
        <v>30</v>
      </c>
    </row>
    <row r="61" spans="1:21">
      <c r="F61" t="b">
        <f t="shared" si="0"/>
        <v>1</v>
      </c>
      <c r="M61">
        <v>3</v>
      </c>
      <c r="N61">
        <v>20</v>
      </c>
      <c r="O61">
        <v>10</v>
      </c>
      <c r="P61">
        <v>4</v>
      </c>
      <c r="Q61">
        <v>5</v>
      </c>
      <c r="R61">
        <v>30</v>
      </c>
      <c r="S61">
        <v>100</v>
      </c>
      <c r="T61">
        <v>40</v>
      </c>
      <c r="U61">
        <v>25</v>
      </c>
    </row>
    <row r="62" spans="1:21">
      <c r="F62" t="b">
        <f t="shared" si="0"/>
        <v>1</v>
      </c>
      <c r="M62">
        <v>3</v>
      </c>
      <c r="N62">
        <v>20</v>
      </c>
      <c r="O62">
        <v>10</v>
      </c>
      <c r="P62">
        <v>4</v>
      </c>
      <c r="Q62">
        <v>5</v>
      </c>
      <c r="R62">
        <v>30</v>
      </c>
      <c r="S62">
        <v>120</v>
      </c>
      <c r="T62">
        <v>25</v>
      </c>
      <c r="U62">
        <v>30</v>
      </c>
    </row>
    <row r="63" spans="1:21">
      <c r="C63" s="7"/>
      <c r="D63" s="7"/>
      <c r="E63" s="7"/>
      <c r="F63" t="b">
        <f t="shared" si="0"/>
        <v>1</v>
      </c>
      <c r="M63">
        <v>3</v>
      </c>
      <c r="N63">
        <v>20</v>
      </c>
      <c r="O63">
        <v>10</v>
      </c>
      <c r="P63">
        <v>4</v>
      </c>
      <c r="Q63">
        <v>5</v>
      </c>
      <c r="R63">
        <v>30</v>
      </c>
      <c r="S63">
        <v>90</v>
      </c>
      <c r="T63">
        <v>25</v>
      </c>
      <c r="U63">
        <v>30</v>
      </c>
    </row>
    <row r="64" spans="1:21">
      <c r="F64" t="b">
        <f t="shared" si="0"/>
        <v>1</v>
      </c>
      <c r="M64">
        <v>4</v>
      </c>
      <c r="N64">
        <v>20</v>
      </c>
      <c r="O64">
        <v>10</v>
      </c>
      <c r="P64">
        <v>7</v>
      </c>
      <c r="Q64">
        <v>5</v>
      </c>
      <c r="R64">
        <v>30</v>
      </c>
      <c r="S64">
        <v>90</v>
      </c>
      <c r="T64">
        <v>85</v>
      </c>
      <c r="U64">
        <v>25</v>
      </c>
    </row>
    <row r="65" spans="1:21">
      <c r="F65" t="b">
        <f t="shared" si="0"/>
        <v>1</v>
      </c>
      <c r="M65">
        <v>4</v>
      </c>
      <c r="N65">
        <v>20</v>
      </c>
      <c r="O65">
        <v>10</v>
      </c>
      <c r="P65">
        <v>7</v>
      </c>
      <c r="Q65">
        <v>5</v>
      </c>
      <c r="R65">
        <v>30</v>
      </c>
      <c r="S65">
        <v>120</v>
      </c>
      <c r="T65">
        <v>55</v>
      </c>
      <c r="U65">
        <v>10</v>
      </c>
    </row>
    <row r="66" spans="1:21">
      <c r="C66" s="7"/>
      <c r="D66" s="7"/>
      <c r="E66" s="7"/>
      <c r="F66" t="b">
        <f t="shared" si="0"/>
        <v>1</v>
      </c>
      <c r="M66">
        <v>4</v>
      </c>
      <c r="N66">
        <v>20</v>
      </c>
      <c r="O66">
        <v>10</v>
      </c>
      <c r="P66">
        <v>7</v>
      </c>
      <c r="Q66">
        <v>5</v>
      </c>
      <c r="R66">
        <v>30</v>
      </c>
      <c r="S66">
        <v>120</v>
      </c>
      <c r="T66">
        <v>40</v>
      </c>
      <c r="U66">
        <v>25</v>
      </c>
    </row>
    <row r="67" spans="1:21">
      <c r="F67" t="b">
        <f t="shared" si="0"/>
        <v>1</v>
      </c>
      <c r="M67">
        <v>4</v>
      </c>
      <c r="N67">
        <v>20</v>
      </c>
      <c r="O67">
        <v>10</v>
      </c>
      <c r="P67">
        <v>7</v>
      </c>
      <c r="Q67">
        <v>5</v>
      </c>
      <c r="R67">
        <v>30</v>
      </c>
      <c r="S67">
        <v>110</v>
      </c>
      <c r="T67">
        <v>25</v>
      </c>
      <c r="U67">
        <v>30</v>
      </c>
    </row>
    <row r="68" spans="1:21">
      <c r="F68" t="b">
        <f t="shared" ref="F68:F127" si="11">A68=B68</f>
        <v>1</v>
      </c>
      <c r="M68">
        <v>4</v>
      </c>
      <c r="N68">
        <v>20</v>
      </c>
      <c r="O68">
        <v>10</v>
      </c>
      <c r="P68">
        <v>7</v>
      </c>
      <c r="Q68">
        <v>5</v>
      </c>
      <c r="R68">
        <v>30</v>
      </c>
      <c r="S68">
        <v>100</v>
      </c>
      <c r="T68">
        <v>25</v>
      </c>
      <c r="U68">
        <v>25</v>
      </c>
    </row>
    <row r="69" spans="1:21">
      <c r="F69" t="b">
        <f t="shared" si="11"/>
        <v>1</v>
      </c>
      <c r="M69">
        <v>4</v>
      </c>
      <c r="N69">
        <v>20</v>
      </c>
      <c r="O69">
        <v>10</v>
      </c>
      <c r="P69">
        <v>7</v>
      </c>
      <c r="Q69">
        <v>5</v>
      </c>
      <c r="R69">
        <v>20</v>
      </c>
      <c r="S69">
        <v>120</v>
      </c>
      <c r="T69">
        <v>55</v>
      </c>
      <c r="U69">
        <v>20</v>
      </c>
    </row>
    <row r="70" spans="1:21">
      <c r="F70" t="b">
        <f t="shared" si="11"/>
        <v>1</v>
      </c>
      <c r="M70">
        <v>4</v>
      </c>
      <c r="N70">
        <v>20</v>
      </c>
      <c r="O70">
        <v>10</v>
      </c>
      <c r="P70">
        <v>7</v>
      </c>
      <c r="Q70">
        <v>5</v>
      </c>
      <c r="R70">
        <v>20</v>
      </c>
      <c r="S70">
        <v>110</v>
      </c>
      <c r="T70">
        <v>40</v>
      </c>
      <c r="U70">
        <v>15</v>
      </c>
    </row>
    <row r="71" spans="1:21">
      <c r="F71" t="b">
        <f t="shared" si="11"/>
        <v>1</v>
      </c>
      <c r="M71">
        <v>4</v>
      </c>
      <c r="N71">
        <v>20</v>
      </c>
      <c r="O71">
        <v>10</v>
      </c>
      <c r="P71">
        <v>7</v>
      </c>
      <c r="Q71">
        <v>5</v>
      </c>
      <c r="R71">
        <v>20</v>
      </c>
      <c r="S71">
        <v>100</v>
      </c>
      <c r="T71">
        <v>40</v>
      </c>
      <c r="U71">
        <v>20</v>
      </c>
    </row>
    <row r="72" spans="1:21">
      <c r="F72" t="b">
        <f t="shared" si="11"/>
        <v>1</v>
      </c>
      <c r="M72">
        <v>4</v>
      </c>
      <c r="N72">
        <v>20</v>
      </c>
      <c r="O72">
        <v>10</v>
      </c>
      <c r="P72">
        <v>7</v>
      </c>
      <c r="Q72">
        <v>5</v>
      </c>
      <c r="R72">
        <v>20</v>
      </c>
      <c r="S72">
        <v>120</v>
      </c>
      <c r="T72">
        <v>25</v>
      </c>
      <c r="U72">
        <v>15</v>
      </c>
    </row>
    <row r="73" spans="1:21">
      <c r="F73" t="b">
        <f t="shared" si="11"/>
        <v>1</v>
      </c>
      <c r="M73">
        <v>4</v>
      </c>
      <c r="N73">
        <v>20</v>
      </c>
      <c r="O73">
        <v>10</v>
      </c>
      <c r="P73">
        <v>7</v>
      </c>
      <c r="Q73">
        <v>5</v>
      </c>
      <c r="R73">
        <v>20</v>
      </c>
      <c r="S73">
        <v>110</v>
      </c>
      <c r="T73">
        <v>25</v>
      </c>
      <c r="U73">
        <v>30</v>
      </c>
    </row>
    <row r="74" spans="1:21">
      <c r="F74" t="b">
        <f t="shared" si="11"/>
        <v>1</v>
      </c>
      <c r="M74">
        <v>4</v>
      </c>
      <c r="N74">
        <v>20</v>
      </c>
      <c r="O74">
        <v>10</v>
      </c>
      <c r="P74">
        <v>4</v>
      </c>
      <c r="Q74">
        <v>5</v>
      </c>
      <c r="R74">
        <v>30</v>
      </c>
      <c r="S74">
        <v>100</v>
      </c>
      <c r="T74">
        <v>40</v>
      </c>
      <c r="U74">
        <v>25</v>
      </c>
    </row>
    <row r="75" spans="1:21">
      <c r="F75" t="b">
        <f t="shared" si="11"/>
        <v>1</v>
      </c>
      <c r="M75">
        <v>4</v>
      </c>
      <c r="N75">
        <v>20</v>
      </c>
      <c r="O75">
        <v>10</v>
      </c>
      <c r="P75">
        <v>4</v>
      </c>
      <c r="Q75">
        <v>5</v>
      </c>
      <c r="R75">
        <v>30</v>
      </c>
      <c r="S75">
        <v>120</v>
      </c>
      <c r="T75">
        <v>25</v>
      </c>
      <c r="U75">
        <v>30</v>
      </c>
    </row>
    <row r="76" spans="1:21">
      <c r="F76" t="b">
        <f t="shared" si="11"/>
        <v>1</v>
      </c>
      <c r="M76">
        <v>4</v>
      </c>
      <c r="N76">
        <v>20</v>
      </c>
      <c r="O76">
        <v>10</v>
      </c>
      <c r="P76">
        <v>4</v>
      </c>
      <c r="Q76">
        <v>5</v>
      </c>
      <c r="R76">
        <v>20</v>
      </c>
      <c r="S76">
        <v>90</v>
      </c>
      <c r="T76">
        <v>85</v>
      </c>
      <c r="U76">
        <v>30</v>
      </c>
    </row>
    <row r="77" spans="1:21">
      <c r="F77" t="b">
        <f t="shared" si="11"/>
        <v>1</v>
      </c>
      <c r="M77">
        <v>4</v>
      </c>
      <c r="N77">
        <v>20</v>
      </c>
      <c r="O77">
        <v>10</v>
      </c>
      <c r="P77">
        <v>4</v>
      </c>
      <c r="Q77">
        <v>5</v>
      </c>
      <c r="R77">
        <v>20</v>
      </c>
      <c r="S77">
        <v>120</v>
      </c>
      <c r="T77">
        <v>55</v>
      </c>
      <c r="U77">
        <v>30</v>
      </c>
    </row>
    <row r="78" spans="1:21">
      <c r="A78" s="7"/>
      <c r="C78" s="13"/>
      <c r="D78" s="13"/>
      <c r="E78" s="13"/>
      <c r="F78" t="b">
        <f t="shared" si="11"/>
        <v>1</v>
      </c>
      <c r="M78">
        <v>4</v>
      </c>
      <c r="N78">
        <v>20</v>
      </c>
      <c r="O78">
        <v>10</v>
      </c>
      <c r="P78">
        <v>4</v>
      </c>
      <c r="Q78">
        <v>5</v>
      </c>
      <c r="R78">
        <v>20</v>
      </c>
      <c r="S78">
        <v>110</v>
      </c>
      <c r="T78">
        <v>25</v>
      </c>
      <c r="U78">
        <v>15</v>
      </c>
    </row>
    <row r="79" spans="1:21">
      <c r="C79" s="7"/>
      <c r="D79" s="7"/>
      <c r="E79" s="7"/>
      <c r="F79" t="b">
        <f t="shared" si="11"/>
        <v>1</v>
      </c>
      <c r="M79">
        <v>4</v>
      </c>
      <c r="N79">
        <v>20</v>
      </c>
      <c r="O79">
        <v>5</v>
      </c>
      <c r="P79">
        <v>7</v>
      </c>
      <c r="Q79">
        <v>5</v>
      </c>
      <c r="R79">
        <v>30</v>
      </c>
      <c r="S79">
        <v>120</v>
      </c>
      <c r="T79">
        <v>55</v>
      </c>
      <c r="U79">
        <v>15</v>
      </c>
    </row>
    <row r="80" spans="1:21">
      <c r="F80" t="b">
        <f t="shared" si="11"/>
        <v>1</v>
      </c>
      <c r="M80">
        <v>4</v>
      </c>
      <c r="N80">
        <v>20</v>
      </c>
      <c r="O80">
        <v>5</v>
      </c>
      <c r="P80">
        <v>7</v>
      </c>
      <c r="Q80">
        <v>5</v>
      </c>
      <c r="R80">
        <v>30</v>
      </c>
      <c r="S80">
        <v>120</v>
      </c>
      <c r="T80">
        <v>25</v>
      </c>
      <c r="U80">
        <v>25</v>
      </c>
    </row>
    <row r="81" spans="1:21">
      <c r="A81" s="7"/>
      <c r="F81" t="b">
        <f t="shared" si="11"/>
        <v>1</v>
      </c>
      <c r="M81">
        <v>4</v>
      </c>
      <c r="N81">
        <v>20</v>
      </c>
      <c r="O81">
        <v>5</v>
      </c>
      <c r="P81">
        <v>7</v>
      </c>
      <c r="Q81">
        <v>5</v>
      </c>
      <c r="R81">
        <v>20</v>
      </c>
      <c r="S81">
        <v>120</v>
      </c>
      <c r="T81">
        <v>55</v>
      </c>
      <c r="U81">
        <v>15</v>
      </c>
    </row>
    <row r="82" spans="1:21">
      <c r="A82" s="7"/>
      <c r="F82" t="b">
        <f t="shared" si="11"/>
        <v>1</v>
      </c>
      <c r="M82">
        <v>4</v>
      </c>
      <c r="N82">
        <v>20</v>
      </c>
      <c r="O82">
        <v>5</v>
      </c>
      <c r="P82">
        <v>7</v>
      </c>
      <c r="Q82">
        <v>5</v>
      </c>
      <c r="R82">
        <v>20</v>
      </c>
      <c r="S82">
        <v>120</v>
      </c>
      <c r="T82">
        <v>40</v>
      </c>
      <c r="U82">
        <v>15</v>
      </c>
    </row>
    <row r="83" spans="1:21">
      <c r="F83" t="b">
        <f t="shared" si="11"/>
        <v>1</v>
      </c>
      <c r="M83">
        <v>4</v>
      </c>
      <c r="N83">
        <v>20</v>
      </c>
      <c r="O83">
        <v>5</v>
      </c>
      <c r="P83">
        <v>7</v>
      </c>
      <c r="Q83">
        <v>5</v>
      </c>
      <c r="R83">
        <v>20</v>
      </c>
      <c r="S83">
        <v>120</v>
      </c>
      <c r="T83">
        <v>25</v>
      </c>
      <c r="U83">
        <v>15</v>
      </c>
    </row>
    <row r="84" spans="1:21">
      <c r="F84" t="b">
        <f t="shared" si="11"/>
        <v>1</v>
      </c>
      <c r="M84">
        <v>4</v>
      </c>
      <c r="N84">
        <v>20</v>
      </c>
      <c r="O84">
        <v>5</v>
      </c>
      <c r="P84">
        <v>4</v>
      </c>
      <c r="Q84">
        <v>5</v>
      </c>
      <c r="R84">
        <v>30</v>
      </c>
      <c r="S84">
        <v>120</v>
      </c>
      <c r="T84">
        <v>25</v>
      </c>
      <c r="U84">
        <v>15</v>
      </c>
    </row>
    <row r="85" spans="1:21">
      <c r="F85" t="b">
        <f t="shared" si="11"/>
        <v>1</v>
      </c>
      <c r="M85">
        <v>4</v>
      </c>
      <c r="N85">
        <v>20</v>
      </c>
      <c r="O85">
        <v>5</v>
      </c>
      <c r="P85">
        <v>4</v>
      </c>
      <c r="Q85">
        <v>5</v>
      </c>
      <c r="R85">
        <v>30</v>
      </c>
      <c r="S85">
        <v>100</v>
      </c>
      <c r="T85">
        <v>25</v>
      </c>
      <c r="U85">
        <v>15</v>
      </c>
    </row>
    <row r="86" spans="1:21">
      <c r="F86" t="b">
        <f t="shared" si="11"/>
        <v>1</v>
      </c>
      <c r="M86">
        <v>4</v>
      </c>
      <c r="N86">
        <v>20</v>
      </c>
      <c r="O86">
        <v>5</v>
      </c>
      <c r="P86">
        <v>4</v>
      </c>
      <c r="Q86">
        <v>5</v>
      </c>
      <c r="R86">
        <v>20</v>
      </c>
      <c r="S86">
        <v>90</v>
      </c>
      <c r="T86">
        <v>85</v>
      </c>
      <c r="U86">
        <v>10</v>
      </c>
    </row>
    <row r="87" spans="1:21">
      <c r="F87" t="b">
        <f t="shared" si="11"/>
        <v>1</v>
      </c>
      <c r="M87">
        <v>4</v>
      </c>
      <c r="N87">
        <v>20</v>
      </c>
      <c r="O87">
        <v>5</v>
      </c>
      <c r="P87">
        <v>4</v>
      </c>
      <c r="Q87">
        <v>5</v>
      </c>
      <c r="R87">
        <v>20</v>
      </c>
      <c r="S87">
        <v>120</v>
      </c>
      <c r="T87">
        <v>40</v>
      </c>
      <c r="U87">
        <v>15</v>
      </c>
    </row>
    <row r="88" spans="1:21">
      <c r="C88" s="13"/>
      <c r="D88" s="13"/>
      <c r="E88" s="13"/>
      <c r="F88" t="b">
        <f t="shared" si="11"/>
        <v>1</v>
      </c>
      <c r="M88">
        <v>4</v>
      </c>
      <c r="N88">
        <v>20</v>
      </c>
      <c r="O88">
        <v>5</v>
      </c>
      <c r="P88">
        <v>4</v>
      </c>
      <c r="Q88">
        <v>5</v>
      </c>
      <c r="R88">
        <v>20</v>
      </c>
      <c r="S88">
        <v>110</v>
      </c>
      <c r="T88">
        <v>25</v>
      </c>
      <c r="U88">
        <v>10</v>
      </c>
    </row>
    <row r="89" spans="1:21">
      <c r="F89" t="b">
        <f t="shared" si="11"/>
        <v>1</v>
      </c>
      <c r="M89">
        <v>4</v>
      </c>
      <c r="N89">
        <v>20</v>
      </c>
      <c r="O89">
        <v>10</v>
      </c>
      <c r="P89">
        <v>7</v>
      </c>
      <c r="Q89">
        <v>5</v>
      </c>
      <c r="R89">
        <v>30</v>
      </c>
      <c r="S89">
        <v>80</v>
      </c>
      <c r="T89">
        <v>85</v>
      </c>
      <c r="U89">
        <v>25</v>
      </c>
    </row>
    <row r="90" spans="1:21">
      <c r="F90" t="b">
        <f t="shared" si="11"/>
        <v>1</v>
      </c>
      <c r="M90">
        <v>4</v>
      </c>
      <c r="N90">
        <v>20</v>
      </c>
      <c r="O90">
        <v>10</v>
      </c>
      <c r="P90">
        <v>7</v>
      </c>
      <c r="Q90">
        <v>5</v>
      </c>
      <c r="R90">
        <v>30</v>
      </c>
      <c r="S90">
        <v>110</v>
      </c>
      <c r="T90">
        <v>40</v>
      </c>
      <c r="U90">
        <v>10</v>
      </c>
    </row>
    <row r="91" spans="1:21">
      <c r="F91" t="b">
        <f t="shared" si="11"/>
        <v>1</v>
      </c>
      <c r="M91">
        <v>4</v>
      </c>
      <c r="N91">
        <v>20</v>
      </c>
      <c r="O91">
        <v>10</v>
      </c>
      <c r="P91">
        <v>7</v>
      </c>
      <c r="Q91">
        <v>5</v>
      </c>
      <c r="R91">
        <v>30</v>
      </c>
      <c r="S91">
        <v>120</v>
      </c>
      <c r="T91">
        <v>25</v>
      </c>
      <c r="U91">
        <v>25</v>
      </c>
    </row>
    <row r="92" spans="1:21">
      <c r="F92" t="b">
        <f t="shared" si="11"/>
        <v>1</v>
      </c>
      <c r="M92">
        <v>4</v>
      </c>
      <c r="N92">
        <v>20</v>
      </c>
      <c r="O92">
        <v>10</v>
      </c>
      <c r="P92">
        <v>7</v>
      </c>
      <c r="Q92">
        <v>5</v>
      </c>
      <c r="R92">
        <v>20</v>
      </c>
      <c r="S92">
        <v>80</v>
      </c>
      <c r="T92">
        <v>85</v>
      </c>
      <c r="U92">
        <v>15</v>
      </c>
    </row>
    <row r="93" spans="1:21">
      <c r="F93" t="b">
        <f t="shared" si="11"/>
        <v>1</v>
      </c>
      <c r="M93">
        <v>4</v>
      </c>
      <c r="N93">
        <v>20</v>
      </c>
      <c r="O93">
        <v>10</v>
      </c>
      <c r="P93">
        <v>7</v>
      </c>
      <c r="Q93">
        <v>5</v>
      </c>
      <c r="R93">
        <v>20</v>
      </c>
      <c r="S93">
        <v>110</v>
      </c>
      <c r="T93">
        <v>40</v>
      </c>
      <c r="U93">
        <v>30</v>
      </c>
    </row>
    <row r="94" spans="1:21">
      <c r="F94" t="b">
        <f t="shared" si="11"/>
        <v>1</v>
      </c>
      <c r="M94">
        <v>5</v>
      </c>
      <c r="N94">
        <v>20</v>
      </c>
      <c r="O94">
        <v>10</v>
      </c>
      <c r="P94">
        <v>4</v>
      </c>
      <c r="Q94">
        <v>5</v>
      </c>
      <c r="R94">
        <v>30</v>
      </c>
      <c r="S94">
        <v>120</v>
      </c>
      <c r="T94">
        <v>25</v>
      </c>
      <c r="U94">
        <v>30</v>
      </c>
    </row>
    <row r="95" spans="1:21">
      <c r="F95" t="b">
        <f t="shared" si="11"/>
        <v>1</v>
      </c>
      <c r="M95">
        <v>5</v>
      </c>
      <c r="N95">
        <v>20</v>
      </c>
      <c r="O95">
        <v>5</v>
      </c>
      <c r="P95">
        <v>7</v>
      </c>
      <c r="Q95">
        <v>5</v>
      </c>
      <c r="R95">
        <v>30</v>
      </c>
      <c r="S95">
        <v>120</v>
      </c>
      <c r="T95">
        <v>25</v>
      </c>
      <c r="U95">
        <v>25</v>
      </c>
    </row>
    <row r="96" spans="1:21">
      <c r="F96" t="b">
        <f t="shared" si="11"/>
        <v>1</v>
      </c>
      <c r="M96">
        <v>5</v>
      </c>
      <c r="N96">
        <v>20</v>
      </c>
      <c r="O96">
        <v>5</v>
      </c>
      <c r="P96">
        <v>7</v>
      </c>
      <c r="Q96">
        <v>5</v>
      </c>
      <c r="R96">
        <v>20</v>
      </c>
      <c r="S96">
        <v>120</v>
      </c>
      <c r="T96">
        <v>25</v>
      </c>
      <c r="U96">
        <v>15</v>
      </c>
    </row>
    <row r="97" spans="1:21">
      <c r="F97" t="b">
        <f t="shared" si="11"/>
        <v>1</v>
      </c>
      <c r="M97">
        <v>5</v>
      </c>
      <c r="N97">
        <v>20</v>
      </c>
      <c r="O97">
        <v>5</v>
      </c>
      <c r="P97">
        <v>4</v>
      </c>
      <c r="Q97">
        <v>5</v>
      </c>
      <c r="R97">
        <v>30</v>
      </c>
      <c r="S97">
        <v>120</v>
      </c>
      <c r="T97">
        <v>25</v>
      </c>
      <c r="U97">
        <v>15</v>
      </c>
    </row>
    <row r="98" spans="1:21">
      <c r="C98" s="13"/>
      <c r="D98" s="13"/>
      <c r="E98" s="13"/>
      <c r="F98" t="b">
        <f t="shared" si="11"/>
        <v>1</v>
      </c>
      <c r="M98">
        <v>5</v>
      </c>
      <c r="N98">
        <v>20</v>
      </c>
      <c r="O98">
        <v>10</v>
      </c>
      <c r="P98">
        <v>7</v>
      </c>
      <c r="Q98">
        <v>5</v>
      </c>
      <c r="R98">
        <v>30</v>
      </c>
      <c r="S98">
        <v>120</v>
      </c>
      <c r="T98">
        <v>25</v>
      </c>
      <c r="U98">
        <v>25</v>
      </c>
    </row>
    <row r="99" spans="1:21">
      <c r="F99" t="b">
        <f t="shared" si="11"/>
        <v>1</v>
      </c>
      <c r="M99">
        <v>5</v>
      </c>
      <c r="N99">
        <v>20</v>
      </c>
      <c r="O99">
        <v>10</v>
      </c>
      <c r="P99">
        <v>4</v>
      </c>
      <c r="Q99">
        <v>5</v>
      </c>
      <c r="R99">
        <v>20</v>
      </c>
      <c r="S99">
        <v>120</v>
      </c>
      <c r="T99">
        <v>25</v>
      </c>
      <c r="U99">
        <v>25</v>
      </c>
    </row>
    <row r="100" spans="1:21">
      <c r="F100" t="b">
        <f t="shared" si="11"/>
        <v>1</v>
      </c>
      <c r="M100">
        <v>5</v>
      </c>
      <c r="N100">
        <v>20</v>
      </c>
      <c r="O100">
        <v>5</v>
      </c>
      <c r="P100">
        <v>4</v>
      </c>
      <c r="Q100">
        <v>5</v>
      </c>
      <c r="R100">
        <v>30</v>
      </c>
      <c r="S100">
        <v>120</v>
      </c>
      <c r="T100">
        <v>25</v>
      </c>
      <c r="U100">
        <v>30</v>
      </c>
    </row>
    <row r="101" spans="1:21">
      <c r="C101" s="13"/>
      <c r="D101" s="13"/>
      <c r="E101" s="13"/>
      <c r="F101" t="b">
        <f t="shared" si="11"/>
        <v>1</v>
      </c>
      <c r="M101">
        <v>5</v>
      </c>
      <c r="N101">
        <v>20</v>
      </c>
      <c r="O101">
        <v>5</v>
      </c>
      <c r="P101">
        <v>4</v>
      </c>
      <c r="Q101">
        <v>5</v>
      </c>
      <c r="R101">
        <v>20</v>
      </c>
      <c r="S101">
        <v>120</v>
      </c>
      <c r="T101">
        <v>25</v>
      </c>
      <c r="U101">
        <v>20</v>
      </c>
    </row>
    <row r="102" spans="1:21">
      <c r="F102" t="b">
        <f t="shared" si="11"/>
        <v>1</v>
      </c>
      <c r="M102">
        <v>5</v>
      </c>
      <c r="N102">
        <v>10</v>
      </c>
      <c r="O102">
        <v>10</v>
      </c>
      <c r="P102">
        <v>7</v>
      </c>
      <c r="Q102">
        <v>5</v>
      </c>
      <c r="R102">
        <v>30</v>
      </c>
      <c r="S102">
        <v>80</v>
      </c>
      <c r="T102">
        <v>85</v>
      </c>
      <c r="U102">
        <v>10</v>
      </c>
    </row>
    <row r="103" spans="1:21">
      <c r="F103" t="b">
        <f t="shared" si="11"/>
        <v>1</v>
      </c>
      <c r="M103">
        <v>5</v>
      </c>
      <c r="N103">
        <v>20</v>
      </c>
      <c r="O103">
        <v>5</v>
      </c>
      <c r="P103">
        <v>7</v>
      </c>
      <c r="Q103">
        <v>5</v>
      </c>
      <c r="R103">
        <v>20</v>
      </c>
      <c r="S103">
        <v>120</v>
      </c>
      <c r="T103">
        <v>25</v>
      </c>
      <c r="U103">
        <v>25</v>
      </c>
    </row>
    <row r="104" spans="1:21">
      <c r="A104" s="7"/>
      <c r="F104" t="b">
        <f t="shared" si="11"/>
        <v>1</v>
      </c>
      <c r="M104">
        <v>5</v>
      </c>
      <c r="N104">
        <v>20</v>
      </c>
      <c r="O104">
        <v>5</v>
      </c>
      <c r="P104">
        <v>4</v>
      </c>
      <c r="Q104">
        <v>5</v>
      </c>
      <c r="R104">
        <v>30</v>
      </c>
      <c r="S104">
        <v>120</v>
      </c>
      <c r="T104">
        <v>25</v>
      </c>
      <c r="U104">
        <v>20</v>
      </c>
    </row>
    <row r="105" spans="1:21">
      <c r="F105" t="b">
        <f t="shared" si="11"/>
        <v>1</v>
      </c>
      <c r="M105">
        <v>5</v>
      </c>
      <c r="N105">
        <v>10</v>
      </c>
      <c r="O105">
        <v>10</v>
      </c>
      <c r="P105">
        <v>7</v>
      </c>
      <c r="Q105">
        <v>5</v>
      </c>
      <c r="R105">
        <v>30</v>
      </c>
      <c r="S105">
        <v>80</v>
      </c>
      <c r="T105">
        <v>85</v>
      </c>
      <c r="U105">
        <v>20</v>
      </c>
    </row>
    <row r="106" spans="1:21">
      <c r="A106" s="7"/>
      <c r="F106" t="b">
        <f t="shared" si="11"/>
        <v>1</v>
      </c>
      <c r="M106">
        <v>5</v>
      </c>
      <c r="N106">
        <v>20</v>
      </c>
      <c r="O106">
        <v>5</v>
      </c>
      <c r="P106">
        <v>7</v>
      </c>
      <c r="Q106">
        <v>5</v>
      </c>
      <c r="R106">
        <v>20</v>
      </c>
      <c r="S106">
        <v>120</v>
      </c>
      <c r="T106">
        <v>25</v>
      </c>
      <c r="U106">
        <v>10</v>
      </c>
    </row>
    <row r="107" spans="1:21">
      <c r="A107" s="7"/>
      <c r="F107" t="b">
        <f t="shared" si="11"/>
        <v>1</v>
      </c>
      <c r="M107">
        <v>5</v>
      </c>
      <c r="N107">
        <v>20</v>
      </c>
      <c r="O107">
        <v>5</v>
      </c>
      <c r="P107">
        <v>4</v>
      </c>
      <c r="Q107">
        <v>5</v>
      </c>
      <c r="R107">
        <v>20</v>
      </c>
      <c r="S107">
        <v>120</v>
      </c>
      <c r="T107">
        <v>25</v>
      </c>
      <c r="U107">
        <v>10</v>
      </c>
    </row>
    <row r="108" spans="1:21">
      <c r="A108" s="7"/>
      <c r="C108" s="13"/>
      <c r="D108" s="13"/>
      <c r="E108" s="13"/>
      <c r="F108" t="b">
        <f t="shared" si="11"/>
        <v>1</v>
      </c>
      <c r="M108">
        <v>5</v>
      </c>
      <c r="N108">
        <v>10</v>
      </c>
      <c r="O108">
        <v>10</v>
      </c>
      <c r="P108">
        <v>7</v>
      </c>
      <c r="Q108">
        <v>5</v>
      </c>
      <c r="R108">
        <v>20</v>
      </c>
      <c r="S108">
        <v>80</v>
      </c>
      <c r="T108">
        <v>85</v>
      </c>
      <c r="U108">
        <v>10</v>
      </c>
    </row>
    <row r="109" spans="1:21">
      <c r="F109" t="b">
        <f t="shared" si="11"/>
        <v>1</v>
      </c>
      <c r="M109">
        <v>5</v>
      </c>
      <c r="N109">
        <v>10</v>
      </c>
      <c r="O109">
        <v>10</v>
      </c>
      <c r="P109">
        <v>4</v>
      </c>
      <c r="Q109">
        <v>5</v>
      </c>
      <c r="R109">
        <v>20</v>
      </c>
      <c r="S109">
        <v>80</v>
      </c>
      <c r="T109">
        <v>85</v>
      </c>
      <c r="U109">
        <v>10</v>
      </c>
    </row>
    <row r="110" spans="1:21">
      <c r="A110" s="7"/>
      <c r="F110" t="b">
        <f t="shared" si="11"/>
        <v>1</v>
      </c>
      <c r="M110">
        <v>5</v>
      </c>
      <c r="N110">
        <v>10</v>
      </c>
      <c r="O110">
        <v>5</v>
      </c>
      <c r="P110">
        <v>7</v>
      </c>
      <c r="Q110">
        <v>5</v>
      </c>
      <c r="R110">
        <v>20</v>
      </c>
      <c r="S110">
        <v>80</v>
      </c>
      <c r="T110">
        <v>85</v>
      </c>
      <c r="U110">
        <v>10</v>
      </c>
    </row>
    <row r="111" spans="1:21">
      <c r="F111" t="b">
        <f t="shared" si="11"/>
        <v>1</v>
      </c>
      <c r="M111">
        <v>5</v>
      </c>
      <c r="N111">
        <v>10</v>
      </c>
      <c r="O111">
        <v>5</v>
      </c>
      <c r="P111">
        <v>4</v>
      </c>
      <c r="Q111">
        <v>5</v>
      </c>
      <c r="R111">
        <v>20</v>
      </c>
      <c r="S111">
        <v>80</v>
      </c>
      <c r="T111">
        <v>85</v>
      </c>
      <c r="U111">
        <v>10</v>
      </c>
    </row>
    <row r="112" spans="1:21">
      <c r="F112" t="b">
        <f t="shared" si="11"/>
        <v>1</v>
      </c>
      <c r="M112">
        <v>5</v>
      </c>
      <c r="N112">
        <v>20</v>
      </c>
      <c r="O112">
        <v>5</v>
      </c>
      <c r="P112">
        <v>7</v>
      </c>
      <c r="Q112">
        <v>5</v>
      </c>
      <c r="R112">
        <v>30</v>
      </c>
      <c r="S112">
        <v>120</v>
      </c>
      <c r="T112">
        <v>25</v>
      </c>
      <c r="U112">
        <v>15</v>
      </c>
    </row>
    <row r="113" spans="3:21">
      <c r="F113" t="b">
        <f t="shared" si="11"/>
        <v>1</v>
      </c>
      <c r="M113">
        <v>5</v>
      </c>
      <c r="N113">
        <v>20</v>
      </c>
      <c r="O113">
        <v>5</v>
      </c>
      <c r="P113">
        <v>7</v>
      </c>
      <c r="Q113">
        <v>5</v>
      </c>
      <c r="R113">
        <v>20</v>
      </c>
      <c r="S113">
        <v>120</v>
      </c>
      <c r="T113">
        <v>25</v>
      </c>
      <c r="U113">
        <v>20</v>
      </c>
    </row>
    <row r="114" spans="3:21">
      <c r="F114" t="b">
        <f t="shared" si="11"/>
        <v>1</v>
      </c>
      <c r="M114">
        <v>5</v>
      </c>
      <c r="N114">
        <v>20</v>
      </c>
      <c r="O114">
        <v>10</v>
      </c>
      <c r="P114">
        <v>4</v>
      </c>
      <c r="Q114">
        <v>5</v>
      </c>
      <c r="R114">
        <v>20</v>
      </c>
      <c r="S114">
        <v>120</v>
      </c>
      <c r="T114">
        <v>25</v>
      </c>
      <c r="U114">
        <v>20</v>
      </c>
    </row>
    <row r="115" spans="3:21">
      <c r="F115" t="b">
        <f t="shared" si="11"/>
        <v>1</v>
      </c>
      <c r="M115">
        <v>5</v>
      </c>
      <c r="N115">
        <v>20</v>
      </c>
      <c r="O115">
        <v>5</v>
      </c>
      <c r="P115">
        <v>7</v>
      </c>
      <c r="Q115">
        <v>5</v>
      </c>
      <c r="R115">
        <v>30</v>
      </c>
      <c r="S115">
        <v>110</v>
      </c>
      <c r="T115">
        <v>25</v>
      </c>
      <c r="U115">
        <v>20</v>
      </c>
    </row>
    <row r="116" spans="3:21">
      <c r="C116" s="13"/>
      <c r="D116" s="13"/>
      <c r="E116" s="13"/>
      <c r="F116" t="b">
        <f t="shared" si="11"/>
        <v>1</v>
      </c>
      <c r="M116">
        <v>5</v>
      </c>
      <c r="N116">
        <v>20</v>
      </c>
      <c r="O116">
        <v>5</v>
      </c>
      <c r="P116">
        <v>7</v>
      </c>
      <c r="Q116">
        <v>5</v>
      </c>
      <c r="R116">
        <v>20</v>
      </c>
      <c r="S116">
        <v>110</v>
      </c>
      <c r="T116">
        <v>25</v>
      </c>
      <c r="U116">
        <v>20</v>
      </c>
    </row>
    <row r="117" spans="3:21">
      <c r="C117" s="13"/>
      <c r="D117" s="13"/>
      <c r="E117" s="13"/>
      <c r="F117" t="b">
        <f t="shared" si="11"/>
        <v>1</v>
      </c>
      <c r="M117">
        <v>5</v>
      </c>
      <c r="N117">
        <v>10</v>
      </c>
      <c r="O117">
        <v>10</v>
      </c>
      <c r="P117">
        <v>4</v>
      </c>
      <c r="Q117">
        <v>5</v>
      </c>
      <c r="R117">
        <v>30</v>
      </c>
      <c r="S117">
        <v>80</v>
      </c>
      <c r="T117">
        <v>85</v>
      </c>
      <c r="U117">
        <v>20</v>
      </c>
    </row>
    <row r="118" spans="3:21">
      <c r="F118" t="b">
        <f t="shared" si="11"/>
        <v>1</v>
      </c>
      <c r="M118">
        <v>5</v>
      </c>
      <c r="N118">
        <v>20</v>
      </c>
      <c r="O118">
        <v>10</v>
      </c>
      <c r="P118">
        <v>7</v>
      </c>
      <c r="Q118">
        <v>5</v>
      </c>
      <c r="R118">
        <v>30</v>
      </c>
      <c r="S118">
        <v>120</v>
      </c>
      <c r="T118">
        <v>25</v>
      </c>
      <c r="U118">
        <v>30</v>
      </c>
    </row>
    <row r="119" spans="3:21">
      <c r="F119" t="b">
        <f t="shared" si="11"/>
        <v>1</v>
      </c>
      <c r="M119">
        <v>5</v>
      </c>
      <c r="N119">
        <v>20</v>
      </c>
      <c r="O119">
        <v>10</v>
      </c>
      <c r="P119">
        <v>7</v>
      </c>
      <c r="Q119">
        <v>5</v>
      </c>
      <c r="R119">
        <v>20</v>
      </c>
      <c r="S119">
        <v>120</v>
      </c>
      <c r="T119">
        <v>25</v>
      </c>
      <c r="U119">
        <v>25</v>
      </c>
    </row>
    <row r="120" spans="3:21">
      <c r="C120" s="13"/>
      <c r="D120" s="13"/>
      <c r="E120" s="13"/>
      <c r="F120" t="b">
        <f t="shared" si="11"/>
        <v>1</v>
      </c>
      <c r="M120">
        <v>5</v>
      </c>
      <c r="N120">
        <v>20</v>
      </c>
      <c r="O120">
        <v>5</v>
      </c>
      <c r="P120">
        <v>7</v>
      </c>
      <c r="Q120">
        <v>5</v>
      </c>
      <c r="R120">
        <v>30</v>
      </c>
      <c r="S120">
        <v>120</v>
      </c>
      <c r="T120">
        <v>25</v>
      </c>
      <c r="U120">
        <v>10</v>
      </c>
    </row>
    <row r="121" spans="3:21">
      <c r="F121" t="b">
        <f t="shared" si="11"/>
        <v>1</v>
      </c>
      <c r="M121">
        <v>5</v>
      </c>
      <c r="N121">
        <v>10</v>
      </c>
      <c r="O121">
        <v>5</v>
      </c>
      <c r="P121">
        <v>7</v>
      </c>
      <c r="Q121">
        <v>5</v>
      </c>
      <c r="R121">
        <v>30</v>
      </c>
      <c r="S121">
        <v>80</v>
      </c>
      <c r="T121">
        <v>85</v>
      </c>
      <c r="U121">
        <v>10</v>
      </c>
    </row>
    <row r="122" spans="3:21">
      <c r="F122" t="b">
        <f t="shared" si="11"/>
        <v>1</v>
      </c>
      <c r="M122">
        <v>5</v>
      </c>
      <c r="N122">
        <v>10</v>
      </c>
      <c r="O122">
        <v>5</v>
      </c>
      <c r="P122">
        <v>4</v>
      </c>
      <c r="Q122">
        <v>5</v>
      </c>
      <c r="R122">
        <v>30</v>
      </c>
      <c r="S122">
        <v>80</v>
      </c>
      <c r="T122">
        <v>85</v>
      </c>
      <c r="U122">
        <v>10</v>
      </c>
    </row>
    <row r="123" spans="3:21">
      <c r="F123" t="b">
        <f t="shared" si="11"/>
        <v>1</v>
      </c>
      <c r="M123">
        <v>5</v>
      </c>
      <c r="N123">
        <v>20</v>
      </c>
      <c r="O123">
        <v>5</v>
      </c>
      <c r="P123">
        <v>7</v>
      </c>
      <c r="Q123">
        <v>5</v>
      </c>
      <c r="R123">
        <v>20</v>
      </c>
      <c r="S123">
        <v>120</v>
      </c>
      <c r="T123">
        <v>25</v>
      </c>
      <c r="U123">
        <v>30</v>
      </c>
    </row>
    <row r="124" spans="3:21">
      <c r="F124" t="b">
        <f t="shared" si="11"/>
        <v>1</v>
      </c>
      <c r="M124">
        <v>6</v>
      </c>
      <c r="N124">
        <v>20</v>
      </c>
      <c r="O124">
        <v>10</v>
      </c>
      <c r="P124">
        <v>4</v>
      </c>
      <c r="Q124">
        <v>5</v>
      </c>
      <c r="R124">
        <v>30</v>
      </c>
      <c r="S124">
        <v>120</v>
      </c>
      <c r="T124">
        <v>25</v>
      </c>
      <c r="U124">
        <v>30</v>
      </c>
    </row>
    <row r="125" spans="3:21">
      <c r="F125" t="b">
        <f t="shared" si="11"/>
        <v>1</v>
      </c>
      <c r="M125">
        <v>6</v>
      </c>
      <c r="N125">
        <v>20</v>
      </c>
      <c r="O125">
        <v>5</v>
      </c>
      <c r="P125">
        <v>7</v>
      </c>
      <c r="Q125">
        <v>5</v>
      </c>
      <c r="R125">
        <v>30</v>
      </c>
      <c r="S125">
        <v>120</v>
      </c>
      <c r="T125">
        <v>25</v>
      </c>
      <c r="U125">
        <v>25</v>
      </c>
    </row>
    <row r="126" spans="3:21">
      <c r="F126" t="b">
        <f t="shared" si="11"/>
        <v>1</v>
      </c>
      <c r="M126">
        <v>6</v>
      </c>
      <c r="N126">
        <v>20</v>
      </c>
      <c r="O126">
        <v>5</v>
      </c>
      <c r="P126">
        <v>7</v>
      </c>
      <c r="Q126">
        <v>5</v>
      </c>
      <c r="R126">
        <v>20</v>
      </c>
      <c r="S126">
        <v>120</v>
      </c>
      <c r="T126">
        <v>25</v>
      </c>
      <c r="U126">
        <v>15</v>
      </c>
    </row>
    <row r="127" spans="3:21">
      <c r="F127" t="b">
        <f t="shared" si="11"/>
        <v>1</v>
      </c>
      <c r="M127">
        <v>6</v>
      </c>
      <c r="N127">
        <v>20</v>
      </c>
      <c r="O127">
        <v>5</v>
      </c>
      <c r="P127">
        <v>4</v>
      </c>
      <c r="Q127">
        <v>5</v>
      </c>
      <c r="R127">
        <v>30</v>
      </c>
      <c r="S127">
        <v>120</v>
      </c>
      <c r="T127">
        <v>25</v>
      </c>
      <c r="U127">
        <v>15</v>
      </c>
    </row>
    <row r="128" spans="3:21">
      <c r="M128">
        <v>6</v>
      </c>
      <c r="N128">
        <v>20</v>
      </c>
      <c r="O128">
        <v>10</v>
      </c>
      <c r="P128">
        <v>7</v>
      </c>
      <c r="Q128">
        <v>5</v>
      </c>
      <c r="R128">
        <v>30</v>
      </c>
      <c r="S128">
        <v>120</v>
      </c>
      <c r="T128">
        <v>25</v>
      </c>
      <c r="U128">
        <v>25</v>
      </c>
    </row>
    <row r="129" spans="13:21">
      <c r="M129">
        <v>6</v>
      </c>
      <c r="N129">
        <v>20</v>
      </c>
      <c r="O129">
        <v>10</v>
      </c>
      <c r="P129">
        <v>4</v>
      </c>
      <c r="Q129">
        <v>5</v>
      </c>
      <c r="R129">
        <v>20</v>
      </c>
      <c r="S129">
        <v>120</v>
      </c>
      <c r="T129">
        <v>25</v>
      </c>
      <c r="U129">
        <v>25</v>
      </c>
    </row>
    <row r="130" spans="13:21">
      <c r="M130">
        <v>6</v>
      </c>
      <c r="N130">
        <v>20</v>
      </c>
      <c r="O130">
        <v>5</v>
      </c>
      <c r="P130">
        <v>4</v>
      </c>
      <c r="Q130">
        <v>5</v>
      </c>
      <c r="R130">
        <v>30</v>
      </c>
      <c r="S130">
        <v>120</v>
      </c>
      <c r="T130">
        <v>25</v>
      </c>
      <c r="U130">
        <v>30</v>
      </c>
    </row>
    <row r="131" spans="13:21">
      <c r="M131">
        <v>6</v>
      </c>
      <c r="N131">
        <v>20</v>
      </c>
      <c r="O131">
        <v>5</v>
      </c>
      <c r="P131">
        <v>4</v>
      </c>
      <c r="Q131">
        <v>5</v>
      </c>
      <c r="R131">
        <v>20</v>
      </c>
      <c r="S131">
        <v>120</v>
      </c>
      <c r="T131">
        <v>25</v>
      </c>
      <c r="U131">
        <v>20</v>
      </c>
    </row>
    <row r="132" spans="13:21">
      <c r="M132">
        <v>6</v>
      </c>
      <c r="N132">
        <v>10</v>
      </c>
      <c r="O132">
        <v>10</v>
      </c>
      <c r="P132">
        <v>7</v>
      </c>
      <c r="Q132">
        <v>5</v>
      </c>
      <c r="R132">
        <v>30</v>
      </c>
      <c r="S132">
        <v>80</v>
      </c>
      <c r="T132">
        <v>85</v>
      </c>
      <c r="U132">
        <v>10</v>
      </c>
    </row>
    <row r="133" spans="13:21">
      <c r="M133">
        <v>6</v>
      </c>
      <c r="N133">
        <v>20</v>
      </c>
      <c r="O133">
        <v>5</v>
      </c>
      <c r="P133">
        <v>7</v>
      </c>
      <c r="Q133">
        <v>5</v>
      </c>
      <c r="R133">
        <v>20</v>
      </c>
      <c r="S133">
        <v>120</v>
      </c>
      <c r="T133">
        <v>25</v>
      </c>
      <c r="U133">
        <v>25</v>
      </c>
    </row>
    <row r="134" spans="13:21">
      <c r="M134">
        <v>6</v>
      </c>
      <c r="N134">
        <v>20</v>
      </c>
      <c r="O134">
        <v>5</v>
      </c>
      <c r="P134">
        <v>4</v>
      </c>
      <c r="Q134">
        <v>5</v>
      </c>
      <c r="R134">
        <v>30</v>
      </c>
      <c r="S134">
        <v>120</v>
      </c>
      <c r="T134">
        <v>25</v>
      </c>
      <c r="U134">
        <v>20</v>
      </c>
    </row>
    <row r="135" spans="13:21">
      <c r="M135">
        <v>6</v>
      </c>
      <c r="N135">
        <v>10</v>
      </c>
      <c r="O135">
        <v>10</v>
      </c>
      <c r="P135">
        <v>7</v>
      </c>
      <c r="Q135">
        <v>5</v>
      </c>
      <c r="R135">
        <v>30</v>
      </c>
      <c r="S135">
        <v>80</v>
      </c>
      <c r="T135">
        <v>85</v>
      </c>
      <c r="U135">
        <v>20</v>
      </c>
    </row>
    <row r="136" spans="13:21">
      <c r="M136">
        <v>6</v>
      </c>
      <c r="N136">
        <v>20</v>
      </c>
      <c r="O136">
        <v>5</v>
      </c>
      <c r="P136">
        <v>7</v>
      </c>
      <c r="Q136">
        <v>5</v>
      </c>
      <c r="R136">
        <v>20</v>
      </c>
      <c r="S136">
        <v>120</v>
      </c>
      <c r="T136">
        <v>25</v>
      </c>
      <c r="U136">
        <v>10</v>
      </c>
    </row>
    <row r="137" spans="13:21">
      <c r="M137">
        <v>6</v>
      </c>
      <c r="N137">
        <v>20</v>
      </c>
      <c r="O137">
        <v>5</v>
      </c>
      <c r="P137">
        <v>4</v>
      </c>
      <c r="Q137">
        <v>5</v>
      </c>
      <c r="R137">
        <v>20</v>
      </c>
      <c r="S137">
        <v>120</v>
      </c>
      <c r="T137">
        <v>25</v>
      </c>
      <c r="U137">
        <v>10</v>
      </c>
    </row>
    <row r="138" spans="13:21">
      <c r="M138">
        <v>6</v>
      </c>
      <c r="N138">
        <v>10</v>
      </c>
      <c r="O138">
        <v>10</v>
      </c>
      <c r="P138">
        <v>7</v>
      </c>
      <c r="Q138">
        <v>5</v>
      </c>
      <c r="R138">
        <v>20</v>
      </c>
      <c r="S138">
        <v>80</v>
      </c>
      <c r="T138">
        <v>85</v>
      </c>
      <c r="U138">
        <v>10</v>
      </c>
    </row>
    <row r="139" spans="13:21">
      <c r="M139">
        <v>6</v>
      </c>
      <c r="N139">
        <v>10</v>
      </c>
      <c r="O139">
        <v>10</v>
      </c>
      <c r="P139">
        <v>4</v>
      </c>
      <c r="Q139">
        <v>5</v>
      </c>
      <c r="R139">
        <v>20</v>
      </c>
      <c r="S139">
        <v>80</v>
      </c>
      <c r="T139">
        <v>85</v>
      </c>
      <c r="U139">
        <v>10</v>
      </c>
    </row>
    <row r="140" spans="13:21">
      <c r="M140">
        <v>6</v>
      </c>
      <c r="N140">
        <v>10</v>
      </c>
      <c r="O140">
        <v>5</v>
      </c>
      <c r="P140">
        <v>7</v>
      </c>
      <c r="Q140">
        <v>5</v>
      </c>
      <c r="R140">
        <v>20</v>
      </c>
      <c r="S140">
        <v>80</v>
      </c>
      <c r="T140">
        <v>85</v>
      </c>
      <c r="U140">
        <v>10</v>
      </c>
    </row>
    <row r="141" spans="13:21">
      <c r="M141">
        <v>6</v>
      </c>
      <c r="N141">
        <v>10</v>
      </c>
      <c r="O141">
        <v>5</v>
      </c>
      <c r="P141">
        <v>4</v>
      </c>
      <c r="Q141">
        <v>5</v>
      </c>
      <c r="R141">
        <v>20</v>
      </c>
      <c r="S141">
        <v>80</v>
      </c>
      <c r="T141">
        <v>85</v>
      </c>
      <c r="U141">
        <v>10</v>
      </c>
    </row>
    <row r="142" spans="13:21">
      <c r="M142">
        <v>6</v>
      </c>
      <c r="N142">
        <v>20</v>
      </c>
      <c r="O142">
        <v>5</v>
      </c>
      <c r="P142">
        <v>7</v>
      </c>
      <c r="Q142">
        <v>5</v>
      </c>
      <c r="R142">
        <v>30</v>
      </c>
      <c r="S142">
        <v>120</v>
      </c>
      <c r="T142">
        <v>25</v>
      </c>
      <c r="U142">
        <v>15</v>
      </c>
    </row>
    <row r="143" spans="13:21">
      <c r="M143">
        <v>6</v>
      </c>
      <c r="N143">
        <v>20</v>
      </c>
      <c r="O143">
        <v>5</v>
      </c>
      <c r="P143">
        <v>7</v>
      </c>
      <c r="Q143">
        <v>5</v>
      </c>
      <c r="R143">
        <v>20</v>
      </c>
      <c r="S143">
        <v>120</v>
      </c>
      <c r="T143">
        <v>25</v>
      </c>
      <c r="U143">
        <v>20</v>
      </c>
    </row>
    <row r="144" spans="13:21">
      <c r="M144">
        <v>6</v>
      </c>
      <c r="N144">
        <v>20</v>
      </c>
      <c r="O144">
        <v>10</v>
      </c>
      <c r="P144">
        <v>4</v>
      </c>
      <c r="Q144">
        <v>5</v>
      </c>
      <c r="R144">
        <v>20</v>
      </c>
      <c r="S144">
        <v>120</v>
      </c>
      <c r="T144">
        <v>25</v>
      </c>
      <c r="U144">
        <v>20</v>
      </c>
    </row>
    <row r="145" spans="13:21">
      <c r="M145">
        <v>6</v>
      </c>
      <c r="N145">
        <v>20</v>
      </c>
      <c r="O145">
        <v>5</v>
      </c>
      <c r="P145">
        <v>7</v>
      </c>
      <c r="Q145">
        <v>5</v>
      </c>
      <c r="R145">
        <v>30</v>
      </c>
      <c r="S145">
        <v>110</v>
      </c>
      <c r="T145">
        <v>25</v>
      </c>
      <c r="U145">
        <v>20</v>
      </c>
    </row>
    <row r="146" spans="13:21">
      <c r="M146">
        <v>6</v>
      </c>
      <c r="N146">
        <v>20</v>
      </c>
      <c r="O146">
        <v>5</v>
      </c>
      <c r="P146">
        <v>7</v>
      </c>
      <c r="Q146">
        <v>5</v>
      </c>
      <c r="R146">
        <v>20</v>
      </c>
      <c r="S146">
        <v>110</v>
      </c>
      <c r="T146">
        <v>25</v>
      </c>
      <c r="U146">
        <v>20</v>
      </c>
    </row>
    <row r="147" spans="13:21">
      <c r="M147">
        <v>6</v>
      </c>
      <c r="N147">
        <v>10</v>
      </c>
      <c r="O147">
        <v>10</v>
      </c>
      <c r="P147">
        <v>4</v>
      </c>
      <c r="Q147">
        <v>5</v>
      </c>
      <c r="R147">
        <v>30</v>
      </c>
      <c r="S147">
        <v>80</v>
      </c>
      <c r="T147">
        <v>85</v>
      </c>
      <c r="U147">
        <v>20</v>
      </c>
    </row>
    <row r="148" spans="13:21">
      <c r="M148">
        <v>6</v>
      </c>
      <c r="N148">
        <v>20</v>
      </c>
      <c r="O148">
        <v>10</v>
      </c>
      <c r="P148">
        <v>7</v>
      </c>
      <c r="Q148">
        <v>5</v>
      </c>
      <c r="R148">
        <v>30</v>
      </c>
      <c r="S148">
        <v>120</v>
      </c>
      <c r="T148">
        <v>25</v>
      </c>
      <c r="U148">
        <v>30</v>
      </c>
    </row>
    <row r="149" spans="13:21">
      <c r="M149">
        <v>6</v>
      </c>
      <c r="N149">
        <v>20</v>
      </c>
      <c r="O149">
        <v>10</v>
      </c>
      <c r="P149">
        <v>7</v>
      </c>
      <c r="Q149">
        <v>5</v>
      </c>
      <c r="R149">
        <v>20</v>
      </c>
      <c r="S149">
        <v>120</v>
      </c>
      <c r="T149">
        <v>25</v>
      </c>
      <c r="U149">
        <v>25</v>
      </c>
    </row>
    <row r="150" spans="13:21">
      <c r="M150">
        <v>6</v>
      </c>
      <c r="N150">
        <v>20</v>
      </c>
      <c r="O150">
        <v>5</v>
      </c>
      <c r="P150">
        <v>7</v>
      </c>
      <c r="Q150">
        <v>5</v>
      </c>
      <c r="R150">
        <v>30</v>
      </c>
      <c r="S150">
        <v>120</v>
      </c>
      <c r="T150">
        <v>25</v>
      </c>
      <c r="U150">
        <v>10</v>
      </c>
    </row>
    <row r="151" spans="13:21">
      <c r="M151">
        <v>6</v>
      </c>
      <c r="N151">
        <v>10</v>
      </c>
      <c r="O151">
        <v>5</v>
      </c>
      <c r="P151">
        <v>7</v>
      </c>
      <c r="Q151">
        <v>5</v>
      </c>
      <c r="R151">
        <v>30</v>
      </c>
      <c r="S151">
        <v>80</v>
      </c>
      <c r="T151">
        <v>85</v>
      </c>
      <c r="U151">
        <v>10</v>
      </c>
    </row>
    <row r="152" spans="13:21">
      <c r="M152">
        <v>6</v>
      </c>
      <c r="N152">
        <v>10</v>
      </c>
      <c r="O152">
        <v>5</v>
      </c>
      <c r="P152">
        <v>4</v>
      </c>
      <c r="Q152">
        <v>5</v>
      </c>
      <c r="R152">
        <v>30</v>
      </c>
      <c r="S152">
        <v>80</v>
      </c>
      <c r="T152">
        <v>85</v>
      </c>
      <c r="U152">
        <v>10</v>
      </c>
    </row>
    <row r="153" spans="13:21">
      <c r="M153">
        <v>6</v>
      </c>
      <c r="N153">
        <v>20</v>
      </c>
      <c r="O153">
        <v>5</v>
      </c>
      <c r="P153">
        <v>7</v>
      </c>
      <c r="Q153">
        <v>5</v>
      </c>
      <c r="R153">
        <v>20</v>
      </c>
      <c r="S153">
        <v>120</v>
      </c>
      <c r="T153">
        <v>25</v>
      </c>
      <c r="U153">
        <v>30</v>
      </c>
    </row>
    <row r="154" spans="13:21">
      <c r="M154">
        <v>7</v>
      </c>
      <c r="N154">
        <v>20</v>
      </c>
      <c r="O154">
        <v>5</v>
      </c>
      <c r="P154">
        <v>4</v>
      </c>
      <c r="Q154">
        <v>5</v>
      </c>
      <c r="R154">
        <v>30</v>
      </c>
      <c r="S154">
        <v>120</v>
      </c>
      <c r="T154">
        <v>25</v>
      </c>
      <c r="U154">
        <v>30</v>
      </c>
    </row>
    <row r="155" spans="13:21">
      <c r="M155">
        <v>7</v>
      </c>
      <c r="N155">
        <v>20</v>
      </c>
      <c r="O155">
        <v>5</v>
      </c>
      <c r="P155">
        <v>7</v>
      </c>
      <c r="Q155">
        <v>5</v>
      </c>
      <c r="R155">
        <v>20</v>
      </c>
      <c r="S155">
        <v>120</v>
      </c>
      <c r="T155">
        <v>25</v>
      </c>
      <c r="U155">
        <v>30</v>
      </c>
    </row>
    <row r="156" spans="13:21">
      <c r="M156">
        <v>7</v>
      </c>
      <c r="N156">
        <v>20</v>
      </c>
      <c r="O156">
        <v>5</v>
      </c>
      <c r="P156">
        <v>7</v>
      </c>
      <c r="Q156">
        <v>5</v>
      </c>
      <c r="R156">
        <v>30</v>
      </c>
      <c r="S156">
        <v>120</v>
      </c>
      <c r="T156">
        <v>25</v>
      </c>
      <c r="U156">
        <v>30</v>
      </c>
    </row>
    <row r="157" spans="13:21">
      <c r="M157">
        <v>7</v>
      </c>
      <c r="N157">
        <v>20</v>
      </c>
      <c r="O157">
        <v>5</v>
      </c>
      <c r="P157">
        <v>4</v>
      </c>
      <c r="Q157">
        <v>5</v>
      </c>
      <c r="R157">
        <v>20</v>
      </c>
      <c r="S157">
        <v>120</v>
      </c>
      <c r="T157">
        <v>25</v>
      </c>
      <c r="U157">
        <v>30</v>
      </c>
    </row>
    <row r="158" spans="13:21">
      <c r="M158">
        <v>7</v>
      </c>
      <c r="N158">
        <v>20</v>
      </c>
      <c r="O158">
        <v>5</v>
      </c>
      <c r="P158">
        <v>4</v>
      </c>
      <c r="Q158">
        <v>5</v>
      </c>
      <c r="R158">
        <v>30</v>
      </c>
      <c r="S158">
        <v>120</v>
      </c>
      <c r="T158">
        <v>25</v>
      </c>
      <c r="U158">
        <v>30</v>
      </c>
    </row>
    <row r="159" spans="13:21">
      <c r="M159">
        <v>7</v>
      </c>
      <c r="N159">
        <v>20</v>
      </c>
      <c r="O159">
        <v>5</v>
      </c>
      <c r="P159">
        <v>7</v>
      </c>
      <c r="Q159">
        <v>5</v>
      </c>
      <c r="R159">
        <v>20</v>
      </c>
      <c r="S159">
        <v>120</v>
      </c>
      <c r="T159">
        <v>25</v>
      </c>
      <c r="U159">
        <v>30</v>
      </c>
    </row>
    <row r="160" spans="13:21">
      <c r="M160">
        <v>7</v>
      </c>
      <c r="N160">
        <v>20</v>
      </c>
      <c r="O160">
        <v>5</v>
      </c>
      <c r="P160">
        <v>7</v>
      </c>
      <c r="Q160">
        <v>5</v>
      </c>
      <c r="R160">
        <v>30</v>
      </c>
      <c r="S160">
        <v>120</v>
      </c>
      <c r="T160">
        <v>25</v>
      </c>
      <c r="U160">
        <v>30</v>
      </c>
    </row>
    <row r="161" spans="13:21">
      <c r="M161">
        <v>7</v>
      </c>
      <c r="N161">
        <v>20</v>
      </c>
      <c r="O161">
        <v>5</v>
      </c>
      <c r="P161">
        <v>4</v>
      </c>
      <c r="Q161">
        <v>5</v>
      </c>
      <c r="R161">
        <v>20</v>
      </c>
      <c r="S161">
        <v>120</v>
      </c>
      <c r="T161">
        <v>25</v>
      </c>
      <c r="U161">
        <v>30</v>
      </c>
    </row>
    <row r="162" spans="13:21">
      <c r="M162">
        <v>8</v>
      </c>
      <c r="N162">
        <v>20</v>
      </c>
      <c r="O162">
        <v>5</v>
      </c>
      <c r="P162">
        <v>4</v>
      </c>
      <c r="Q162">
        <v>5</v>
      </c>
      <c r="R162">
        <v>30</v>
      </c>
      <c r="S162">
        <v>120</v>
      </c>
      <c r="T162">
        <v>25</v>
      </c>
      <c r="U162">
        <v>30</v>
      </c>
    </row>
    <row r="163" spans="13:21">
      <c r="M163">
        <v>8</v>
      </c>
      <c r="N163">
        <v>20</v>
      </c>
      <c r="O163">
        <v>5</v>
      </c>
      <c r="P163">
        <v>7</v>
      </c>
      <c r="Q163">
        <v>5</v>
      </c>
      <c r="R163">
        <v>20</v>
      </c>
      <c r="S163">
        <v>120</v>
      </c>
      <c r="T163">
        <v>25</v>
      </c>
      <c r="U163">
        <v>30</v>
      </c>
    </row>
    <row r="164" spans="13:21">
      <c r="M164">
        <v>8</v>
      </c>
      <c r="N164">
        <v>20</v>
      </c>
      <c r="O164">
        <v>5</v>
      </c>
      <c r="P164">
        <v>7</v>
      </c>
      <c r="Q164">
        <v>5</v>
      </c>
      <c r="R164">
        <v>30</v>
      </c>
      <c r="S164">
        <v>120</v>
      </c>
      <c r="T164">
        <v>25</v>
      </c>
      <c r="U164">
        <v>30</v>
      </c>
    </row>
    <row r="165" spans="13:21">
      <c r="M165">
        <v>8</v>
      </c>
      <c r="N165">
        <v>20</v>
      </c>
      <c r="O165">
        <v>5</v>
      </c>
      <c r="P165">
        <v>4</v>
      </c>
      <c r="Q165">
        <v>5</v>
      </c>
      <c r="R165">
        <v>20</v>
      </c>
      <c r="S165">
        <v>120</v>
      </c>
      <c r="T165">
        <v>25</v>
      </c>
      <c r="U165">
        <v>30</v>
      </c>
    </row>
    <row r="166" spans="13:21">
      <c r="M166">
        <v>8</v>
      </c>
      <c r="N166">
        <v>20</v>
      </c>
      <c r="O166">
        <v>5</v>
      </c>
      <c r="P166">
        <v>4</v>
      </c>
      <c r="Q166">
        <v>5</v>
      </c>
      <c r="R166">
        <v>30</v>
      </c>
      <c r="S166">
        <v>120</v>
      </c>
      <c r="T166">
        <v>25</v>
      </c>
      <c r="U166">
        <v>30</v>
      </c>
    </row>
    <row r="167" spans="13:21">
      <c r="M167">
        <v>8</v>
      </c>
      <c r="N167">
        <v>20</v>
      </c>
      <c r="O167">
        <v>5</v>
      </c>
      <c r="P167">
        <v>7</v>
      </c>
      <c r="Q167">
        <v>5</v>
      </c>
      <c r="R167">
        <v>20</v>
      </c>
      <c r="S167">
        <v>120</v>
      </c>
      <c r="T167">
        <v>25</v>
      </c>
      <c r="U167">
        <v>30</v>
      </c>
    </row>
    <row r="168" spans="13:21">
      <c r="M168">
        <v>8</v>
      </c>
      <c r="N168">
        <v>20</v>
      </c>
      <c r="O168">
        <v>5</v>
      </c>
      <c r="P168">
        <v>7</v>
      </c>
      <c r="Q168">
        <v>5</v>
      </c>
      <c r="R168">
        <v>30</v>
      </c>
      <c r="S168">
        <v>120</v>
      </c>
      <c r="T168">
        <v>25</v>
      </c>
      <c r="U168">
        <v>30</v>
      </c>
    </row>
    <row r="169" spans="13:21">
      <c r="M169">
        <v>8</v>
      </c>
      <c r="N169">
        <v>20</v>
      </c>
      <c r="O169">
        <v>5</v>
      </c>
      <c r="P169">
        <v>4</v>
      </c>
      <c r="Q169">
        <v>5</v>
      </c>
      <c r="R169">
        <v>20</v>
      </c>
      <c r="S169">
        <v>120</v>
      </c>
      <c r="T169">
        <v>25</v>
      </c>
      <c r="U169">
        <v>30</v>
      </c>
    </row>
    <row r="170" spans="13:21">
      <c r="M170">
        <v>9</v>
      </c>
      <c r="N170">
        <v>20</v>
      </c>
      <c r="O170">
        <v>5</v>
      </c>
      <c r="P170">
        <v>4</v>
      </c>
      <c r="Q170">
        <v>5</v>
      </c>
      <c r="R170">
        <v>30</v>
      </c>
      <c r="S170">
        <v>120</v>
      </c>
      <c r="T170">
        <v>25</v>
      </c>
      <c r="U170">
        <v>30</v>
      </c>
    </row>
    <row r="171" spans="13:21">
      <c r="M171">
        <v>9</v>
      </c>
      <c r="N171">
        <v>10</v>
      </c>
      <c r="O171">
        <v>5</v>
      </c>
      <c r="P171">
        <v>7</v>
      </c>
      <c r="Q171">
        <v>5</v>
      </c>
      <c r="R171">
        <v>20</v>
      </c>
      <c r="S171">
        <v>80</v>
      </c>
      <c r="T171">
        <v>85</v>
      </c>
      <c r="U171">
        <v>10</v>
      </c>
    </row>
    <row r="172" spans="13:21">
      <c r="M172">
        <v>9</v>
      </c>
      <c r="N172">
        <v>10</v>
      </c>
      <c r="O172">
        <v>5</v>
      </c>
      <c r="P172">
        <v>4</v>
      </c>
      <c r="Q172">
        <v>5</v>
      </c>
      <c r="R172">
        <v>20</v>
      </c>
      <c r="S172">
        <v>80</v>
      </c>
      <c r="T172">
        <v>85</v>
      </c>
      <c r="U172">
        <v>10</v>
      </c>
    </row>
    <row r="173" spans="13:21">
      <c r="M173">
        <v>9</v>
      </c>
      <c r="N173">
        <v>10</v>
      </c>
      <c r="O173">
        <v>5</v>
      </c>
      <c r="P173">
        <v>7</v>
      </c>
      <c r="Q173">
        <v>5</v>
      </c>
      <c r="R173">
        <v>30</v>
      </c>
      <c r="S173">
        <v>80</v>
      </c>
      <c r="T173">
        <v>85</v>
      </c>
      <c r="U173">
        <v>10</v>
      </c>
    </row>
    <row r="174" spans="13:21">
      <c r="M174">
        <v>9</v>
      </c>
      <c r="N174">
        <v>10</v>
      </c>
      <c r="O174">
        <v>5</v>
      </c>
      <c r="P174">
        <v>4</v>
      </c>
      <c r="Q174">
        <v>5</v>
      </c>
      <c r="R174">
        <v>30</v>
      </c>
      <c r="S174">
        <v>80</v>
      </c>
      <c r="T174">
        <v>85</v>
      </c>
      <c r="U174">
        <v>10</v>
      </c>
    </row>
    <row r="175" spans="13:21">
      <c r="M175">
        <v>9</v>
      </c>
      <c r="N175">
        <v>20</v>
      </c>
      <c r="O175">
        <v>5</v>
      </c>
      <c r="P175">
        <v>7</v>
      </c>
      <c r="Q175">
        <v>5</v>
      </c>
      <c r="R175">
        <v>20</v>
      </c>
      <c r="S175">
        <v>120</v>
      </c>
      <c r="T175">
        <v>25</v>
      </c>
      <c r="U175">
        <v>30</v>
      </c>
    </row>
    <row r="176" spans="13:21">
      <c r="M176">
        <v>9</v>
      </c>
      <c r="N176">
        <v>20</v>
      </c>
      <c r="O176">
        <v>5</v>
      </c>
      <c r="P176">
        <v>7</v>
      </c>
      <c r="Q176">
        <v>5</v>
      </c>
      <c r="R176">
        <v>30</v>
      </c>
      <c r="S176">
        <v>120</v>
      </c>
      <c r="T176">
        <v>25</v>
      </c>
      <c r="U176">
        <v>30</v>
      </c>
    </row>
    <row r="177" spans="13:21">
      <c r="M177">
        <v>9</v>
      </c>
      <c r="N177">
        <v>20</v>
      </c>
      <c r="O177">
        <v>5</v>
      </c>
      <c r="P177">
        <v>4</v>
      </c>
      <c r="Q177">
        <v>5</v>
      </c>
      <c r="R177">
        <v>20</v>
      </c>
      <c r="S177">
        <v>120</v>
      </c>
      <c r="T177">
        <v>25</v>
      </c>
      <c r="U177">
        <v>30</v>
      </c>
    </row>
    <row r="178" spans="13:21">
      <c r="M178">
        <v>9</v>
      </c>
      <c r="N178">
        <v>20</v>
      </c>
      <c r="O178">
        <v>5</v>
      </c>
      <c r="P178">
        <v>4</v>
      </c>
      <c r="Q178">
        <v>5</v>
      </c>
      <c r="R178">
        <v>30</v>
      </c>
      <c r="S178">
        <v>120</v>
      </c>
      <c r="T178">
        <v>25</v>
      </c>
      <c r="U178">
        <v>30</v>
      </c>
    </row>
    <row r="179" spans="13:21">
      <c r="M179">
        <v>9</v>
      </c>
      <c r="N179">
        <v>10</v>
      </c>
      <c r="O179">
        <v>5</v>
      </c>
      <c r="P179">
        <v>7</v>
      </c>
      <c r="Q179">
        <v>5</v>
      </c>
      <c r="R179">
        <v>20</v>
      </c>
      <c r="S179">
        <v>80</v>
      </c>
      <c r="T179">
        <v>85</v>
      </c>
      <c r="U179">
        <v>10</v>
      </c>
    </row>
    <row r="180" spans="13:21">
      <c r="M180">
        <v>9</v>
      </c>
      <c r="N180">
        <v>10</v>
      </c>
      <c r="O180">
        <v>5</v>
      </c>
      <c r="P180">
        <v>4</v>
      </c>
      <c r="Q180">
        <v>5</v>
      </c>
      <c r="R180">
        <v>20</v>
      </c>
      <c r="S180">
        <v>80</v>
      </c>
      <c r="T180">
        <v>85</v>
      </c>
      <c r="U180">
        <v>10</v>
      </c>
    </row>
    <row r="181" spans="13:21">
      <c r="M181">
        <v>9</v>
      </c>
      <c r="N181">
        <v>10</v>
      </c>
      <c r="O181">
        <v>5</v>
      </c>
      <c r="P181">
        <v>7</v>
      </c>
      <c r="Q181">
        <v>5</v>
      </c>
      <c r="R181">
        <v>30</v>
      </c>
      <c r="S181">
        <v>80</v>
      </c>
      <c r="T181">
        <v>85</v>
      </c>
      <c r="U181">
        <v>10</v>
      </c>
    </row>
    <row r="182" spans="13:21">
      <c r="M182">
        <v>9</v>
      </c>
      <c r="N182">
        <v>10</v>
      </c>
      <c r="O182">
        <v>5</v>
      </c>
      <c r="P182">
        <v>4</v>
      </c>
      <c r="Q182">
        <v>5</v>
      </c>
      <c r="R182">
        <v>30</v>
      </c>
      <c r="S182">
        <v>80</v>
      </c>
      <c r="T182">
        <v>85</v>
      </c>
      <c r="U182">
        <v>10</v>
      </c>
    </row>
    <row r="183" spans="13:21">
      <c r="M183">
        <v>9</v>
      </c>
      <c r="N183">
        <v>20</v>
      </c>
      <c r="O183">
        <v>5</v>
      </c>
      <c r="P183">
        <v>7</v>
      </c>
      <c r="Q183">
        <v>5</v>
      </c>
      <c r="R183">
        <v>20</v>
      </c>
      <c r="S183">
        <v>120</v>
      </c>
      <c r="T183">
        <v>25</v>
      </c>
      <c r="U183">
        <v>30</v>
      </c>
    </row>
    <row r="184" spans="13:21">
      <c r="M184">
        <v>9</v>
      </c>
      <c r="N184">
        <v>20</v>
      </c>
      <c r="O184">
        <v>5</v>
      </c>
      <c r="P184">
        <v>7</v>
      </c>
      <c r="Q184">
        <v>5</v>
      </c>
      <c r="R184">
        <v>30</v>
      </c>
      <c r="S184">
        <v>120</v>
      </c>
      <c r="T184">
        <v>25</v>
      </c>
      <c r="U184">
        <v>30</v>
      </c>
    </row>
    <row r="185" spans="13:21">
      <c r="M185">
        <v>9</v>
      </c>
      <c r="N185">
        <v>20</v>
      </c>
      <c r="O185">
        <v>5</v>
      </c>
      <c r="P185">
        <v>4</v>
      </c>
      <c r="Q185">
        <v>5</v>
      </c>
      <c r="R185">
        <v>20</v>
      </c>
      <c r="S185">
        <v>120</v>
      </c>
      <c r="T185">
        <v>25</v>
      </c>
      <c r="U185">
        <v>30</v>
      </c>
    </row>
    <row r="186" spans="13:21">
      <c r="M186">
        <v>10</v>
      </c>
      <c r="N186">
        <v>20</v>
      </c>
      <c r="O186">
        <v>5</v>
      </c>
      <c r="P186">
        <v>7</v>
      </c>
      <c r="Q186">
        <v>5</v>
      </c>
      <c r="R186">
        <v>30</v>
      </c>
      <c r="S186">
        <v>80</v>
      </c>
      <c r="T186">
        <v>85</v>
      </c>
      <c r="U186">
        <v>20</v>
      </c>
    </row>
    <row r="187" spans="13:21">
      <c r="M187">
        <v>10</v>
      </c>
      <c r="N187">
        <v>20</v>
      </c>
      <c r="O187">
        <v>5</v>
      </c>
      <c r="P187">
        <v>4</v>
      </c>
      <c r="Q187">
        <v>5</v>
      </c>
      <c r="R187">
        <v>30</v>
      </c>
      <c r="S187">
        <v>120</v>
      </c>
      <c r="T187">
        <v>25</v>
      </c>
      <c r="U187">
        <v>30</v>
      </c>
    </row>
    <row r="188" spans="13:21">
      <c r="M188">
        <v>10</v>
      </c>
      <c r="N188">
        <v>10</v>
      </c>
      <c r="O188">
        <v>5</v>
      </c>
      <c r="P188">
        <v>7</v>
      </c>
      <c r="Q188">
        <v>5</v>
      </c>
      <c r="R188">
        <v>30</v>
      </c>
      <c r="S188">
        <v>80</v>
      </c>
      <c r="T188">
        <v>85</v>
      </c>
      <c r="U188">
        <v>20</v>
      </c>
    </row>
    <row r="189" spans="13:21">
      <c r="M189">
        <v>10</v>
      </c>
      <c r="N189">
        <v>10</v>
      </c>
      <c r="O189">
        <v>5</v>
      </c>
      <c r="P189">
        <v>4</v>
      </c>
      <c r="Q189">
        <v>5</v>
      </c>
      <c r="R189">
        <v>30</v>
      </c>
      <c r="S189">
        <v>90</v>
      </c>
      <c r="T189">
        <v>85</v>
      </c>
      <c r="U189">
        <v>20</v>
      </c>
    </row>
    <row r="190" spans="13:21">
      <c r="M190">
        <v>10</v>
      </c>
      <c r="N190">
        <v>20</v>
      </c>
      <c r="O190">
        <v>5</v>
      </c>
      <c r="P190">
        <v>4</v>
      </c>
      <c r="Q190">
        <v>5</v>
      </c>
      <c r="R190">
        <v>20</v>
      </c>
      <c r="S190">
        <v>80</v>
      </c>
      <c r="T190">
        <v>85</v>
      </c>
      <c r="U190">
        <v>20</v>
      </c>
    </row>
    <row r="191" spans="13:21">
      <c r="M191">
        <v>10</v>
      </c>
      <c r="N191">
        <v>10</v>
      </c>
      <c r="O191">
        <v>5</v>
      </c>
      <c r="P191">
        <v>7</v>
      </c>
      <c r="Q191">
        <v>5</v>
      </c>
      <c r="R191">
        <v>20</v>
      </c>
      <c r="S191">
        <v>80</v>
      </c>
      <c r="T191">
        <v>85</v>
      </c>
      <c r="U191">
        <v>25</v>
      </c>
    </row>
    <row r="192" spans="13:21">
      <c r="M192">
        <v>10</v>
      </c>
      <c r="N192">
        <v>10</v>
      </c>
      <c r="O192">
        <v>5</v>
      </c>
      <c r="P192">
        <v>4</v>
      </c>
      <c r="Q192">
        <v>5</v>
      </c>
      <c r="R192">
        <v>30</v>
      </c>
      <c r="S192">
        <v>80</v>
      </c>
      <c r="T192">
        <v>85</v>
      </c>
      <c r="U192">
        <v>20</v>
      </c>
    </row>
    <row r="193" spans="13:21">
      <c r="M193">
        <v>10</v>
      </c>
      <c r="N193">
        <v>10</v>
      </c>
      <c r="O193">
        <v>5</v>
      </c>
      <c r="P193">
        <v>4</v>
      </c>
      <c r="Q193">
        <v>5</v>
      </c>
      <c r="R193">
        <v>20</v>
      </c>
      <c r="S193">
        <v>90</v>
      </c>
      <c r="T193">
        <v>85</v>
      </c>
      <c r="U193">
        <v>20</v>
      </c>
    </row>
    <row r="194" spans="13:21">
      <c r="M194">
        <v>10</v>
      </c>
      <c r="N194">
        <v>10</v>
      </c>
      <c r="O194">
        <v>5</v>
      </c>
      <c r="P194">
        <v>7</v>
      </c>
      <c r="Q194">
        <v>5</v>
      </c>
      <c r="R194">
        <v>20</v>
      </c>
      <c r="S194">
        <v>80</v>
      </c>
      <c r="T194">
        <v>85</v>
      </c>
      <c r="U194">
        <v>10</v>
      </c>
    </row>
    <row r="195" spans="13:21">
      <c r="M195">
        <v>10</v>
      </c>
      <c r="N195">
        <v>10</v>
      </c>
      <c r="O195">
        <v>5</v>
      </c>
      <c r="P195">
        <v>4</v>
      </c>
      <c r="Q195">
        <v>5</v>
      </c>
      <c r="R195">
        <v>20</v>
      </c>
      <c r="S195">
        <v>80</v>
      </c>
      <c r="T195">
        <v>85</v>
      </c>
      <c r="U195">
        <v>10</v>
      </c>
    </row>
    <row r="196" spans="13:21">
      <c r="M196">
        <v>10</v>
      </c>
      <c r="N196">
        <v>10</v>
      </c>
      <c r="O196">
        <v>5</v>
      </c>
      <c r="P196">
        <v>4</v>
      </c>
      <c r="Q196">
        <v>5</v>
      </c>
      <c r="R196">
        <v>20</v>
      </c>
      <c r="S196">
        <v>80</v>
      </c>
      <c r="T196">
        <v>85</v>
      </c>
      <c r="U196">
        <v>25</v>
      </c>
    </row>
    <row r="197" spans="13:21">
      <c r="M197">
        <v>10</v>
      </c>
      <c r="N197">
        <v>20</v>
      </c>
      <c r="O197">
        <v>5</v>
      </c>
      <c r="P197">
        <v>7</v>
      </c>
      <c r="Q197">
        <v>5</v>
      </c>
      <c r="R197">
        <v>20</v>
      </c>
      <c r="S197">
        <v>90</v>
      </c>
      <c r="T197">
        <v>85</v>
      </c>
      <c r="U197">
        <v>15</v>
      </c>
    </row>
    <row r="198" spans="13:21">
      <c r="M198">
        <v>10</v>
      </c>
      <c r="N198">
        <v>10</v>
      </c>
      <c r="O198">
        <v>5</v>
      </c>
      <c r="P198">
        <v>7</v>
      </c>
      <c r="Q198">
        <v>5</v>
      </c>
      <c r="R198">
        <v>20</v>
      </c>
      <c r="S198">
        <v>80</v>
      </c>
      <c r="T198">
        <v>85</v>
      </c>
      <c r="U198">
        <v>30</v>
      </c>
    </row>
    <row r="199" spans="13:21">
      <c r="M199">
        <v>10</v>
      </c>
      <c r="N199">
        <v>10</v>
      </c>
      <c r="O199">
        <v>5</v>
      </c>
      <c r="P199">
        <v>7</v>
      </c>
      <c r="Q199">
        <v>5</v>
      </c>
      <c r="R199">
        <v>30</v>
      </c>
      <c r="S199">
        <v>80</v>
      </c>
      <c r="T199">
        <v>85</v>
      </c>
      <c r="U199">
        <v>30</v>
      </c>
    </row>
    <row r="200" spans="13:21">
      <c r="M200">
        <v>10</v>
      </c>
      <c r="N200">
        <v>10</v>
      </c>
      <c r="O200">
        <v>5</v>
      </c>
      <c r="P200">
        <v>7</v>
      </c>
      <c r="Q200">
        <v>5</v>
      </c>
      <c r="R200">
        <v>30</v>
      </c>
      <c r="S200">
        <v>80</v>
      </c>
      <c r="T200">
        <v>85</v>
      </c>
      <c r="U200">
        <v>10</v>
      </c>
    </row>
    <row r="201" spans="13:21">
      <c r="M201">
        <v>10</v>
      </c>
      <c r="N201">
        <v>10</v>
      </c>
      <c r="O201">
        <v>5</v>
      </c>
      <c r="P201">
        <v>4</v>
      </c>
      <c r="Q201">
        <v>5</v>
      </c>
      <c r="R201">
        <v>30</v>
      </c>
      <c r="S201">
        <v>80</v>
      </c>
      <c r="T201">
        <v>85</v>
      </c>
      <c r="U201">
        <v>10</v>
      </c>
    </row>
    <row r="202" spans="13:21">
      <c r="M202">
        <v>10</v>
      </c>
      <c r="N202">
        <v>20</v>
      </c>
      <c r="O202">
        <v>5</v>
      </c>
      <c r="P202">
        <v>7</v>
      </c>
      <c r="Q202">
        <v>5</v>
      </c>
      <c r="R202">
        <v>20</v>
      </c>
      <c r="S202">
        <v>120</v>
      </c>
      <c r="T202">
        <v>25</v>
      </c>
      <c r="U202">
        <v>30</v>
      </c>
    </row>
    <row r="203" spans="13:21">
      <c r="M203">
        <v>10</v>
      </c>
      <c r="N203">
        <v>20</v>
      </c>
      <c r="O203">
        <v>5</v>
      </c>
      <c r="P203">
        <v>4</v>
      </c>
      <c r="Q203">
        <v>5</v>
      </c>
      <c r="R203">
        <v>30</v>
      </c>
      <c r="S203">
        <v>80</v>
      </c>
      <c r="T203">
        <v>85</v>
      </c>
      <c r="U203">
        <v>20</v>
      </c>
    </row>
    <row r="204" spans="13:21">
      <c r="M204">
        <v>10</v>
      </c>
      <c r="N204">
        <v>10</v>
      </c>
      <c r="O204">
        <v>5</v>
      </c>
      <c r="P204">
        <v>7</v>
      </c>
      <c r="Q204">
        <v>5</v>
      </c>
      <c r="R204">
        <v>30</v>
      </c>
      <c r="S204">
        <v>80</v>
      </c>
      <c r="T204">
        <v>85</v>
      </c>
      <c r="U204">
        <v>25</v>
      </c>
    </row>
    <row r="205" spans="13:21">
      <c r="M205">
        <v>10</v>
      </c>
      <c r="N205">
        <v>10</v>
      </c>
      <c r="O205">
        <v>5</v>
      </c>
      <c r="P205">
        <v>7</v>
      </c>
      <c r="Q205">
        <v>5</v>
      </c>
      <c r="R205">
        <v>20</v>
      </c>
      <c r="S205">
        <v>90</v>
      </c>
      <c r="T205">
        <v>85</v>
      </c>
      <c r="U205">
        <v>20</v>
      </c>
    </row>
    <row r="206" spans="13:21">
      <c r="M206">
        <v>10</v>
      </c>
      <c r="N206">
        <v>10</v>
      </c>
      <c r="O206">
        <v>5</v>
      </c>
      <c r="P206">
        <v>4</v>
      </c>
      <c r="Q206">
        <v>5</v>
      </c>
      <c r="R206">
        <v>20</v>
      </c>
      <c r="S206">
        <v>80</v>
      </c>
      <c r="T206">
        <v>85</v>
      </c>
      <c r="U206">
        <v>20</v>
      </c>
    </row>
    <row r="207" spans="13:21">
      <c r="M207">
        <v>10</v>
      </c>
      <c r="N207">
        <v>20</v>
      </c>
      <c r="O207">
        <v>5</v>
      </c>
      <c r="P207">
        <v>7</v>
      </c>
      <c r="Q207">
        <v>5</v>
      </c>
      <c r="R207">
        <v>30</v>
      </c>
      <c r="S207">
        <v>120</v>
      </c>
      <c r="T207">
        <v>25</v>
      </c>
      <c r="U207">
        <v>30</v>
      </c>
    </row>
    <row r="208" spans="13:21">
      <c r="M208">
        <v>10</v>
      </c>
      <c r="N208">
        <v>10</v>
      </c>
      <c r="O208">
        <v>5</v>
      </c>
      <c r="P208">
        <v>7</v>
      </c>
      <c r="Q208">
        <v>5</v>
      </c>
      <c r="R208">
        <v>30</v>
      </c>
      <c r="S208">
        <v>90</v>
      </c>
      <c r="T208">
        <v>85</v>
      </c>
      <c r="U208">
        <v>20</v>
      </c>
    </row>
    <row r="209" spans="13:21">
      <c r="M209">
        <v>10</v>
      </c>
      <c r="N209">
        <v>20</v>
      </c>
      <c r="O209">
        <v>5</v>
      </c>
      <c r="P209">
        <v>7</v>
      </c>
      <c r="Q209">
        <v>5</v>
      </c>
      <c r="R209">
        <v>30</v>
      </c>
      <c r="S209">
        <v>90</v>
      </c>
      <c r="T209">
        <v>85</v>
      </c>
      <c r="U209">
        <v>15</v>
      </c>
    </row>
    <row r="210" spans="13:21">
      <c r="M210">
        <v>10</v>
      </c>
      <c r="N210">
        <v>20</v>
      </c>
      <c r="O210">
        <v>5</v>
      </c>
      <c r="P210">
        <v>7</v>
      </c>
      <c r="Q210">
        <v>5</v>
      </c>
      <c r="R210">
        <v>20</v>
      </c>
      <c r="S210">
        <v>80</v>
      </c>
      <c r="T210">
        <v>85</v>
      </c>
      <c r="U210">
        <v>20</v>
      </c>
    </row>
    <row r="211" spans="13:21">
      <c r="M211">
        <v>10</v>
      </c>
      <c r="N211">
        <v>10</v>
      </c>
      <c r="O211">
        <v>5</v>
      </c>
      <c r="P211">
        <v>7</v>
      </c>
      <c r="Q211">
        <v>5</v>
      </c>
      <c r="R211">
        <v>20</v>
      </c>
      <c r="S211">
        <v>80</v>
      </c>
      <c r="T211">
        <v>85</v>
      </c>
      <c r="U211">
        <v>20</v>
      </c>
    </row>
    <row r="212" spans="13:21">
      <c r="M212">
        <v>10</v>
      </c>
      <c r="N212">
        <v>10</v>
      </c>
      <c r="O212">
        <v>5</v>
      </c>
      <c r="P212">
        <v>4</v>
      </c>
      <c r="Q212">
        <v>5</v>
      </c>
      <c r="R212">
        <v>30</v>
      </c>
      <c r="S212">
        <v>80</v>
      </c>
      <c r="T212">
        <v>85</v>
      </c>
      <c r="U212">
        <v>25</v>
      </c>
    </row>
    <row r="213" spans="13:21">
      <c r="M213">
        <v>10</v>
      </c>
      <c r="N213">
        <v>20</v>
      </c>
      <c r="O213">
        <v>5</v>
      </c>
      <c r="P213">
        <v>4</v>
      </c>
      <c r="Q213">
        <v>5</v>
      </c>
      <c r="R213">
        <v>20</v>
      </c>
      <c r="S213">
        <v>120</v>
      </c>
      <c r="T213">
        <v>25</v>
      </c>
      <c r="U213">
        <v>30</v>
      </c>
    </row>
    <row r="214" spans="13:21">
      <c r="M214">
        <v>10</v>
      </c>
      <c r="N214">
        <v>10</v>
      </c>
      <c r="O214">
        <v>5</v>
      </c>
      <c r="P214">
        <v>4</v>
      </c>
      <c r="Q214">
        <v>5</v>
      </c>
      <c r="R214">
        <v>30</v>
      </c>
      <c r="S214">
        <v>80</v>
      </c>
      <c r="T214">
        <v>85</v>
      </c>
      <c r="U214">
        <v>30</v>
      </c>
    </row>
    <row r="215" spans="13:21">
      <c r="M215">
        <v>10</v>
      </c>
      <c r="N215">
        <v>10</v>
      </c>
      <c r="O215">
        <v>5</v>
      </c>
      <c r="P215">
        <v>4</v>
      </c>
      <c r="Q215">
        <v>5</v>
      </c>
      <c r="R215">
        <v>20</v>
      </c>
      <c r="S215">
        <v>80</v>
      </c>
      <c r="T215">
        <v>85</v>
      </c>
      <c r="U215">
        <v>30</v>
      </c>
    </row>
    <row r="216" spans="13:21">
      <c r="M216">
        <v>11</v>
      </c>
      <c r="N216">
        <v>10</v>
      </c>
      <c r="O216">
        <v>5</v>
      </c>
      <c r="P216">
        <v>4</v>
      </c>
      <c r="Q216">
        <v>5</v>
      </c>
      <c r="R216">
        <v>30</v>
      </c>
      <c r="S216">
        <v>90</v>
      </c>
      <c r="T216">
        <v>85</v>
      </c>
      <c r="U216">
        <v>20</v>
      </c>
    </row>
    <row r="217" spans="13:21">
      <c r="M217">
        <v>11</v>
      </c>
      <c r="N217">
        <v>10</v>
      </c>
      <c r="O217">
        <v>5</v>
      </c>
      <c r="P217">
        <v>7</v>
      </c>
      <c r="Q217">
        <v>5</v>
      </c>
      <c r="R217">
        <v>20</v>
      </c>
      <c r="S217">
        <v>80</v>
      </c>
      <c r="T217">
        <v>85</v>
      </c>
      <c r="U217">
        <v>25</v>
      </c>
    </row>
    <row r="218" spans="13:21">
      <c r="M218">
        <v>11</v>
      </c>
      <c r="N218">
        <v>10</v>
      </c>
      <c r="O218">
        <v>5</v>
      </c>
      <c r="P218">
        <v>4</v>
      </c>
      <c r="Q218">
        <v>5</v>
      </c>
      <c r="R218">
        <v>20</v>
      </c>
      <c r="S218">
        <v>90</v>
      </c>
      <c r="T218">
        <v>85</v>
      </c>
      <c r="U218">
        <v>20</v>
      </c>
    </row>
    <row r="219" spans="13:21">
      <c r="M219">
        <v>11</v>
      </c>
      <c r="N219">
        <v>10</v>
      </c>
      <c r="O219">
        <v>5</v>
      </c>
      <c r="P219">
        <v>4</v>
      </c>
      <c r="Q219">
        <v>5</v>
      </c>
      <c r="R219">
        <v>20</v>
      </c>
      <c r="S219">
        <v>80</v>
      </c>
      <c r="T219">
        <v>85</v>
      </c>
      <c r="U219">
        <v>25</v>
      </c>
    </row>
    <row r="220" spans="13:21">
      <c r="M220">
        <v>11</v>
      </c>
      <c r="N220">
        <v>10</v>
      </c>
      <c r="O220">
        <v>5</v>
      </c>
      <c r="P220">
        <v>7</v>
      </c>
      <c r="Q220">
        <v>5</v>
      </c>
      <c r="R220">
        <v>20</v>
      </c>
      <c r="S220">
        <v>80</v>
      </c>
      <c r="T220">
        <v>85</v>
      </c>
      <c r="U220">
        <v>30</v>
      </c>
    </row>
    <row r="221" spans="13:21">
      <c r="M221">
        <v>11</v>
      </c>
      <c r="N221">
        <v>10</v>
      </c>
      <c r="O221">
        <v>5</v>
      </c>
      <c r="P221">
        <v>7</v>
      </c>
      <c r="Q221">
        <v>5</v>
      </c>
      <c r="R221">
        <v>30</v>
      </c>
      <c r="S221">
        <v>80</v>
      </c>
      <c r="T221">
        <v>85</v>
      </c>
      <c r="U221">
        <v>30</v>
      </c>
    </row>
    <row r="222" spans="13:21">
      <c r="M222">
        <v>11</v>
      </c>
      <c r="N222">
        <v>10</v>
      </c>
      <c r="O222">
        <v>5</v>
      </c>
      <c r="P222">
        <v>7</v>
      </c>
      <c r="Q222">
        <v>5</v>
      </c>
      <c r="R222">
        <v>30</v>
      </c>
      <c r="S222">
        <v>80</v>
      </c>
      <c r="T222">
        <v>85</v>
      </c>
      <c r="U222">
        <v>25</v>
      </c>
    </row>
    <row r="223" spans="13:21">
      <c r="M223">
        <v>11</v>
      </c>
      <c r="N223">
        <v>10</v>
      </c>
      <c r="O223">
        <v>5</v>
      </c>
      <c r="P223">
        <v>7</v>
      </c>
      <c r="Q223">
        <v>5</v>
      </c>
      <c r="R223">
        <v>20</v>
      </c>
      <c r="S223">
        <v>90</v>
      </c>
      <c r="T223">
        <v>85</v>
      </c>
      <c r="U223">
        <v>20</v>
      </c>
    </row>
    <row r="224" spans="13:21">
      <c r="M224">
        <v>11</v>
      </c>
      <c r="N224">
        <v>10</v>
      </c>
      <c r="O224">
        <v>5</v>
      </c>
      <c r="P224">
        <v>7</v>
      </c>
      <c r="Q224">
        <v>5</v>
      </c>
      <c r="R224">
        <v>30</v>
      </c>
      <c r="S224">
        <v>90</v>
      </c>
      <c r="T224">
        <v>85</v>
      </c>
      <c r="U224">
        <v>20</v>
      </c>
    </row>
    <row r="225" spans="13:21">
      <c r="M225">
        <v>11</v>
      </c>
      <c r="N225">
        <v>10</v>
      </c>
      <c r="O225">
        <v>5</v>
      </c>
      <c r="P225">
        <v>4</v>
      </c>
      <c r="Q225">
        <v>5</v>
      </c>
      <c r="R225">
        <v>30</v>
      </c>
      <c r="S225">
        <v>80</v>
      </c>
      <c r="T225">
        <v>85</v>
      </c>
      <c r="U225">
        <v>25</v>
      </c>
    </row>
    <row r="226" spans="13:21">
      <c r="M226">
        <v>11</v>
      </c>
      <c r="N226">
        <v>10</v>
      </c>
      <c r="O226">
        <v>5</v>
      </c>
      <c r="P226">
        <v>4</v>
      </c>
      <c r="Q226">
        <v>5</v>
      </c>
      <c r="R226">
        <v>30</v>
      </c>
      <c r="S226">
        <v>80</v>
      </c>
      <c r="T226">
        <v>85</v>
      </c>
      <c r="U226">
        <v>30</v>
      </c>
    </row>
    <row r="227" spans="13:21">
      <c r="M227">
        <v>11</v>
      </c>
      <c r="N227">
        <v>10</v>
      </c>
      <c r="O227">
        <v>5</v>
      </c>
      <c r="P227">
        <v>4</v>
      </c>
      <c r="Q227">
        <v>5</v>
      </c>
      <c r="R227">
        <v>20</v>
      </c>
      <c r="S227">
        <v>80</v>
      </c>
      <c r="T227">
        <v>85</v>
      </c>
      <c r="U227">
        <v>30</v>
      </c>
    </row>
    <row r="228" spans="13:21">
      <c r="M228">
        <v>11</v>
      </c>
      <c r="N228">
        <v>10</v>
      </c>
      <c r="O228">
        <v>5</v>
      </c>
      <c r="P228">
        <v>4</v>
      </c>
      <c r="Q228">
        <v>5</v>
      </c>
      <c r="R228">
        <v>30</v>
      </c>
      <c r="S228">
        <v>90</v>
      </c>
      <c r="T228">
        <v>85</v>
      </c>
      <c r="U228">
        <v>20</v>
      </c>
    </row>
    <row r="229" spans="13:21">
      <c r="M229">
        <v>11</v>
      </c>
      <c r="N229">
        <v>10</v>
      </c>
      <c r="O229">
        <v>5</v>
      </c>
      <c r="P229">
        <v>7</v>
      </c>
      <c r="Q229">
        <v>5</v>
      </c>
      <c r="R229">
        <v>20</v>
      </c>
      <c r="S229">
        <v>80</v>
      </c>
      <c r="T229">
        <v>85</v>
      </c>
      <c r="U229">
        <v>25</v>
      </c>
    </row>
    <row r="230" spans="13:21">
      <c r="M230">
        <v>11</v>
      </c>
      <c r="N230">
        <v>10</v>
      </c>
      <c r="O230">
        <v>5</v>
      </c>
      <c r="P230">
        <v>4</v>
      </c>
      <c r="Q230">
        <v>5</v>
      </c>
      <c r="R230">
        <v>20</v>
      </c>
      <c r="S230">
        <v>90</v>
      </c>
      <c r="T230">
        <v>85</v>
      </c>
      <c r="U230">
        <v>20</v>
      </c>
    </row>
    <row r="231" spans="13:21">
      <c r="M231">
        <v>11</v>
      </c>
      <c r="N231">
        <v>10</v>
      </c>
      <c r="O231">
        <v>5</v>
      </c>
      <c r="P231">
        <v>4</v>
      </c>
      <c r="Q231">
        <v>5</v>
      </c>
      <c r="R231">
        <v>20</v>
      </c>
      <c r="S231">
        <v>80</v>
      </c>
      <c r="T231">
        <v>85</v>
      </c>
      <c r="U231">
        <v>25</v>
      </c>
    </row>
    <row r="232" spans="13:21">
      <c r="M232">
        <v>11</v>
      </c>
      <c r="N232">
        <v>10</v>
      </c>
      <c r="O232">
        <v>5</v>
      </c>
      <c r="P232">
        <v>7</v>
      </c>
      <c r="Q232">
        <v>5</v>
      </c>
      <c r="R232">
        <v>20</v>
      </c>
      <c r="S232">
        <v>80</v>
      </c>
      <c r="T232">
        <v>85</v>
      </c>
      <c r="U232">
        <v>30</v>
      </c>
    </row>
    <row r="233" spans="13:21">
      <c r="M233">
        <v>11</v>
      </c>
      <c r="N233">
        <v>10</v>
      </c>
      <c r="O233">
        <v>5</v>
      </c>
      <c r="P233">
        <v>7</v>
      </c>
      <c r="Q233">
        <v>5</v>
      </c>
      <c r="R233">
        <v>30</v>
      </c>
      <c r="S233">
        <v>80</v>
      </c>
      <c r="T233">
        <v>85</v>
      </c>
      <c r="U233">
        <v>30</v>
      </c>
    </row>
    <row r="234" spans="13:21">
      <c r="M234">
        <v>11</v>
      </c>
      <c r="N234">
        <v>10</v>
      </c>
      <c r="O234">
        <v>5</v>
      </c>
      <c r="P234">
        <v>7</v>
      </c>
      <c r="Q234">
        <v>5</v>
      </c>
      <c r="R234">
        <v>30</v>
      </c>
      <c r="S234">
        <v>80</v>
      </c>
      <c r="T234">
        <v>85</v>
      </c>
      <c r="U234">
        <v>25</v>
      </c>
    </row>
    <row r="235" spans="13:21">
      <c r="M235">
        <v>11</v>
      </c>
      <c r="N235">
        <v>10</v>
      </c>
      <c r="O235">
        <v>5</v>
      </c>
      <c r="P235">
        <v>7</v>
      </c>
      <c r="Q235">
        <v>5</v>
      </c>
      <c r="R235">
        <v>20</v>
      </c>
      <c r="S235">
        <v>90</v>
      </c>
      <c r="T235">
        <v>85</v>
      </c>
      <c r="U235">
        <v>20</v>
      </c>
    </row>
    <row r="236" spans="13:21">
      <c r="M236">
        <v>11</v>
      </c>
      <c r="N236">
        <v>10</v>
      </c>
      <c r="O236">
        <v>5</v>
      </c>
      <c r="P236">
        <v>7</v>
      </c>
      <c r="Q236">
        <v>5</v>
      </c>
      <c r="R236">
        <v>30</v>
      </c>
      <c r="S236">
        <v>90</v>
      </c>
      <c r="T236">
        <v>85</v>
      </c>
      <c r="U236">
        <v>20</v>
      </c>
    </row>
    <row r="237" spans="13:21">
      <c r="M237">
        <v>11</v>
      </c>
      <c r="N237">
        <v>10</v>
      </c>
      <c r="O237">
        <v>5</v>
      </c>
      <c r="P237">
        <v>4</v>
      </c>
      <c r="Q237">
        <v>5</v>
      </c>
      <c r="R237">
        <v>30</v>
      </c>
      <c r="S237">
        <v>80</v>
      </c>
      <c r="T237">
        <v>85</v>
      </c>
      <c r="U237">
        <v>25</v>
      </c>
    </row>
    <row r="238" spans="13:21">
      <c r="M238">
        <v>11</v>
      </c>
      <c r="N238">
        <v>10</v>
      </c>
      <c r="O238">
        <v>5</v>
      </c>
      <c r="P238">
        <v>4</v>
      </c>
      <c r="Q238">
        <v>5</v>
      </c>
      <c r="R238">
        <v>30</v>
      </c>
      <c r="S238">
        <v>80</v>
      </c>
      <c r="T238">
        <v>85</v>
      </c>
      <c r="U238">
        <v>30</v>
      </c>
    </row>
    <row r="239" spans="13:21">
      <c r="M239">
        <v>11</v>
      </c>
      <c r="N239">
        <v>10</v>
      </c>
      <c r="O239">
        <v>5</v>
      </c>
      <c r="P239">
        <v>4</v>
      </c>
      <c r="Q239">
        <v>5</v>
      </c>
      <c r="R239">
        <v>20</v>
      </c>
      <c r="S239">
        <v>80</v>
      </c>
      <c r="T239">
        <v>85</v>
      </c>
      <c r="U239">
        <v>30</v>
      </c>
    </row>
    <row r="240" spans="13:21">
      <c r="M240">
        <v>12</v>
      </c>
      <c r="N240">
        <v>10</v>
      </c>
      <c r="O240">
        <v>5</v>
      </c>
      <c r="P240">
        <v>4</v>
      </c>
      <c r="Q240">
        <v>5</v>
      </c>
      <c r="R240">
        <v>30</v>
      </c>
      <c r="S240">
        <v>90</v>
      </c>
      <c r="T240">
        <v>85</v>
      </c>
      <c r="U240">
        <v>20</v>
      </c>
    </row>
    <row r="241" spans="13:21">
      <c r="M241">
        <v>12</v>
      </c>
      <c r="N241">
        <v>10</v>
      </c>
      <c r="O241">
        <v>5</v>
      </c>
      <c r="P241">
        <v>7</v>
      </c>
      <c r="Q241">
        <v>5</v>
      </c>
      <c r="R241">
        <v>20</v>
      </c>
      <c r="S241">
        <v>80</v>
      </c>
      <c r="T241">
        <v>85</v>
      </c>
      <c r="U241">
        <v>25</v>
      </c>
    </row>
    <row r="242" spans="13:21">
      <c r="M242">
        <v>12</v>
      </c>
      <c r="N242">
        <v>10</v>
      </c>
      <c r="O242">
        <v>5</v>
      </c>
      <c r="P242">
        <v>4</v>
      </c>
      <c r="Q242">
        <v>5</v>
      </c>
      <c r="R242">
        <v>20</v>
      </c>
      <c r="S242">
        <v>90</v>
      </c>
      <c r="T242">
        <v>85</v>
      </c>
      <c r="U242">
        <v>20</v>
      </c>
    </row>
    <row r="243" spans="13:21">
      <c r="M243">
        <v>12</v>
      </c>
      <c r="N243">
        <v>10</v>
      </c>
      <c r="O243">
        <v>5</v>
      </c>
      <c r="P243">
        <v>4</v>
      </c>
      <c r="Q243">
        <v>5</v>
      </c>
      <c r="R243">
        <v>20</v>
      </c>
      <c r="S243">
        <v>80</v>
      </c>
      <c r="T243">
        <v>85</v>
      </c>
      <c r="U243">
        <v>25</v>
      </c>
    </row>
    <row r="244" spans="13:21">
      <c r="M244">
        <v>12</v>
      </c>
      <c r="N244">
        <v>10</v>
      </c>
      <c r="O244">
        <v>5</v>
      </c>
      <c r="P244">
        <v>7</v>
      </c>
      <c r="Q244">
        <v>5</v>
      </c>
      <c r="R244">
        <v>20</v>
      </c>
      <c r="S244">
        <v>80</v>
      </c>
      <c r="T244">
        <v>85</v>
      </c>
      <c r="U244">
        <v>30</v>
      </c>
    </row>
    <row r="245" spans="13:21">
      <c r="M245">
        <v>12</v>
      </c>
      <c r="N245">
        <v>10</v>
      </c>
      <c r="O245">
        <v>5</v>
      </c>
      <c r="P245">
        <v>7</v>
      </c>
      <c r="Q245">
        <v>5</v>
      </c>
      <c r="R245">
        <v>30</v>
      </c>
      <c r="S245">
        <v>80</v>
      </c>
      <c r="T245">
        <v>85</v>
      </c>
      <c r="U245">
        <v>30</v>
      </c>
    </row>
    <row r="246" spans="13:21">
      <c r="M246">
        <v>12</v>
      </c>
      <c r="N246">
        <v>10</v>
      </c>
      <c r="O246">
        <v>5</v>
      </c>
      <c r="P246">
        <v>7</v>
      </c>
      <c r="Q246">
        <v>5</v>
      </c>
      <c r="R246">
        <v>30</v>
      </c>
      <c r="S246">
        <v>80</v>
      </c>
      <c r="T246">
        <v>85</v>
      </c>
      <c r="U246">
        <v>25</v>
      </c>
    </row>
    <row r="247" spans="13:21">
      <c r="M247">
        <v>12</v>
      </c>
      <c r="N247">
        <v>10</v>
      </c>
      <c r="O247">
        <v>5</v>
      </c>
      <c r="P247">
        <v>7</v>
      </c>
      <c r="Q247">
        <v>5</v>
      </c>
      <c r="R247">
        <v>20</v>
      </c>
      <c r="S247">
        <v>90</v>
      </c>
      <c r="T247">
        <v>85</v>
      </c>
      <c r="U247">
        <v>20</v>
      </c>
    </row>
    <row r="248" spans="13:21">
      <c r="M248">
        <v>12</v>
      </c>
      <c r="N248">
        <v>10</v>
      </c>
      <c r="O248">
        <v>5</v>
      </c>
      <c r="P248">
        <v>7</v>
      </c>
      <c r="Q248">
        <v>5</v>
      </c>
      <c r="R248">
        <v>30</v>
      </c>
      <c r="S248">
        <v>90</v>
      </c>
      <c r="T248">
        <v>85</v>
      </c>
      <c r="U248">
        <v>20</v>
      </c>
    </row>
    <row r="249" spans="13:21">
      <c r="M249">
        <v>12</v>
      </c>
      <c r="N249">
        <v>10</v>
      </c>
      <c r="O249">
        <v>5</v>
      </c>
      <c r="P249">
        <v>4</v>
      </c>
      <c r="Q249">
        <v>5</v>
      </c>
      <c r="R249">
        <v>30</v>
      </c>
      <c r="S249">
        <v>80</v>
      </c>
      <c r="T249">
        <v>85</v>
      </c>
      <c r="U249">
        <v>25</v>
      </c>
    </row>
    <row r="250" spans="13:21">
      <c r="M250">
        <v>12</v>
      </c>
      <c r="N250">
        <v>10</v>
      </c>
      <c r="O250">
        <v>5</v>
      </c>
      <c r="P250">
        <v>4</v>
      </c>
      <c r="Q250">
        <v>5</v>
      </c>
      <c r="R250">
        <v>30</v>
      </c>
      <c r="S250">
        <v>80</v>
      </c>
      <c r="T250">
        <v>85</v>
      </c>
      <c r="U250">
        <v>30</v>
      </c>
    </row>
    <row r="251" spans="13:21">
      <c r="M251">
        <v>12</v>
      </c>
      <c r="N251">
        <v>10</v>
      </c>
      <c r="O251">
        <v>5</v>
      </c>
      <c r="P251">
        <v>4</v>
      </c>
      <c r="Q251">
        <v>5</v>
      </c>
      <c r="R251">
        <v>20</v>
      </c>
      <c r="S251">
        <v>80</v>
      </c>
      <c r="T251">
        <v>85</v>
      </c>
      <c r="U251">
        <v>30</v>
      </c>
    </row>
    <row r="252" spans="13:21">
      <c r="M252">
        <v>12</v>
      </c>
      <c r="N252">
        <v>10</v>
      </c>
      <c r="O252">
        <v>5</v>
      </c>
      <c r="P252">
        <v>4</v>
      </c>
      <c r="Q252">
        <v>5</v>
      </c>
      <c r="R252">
        <v>30</v>
      </c>
      <c r="S252">
        <v>90</v>
      </c>
      <c r="T252">
        <v>85</v>
      </c>
      <c r="U252">
        <v>20</v>
      </c>
    </row>
    <row r="253" spans="13:21">
      <c r="M253">
        <v>12</v>
      </c>
      <c r="N253">
        <v>10</v>
      </c>
      <c r="O253">
        <v>5</v>
      </c>
      <c r="P253">
        <v>7</v>
      </c>
      <c r="Q253">
        <v>5</v>
      </c>
      <c r="R253">
        <v>20</v>
      </c>
      <c r="S253">
        <v>80</v>
      </c>
      <c r="T253">
        <v>85</v>
      </c>
      <c r="U253">
        <v>25</v>
      </c>
    </row>
    <row r="254" spans="13:21">
      <c r="M254">
        <v>12</v>
      </c>
      <c r="N254">
        <v>10</v>
      </c>
      <c r="O254">
        <v>5</v>
      </c>
      <c r="P254">
        <v>4</v>
      </c>
      <c r="Q254">
        <v>5</v>
      </c>
      <c r="R254">
        <v>20</v>
      </c>
      <c r="S254">
        <v>90</v>
      </c>
      <c r="T254">
        <v>85</v>
      </c>
      <c r="U254">
        <v>20</v>
      </c>
    </row>
    <row r="255" spans="13:21">
      <c r="M255">
        <v>12</v>
      </c>
      <c r="N255">
        <v>10</v>
      </c>
      <c r="O255">
        <v>5</v>
      </c>
      <c r="P255">
        <v>4</v>
      </c>
      <c r="Q255">
        <v>5</v>
      </c>
      <c r="R255">
        <v>20</v>
      </c>
      <c r="S255">
        <v>80</v>
      </c>
      <c r="T255">
        <v>85</v>
      </c>
      <c r="U255">
        <v>25</v>
      </c>
    </row>
    <row r="256" spans="13:21">
      <c r="M256">
        <v>12</v>
      </c>
      <c r="N256">
        <v>10</v>
      </c>
      <c r="O256">
        <v>5</v>
      </c>
      <c r="P256">
        <v>7</v>
      </c>
      <c r="Q256">
        <v>5</v>
      </c>
      <c r="R256">
        <v>20</v>
      </c>
      <c r="S256">
        <v>80</v>
      </c>
      <c r="T256">
        <v>85</v>
      </c>
      <c r="U256">
        <v>30</v>
      </c>
    </row>
    <row r="257" spans="13:21">
      <c r="M257">
        <v>12</v>
      </c>
      <c r="N257">
        <v>10</v>
      </c>
      <c r="O257">
        <v>5</v>
      </c>
      <c r="P257">
        <v>7</v>
      </c>
      <c r="Q257">
        <v>5</v>
      </c>
      <c r="R257">
        <v>30</v>
      </c>
      <c r="S257">
        <v>80</v>
      </c>
      <c r="T257">
        <v>85</v>
      </c>
      <c r="U257">
        <v>30</v>
      </c>
    </row>
    <row r="258" spans="13:21">
      <c r="M258">
        <v>12</v>
      </c>
      <c r="N258">
        <v>10</v>
      </c>
      <c r="O258">
        <v>5</v>
      </c>
      <c r="P258">
        <v>7</v>
      </c>
      <c r="Q258">
        <v>5</v>
      </c>
      <c r="R258">
        <v>30</v>
      </c>
      <c r="S258">
        <v>80</v>
      </c>
      <c r="T258">
        <v>85</v>
      </c>
      <c r="U258">
        <v>25</v>
      </c>
    </row>
    <row r="259" spans="13:21">
      <c r="M259">
        <v>12</v>
      </c>
      <c r="N259">
        <v>10</v>
      </c>
      <c r="O259">
        <v>5</v>
      </c>
      <c r="P259">
        <v>7</v>
      </c>
      <c r="Q259">
        <v>5</v>
      </c>
      <c r="R259">
        <v>20</v>
      </c>
      <c r="S259">
        <v>90</v>
      </c>
      <c r="T259">
        <v>85</v>
      </c>
      <c r="U259">
        <v>20</v>
      </c>
    </row>
    <row r="260" spans="13:21">
      <c r="M260">
        <v>12</v>
      </c>
      <c r="N260">
        <v>10</v>
      </c>
      <c r="O260">
        <v>5</v>
      </c>
      <c r="P260">
        <v>7</v>
      </c>
      <c r="Q260">
        <v>5</v>
      </c>
      <c r="R260">
        <v>30</v>
      </c>
      <c r="S260">
        <v>90</v>
      </c>
      <c r="T260">
        <v>85</v>
      </c>
      <c r="U260">
        <v>20</v>
      </c>
    </row>
    <row r="261" spans="13:21">
      <c r="M261">
        <v>12</v>
      </c>
      <c r="N261">
        <v>10</v>
      </c>
      <c r="O261">
        <v>5</v>
      </c>
      <c r="P261">
        <v>4</v>
      </c>
      <c r="Q261">
        <v>5</v>
      </c>
      <c r="R261">
        <v>30</v>
      </c>
      <c r="S261">
        <v>80</v>
      </c>
      <c r="T261">
        <v>85</v>
      </c>
      <c r="U261">
        <v>25</v>
      </c>
    </row>
    <row r="262" spans="13:21">
      <c r="M262">
        <v>12</v>
      </c>
      <c r="N262">
        <v>10</v>
      </c>
      <c r="O262">
        <v>5</v>
      </c>
      <c r="P262">
        <v>4</v>
      </c>
      <c r="Q262">
        <v>5</v>
      </c>
      <c r="R262">
        <v>30</v>
      </c>
      <c r="S262">
        <v>80</v>
      </c>
      <c r="T262">
        <v>85</v>
      </c>
      <c r="U262">
        <v>30</v>
      </c>
    </row>
    <row r="263" spans="13:21">
      <c r="M263">
        <v>12</v>
      </c>
      <c r="N263">
        <v>10</v>
      </c>
      <c r="O263">
        <v>5</v>
      </c>
      <c r="P263">
        <v>4</v>
      </c>
      <c r="Q263">
        <v>5</v>
      </c>
      <c r="R263">
        <v>20</v>
      </c>
      <c r="S263">
        <v>80</v>
      </c>
      <c r="T263">
        <v>85</v>
      </c>
      <c r="U263">
        <v>30</v>
      </c>
    </row>
    <row r="264" spans="13:21">
      <c r="M264">
        <v>13</v>
      </c>
      <c r="N264">
        <v>10</v>
      </c>
      <c r="O264">
        <v>5</v>
      </c>
      <c r="P264">
        <v>7</v>
      </c>
      <c r="Q264">
        <v>5</v>
      </c>
      <c r="R264">
        <v>20</v>
      </c>
      <c r="S264">
        <v>80</v>
      </c>
      <c r="T264">
        <v>85</v>
      </c>
      <c r="U264">
        <v>30</v>
      </c>
    </row>
    <row r="265" spans="13:21">
      <c r="M265">
        <v>13</v>
      </c>
      <c r="N265">
        <v>10</v>
      </c>
      <c r="O265">
        <v>5</v>
      </c>
      <c r="P265">
        <v>7</v>
      </c>
      <c r="Q265">
        <v>5</v>
      </c>
      <c r="R265">
        <v>30</v>
      </c>
      <c r="S265">
        <v>80</v>
      </c>
      <c r="T265">
        <v>85</v>
      </c>
      <c r="U265">
        <v>30</v>
      </c>
    </row>
    <row r="266" spans="13:21">
      <c r="M266">
        <v>13</v>
      </c>
      <c r="N266">
        <v>10</v>
      </c>
      <c r="O266">
        <v>5</v>
      </c>
      <c r="P266">
        <v>4</v>
      </c>
      <c r="Q266">
        <v>5</v>
      </c>
      <c r="R266">
        <v>30</v>
      </c>
      <c r="S266">
        <v>80</v>
      </c>
      <c r="T266">
        <v>85</v>
      </c>
      <c r="U266">
        <v>30</v>
      </c>
    </row>
    <row r="267" spans="13:21">
      <c r="M267">
        <v>13</v>
      </c>
      <c r="N267">
        <v>10</v>
      </c>
      <c r="O267">
        <v>5</v>
      </c>
      <c r="P267">
        <v>4</v>
      </c>
      <c r="Q267">
        <v>5</v>
      </c>
      <c r="R267">
        <v>20</v>
      </c>
      <c r="S267">
        <v>80</v>
      </c>
      <c r="T267">
        <v>85</v>
      </c>
      <c r="U267">
        <v>30</v>
      </c>
    </row>
    <row r="268" spans="13:21">
      <c r="M268">
        <v>13</v>
      </c>
      <c r="N268">
        <v>10</v>
      </c>
      <c r="O268">
        <v>5</v>
      </c>
      <c r="P268">
        <v>7</v>
      </c>
      <c r="Q268">
        <v>5</v>
      </c>
      <c r="R268">
        <v>20</v>
      </c>
      <c r="S268">
        <v>80</v>
      </c>
      <c r="T268">
        <v>85</v>
      </c>
      <c r="U268">
        <v>30</v>
      </c>
    </row>
    <row r="269" spans="13:21">
      <c r="M269">
        <v>13</v>
      </c>
      <c r="N269">
        <v>10</v>
      </c>
      <c r="O269">
        <v>5</v>
      </c>
      <c r="P269">
        <v>7</v>
      </c>
      <c r="Q269">
        <v>5</v>
      </c>
      <c r="R269">
        <v>30</v>
      </c>
      <c r="S269">
        <v>80</v>
      </c>
      <c r="T269">
        <v>85</v>
      </c>
      <c r="U269">
        <v>30</v>
      </c>
    </row>
    <row r="270" spans="13:21">
      <c r="M270">
        <v>13</v>
      </c>
      <c r="N270">
        <v>10</v>
      </c>
      <c r="O270">
        <v>5</v>
      </c>
      <c r="P270">
        <v>4</v>
      </c>
      <c r="Q270">
        <v>5</v>
      </c>
      <c r="R270">
        <v>30</v>
      </c>
      <c r="S270">
        <v>80</v>
      </c>
      <c r="T270">
        <v>85</v>
      </c>
      <c r="U270">
        <v>30</v>
      </c>
    </row>
    <row r="271" spans="13:21">
      <c r="M271">
        <v>13</v>
      </c>
      <c r="N271">
        <v>10</v>
      </c>
      <c r="O271">
        <v>5</v>
      </c>
      <c r="P271">
        <v>4</v>
      </c>
      <c r="Q271">
        <v>5</v>
      </c>
      <c r="R271">
        <v>20</v>
      </c>
      <c r="S271">
        <v>80</v>
      </c>
      <c r="T271">
        <v>85</v>
      </c>
      <c r="U271">
        <v>30</v>
      </c>
    </row>
    <row r="272" spans="13:21">
      <c r="M272">
        <v>14</v>
      </c>
      <c r="N272">
        <v>10</v>
      </c>
      <c r="O272">
        <v>5</v>
      </c>
      <c r="P272">
        <v>7</v>
      </c>
      <c r="Q272">
        <v>5</v>
      </c>
      <c r="R272">
        <v>20</v>
      </c>
      <c r="S272">
        <v>80</v>
      </c>
      <c r="T272">
        <v>85</v>
      </c>
      <c r="U272">
        <v>30</v>
      </c>
    </row>
    <row r="273" spans="13:21">
      <c r="M273">
        <v>14</v>
      </c>
      <c r="N273">
        <v>10</v>
      </c>
      <c r="O273">
        <v>5</v>
      </c>
      <c r="P273">
        <v>7</v>
      </c>
      <c r="Q273">
        <v>5</v>
      </c>
      <c r="R273">
        <v>30</v>
      </c>
      <c r="S273">
        <v>80</v>
      </c>
      <c r="T273">
        <v>85</v>
      </c>
      <c r="U273">
        <v>30</v>
      </c>
    </row>
    <row r="274" spans="13:21">
      <c r="M274">
        <v>14</v>
      </c>
      <c r="N274">
        <v>10</v>
      </c>
      <c r="O274">
        <v>5</v>
      </c>
      <c r="P274">
        <v>4</v>
      </c>
      <c r="Q274">
        <v>5</v>
      </c>
      <c r="R274">
        <v>30</v>
      </c>
      <c r="S274">
        <v>80</v>
      </c>
      <c r="T274">
        <v>85</v>
      </c>
      <c r="U274">
        <v>30</v>
      </c>
    </row>
    <row r="275" spans="13:21">
      <c r="M275">
        <v>14</v>
      </c>
      <c r="N275">
        <v>10</v>
      </c>
      <c r="O275">
        <v>5</v>
      </c>
      <c r="P275">
        <v>4</v>
      </c>
      <c r="Q275">
        <v>5</v>
      </c>
      <c r="R275">
        <v>20</v>
      </c>
      <c r="S275">
        <v>80</v>
      </c>
      <c r="T275">
        <v>85</v>
      </c>
      <c r="U275">
        <v>30</v>
      </c>
    </row>
    <row r="276" spans="13:21">
      <c r="M276">
        <v>14</v>
      </c>
      <c r="N276">
        <v>10</v>
      </c>
      <c r="O276">
        <v>5</v>
      </c>
      <c r="P276">
        <v>7</v>
      </c>
      <c r="Q276">
        <v>5</v>
      </c>
      <c r="R276">
        <v>20</v>
      </c>
      <c r="S276">
        <v>80</v>
      </c>
      <c r="T276">
        <v>85</v>
      </c>
      <c r="U276">
        <v>30</v>
      </c>
    </row>
    <row r="277" spans="13:21">
      <c r="M277">
        <v>14</v>
      </c>
      <c r="N277">
        <v>10</v>
      </c>
      <c r="O277">
        <v>5</v>
      </c>
      <c r="P277">
        <v>7</v>
      </c>
      <c r="Q277">
        <v>5</v>
      </c>
      <c r="R277">
        <v>30</v>
      </c>
      <c r="S277">
        <v>80</v>
      </c>
      <c r="T277">
        <v>85</v>
      </c>
      <c r="U277">
        <v>30</v>
      </c>
    </row>
    <row r="278" spans="13:21">
      <c r="M278">
        <v>14</v>
      </c>
      <c r="N278">
        <v>10</v>
      </c>
      <c r="O278">
        <v>5</v>
      </c>
      <c r="P278">
        <v>4</v>
      </c>
      <c r="Q278">
        <v>5</v>
      </c>
      <c r="R278">
        <v>30</v>
      </c>
      <c r="S278">
        <v>80</v>
      </c>
      <c r="T278">
        <v>85</v>
      </c>
      <c r="U278">
        <v>30</v>
      </c>
    </row>
    <row r="279" spans="13:21">
      <c r="M279">
        <v>14</v>
      </c>
      <c r="N279">
        <v>10</v>
      </c>
      <c r="O279">
        <v>5</v>
      </c>
      <c r="P279">
        <v>4</v>
      </c>
      <c r="Q279">
        <v>5</v>
      </c>
      <c r="R279">
        <v>20</v>
      </c>
      <c r="S279">
        <v>80</v>
      </c>
      <c r="T279">
        <v>85</v>
      </c>
      <c r="U279">
        <v>30</v>
      </c>
    </row>
    <row r="280" spans="13:21">
      <c r="M280">
        <v>15</v>
      </c>
      <c r="N280">
        <v>10</v>
      </c>
      <c r="O280">
        <v>5</v>
      </c>
      <c r="P280">
        <v>7</v>
      </c>
      <c r="Q280">
        <v>5</v>
      </c>
      <c r="R280">
        <v>20</v>
      </c>
      <c r="S280">
        <v>80</v>
      </c>
      <c r="T280">
        <v>85</v>
      </c>
      <c r="U280">
        <v>30</v>
      </c>
    </row>
    <row r="281" spans="13:21">
      <c r="M281">
        <v>15</v>
      </c>
      <c r="N281">
        <v>10</v>
      </c>
      <c r="O281">
        <v>5</v>
      </c>
      <c r="P281">
        <v>7</v>
      </c>
      <c r="Q281">
        <v>5</v>
      </c>
      <c r="R281">
        <v>30</v>
      </c>
      <c r="S281">
        <v>80</v>
      </c>
      <c r="T281">
        <v>85</v>
      </c>
      <c r="U281">
        <v>30</v>
      </c>
    </row>
    <row r="282" spans="13:21">
      <c r="M282">
        <v>15</v>
      </c>
      <c r="N282">
        <v>10</v>
      </c>
      <c r="O282">
        <v>5</v>
      </c>
      <c r="P282">
        <v>4</v>
      </c>
      <c r="Q282">
        <v>5</v>
      </c>
      <c r="R282">
        <v>30</v>
      </c>
      <c r="S282">
        <v>80</v>
      </c>
      <c r="T282">
        <v>85</v>
      </c>
      <c r="U282">
        <v>30</v>
      </c>
    </row>
    <row r="283" spans="13:21">
      <c r="M283">
        <v>15</v>
      </c>
      <c r="N283">
        <v>10</v>
      </c>
      <c r="O283">
        <v>5</v>
      </c>
      <c r="P283">
        <v>4</v>
      </c>
      <c r="Q283">
        <v>5</v>
      </c>
      <c r="R283">
        <v>20</v>
      </c>
      <c r="S283">
        <v>80</v>
      </c>
      <c r="T283">
        <v>85</v>
      </c>
      <c r="U283">
        <v>30</v>
      </c>
    </row>
    <row r="284" spans="13:21">
      <c r="M284">
        <v>15</v>
      </c>
      <c r="N284">
        <v>10</v>
      </c>
      <c r="O284">
        <v>5</v>
      </c>
      <c r="P284">
        <v>7</v>
      </c>
      <c r="Q284">
        <v>5</v>
      </c>
      <c r="R284">
        <v>20</v>
      </c>
      <c r="S284">
        <v>80</v>
      </c>
      <c r="T284">
        <v>85</v>
      </c>
      <c r="U284">
        <v>30</v>
      </c>
    </row>
    <row r="285" spans="13:21">
      <c r="M285">
        <v>15</v>
      </c>
      <c r="N285">
        <v>10</v>
      </c>
      <c r="O285">
        <v>5</v>
      </c>
      <c r="P285">
        <v>7</v>
      </c>
      <c r="Q285">
        <v>5</v>
      </c>
      <c r="R285">
        <v>30</v>
      </c>
      <c r="S285">
        <v>80</v>
      </c>
      <c r="T285">
        <v>85</v>
      </c>
      <c r="U285">
        <v>30</v>
      </c>
    </row>
    <row r="286" spans="13:21">
      <c r="M286">
        <v>15</v>
      </c>
      <c r="N286">
        <v>10</v>
      </c>
      <c r="O286">
        <v>5</v>
      </c>
      <c r="P286">
        <v>4</v>
      </c>
      <c r="Q286">
        <v>5</v>
      </c>
      <c r="R286">
        <v>30</v>
      </c>
      <c r="S286">
        <v>80</v>
      </c>
      <c r="T286">
        <v>85</v>
      </c>
      <c r="U286">
        <v>30</v>
      </c>
    </row>
    <row r="287" spans="13:21">
      <c r="M287">
        <v>15</v>
      </c>
      <c r="N287">
        <v>10</v>
      </c>
      <c r="O287">
        <v>5</v>
      </c>
      <c r="P287">
        <v>4</v>
      </c>
      <c r="Q287">
        <v>5</v>
      </c>
      <c r="R287">
        <v>20</v>
      </c>
      <c r="S287">
        <v>80</v>
      </c>
      <c r="T287">
        <v>85</v>
      </c>
      <c r="U287">
        <v>30</v>
      </c>
    </row>
    <row r="288" spans="13:21">
      <c r="M288">
        <v>16</v>
      </c>
      <c r="N288">
        <v>10</v>
      </c>
      <c r="O288">
        <v>5</v>
      </c>
      <c r="P288">
        <v>7</v>
      </c>
      <c r="Q288">
        <v>5</v>
      </c>
      <c r="R288">
        <v>20</v>
      </c>
      <c r="S288">
        <v>80</v>
      </c>
      <c r="T288">
        <v>85</v>
      </c>
      <c r="U288">
        <v>30</v>
      </c>
    </row>
    <row r="289" spans="13:21">
      <c r="M289">
        <v>16</v>
      </c>
      <c r="N289">
        <v>10</v>
      </c>
      <c r="O289">
        <v>5</v>
      </c>
      <c r="P289">
        <v>7</v>
      </c>
      <c r="Q289">
        <v>5</v>
      </c>
      <c r="R289">
        <v>30</v>
      </c>
      <c r="S289">
        <v>80</v>
      </c>
      <c r="T289">
        <v>85</v>
      </c>
      <c r="U289">
        <v>30</v>
      </c>
    </row>
    <row r="290" spans="13:21">
      <c r="M290">
        <v>16</v>
      </c>
      <c r="N290">
        <v>10</v>
      </c>
      <c r="O290">
        <v>5</v>
      </c>
      <c r="P290">
        <v>4</v>
      </c>
      <c r="Q290">
        <v>5</v>
      </c>
      <c r="R290">
        <v>30</v>
      </c>
      <c r="S290">
        <v>80</v>
      </c>
      <c r="T290">
        <v>85</v>
      </c>
      <c r="U290">
        <v>30</v>
      </c>
    </row>
    <row r="291" spans="13:21">
      <c r="M291">
        <v>16</v>
      </c>
      <c r="N291">
        <v>10</v>
      </c>
      <c r="O291">
        <v>5</v>
      </c>
      <c r="P291">
        <v>4</v>
      </c>
      <c r="Q291">
        <v>5</v>
      </c>
      <c r="R291">
        <v>20</v>
      </c>
      <c r="S291">
        <v>80</v>
      </c>
      <c r="T291">
        <v>85</v>
      </c>
      <c r="U291">
        <v>30</v>
      </c>
    </row>
    <row r="292" spans="13:21">
      <c r="M292">
        <v>16</v>
      </c>
      <c r="N292">
        <v>10</v>
      </c>
      <c r="O292">
        <v>5</v>
      </c>
      <c r="P292">
        <v>7</v>
      </c>
      <c r="Q292">
        <v>5</v>
      </c>
      <c r="R292">
        <v>20</v>
      </c>
      <c r="S292">
        <v>80</v>
      </c>
      <c r="T292">
        <v>85</v>
      </c>
      <c r="U292">
        <v>30</v>
      </c>
    </row>
    <row r="293" spans="13:21">
      <c r="M293">
        <v>16</v>
      </c>
      <c r="N293">
        <v>10</v>
      </c>
      <c r="O293">
        <v>5</v>
      </c>
      <c r="P293">
        <v>7</v>
      </c>
      <c r="Q293">
        <v>5</v>
      </c>
      <c r="R293">
        <v>30</v>
      </c>
      <c r="S293">
        <v>80</v>
      </c>
      <c r="T293">
        <v>85</v>
      </c>
      <c r="U293">
        <v>30</v>
      </c>
    </row>
    <row r="294" spans="13:21">
      <c r="M294">
        <v>16</v>
      </c>
      <c r="N294">
        <v>10</v>
      </c>
      <c r="O294">
        <v>5</v>
      </c>
      <c r="P294">
        <v>4</v>
      </c>
      <c r="Q294">
        <v>5</v>
      </c>
      <c r="R294">
        <v>30</v>
      </c>
      <c r="S294">
        <v>80</v>
      </c>
      <c r="T294">
        <v>85</v>
      </c>
      <c r="U294">
        <v>30</v>
      </c>
    </row>
    <row r="295" spans="13:21">
      <c r="M295">
        <v>16</v>
      </c>
      <c r="N295">
        <v>10</v>
      </c>
      <c r="O295">
        <v>5</v>
      </c>
      <c r="P295">
        <v>4</v>
      </c>
      <c r="Q295">
        <v>5</v>
      </c>
      <c r="R295">
        <v>20</v>
      </c>
      <c r="S295">
        <v>80</v>
      </c>
      <c r="T295">
        <v>85</v>
      </c>
      <c r="U295">
        <v>30</v>
      </c>
    </row>
    <row r="296" spans="13:21">
      <c r="M296">
        <v>17</v>
      </c>
      <c r="N296">
        <v>10</v>
      </c>
      <c r="O296">
        <v>5</v>
      </c>
      <c r="P296">
        <v>7</v>
      </c>
      <c r="Q296">
        <v>5</v>
      </c>
      <c r="R296">
        <v>20</v>
      </c>
      <c r="S296">
        <v>80</v>
      </c>
      <c r="T296">
        <v>85</v>
      </c>
      <c r="U296">
        <v>30</v>
      </c>
    </row>
    <row r="297" spans="13:21">
      <c r="M297">
        <v>17</v>
      </c>
      <c r="N297">
        <v>10</v>
      </c>
      <c r="O297">
        <v>5</v>
      </c>
      <c r="P297">
        <v>4</v>
      </c>
      <c r="Q297">
        <v>5</v>
      </c>
      <c r="R297">
        <v>30</v>
      </c>
      <c r="S297">
        <v>80</v>
      </c>
      <c r="T297">
        <v>85</v>
      </c>
      <c r="U297">
        <v>30</v>
      </c>
    </row>
    <row r="298" spans="13:21">
      <c r="M298">
        <v>17</v>
      </c>
      <c r="N298">
        <v>10</v>
      </c>
      <c r="O298">
        <v>5</v>
      </c>
      <c r="P298">
        <v>7</v>
      </c>
      <c r="Q298">
        <v>5</v>
      </c>
      <c r="R298">
        <v>30</v>
      </c>
      <c r="S298">
        <v>80</v>
      </c>
      <c r="T298">
        <v>85</v>
      </c>
      <c r="U298">
        <v>30</v>
      </c>
    </row>
    <row r="299" spans="13:21">
      <c r="M299">
        <v>17</v>
      </c>
      <c r="N299">
        <v>10</v>
      </c>
      <c r="O299">
        <v>5</v>
      </c>
      <c r="P299">
        <v>4</v>
      </c>
      <c r="Q299">
        <v>5</v>
      </c>
      <c r="R299">
        <v>20</v>
      </c>
      <c r="S299">
        <v>80</v>
      </c>
      <c r="T299">
        <v>85</v>
      </c>
      <c r="U299">
        <v>30</v>
      </c>
    </row>
    <row r="300" spans="13:21">
      <c r="M300">
        <v>17</v>
      </c>
      <c r="N300">
        <v>10</v>
      </c>
      <c r="O300">
        <v>5</v>
      </c>
      <c r="P300">
        <v>7</v>
      </c>
      <c r="Q300">
        <v>5</v>
      </c>
      <c r="R300">
        <v>20</v>
      </c>
      <c r="S300">
        <v>80</v>
      </c>
      <c r="T300">
        <v>85</v>
      </c>
      <c r="U300">
        <v>30</v>
      </c>
    </row>
    <row r="301" spans="13:21">
      <c r="M301">
        <v>17</v>
      </c>
      <c r="N301">
        <v>10</v>
      </c>
      <c r="O301">
        <v>5</v>
      </c>
      <c r="P301">
        <v>4</v>
      </c>
      <c r="Q301">
        <v>5</v>
      </c>
      <c r="R301">
        <v>30</v>
      </c>
      <c r="S301">
        <v>80</v>
      </c>
      <c r="T301">
        <v>85</v>
      </c>
      <c r="U301">
        <v>30</v>
      </c>
    </row>
    <row r="302" spans="13:21">
      <c r="M302">
        <v>17</v>
      </c>
      <c r="N302">
        <v>10</v>
      </c>
      <c r="O302">
        <v>5</v>
      </c>
      <c r="P302">
        <v>7</v>
      </c>
      <c r="Q302">
        <v>5</v>
      </c>
      <c r="R302">
        <v>30</v>
      </c>
      <c r="S302">
        <v>80</v>
      </c>
      <c r="T302">
        <v>85</v>
      </c>
      <c r="U302">
        <v>30</v>
      </c>
    </row>
    <row r="303" spans="13:21">
      <c r="M303">
        <v>17</v>
      </c>
      <c r="N303">
        <v>10</v>
      </c>
      <c r="O303">
        <v>5</v>
      </c>
      <c r="P303">
        <v>4</v>
      </c>
      <c r="Q303">
        <v>5</v>
      </c>
      <c r="R303">
        <v>20</v>
      </c>
      <c r="S303">
        <v>80</v>
      </c>
      <c r="T303">
        <v>85</v>
      </c>
      <c r="U303">
        <v>30</v>
      </c>
    </row>
    <row r="304" spans="13:21">
      <c r="M304">
        <v>18</v>
      </c>
      <c r="N304">
        <v>10</v>
      </c>
      <c r="O304">
        <v>5</v>
      </c>
      <c r="P304">
        <v>4</v>
      </c>
      <c r="Q304">
        <v>5</v>
      </c>
      <c r="R304">
        <v>20</v>
      </c>
      <c r="S304">
        <v>80</v>
      </c>
      <c r="T304">
        <v>85</v>
      </c>
      <c r="U304">
        <v>30</v>
      </c>
    </row>
    <row r="305" spans="13:21">
      <c r="M305">
        <v>18</v>
      </c>
      <c r="N305">
        <v>10</v>
      </c>
      <c r="O305">
        <v>5</v>
      </c>
      <c r="P305">
        <v>4</v>
      </c>
      <c r="Q305">
        <v>5</v>
      </c>
      <c r="R305">
        <v>30</v>
      </c>
      <c r="S305">
        <v>80</v>
      </c>
      <c r="T305">
        <v>85</v>
      </c>
      <c r="U305">
        <v>30</v>
      </c>
    </row>
    <row r="306" spans="13:21">
      <c r="M306">
        <v>18</v>
      </c>
      <c r="N306">
        <v>10</v>
      </c>
      <c r="O306">
        <v>5</v>
      </c>
      <c r="P306">
        <v>7</v>
      </c>
      <c r="Q306">
        <v>5</v>
      </c>
      <c r="R306">
        <v>20</v>
      </c>
      <c r="S306">
        <v>80</v>
      </c>
      <c r="T306">
        <v>85</v>
      </c>
      <c r="U306">
        <v>30</v>
      </c>
    </row>
    <row r="307" spans="13:21">
      <c r="M307">
        <v>18</v>
      </c>
      <c r="N307">
        <v>10</v>
      </c>
      <c r="O307">
        <v>5</v>
      </c>
      <c r="P307">
        <v>7</v>
      </c>
      <c r="Q307">
        <v>5</v>
      </c>
      <c r="R307">
        <v>30</v>
      </c>
      <c r="S307">
        <v>80</v>
      </c>
      <c r="T307">
        <v>85</v>
      </c>
      <c r="U307">
        <v>30</v>
      </c>
    </row>
    <row r="308" spans="13:21">
      <c r="M308">
        <v>18</v>
      </c>
      <c r="N308">
        <v>20</v>
      </c>
      <c r="O308">
        <v>5</v>
      </c>
      <c r="P308">
        <v>7</v>
      </c>
      <c r="Q308">
        <v>5</v>
      </c>
      <c r="R308">
        <v>20</v>
      </c>
      <c r="S308">
        <v>100</v>
      </c>
      <c r="T308">
        <v>85</v>
      </c>
      <c r="U308">
        <v>25</v>
      </c>
    </row>
    <row r="309" spans="13:21">
      <c r="M309">
        <v>18</v>
      </c>
      <c r="N309">
        <v>20</v>
      </c>
      <c r="O309">
        <v>5</v>
      </c>
      <c r="P309">
        <v>4</v>
      </c>
      <c r="Q309">
        <v>5</v>
      </c>
      <c r="R309">
        <v>30</v>
      </c>
      <c r="S309">
        <v>90</v>
      </c>
      <c r="T309">
        <v>85</v>
      </c>
      <c r="U309">
        <v>30</v>
      </c>
    </row>
    <row r="310" spans="13:21">
      <c r="M310">
        <v>18</v>
      </c>
      <c r="N310">
        <v>20</v>
      </c>
      <c r="O310">
        <v>5</v>
      </c>
      <c r="P310">
        <v>4</v>
      </c>
      <c r="Q310">
        <v>5</v>
      </c>
      <c r="R310">
        <v>20</v>
      </c>
      <c r="S310">
        <v>90</v>
      </c>
      <c r="T310">
        <v>85</v>
      </c>
      <c r="U310">
        <v>30</v>
      </c>
    </row>
    <row r="311" spans="13:21">
      <c r="M311">
        <v>18</v>
      </c>
      <c r="N311">
        <v>20</v>
      </c>
      <c r="O311">
        <v>5</v>
      </c>
      <c r="P311">
        <v>7</v>
      </c>
      <c r="Q311">
        <v>5</v>
      </c>
      <c r="R311">
        <v>30</v>
      </c>
      <c r="S311">
        <v>100</v>
      </c>
      <c r="T311">
        <v>85</v>
      </c>
      <c r="U311">
        <v>25</v>
      </c>
    </row>
    <row r="312" spans="13:21">
      <c r="M312">
        <v>18</v>
      </c>
      <c r="N312">
        <v>20</v>
      </c>
      <c r="O312">
        <v>5</v>
      </c>
      <c r="P312">
        <v>4</v>
      </c>
      <c r="Q312">
        <v>5</v>
      </c>
      <c r="R312">
        <v>20</v>
      </c>
      <c r="S312">
        <v>100</v>
      </c>
      <c r="T312">
        <v>85</v>
      </c>
      <c r="U312">
        <v>25</v>
      </c>
    </row>
    <row r="313" spans="13:21">
      <c r="M313">
        <v>18</v>
      </c>
      <c r="N313">
        <v>20</v>
      </c>
      <c r="O313">
        <v>5</v>
      </c>
      <c r="P313">
        <v>7</v>
      </c>
      <c r="Q313">
        <v>5</v>
      </c>
      <c r="R313">
        <v>20</v>
      </c>
      <c r="S313">
        <v>90</v>
      </c>
      <c r="T313">
        <v>85</v>
      </c>
      <c r="U313">
        <v>30</v>
      </c>
    </row>
    <row r="314" spans="13:21">
      <c r="M314">
        <v>18</v>
      </c>
      <c r="N314">
        <v>20</v>
      </c>
      <c r="O314">
        <v>5</v>
      </c>
      <c r="P314">
        <v>4</v>
      </c>
      <c r="Q314">
        <v>5</v>
      </c>
      <c r="R314">
        <v>30</v>
      </c>
      <c r="S314">
        <v>100</v>
      </c>
      <c r="T314">
        <v>85</v>
      </c>
      <c r="U314">
        <v>25</v>
      </c>
    </row>
    <row r="315" spans="13:21">
      <c r="M315">
        <v>18</v>
      </c>
      <c r="N315">
        <v>20</v>
      </c>
      <c r="O315">
        <v>5</v>
      </c>
      <c r="P315">
        <v>7</v>
      </c>
      <c r="Q315">
        <v>5</v>
      </c>
      <c r="R315">
        <v>30</v>
      </c>
      <c r="S315">
        <v>90</v>
      </c>
      <c r="T315">
        <v>85</v>
      </c>
      <c r="U315">
        <v>30</v>
      </c>
    </row>
    <row r="316" spans="13:21">
      <c r="M316">
        <v>18</v>
      </c>
      <c r="N316">
        <v>10</v>
      </c>
      <c r="O316">
        <v>5</v>
      </c>
      <c r="P316">
        <v>4</v>
      </c>
      <c r="Q316">
        <v>5</v>
      </c>
      <c r="R316">
        <v>20</v>
      </c>
      <c r="S316">
        <v>80</v>
      </c>
      <c r="T316">
        <v>85</v>
      </c>
      <c r="U316">
        <v>30</v>
      </c>
    </row>
    <row r="317" spans="13:21">
      <c r="M317">
        <v>18</v>
      </c>
      <c r="N317">
        <v>10</v>
      </c>
      <c r="O317">
        <v>5</v>
      </c>
      <c r="P317">
        <v>4</v>
      </c>
      <c r="Q317">
        <v>5</v>
      </c>
      <c r="R317">
        <v>30</v>
      </c>
      <c r="S317">
        <v>80</v>
      </c>
      <c r="T317">
        <v>85</v>
      </c>
      <c r="U317">
        <v>30</v>
      </c>
    </row>
    <row r="318" spans="13:21">
      <c r="M318">
        <v>18</v>
      </c>
      <c r="N318">
        <v>10</v>
      </c>
      <c r="O318">
        <v>5</v>
      </c>
      <c r="P318">
        <v>7</v>
      </c>
      <c r="Q318">
        <v>5</v>
      </c>
      <c r="R318">
        <v>20</v>
      </c>
      <c r="S318">
        <v>80</v>
      </c>
      <c r="T318">
        <v>85</v>
      </c>
      <c r="U318">
        <v>30</v>
      </c>
    </row>
    <row r="319" spans="13:21">
      <c r="M319">
        <v>18</v>
      </c>
      <c r="N319">
        <v>10</v>
      </c>
      <c r="O319">
        <v>5</v>
      </c>
      <c r="P319">
        <v>7</v>
      </c>
      <c r="Q319">
        <v>5</v>
      </c>
      <c r="R319">
        <v>30</v>
      </c>
      <c r="S319">
        <v>80</v>
      </c>
      <c r="T319">
        <v>85</v>
      </c>
      <c r="U319">
        <v>30</v>
      </c>
    </row>
    <row r="320" spans="13:21">
      <c r="M320">
        <v>18</v>
      </c>
      <c r="N320">
        <v>20</v>
      </c>
      <c r="O320">
        <v>5</v>
      </c>
      <c r="P320">
        <v>7</v>
      </c>
      <c r="Q320">
        <v>5</v>
      </c>
      <c r="R320">
        <v>20</v>
      </c>
      <c r="S320">
        <v>100</v>
      </c>
      <c r="T320">
        <v>85</v>
      </c>
      <c r="U320">
        <v>25</v>
      </c>
    </row>
    <row r="321" spans="13:29">
      <c r="M321">
        <v>18</v>
      </c>
      <c r="N321">
        <v>20</v>
      </c>
      <c r="O321">
        <v>5</v>
      </c>
      <c r="P321">
        <v>4</v>
      </c>
      <c r="Q321">
        <v>5</v>
      </c>
      <c r="R321">
        <v>30</v>
      </c>
      <c r="S321">
        <v>90</v>
      </c>
      <c r="T321">
        <v>85</v>
      </c>
      <c r="U321">
        <v>30</v>
      </c>
    </row>
    <row r="322" spans="13:29">
      <c r="M322">
        <v>18</v>
      </c>
      <c r="N322">
        <v>20</v>
      </c>
      <c r="O322">
        <v>5</v>
      </c>
      <c r="P322">
        <v>4</v>
      </c>
      <c r="Q322">
        <v>5</v>
      </c>
      <c r="R322">
        <v>20</v>
      </c>
      <c r="S322">
        <v>90</v>
      </c>
      <c r="T322">
        <v>85</v>
      </c>
      <c r="U322">
        <v>30</v>
      </c>
    </row>
    <row r="323" spans="13:29">
      <c r="M323">
        <v>18</v>
      </c>
      <c r="N323">
        <v>20</v>
      </c>
      <c r="O323">
        <v>5</v>
      </c>
      <c r="P323">
        <v>7</v>
      </c>
      <c r="Q323">
        <v>5</v>
      </c>
      <c r="R323">
        <v>30</v>
      </c>
      <c r="S323">
        <v>100</v>
      </c>
      <c r="T323">
        <v>85</v>
      </c>
      <c r="U323">
        <v>25</v>
      </c>
    </row>
    <row r="324" spans="13:29">
      <c r="M324">
        <v>18</v>
      </c>
      <c r="N324">
        <v>20</v>
      </c>
      <c r="O324">
        <v>5</v>
      </c>
      <c r="P324">
        <v>4</v>
      </c>
      <c r="Q324">
        <v>5</v>
      </c>
      <c r="R324">
        <v>20</v>
      </c>
      <c r="S324">
        <v>100</v>
      </c>
      <c r="T324">
        <v>85</v>
      </c>
      <c r="U324">
        <v>25</v>
      </c>
    </row>
    <row r="325" spans="13:29">
      <c r="M325">
        <v>18</v>
      </c>
      <c r="N325">
        <v>20</v>
      </c>
      <c r="O325">
        <v>5</v>
      </c>
      <c r="P325">
        <v>7</v>
      </c>
      <c r="Q325">
        <v>5</v>
      </c>
      <c r="R325">
        <v>20</v>
      </c>
      <c r="S325">
        <v>90</v>
      </c>
      <c r="T325">
        <v>85</v>
      </c>
      <c r="U325">
        <v>30</v>
      </c>
    </row>
    <row r="326" spans="13:29">
      <c r="M326">
        <v>18</v>
      </c>
      <c r="N326">
        <v>20</v>
      </c>
      <c r="O326">
        <v>5</v>
      </c>
      <c r="P326">
        <v>4</v>
      </c>
      <c r="Q326">
        <v>5</v>
      </c>
      <c r="R326">
        <v>30</v>
      </c>
      <c r="S326">
        <v>100</v>
      </c>
      <c r="T326">
        <v>85</v>
      </c>
      <c r="U326">
        <v>25</v>
      </c>
    </row>
    <row r="327" spans="13:29">
      <c r="M327">
        <v>18</v>
      </c>
      <c r="N327">
        <v>20</v>
      </c>
      <c r="O327">
        <v>5</v>
      </c>
      <c r="P327">
        <v>7</v>
      </c>
      <c r="Q327">
        <v>5</v>
      </c>
      <c r="R327">
        <v>30</v>
      </c>
      <c r="S327">
        <v>90</v>
      </c>
      <c r="T327">
        <v>85</v>
      </c>
      <c r="U327">
        <v>30</v>
      </c>
    </row>
    <row r="328" spans="13:29">
      <c r="M328">
        <v>19</v>
      </c>
      <c r="N328">
        <v>10</v>
      </c>
      <c r="O328">
        <v>5</v>
      </c>
      <c r="P328">
        <v>4</v>
      </c>
      <c r="Q328">
        <v>5</v>
      </c>
      <c r="R328">
        <v>20</v>
      </c>
      <c r="S328">
        <v>80</v>
      </c>
      <c r="T328">
        <v>85</v>
      </c>
      <c r="U328">
        <v>30</v>
      </c>
      <c r="V328" t="b">
        <f>B328=N328</f>
        <v>0</v>
      </c>
      <c r="W328" t="b">
        <f>C328=O328</f>
        <v>0</v>
      </c>
      <c r="X328" t="b">
        <f t="shared" ref="X328:Z328" si="12">F328=P328</f>
        <v>0</v>
      </c>
      <c r="Y328" t="b">
        <f t="shared" si="12"/>
        <v>0</v>
      </c>
      <c r="Z328" t="b">
        <f t="shared" si="12"/>
        <v>0</v>
      </c>
      <c r="AA328" t="b">
        <f>I328=S328</f>
        <v>0</v>
      </c>
      <c r="AB328" t="b">
        <f>J328=T328</f>
        <v>0</v>
      </c>
      <c r="AC328" t="b">
        <f>K328=U328</f>
        <v>0</v>
      </c>
    </row>
    <row r="329" spans="13:29">
      <c r="M329">
        <v>19</v>
      </c>
      <c r="N329">
        <v>10</v>
      </c>
      <c r="O329">
        <v>5</v>
      </c>
      <c r="P329">
        <v>4</v>
      </c>
      <c r="Q329">
        <v>5</v>
      </c>
      <c r="R329">
        <v>30</v>
      </c>
      <c r="S329">
        <v>80</v>
      </c>
      <c r="T329">
        <v>85</v>
      </c>
      <c r="U329">
        <v>30</v>
      </c>
      <c r="V329" t="b">
        <f t="shared" ref="V329:V392" si="13">B329=N329</f>
        <v>0</v>
      </c>
      <c r="W329" t="b">
        <f t="shared" ref="W329:W392" si="14">C329=O329</f>
        <v>0</v>
      </c>
      <c r="X329" t="b">
        <f t="shared" ref="X329:X392" si="15">F329=P329</f>
        <v>0</v>
      </c>
      <c r="Y329" t="b">
        <f t="shared" ref="Y329:Y392" si="16">G329=Q329</f>
        <v>0</v>
      </c>
      <c r="Z329" t="b">
        <f t="shared" ref="Z329:Z392" si="17">H329=R329</f>
        <v>0</v>
      </c>
      <c r="AA329" t="b">
        <f t="shared" ref="AA329:AA392" si="18">I329=S329</f>
        <v>0</v>
      </c>
      <c r="AB329" t="b">
        <f t="shared" ref="AB329:AB392" si="19">J329=T329</f>
        <v>0</v>
      </c>
      <c r="AC329" t="b">
        <f t="shared" ref="AC329:AC392" si="20">K329=U329</f>
        <v>0</v>
      </c>
    </row>
    <row r="330" spans="13:29">
      <c r="M330">
        <v>19</v>
      </c>
      <c r="N330">
        <v>10</v>
      </c>
      <c r="O330">
        <v>5</v>
      </c>
      <c r="P330">
        <v>7</v>
      </c>
      <c r="Q330">
        <v>5</v>
      </c>
      <c r="R330">
        <v>20</v>
      </c>
      <c r="S330">
        <v>80</v>
      </c>
      <c r="T330">
        <v>85</v>
      </c>
      <c r="U330">
        <v>30</v>
      </c>
      <c r="V330" t="b">
        <f t="shared" si="13"/>
        <v>0</v>
      </c>
      <c r="W330" t="b">
        <f t="shared" si="14"/>
        <v>0</v>
      </c>
      <c r="X330" t="b">
        <f t="shared" si="15"/>
        <v>0</v>
      </c>
      <c r="Y330" t="b">
        <f t="shared" si="16"/>
        <v>0</v>
      </c>
      <c r="Z330" t="b">
        <f t="shared" si="17"/>
        <v>0</v>
      </c>
      <c r="AA330" t="b">
        <f t="shared" si="18"/>
        <v>0</v>
      </c>
      <c r="AB330" t="b">
        <f t="shared" si="19"/>
        <v>0</v>
      </c>
      <c r="AC330" t="b">
        <f t="shared" si="20"/>
        <v>0</v>
      </c>
    </row>
    <row r="331" spans="13:29">
      <c r="M331">
        <v>19</v>
      </c>
      <c r="N331">
        <v>10</v>
      </c>
      <c r="O331">
        <v>5</v>
      </c>
      <c r="P331">
        <v>7</v>
      </c>
      <c r="Q331">
        <v>5</v>
      </c>
      <c r="R331">
        <v>30</v>
      </c>
      <c r="S331">
        <v>80</v>
      </c>
      <c r="T331">
        <v>85</v>
      </c>
      <c r="U331">
        <v>30</v>
      </c>
      <c r="V331" t="b">
        <f t="shared" si="13"/>
        <v>0</v>
      </c>
      <c r="W331" t="b">
        <f t="shared" si="14"/>
        <v>0</v>
      </c>
      <c r="X331" t="b">
        <f t="shared" si="15"/>
        <v>0</v>
      </c>
      <c r="Y331" t="b">
        <f t="shared" si="16"/>
        <v>0</v>
      </c>
      <c r="Z331" t="b">
        <f t="shared" si="17"/>
        <v>0</v>
      </c>
      <c r="AA331" t="b">
        <f t="shared" si="18"/>
        <v>0</v>
      </c>
      <c r="AB331" t="b">
        <f t="shared" si="19"/>
        <v>0</v>
      </c>
      <c r="AC331" t="b">
        <f t="shared" si="20"/>
        <v>0</v>
      </c>
    </row>
    <row r="332" spans="13:29">
      <c r="M332">
        <v>19</v>
      </c>
      <c r="N332">
        <v>20</v>
      </c>
      <c r="O332">
        <v>5</v>
      </c>
      <c r="P332">
        <v>7</v>
      </c>
      <c r="Q332">
        <v>5</v>
      </c>
      <c r="R332">
        <v>20</v>
      </c>
      <c r="S332">
        <v>100</v>
      </c>
      <c r="T332">
        <v>85</v>
      </c>
      <c r="U332">
        <v>25</v>
      </c>
      <c r="V332" t="b">
        <f t="shared" si="13"/>
        <v>0</v>
      </c>
      <c r="W332" t="b">
        <f t="shared" si="14"/>
        <v>0</v>
      </c>
      <c r="X332" t="b">
        <f t="shared" si="15"/>
        <v>0</v>
      </c>
      <c r="Y332" t="b">
        <f t="shared" si="16"/>
        <v>0</v>
      </c>
      <c r="Z332" t="b">
        <f t="shared" si="17"/>
        <v>0</v>
      </c>
      <c r="AA332" t="b">
        <f t="shared" si="18"/>
        <v>0</v>
      </c>
      <c r="AB332" t="b">
        <f t="shared" si="19"/>
        <v>0</v>
      </c>
      <c r="AC332" t="b">
        <f t="shared" si="20"/>
        <v>0</v>
      </c>
    </row>
    <row r="333" spans="13:29">
      <c r="M333">
        <v>19</v>
      </c>
      <c r="N333">
        <v>20</v>
      </c>
      <c r="O333">
        <v>5</v>
      </c>
      <c r="P333">
        <v>4</v>
      </c>
      <c r="Q333">
        <v>5</v>
      </c>
      <c r="R333">
        <v>30</v>
      </c>
      <c r="S333">
        <v>90</v>
      </c>
      <c r="T333">
        <v>85</v>
      </c>
      <c r="U333">
        <v>30</v>
      </c>
      <c r="V333" t="b">
        <f t="shared" si="13"/>
        <v>0</v>
      </c>
      <c r="W333" t="b">
        <f t="shared" si="14"/>
        <v>0</v>
      </c>
      <c r="X333" t="b">
        <f t="shared" si="15"/>
        <v>0</v>
      </c>
      <c r="Y333" t="b">
        <f t="shared" si="16"/>
        <v>0</v>
      </c>
      <c r="Z333" t="b">
        <f t="shared" si="17"/>
        <v>0</v>
      </c>
      <c r="AA333" t="b">
        <f t="shared" si="18"/>
        <v>0</v>
      </c>
      <c r="AB333" t="b">
        <f t="shared" si="19"/>
        <v>0</v>
      </c>
      <c r="AC333" t="b">
        <f t="shared" si="20"/>
        <v>0</v>
      </c>
    </row>
    <row r="334" spans="13:29">
      <c r="M334">
        <v>19</v>
      </c>
      <c r="N334">
        <v>20</v>
      </c>
      <c r="O334">
        <v>5</v>
      </c>
      <c r="P334">
        <v>4</v>
      </c>
      <c r="Q334">
        <v>5</v>
      </c>
      <c r="R334">
        <v>20</v>
      </c>
      <c r="S334">
        <v>90</v>
      </c>
      <c r="T334">
        <v>85</v>
      </c>
      <c r="U334">
        <v>30</v>
      </c>
      <c r="V334" t="b">
        <f t="shared" si="13"/>
        <v>0</v>
      </c>
      <c r="W334" t="b">
        <f t="shared" si="14"/>
        <v>0</v>
      </c>
      <c r="X334" t="b">
        <f t="shared" si="15"/>
        <v>0</v>
      </c>
      <c r="Y334" t="b">
        <f t="shared" si="16"/>
        <v>0</v>
      </c>
      <c r="Z334" t="b">
        <f t="shared" si="17"/>
        <v>0</v>
      </c>
      <c r="AA334" t="b">
        <f t="shared" si="18"/>
        <v>0</v>
      </c>
      <c r="AB334" t="b">
        <f t="shared" si="19"/>
        <v>0</v>
      </c>
      <c r="AC334" t="b">
        <f t="shared" si="20"/>
        <v>0</v>
      </c>
    </row>
    <row r="335" spans="13:29">
      <c r="M335">
        <v>19</v>
      </c>
      <c r="N335">
        <v>20</v>
      </c>
      <c r="O335">
        <v>5</v>
      </c>
      <c r="P335">
        <v>7</v>
      </c>
      <c r="Q335">
        <v>5</v>
      </c>
      <c r="R335">
        <v>30</v>
      </c>
      <c r="S335">
        <v>100</v>
      </c>
      <c r="T335">
        <v>85</v>
      </c>
      <c r="U335">
        <v>25</v>
      </c>
      <c r="V335" t="b">
        <f t="shared" si="13"/>
        <v>0</v>
      </c>
      <c r="W335" t="b">
        <f t="shared" si="14"/>
        <v>0</v>
      </c>
      <c r="X335" t="b">
        <f t="shared" si="15"/>
        <v>0</v>
      </c>
      <c r="Y335" t="b">
        <f t="shared" si="16"/>
        <v>0</v>
      </c>
      <c r="Z335" t="b">
        <f t="shared" si="17"/>
        <v>0</v>
      </c>
      <c r="AA335" t="b">
        <f t="shared" si="18"/>
        <v>0</v>
      </c>
      <c r="AB335" t="b">
        <f t="shared" si="19"/>
        <v>0</v>
      </c>
      <c r="AC335" t="b">
        <f t="shared" si="20"/>
        <v>0</v>
      </c>
    </row>
    <row r="336" spans="13:29">
      <c r="M336">
        <v>19</v>
      </c>
      <c r="N336">
        <v>20</v>
      </c>
      <c r="O336">
        <v>5</v>
      </c>
      <c r="P336">
        <v>4</v>
      </c>
      <c r="Q336">
        <v>5</v>
      </c>
      <c r="R336">
        <v>20</v>
      </c>
      <c r="S336">
        <v>100</v>
      </c>
      <c r="T336">
        <v>85</v>
      </c>
      <c r="U336">
        <v>25</v>
      </c>
      <c r="V336" t="b">
        <f t="shared" si="13"/>
        <v>0</v>
      </c>
      <c r="W336" t="b">
        <f t="shared" si="14"/>
        <v>0</v>
      </c>
      <c r="X336" t="b">
        <f t="shared" si="15"/>
        <v>0</v>
      </c>
      <c r="Y336" t="b">
        <f t="shared" si="16"/>
        <v>0</v>
      </c>
      <c r="Z336" t="b">
        <f t="shared" si="17"/>
        <v>0</v>
      </c>
      <c r="AA336" t="b">
        <f t="shared" si="18"/>
        <v>0</v>
      </c>
      <c r="AB336" t="b">
        <f t="shared" si="19"/>
        <v>0</v>
      </c>
      <c r="AC336" t="b">
        <f t="shared" si="20"/>
        <v>0</v>
      </c>
    </row>
    <row r="337" spans="13:29">
      <c r="M337">
        <v>19</v>
      </c>
      <c r="N337">
        <v>20</v>
      </c>
      <c r="O337">
        <v>5</v>
      </c>
      <c r="P337">
        <v>7</v>
      </c>
      <c r="Q337">
        <v>5</v>
      </c>
      <c r="R337">
        <v>20</v>
      </c>
      <c r="S337">
        <v>90</v>
      </c>
      <c r="T337">
        <v>85</v>
      </c>
      <c r="U337">
        <v>30</v>
      </c>
      <c r="V337" t="b">
        <f t="shared" si="13"/>
        <v>0</v>
      </c>
      <c r="W337" t="b">
        <f t="shared" si="14"/>
        <v>0</v>
      </c>
      <c r="X337" t="b">
        <f t="shared" si="15"/>
        <v>0</v>
      </c>
      <c r="Y337" t="b">
        <f t="shared" si="16"/>
        <v>0</v>
      </c>
      <c r="Z337" t="b">
        <f t="shared" si="17"/>
        <v>0</v>
      </c>
      <c r="AA337" t="b">
        <f t="shared" si="18"/>
        <v>0</v>
      </c>
      <c r="AB337" t="b">
        <f t="shared" si="19"/>
        <v>0</v>
      </c>
      <c r="AC337" t="b">
        <f t="shared" si="20"/>
        <v>0</v>
      </c>
    </row>
    <row r="338" spans="13:29">
      <c r="M338">
        <v>19</v>
      </c>
      <c r="N338">
        <v>20</v>
      </c>
      <c r="O338">
        <v>5</v>
      </c>
      <c r="P338">
        <v>4</v>
      </c>
      <c r="Q338">
        <v>5</v>
      </c>
      <c r="R338">
        <v>30</v>
      </c>
      <c r="S338">
        <v>100</v>
      </c>
      <c r="T338">
        <v>85</v>
      </c>
      <c r="U338">
        <v>25</v>
      </c>
      <c r="V338" t="b">
        <f t="shared" si="13"/>
        <v>0</v>
      </c>
      <c r="W338" t="b">
        <f t="shared" si="14"/>
        <v>0</v>
      </c>
      <c r="X338" t="b">
        <f t="shared" si="15"/>
        <v>0</v>
      </c>
      <c r="Y338" t="b">
        <f t="shared" si="16"/>
        <v>0</v>
      </c>
      <c r="Z338" t="b">
        <f t="shared" si="17"/>
        <v>0</v>
      </c>
      <c r="AA338" t="b">
        <f t="shared" si="18"/>
        <v>0</v>
      </c>
      <c r="AB338" t="b">
        <f t="shared" si="19"/>
        <v>0</v>
      </c>
      <c r="AC338" t="b">
        <f t="shared" si="20"/>
        <v>0</v>
      </c>
    </row>
    <row r="339" spans="13:29">
      <c r="M339">
        <v>19</v>
      </c>
      <c r="N339">
        <v>20</v>
      </c>
      <c r="O339">
        <v>5</v>
      </c>
      <c r="P339">
        <v>7</v>
      </c>
      <c r="Q339">
        <v>5</v>
      </c>
      <c r="R339">
        <v>30</v>
      </c>
      <c r="S339">
        <v>90</v>
      </c>
      <c r="T339">
        <v>85</v>
      </c>
      <c r="U339">
        <v>30</v>
      </c>
      <c r="V339" t="b">
        <f t="shared" si="13"/>
        <v>0</v>
      </c>
      <c r="W339" t="b">
        <f t="shared" si="14"/>
        <v>0</v>
      </c>
      <c r="X339" t="b">
        <f t="shared" si="15"/>
        <v>0</v>
      </c>
      <c r="Y339" t="b">
        <f t="shared" si="16"/>
        <v>0</v>
      </c>
      <c r="Z339" t="b">
        <f t="shared" si="17"/>
        <v>0</v>
      </c>
      <c r="AA339" t="b">
        <f t="shared" si="18"/>
        <v>0</v>
      </c>
      <c r="AB339" t="b">
        <f t="shared" si="19"/>
        <v>0</v>
      </c>
      <c r="AC339" t="b">
        <f t="shared" si="20"/>
        <v>0</v>
      </c>
    </row>
    <row r="340" spans="13:29">
      <c r="M340">
        <v>19</v>
      </c>
      <c r="N340">
        <v>10</v>
      </c>
      <c r="O340">
        <v>5</v>
      </c>
      <c r="P340">
        <v>4</v>
      </c>
      <c r="Q340">
        <v>5</v>
      </c>
      <c r="R340">
        <v>20</v>
      </c>
      <c r="S340">
        <v>80</v>
      </c>
      <c r="T340">
        <v>85</v>
      </c>
      <c r="U340">
        <v>30</v>
      </c>
      <c r="V340" t="b">
        <f t="shared" si="13"/>
        <v>0</v>
      </c>
      <c r="W340" t="b">
        <f t="shared" si="14"/>
        <v>0</v>
      </c>
      <c r="X340" t="b">
        <f t="shared" si="15"/>
        <v>0</v>
      </c>
      <c r="Y340" t="b">
        <f t="shared" si="16"/>
        <v>0</v>
      </c>
      <c r="Z340" t="b">
        <f t="shared" si="17"/>
        <v>0</v>
      </c>
      <c r="AA340" t="b">
        <f t="shared" si="18"/>
        <v>0</v>
      </c>
      <c r="AB340" t="b">
        <f t="shared" si="19"/>
        <v>0</v>
      </c>
      <c r="AC340" t="b">
        <f t="shared" si="20"/>
        <v>0</v>
      </c>
    </row>
    <row r="341" spans="13:29">
      <c r="M341">
        <v>19</v>
      </c>
      <c r="N341">
        <v>10</v>
      </c>
      <c r="O341">
        <v>5</v>
      </c>
      <c r="P341">
        <v>4</v>
      </c>
      <c r="Q341">
        <v>5</v>
      </c>
      <c r="R341">
        <v>30</v>
      </c>
      <c r="S341">
        <v>80</v>
      </c>
      <c r="T341">
        <v>85</v>
      </c>
      <c r="U341">
        <v>30</v>
      </c>
      <c r="V341" t="b">
        <f t="shared" si="13"/>
        <v>0</v>
      </c>
      <c r="W341" t="b">
        <f t="shared" si="14"/>
        <v>0</v>
      </c>
      <c r="X341" t="b">
        <f t="shared" si="15"/>
        <v>0</v>
      </c>
      <c r="Y341" t="b">
        <f t="shared" si="16"/>
        <v>0</v>
      </c>
      <c r="Z341" t="b">
        <f t="shared" si="17"/>
        <v>0</v>
      </c>
      <c r="AA341" t="b">
        <f t="shared" si="18"/>
        <v>0</v>
      </c>
      <c r="AB341" t="b">
        <f t="shared" si="19"/>
        <v>0</v>
      </c>
      <c r="AC341" t="b">
        <f t="shared" si="20"/>
        <v>0</v>
      </c>
    </row>
    <row r="342" spans="13:29">
      <c r="M342">
        <v>19</v>
      </c>
      <c r="N342">
        <v>10</v>
      </c>
      <c r="O342">
        <v>5</v>
      </c>
      <c r="P342">
        <v>7</v>
      </c>
      <c r="Q342">
        <v>5</v>
      </c>
      <c r="R342">
        <v>20</v>
      </c>
      <c r="S342">
        <v>80</v>
      </c>
      <c r="T342">
        <v>85</v>
      </c>
      <c r="U342">
        <v>30</v>
      </c>
      <c r="V342" t="b">
        <f t="shared" si="13"/>
        <v>0</v>
      </c>
      <c r="W342" t="b">
        <f t="shared" si="14"/>
        <v>0</v>
      </c>
      <c r="X342" t="b">
        <f t="shared" si="15"/>
        <v>0</v>
      </c>
      <c r="Y342" t="b">
        <f t="shared" si="16"/>
        <v>0</v>
      </c>
      <c r="Z342" t="b">
        <f t="shared" si="17"/>
        <v>0</v>
      </c>
      <c r="AA342" t="b">
        <f t="shared" si="18"/>
        <v>0</v>
      </c>
      <c r="AB342" t="b">
        <f t="shared" si="19"/>
        <v>0</v>
      </c>
      <c r="AC342" t="b">
        <f t="shared" si="20"/>
        <v>0</v>
      </c>
    </row>
    <row r="343" spans="13:29">
      <c r="M343">
        <v>19</v>
      </c>
      <c r="N343">
        <v>10</v>
      </c>
      <c r="O343">
        <v>5</v>
      </c>
      <c r="P343">
        <v>7</v>
      </c>
      <c r="Q343">
        <v>5</v>
      </c>
      <c r="R343">
        <v>30</v>
      </c>
      <c r="S343">
        <v>80</v>
      </c>
      <c r="T343">
        <v>85</v>
      </c>
      <c r="U343">
        <v>30</v>
      </c>
      <c r="V343" t="b">
        <f t="shared" si="13"/>
        <v>0</v>
      </c>
      <c r="W343" t="b">
        <f t="shared" si="14"/>
        <v>0</v>
      </c>
      <c r="X343" t="b">
        <f t="shared" si="15"/>
        <v>0</v>
      </c>
      <c r="Y343" t="b">
        <f t="shared" si="16"/>
        <v>0</v>
      </c>
      <c r="Z343" t="b">
        <f t="shared" si="17"/>
        <v>0</v>
      </c>
      <c r="AA343" t="b">
        <f t="shared" si="18"/>
        <v>0</v>
      </c>
      <c r="AB343" t="b">
        <f t="shared" si="19"/>
        <v>0</v>
      </c>
      <c r="AC343" t="b">
        <f t="shared" si="20"/>
        <v>0</v>
      </c>
    </row>
    <row r="344" spans="13:29">
      <c r="M344">
        <v>19</v>
      </c>
      <c r="N344">
        <v>20</v>
      </c>
      <c r="O344">
        <v>5</v>
      </c>
      <c r="P344">
        <v>7</v>
      </c>
      <c r="Q344">
        <v>5</v>
      </c>
      <c r="R344">
        <v>20</v>
      </c>
      <c r="S344">
        <v>100</v>
      </c>
      <c r="T344">
        <v>85</v>
      </c>
      <c r="U344">
        <v>25</v>
      </c>
      <c r="V344" t="b">
        <f t="shared" si="13"/>
        <v>0</v>
      </c>
      <c r="W344" t="b">
        <f t="shared" si="14"/>
        <v>0</v>
      </c>
      <c r="X344" t="b">
        <f t="shared" si="15"/>
        <v>0</v>
      </c>
      <c r="Y344" t="b">
        <f t="shared" si="16"/>
        <v>0</v>
      </c>
      <c r="Z344" t="b">
        <f t="shared" si="17"/>
        <v>0</v>
      </c>
      <c r="AA344" t="b">
        <f t="shared" si="18"/>
        <v>0</v>
      </c>
      <c r="AB344" t="b">
        <f t="shared" si="19"/>
        <v>0</v>
      </c>
      <c r="AC344" t="b">
        <f t="shared" si="20"/>
        <v>0</v>
      </c>
    </row>
    <row r="345" spans="13:29">
      <c r="M345">
        <v>19</v>
      </c>
      <c r="N345">
        <v>20</v>
      </c>
      <c r="O345">
        <v>5</v>
      </c>
      <c r="P345">
        <v>4</v>
      </c>
      <c r="Q345">
        <v>5</v>
      </c>
      <c r="R345">
        <v>30</v>
      </c>
      <c r="S345">
        <v>90</v>
      </c>
      <c r="T345">
        <v>85</v>
      </c>
      <c r="U345">
        <v>30</v>
      </c>
      <c r="V345" t="b">
        <f t="shared" si="13"/>
        <v>0</v>
      </c>
      <c r="W345" t="b">
        <f t="shared" si="14"/>
        <v>0</v>
      </c>
      <c r="X345" t="b">
        <f t="shared" si="15"/>
        <v>0</v>
      </c>
      <c r="Y345" t="b">
        <f t="shared" si="16"/>
        <v>0</v>
      </c>
      <c r="Z345" t="b">
        <f t="shared" si="17"/>
        <v>0</v>
      </c>
      <c r="AA345" t="b">
        <f t="shared" si="18"/>
        <v>0</v>
      </c>
      <c r="AB345" t="b">
        <f t="shared" si="19"/>
        <v>0</v>
      </c>
      <c r="AC345" t="b">
        <f t="shared" si="20"/>
        <v>0</v>
      </c>
    </row>
    <row r="346" spans="13:29">
      <c r="M346">
        <v>19</v>
      </c>
      <c r="N346">
        <v>20</v>
      </c>
      <c r="O346">
        <v>5</v>
      </c>
      <c r="P346">
        <v>4</v>
      </c>
      <c r="Q346">
        <v>5</v>
      </c>
      <c r="R346">
        <v>20</v>
      </c>
      <c r="S346">
        <v>90</v>
      </c>
      <c r="T346">
        <v>85</v>
      </c>
      <c r="U346">
        <v>30</v>
      </c>
      <c r="V346" t="b">
        <f t="shared" si="13"/>
        <v>0</v>
      </c>
      <c r="W346" t="b">
        <f t="shared" si="14"/>
        <v>0</v>
      </c>
      <c r="X346" t="b">
        <f t="shared" si="15"/>
        <v>0</v>
      </c>
      <c r="Y346" t="b">
        <f t="shared" si="16"/>
        <v>0</v>
      </c>
      <c r="Z346" t="b">
        <f t="shared" si="17"/>
        <v>0</v>
      </c>
      <c r="AA346" t="b">
        <f t="shared" si="18"/>
        <v>0</v>
      </c>
      <c r="AB346" t="b">
        <f t="shared" si="19"/>
        <v>0</v>
      </c>
      <c r="AC346" t="b">
        <f t="shared" si="20"/>
        <v>0</v>
      </c>
    </row>
    <row r="347" spans="13:29">
      <c r="M347">
        <v>19</v>
      </c>
      <c r="N347">
        <v>20</v>
      </c>
      <c r="O347">
        <v>5</v>
      </c>
      <c r="P347">
        <v>7</v>
      </c>
      <c r="Q347">
        <v>5</v>
      </c>
      <c r="R347">
        <v>30</v>
      </c>
      <c r="S347">
        <v>100</v>
      </c>
      <c r="T347">
        <v>85</v>
      </c>
      <c r="U347">
        <v>25</v>
      </c>
      <c r="V347" t="b">
        <f t="shared" si="13"/>
        <v>0</v>
      </c>
      <c r="W347" t="b">
        <f t="shared" si="14"/>
        <v>0</v>
      </c>
      <c r="X347" t="b">
        <f t="shared" si="15"/>
        <v>0</v>
      </c>
      <c r="Y347" t="b">
        <f t="shared" si="16"/>
        <v>0</v>
      </c>
      <c r="Z347" t="b">
        <f t="shared" si="17"/>
        <v>0</v>
      </c>
      <c r="AA347" t="b">
        <f t="shared" si="18"/>
        <v>0</v>
      </c>
      <c r="AB347" t="b">
        <f t="shared" si="19"/>
        <v>0</v>
      </c>
      <c r="AC347" t="b">
        <f t="shared" si="20"/>
        <v>0</v>
      </c>
    </row>
    <row r="348" spans="13:29">
      <c r="M348">
        <v>19</v>
      </c>
      <c r="N348">
        <v>20</v>
      </c>
      <c r="O348">
        <v>5</v>
      </c>
      <c r="P348">
        <v>4</v>
      </c>
      <c r="Q348">
        <v>5</v>
      </c>
      <c r="R348">
        <v>20</v>
      </c>
      <c r="S348">
        <v>100</v>
      </c>
      <c r="T348">
        <v>85</v>
      </c>
      <c r="U348">
        <v>25</v>
      </c>
      <c r="V348" t="b">
        <f t="shared" si="13"/>
        <v>0</v>
      </c>
      <c r="W348" t="b">
        <f t="shared" si="14"/>
        <v>0</v>
      </c>
      <c r="X348" t="b">
        <f t="shared" si="15"/>
        <v>0</v>
      </c>
      <c r="Y348" t="b">
        <f t="shared" si="16"/>
        <v>0</v>
      </c>
      <c r="Z348" t="b">
        <f t="shared" si="17"/>
        <v>0</v>
      </c>
      <c r="AA348" t="b">
        <f t="shared" si="18"/>
        <v>0</v>
      </c>
      <c r="AB348" t="b">
        <f t="shared" si="19"/>
        <v>0</v>
      </c>
      <c r="AC348" t="b">
        <f t="shared" si="20"/>
        <v>0</v>
      </c>
    </row>
    <row r="349" spans="13:29">
      <c r="M349">
        <v>19</v>
      </c>
      <c r="N349">
        <v>20</v>
      </c>
      <c r="O349">
        <v>5</v>
      </c>
      <c r="P349">
        <v>7</v>
      </c>
      <c r="Q349">
        <v>5</v>
      </c>
      <c r="R349">
        <v>20</v>
      </c>
      <c r="S349">
        <v>90</v>
      </c>
      <c r="T349">
        <v>85</v>
      </c>
      <c r="U349">
        <v>30</v>
      </c>
      <c r="V349" t="b">
        <f t="shared" si="13"/>
        <v>0</v>
      </c>
      <c r="W349" t="b">
        <f t="shared" si="14"/>
        <v>0</v>
      </c>
      <c r="X349" t="b">
        <f t="shared" si="15"/>
        <v>0</v>
      </c>
      <c r="Y349" t="b">
        <f t="shared" si="16"/>
        <v>0</v>
      </c>
      <c r="Z349" t="b">
        <f t="shared" si="17"/>
        <v>0</v>
      </c>
      <c r="AA349" t="b">
        <f t="shared" si="18"/>
        <v>0</v>
      </c>
      <c r="AB349" t="b">
        <f t="shared" si="19"/>
        <v>0</v>
      </c>
      <c r="AC349" t="b">
        <f t="shared" si="20"/>
        <v>0</v>
      </c>
    </row>
    <row r="350" spans="13:29">
      <c r="M350">
        <v>19</v>
      </c>
      <c r="N350">
        <v>20</v>
      </c>
      <c r="O350">
        <v>5</v>
      </c>
      <c r="P350">
        <v>4</v>
      </c>
      <c r="Q350">
        <v>5</v>
      </c>
      <c r="R350">
        <v>30</v>
      </c>
      <c r="S350">
        <v>100</v>
      </c>
      <c r="T350">
        <v>85</v>
      </c>
      <c r="U350">
        <v>25</v>
      </c>
      <c r="V350" t="b">
        <f t="shared" si="13"/>
        <v>0</v>
      </c>
      <c r="W350" t="b">
        <f t="shared" si="14"/>
        <v>0</v>
      </c>
      <c r="X350" t="b">
        <f t="shared" si="15"/>
        <v>0</v>
      </c>
      <c r="Y350" t="b">
        <f t="shared" si="16"/>
        <v>0</v>
      </c>
      <c r="Z350" t="b">
        <f t="shared" si="17"/>
        <v>0</v>
      </c>
      <c r="AA350" t="b">
        <f t="shared" si="18"/>
        <v>0</v>
      </c>
      <c r="AB350" t="b">
        <f t="shared" si="19"/>
        <v>0</v>
      </c>
      <c r="AC350" t="b">
        <f t="shared" si="20"/>
        <v>0</v>
      </c>
    </row>
    <row r="351" spans="13:29">
      <c r="M351">
        <v>19</v>
      </c>
      <c r="N351">
        <v>20</v>
      </c>
      <c r="O351">
        <v>5</v>
      </c>
      <c r="P351">
        <v>7</v>
      </c>
      <c r="Q351">
        <v>5</v>
      </c>
      <c r="R351">
        <v>30</v>
      </c>
      <c r="S351">
        <v>90</v>
      </c>
      <c r="T351">
        <v>85</v>
      </c>
      <c r="U351">
        <v>30</v>
      </c>
      <c r="V351" t="b">
        <f t="shared" si="13"/>
        <v>0</v>
      </c>
      <c r="W351" t="b">
        <f t="shared" si="14"/>
        <v>0</v>
      </c>
      <c r="X351" t="b">
        <f t="shared" si="15"/>
        <v>0</v>
      </c>
      <c r="Y351" t="b">
        <f t="shared" si="16"/>
        <v>0</v>
      </c>
      <c r="Z351" t="b">
        <f t="shared" si="17"/>
        <v>0</v>
      </c>
      <c r="AA351" t="b">
        <f t="shared" si="18"/>
        <v>0</v>
      </c>
      <c r="AB351" t="b">
        <f t="shared" si="19"/>
        <v>0</v>
      </c>
      <c r="AC351" t="b">
        <f t="shared" si="20"/>
        <v>0</v>
      </c>
    </row>
    <row r="352" spans="13:29">
      <c r="M352">
        <v>20</v>
      </c>
      <c r="N352">
        <v>20</v>
      </c>
      <c r="O352">
        <v>5</v>
      </c>
      <c r="P352">
        <v>4</v>
      </c>
      <c r="Q352">
        <v>5</v>
      </c>
      <c r="R352">
        <v>30</v>
      </c>
      <c r="S352">
        <v>80</v>
      </c>
      <c r="T352">
        <v>85</v>
      </c>
      <c r="U352">
        <v>30</v>
      </c>
      <c r="V352" t="b">
        <f t="shared" si="13"/>
        <v>0</v>
      </c>
      <c r="W352" t="b">
        <f t="shared" si="14"/>
        <v>0</v>
      </c>
      <c r="X352" t="b">
        <f t="shared" si="15"/>
        <v>0</v>
      </c>
      <c r="Y352" t="b">
        <f t="shared" si="16"/>
        <v>0</v>
      </c>
      <c r="Z352" t="b">
        <f t="shared" si="17"/>
        <v>0</v>
      </c>
      <c r="AA352" t="b">
        <f t="shared" si="18"/>
        <v>0</v>
      </c>
      <c r="AB352" t="b">
        <f t="shared" si="19"/>
        <v>0</v>
      </c>
      <c r="AC352" t="b">
        <f t="shared" si="20"/>
        <v>0</v>
      </c>
    </row>
    <row r="353" spans="13:29">
      <c r="M353">
        <v>20</v>
      </c>
      <c r="N353">
        <v>20</v>
      </c>
      <c r="O353">
        <v>5</v>
      </c>
      <c r="P353">
        <v>7</v>
      </c>
      <c r="Q353">
        <v>5</v>
      </c>
      <c r="R353">
        <v>20</v>
      </c>
      <c r="S353">
        <v>100</v>
      </c>
      <c r="T353">
        <v>85</v>
      </c>
      <c r="U353">
        <v>25</v>
      </c>
      <c r="V353" t="b">
        <f t="shared" si="13"/>
        <v>0</v>
      </c>
      <c r="W353" t="b">
        <f t="shared" si="14"/>
        <v>0</v>
      </c>
      <c r="X353" t="b">
        <f t="shared" si="15"/>
        <v>0</v>
      </c>
      <c r="Y353" t="b">
        <f t="shared" si="16"/>
        <v>0</v>
      </c>
      <c r="Z353" t="b">
        <f t="shared" si="17"/>
        <v>0</v>
      </c>
      <c r="AA353" t="b">
        <f t="shared" si="18"/>
        <v>0</v>
      </c>
      <c r="AB353" t="b">
        <f t="shared" si="19"/>
        <v>0</v>
      </c>
      <c r="AC353" t="b">
        <f t="shared" si="20"/>
        <v>0</v>
      </c>
    </row>
    <row r="354" spans="13:29">
      <c r="M354">
        <v>20</v>
      </c>
      <c r="N354">
        <v>20</v>
      </c>
      <c r="O354">
        <v>5</v>
      </c>
      <c r="P354">
        <v>7</v>
      </c>
      <c r="Q354">
        <v>5</v>
      </c>
      <c r="R354">
        <v>30</v>
      </c>
      <c r="S354">
        <v>80</v>
      </c>
      <c r="T354">
        <v>85</v>
      </c>
      <c r="U354">
        <v>30</v>
      </c>
      <c r="V354" t="b">
        <f t="shared" si="13"/>
        <v>0</v>
      </c>
      <c r="W354" t="b">
        <f t="shared" si="14"/>
        <v>0</v>
      </c>
      <c r="X354" t="b">
        <f t="shared" si="15"/>
        <v>0</v>
      </c>
      <c r="Y354" t="b">
        <f t="shared" si="16"/>
        <v>0</v>
      </c>
      <c r="Z354" t="b">
        <f t="shared" si="17"/>
        <v>0</v>
      </c>
      <c r="AA354" t="b">
        <f t="shared" si="18"/>
        <v>0</v>
      </c>
      <c r="AB354" t="b">
        <f t="shared" si="19"/>
        <v>0</v>
      </c>
      <c r="AC354" t="b">
        <f t="shared" si="20"/>
        <v>0</v>
      </c>
    </row>
    <row r="355" spans="13:29">
      <c r="M355">
        <v>20</v>
      </c>
      <c r="N355">
        <v>20</v>
      </c>
      <c r="O355">
        <v>5</v>
      </c>
      <c r="P355">
        <v>4</v>
      </c>
      <c r="Q355">
        <v>5</v>
      </c>
      <c r="R355">
        <v>30</v>
      </c>
      <c r="S355">
        <v>90</v>
      </c>
      <c r="T355">
        <v>85</v>
      </c>
      <c r="U355">
        <v>30</v>
      </c>
      <c r="V355" t="b">
        <f t="shared" si="13"/>
        <v>0</v>
      </c>
      <c r="W355" t="b">
        <f t="shared" si="14"/>
        <v>0</v>
      </c>
      <c r="X355" t="b">
        <f t="shared" si="15"/>
        <v>0</v>
      </c>
      <c r="Y355" t="b">
        <f t="shared" si="16"/>
        <v>0</v>
      </c>
      <c r="Z355" t="b">
        <f t="shared" si="17"/>
        <v>0</v>
      </c>
      <c r="AA355" t="b">
        <f t="shared" si="18"/>
        <v>0</v>
      </c>
      <c r="AB355" t="b">
        <f t="shared" si="19"/>
        <v>0</v>
      </c>
      <c r="AC355" t="b">
        <f t="shared" si="20"/>
        <v>0</v>
      </c>
    </row>
    <row r="356" spans="13:29">
      <c r="M356">
        <v>20</v>
      </c>
      <c r="N356">
        <v>20</v>
      </c>
      <c r="O356">
        <v>5</v>
      </c>
      <c r="P356">
        <v>4</v>
      </c>
      <c r="Q356">
        <v>5</v>
      </c>
      <c r="R356">
        <v>20</v>
      </c>
      <c r="S356">
        <v>90</v>
      </c>
      <c r="T356">
        <v>85</v>
      </c>
      <c r="U356">
        <v>30</v>
      </c>
      <c r="V356" t="b">
        <f t="shared" si="13"/>
        <v>0</v>
      </c>
      <c r="W356" t="b">
        <f t="shared" si="14"/>
        <v>0</v>
      </c>
      <c r="X356" t="b">
        <f t="shared" si="15"/>
        <v>0</v>
      </c>
      <c r="Y356" t="b">
        <f t="shared" si="16"/>
        <v>0</v>
      </c>
      <c r="Z356" t="b">
        <f t="shared" si="17"/>
        <v>0</v>
      </c>
      <c r="AA356" t="b">
        <f t="shared" si="18"/>
        <v>0</v>
      </c>
      <c r="AB356" t="b">
        <f t="shared" si="19"/>
        <v>0</v>
      </c>
      <c r="AC356" t="b">
        <f t="shared" si="20"/>
        <v>0</v>
      </c>
    </row>
    <row r="357" spans="13:29">
      <c r="M357">
        <v>20</v>
      </c>
      <c r="N357">
        <v>20</v>
      </c>
      <c r="O357">
        <v>5</v>
      </c>
      <c r="P357">
        <v>7</v>
      </c>
      <c r="Q357">
        <v>5</v>
      </c>
      <c r="R357">
        <v>30</v>
      </c>
      <c r="S357">
        <v>100</v>
      </c>
      <c r="T357">
        <v>85</v>
      </c>
      <c r="U357">
        <v>25</v>
      </c>
      <c r="V357" t="b">
        <f t="shared" si="13"/>
        <v>0</v>
      </c>
      <c r="W357" t="b">
        <f t="shared" si="14"/>
        <v>0</v>
      </c>
      <c r="X357" t="b">
        <f t="shared" si="15"/>
        <v>0</v>
      </c>
      <c r="Y357" t="b">
        <f t="shared" si="16"/>
        <v>0</v>
      </c>
      <c r="Z357" t="b">
        <f t="shared" si="17"/>
        <v>0</v>
      </c>
      <c r="AA357" t="b">
        <f t="shared" si="18"/>
        <v>0</v>
      </c>
      <c r="AB357" t="b">
        <f t="shared" si="19"/>
        <v>0</v>
      </c>
      <c r="AC357" t="b">
        <f t="shared" si="20"/>
        <v>0</v>
      </c>
    </row>
    <row r="358" spans="13:29">
      <c r="M358">
        <v>20</v>
      </c>
      <c r="N358">
        <v>20</v>
      </c>
      <c r="O358">
        <v>5</v>
      </c>
      <c r="P358">
        <v>7</v>
      </c>
      <c r="Q358">
        <v>5</v>
      </c>
      <c r="R358">
        <v>20</v>
      </c>
      <c r="S358">
        <v>80</v>
      </c>
      <c r="T358">
        <v>85</v>
      </c>
      <c r="U358">
        <v>30</v>
      </c>
      <c r="V358" t="b">
        <f t="shared" si="13"/>
        <v>0</v>
      </c>
      <c r="W358" t="b">
        <f t="shared" si="14"/>
        <v>0</v>
      </c>
      <c r="X358" t="b">
        <f t="shared" si="15"/>
        <v>0</v>
      </c>
      <c r="Y358" t="b">
        <f t="shared" si="16"/>
        <v>0</v>
      </c>
      <c r="Z358" t="b">
        <f t="shared" si="17"/>
        <v>0</v>
      </c>
      <c r="AA358" t="b">
        <f t="shared" si="18"/>
        <v>0</v>
      </c>
      <c r="AB358" t="b">
        <f t="shared" si="19"/>
        <v>0</v>
      </c>
      <c r="AC358" t="b">
        <f t="shared" si="20"/>
        <v>0</v>
      </c>
    </row>
    <row r="359" spans="13:29">
      <c r="M359">
        <v>20</v>
      </c>
      <c r="N359">
        <v>20</v>
      </c>
      <c r="O359">
        <v>5</v>
      </c>
      <c r="P359">
        <v>4</v>
      </c>
      <c r="Q359">
        <v>5</v>
      </c>
      <c r="R359">
        <v>20</v>
      </c>
      <c r="S359">
        <v>100</v>
      </c>
      <c r="T359">
        <v>85</v>
      </c>
      <c r="U359">
        <v>25</v>
      </c>
      <c r="V359" t="b">
        <f t="shared" si="13"/>
        <v>0</v>
      </c>
      <c r="W359" t="b">
        <f t="shared" si="14"/>
        <v>0</v>
      </c>
      <c r="X359" t="b">
        <f t="shared" si="15"/>
        <v>0</v>
      </c>
      <c r="Y359" t="b">
        <f t="shared" si="16"/>
        <v>0</v>
      </c>
      <c r="Z359" t="b">
        <f t="shared" si="17"/>
        <v>0</v>
      </c>
      <c r="AA359" t="b">
        <f t="shared" si="18"/>
        <v>0</v>
      </c>
      <c r="AB359" t="b">
        <f t="shared" si="19"/>
        <v>0</v>
      </c>
      <c r="AC359" t="b">
        <f t="shared" si="20"/>
        <v>0</v>
      </c>
    </row>
    <row r="360" spans="13:29">
      <c r="M360">
        <v>20</v>
      </c>
      <c r="N360">
        <v>20</v>
      </c>
      <c r="O360">
        <v>5</v>
      </c>
      <c r="P360">
        <v>7</v>
      </c>
      <c r="Q360">
        <v>5</v>
      </c>
      <c r="R360">
        <v>20</v>
      </c>
      <c r="S360">
        <v>90</v>
      </c>
      <c r="T360">
        <v>85</v>
      </c>
      <c r="U360">
        <v>30</v>
      </c>
      <c r="V360" t="b">
        <f t="shared" si="13"/>
        <v>0</v>
      </c>
      <c r="W360" t="b">
        <f t="shared" si="14"/>
        <v>0</v>
      </c>
      <c r="X360" t="b">
        <f t="shared" si="15"/>
        <v>0</v>
      </c>
      <c r="Y360" t="b">
        <f t="shared" si="16"/>
        <v>0</v>
      </c>
      <c r="Z360" t="b">
        <f t="shared" si="17"/>
        <v>0</v>
      </c>
      <c r="AA360" t="b">
        <f t="shared" si="18"/>
        <v>0</v>
      </c>
      <c r="AB360" t="b">
        <f t="shared" si="19"/>
        <v>0</v>
      </c>
      <c r="AC360" t="b">
        <f t="shared" si="20"/>
        <v>0</v>
      </c>
    </row>
    <row r="361" spans="13:29">
      <c r="M361">
        <v>20</v>
      </c>
      <c r="N361">
        <v>20</v>
      </c>
      <c r="O361">
        <v>5</v>
      </c>
      <c r="P361">
        <v>4</v>
      </c>
      <c r="Q361">
        <v>5</v>
      </c>
      <c r="R361">
        <v>30</v>
      </c>
      <c r="S361">
        <v>100</v>
      </c>
      <c r="T361">
        <v>85</v>
      </c>
      <c r="U361">
        <v>25</v>
      </c>
      <c r="V361" t="b">
        <f t="shared" si="13"/>
        <v>0</v>
      </c>
      <c r="W361" t="b">
        <f t="shared" si="14"/>
        <v>0</v>
      </c>
      <c r="X361" t="b">
        <f t="shared" si="15"/>
        <v>0</v>
      </c>
      <c r="Y361" t="b">
        <f t="shared" si="16"/>
        <v>0</v>
      </c>
      <c r="Z361" t="b">
        <f t="shared" si="17"/>
        <v>0</v>
      </c>
      <c r="AA361" t="b">
        <f t="shared" si="18"/>
        <v>0</v>
      </c>
      <c r="AB361" t="b">
        <f t="shared" si="19"/>
        <v>0</v>
      </c>
      <c r="AC361" t="b">
        <f t="shared" si="20"/>
        <v>0</v>
      </c>
    </row>
    <row r="362" spans="13:29">
      <c r="M362">
        <v>20</v>
      </c>
      <c r="N362">
        <v>20</v>
      </c>
      <c r="O362">
        <v>5</v>
      </c>
      <c r="P362">
        <v>7</v>
      </c>
      <c r="Q362">
        <v>5</v>
      </c>
      <c r="R362">
        <v>30</v>
      </c>
      <c r="S362">
        <v>90</v>
      </c>
      <c r="T362">
        <v>85</v>
      </c>
      <c r="U362">
        <v>30</v>
      </c>
      <c r="V362" t="b">
        <f t="shared" si="13"/>
        <v>0</v>
      </c>
      <c r="W362" t="b">
        <f t="shared" si="14"/>
        <v>0</v>
      </c>
      <c r="X362" t="b">
        <f t="shared" si="15"/>
        <v>0</v>
      </c>
      <c r="Y362" t="b">
        <f t="shared" si="16"/>
        <v>0</v>
      </c>
      <c r="Z362" t="b">
        <f t="shared" si="17"/>
        <v>0</v>
      </c>
      <c r="AA362" t="b">
        <f t="shared" si="18"/>
        <v>0</v>
      </c>
      <c r="AB362" t="b">
        <f t="shared" si="19"/>
        <v>0</v>
      </c>
      <c r="AC362" t="b">
        <f t="shared" si="20"/>
        <v>0</v>
      </c>
    </row>
    <row r="363" spans="13:29">
      <c r="M363">
        <v>20</v>
      </c>
      <c r="N363">
        <v>20</v>
      </c>
      <c r="O363">
        <v>5</v>
      </c>
      <c r="P363">
        <v>4</v>
      </c>
      <c r="Q363">
        <v>5</v>
      </c>
      <c r="R363">
        <v>20</v>
      </c>
      <c r="S363">
        <v>80</v>
      </c>
      <c r="T363">
        <v>85</v>
      </c>
      <c r="U363">
        <v>30</v>
      </c>
      <c r="V363" t="b">
        <f t="shared" si="13"/>
        <v>0</v>
      </c>
      <c r="W363" t="b">
        <f t="shared" si="14"/>
        <v>0</v>
      </c>
      <c r="X363" t="b">
        <f t="shared" si="15"/>
        <v>0</v>
      </c>
      <c r="Y363" t="b">
        <f t="shared" si="16"/>
        <v>0</v>
      </c>
      <c r="Z363" t="b">
        <f t="shared" si="17"/>
        <v>0</v>
      </c>
      <c r="AA363" t="b">
        <f t="shared" si="18"/>
        <v>0</v>
      </c>
      <c r="AB363" t="b">
        <f t="shared" si="19"/>
        <v>0</v>
      </c>
      <c r="AC363" t="b">
        <f t="shared" si="20"/>
        <v>0</v>
      </c>
    </row>
    <row r="364" spans="13:29">
      <c r="M364">
        <v>20</v>
      </c>
      <c r="N364">
        <v>20</v>
      </c>
      <c r="O364">
        <v>5</v>
      </c>
      <c r="P364">
        <v>4</v>
      </c>
      <c r="Q364">
        <v>5</v>
      </c>
      <c r="R364">
        <v>30</v>
      </c>
      <c r="S364">
        <v>80</v>
      </c>
      <c r="T364">
        <v>85</v>
      </c>
      <c r="U364">
        <v>30</v>
      </c>
      <c r="V364" t="b">
        <f t="shared" si="13"/>
        <v>0</v>
      </c>
      <c r="W364" t="b">
        <f t="shared" si="14"/>
        <v>0</v>
      </c>
      <c r="X364" t="b">
        <f t="shared" si="15"/>
        <v>0</v>
      </c>
      <c r="Y364" t="b">
        <f t="shared" si="16"/>
        <v>0</v>
      </c>
      <c r="Z364" t="b">
        <f t="shared" si="17"/>
        <v>0</v>
      </c>
      <c r="AA364" t="b">
        <f t="shared" si="18"/>
        <v>0</v>
      </c>
      <c r="AB364" t="b">
        <f t="shared" si="19"/>
        <v>0</v>
      </c>
      <c r="AC364" t="b">
        <f t="shared" si="20"/>
        <v>0</v>
      </c>
    </row>
    <row r="365" spans="13:29">
      <c r="M365">
        <v>20</v>
      </c>
      <c r="N365">
        <v>20</v>
      </c>
      <c r="O365">
        <v>5</v>
      </c>
      <c r="P365">
        <v>7</v>
      </c>
      <c r="Q365">
        <v>5</v>
      </c>
      <c r="R365">
        <v>20</v>
      </c>
      <c r="S365">
        <v>100</v>
      </c>
      <c r="T365">
        <v>85</v>
      </c>
      <c r="U365">
        <v>25</v>
      </c>
      <c r="V365" t="b">
        <f t="shared" si="13"/>
        <v>0</v>
      </c>
      <c r="W365" t="b">
        <f t="shared" si="14"/>
        <v>0</v>
      </c>
      <c r="X365" t="b">
        <f t="shared" si="15"/>
        <v>0</v>
      </c>
      <c r="Y365" t="b">
        <f t="shared" si="16"/>
        <v>0</v>
      </c>
      <c r="Z365" t="b">
        <f t="shared" si="17"/>
        <v>0</v>
      </c>
      <c r="AA365" t="b">
        <f t="shared" si="18"/>
        <v>0</v>
      </c>
      <c r="AB365" t="b">
        <f t="shared" si="19"/>
        <v>0</v>
      </c>
      <c r="AC365" t="b">
        <f t="shared" si="20"/>
        <v>0</v>
      </c>
    </row>
    <row r="366" spans="13:29">
      <c r="M366">
        <v>20</v>
      </c>
      <c r="N366">
        <v>20</v>
      </c>
      <c r="O366">
        <v>5</v>
      </c>
      <c r="P366">
        <v>7</v>
      </c>
      <c r="Q366">
        <v>5</v>
      </c>
      <c r="R366">
        <v>30</v>
      </c>
      <c r="S366">
        <v>80</v>
      </c>
      <c r="T366">
        <v>85</v>
      </c>
      <c r="U366">
        <v>30</v>
      </c>
      <c r="V366" t="b">
        <f t="shared" si="13"/>
        <v>0</v>
      </c>
      <c r="W366" t="b">
        <f t="shared" si="14"/>
        <v>0</v>
      </c>
      <c r="X366" t="b">
        <f t="shared" si="15"/>
        <v>0</v>
      </c>
      <c r="Y366" t="b">
        <f t="shared" si="16"/>
        <v>0</v>
      </c>
      <c r="Z366" t="b">
        <f t="shared" si="17"/>
        <v>0</v>
      </c>
      <c r="AA366" t="b">
        <f t="shared" si="18"/>
        <v>0</v>
      </c>
      <c r="AB366" t="b">
        <f t="shared" si="19"/>
        <v>0</v>
      </c>
      <c r="AC366" t="b">
        <f t="shared" si="20"/>
        <v>0</v>
      </c>
    </row>
    <row r="367" spans="13:29">
      <c r="M367">
        <v>20</v>
      </c>
      <c r="N367">
        <v>20</v>
      </c>
      <c r="O367">
        <v>5</v>
      </c>
      <c r="P367">
        <v>4</v>
      </c>
      <c r="Q367">
        <v>5</v>
      </c>
      <c r="R367">
        <v>30</v>
      </c>
      <c r="S367">
        <v>90</v>
      </c>
      <c r="T367">
        <v>85</v>
      </c>
      <c r="U367">
        <v>30</v>
      </c>
      <c r="V367" t="b">
        <f t="shared" si="13"/>
        <v>0</v>
      </c>
      <c r="W367" t="b">
        <f t="shared" si="14"/>
        <v>0</v>
      </c>
      <c r="X367" t="b">
        <f t="shared" si="15"/>
        <v>0</v>
      </c>
      <c r="Y367" t="b">
        <f t="shared" si="16"/>
        <v>0</v>
      </c>
      <c r="Z367" t="b">
        <f t="shared" si="17"/>
        <v>0</v>
      </c>
      <c r="AA367" t="b">
        <f t="shared" si="18"/>
        <v>0</v>
      </c>
      <c r="AB367" t="b">
        <f t="shared" si="19"/>
        <v>0</v>
      </c>
      <c r="AC367" t="b">
        <f t="shared" si="20"/>
        <v>0</v>
      </c>
    </row>
    <row r="368" spans="13:29">
      <c r="M368">
        <v>20</v>
      </c>
      <c r="N368">
        <v>20</v>
      </c>
      <c r="O368">
        <v>5</v>
      </c>
      <c r="P368">
        <v>4</v>
      </c>
      <c r="Q368">
        <v>5</v>
      </c>
      <c r="R368">
        <v>20</v>
      </c>
      <c r="S368">
        <v>90</v>
      </c>
      <c r="T368">
        <v>85</v>
      </c>
      <c r="U368">
        <v>30</v>
      </c>
      <c r="V368" t="b">
        <f t="shared" si="13"/>
        <v>0</v>
      </c>
      <c r="W368" t="b">
        <f t="shared" si="14"/>
        <v>0</v>
      </c>
      <c r="X368" t="b">
        <f t="shared" si="15"/>
        <v>0</v>
      </c>
      <c r="Y368" t="b">
        <f t="shared" si="16"/>
        <v>0</v>
      </c>
      <c r="Z368" t="b">
        <f t="shared" si="17"/>
        <v>0</v>
      </c>
      <c r="AA368" t="b">
        <f t="shared" si="18"/>
        <v>0</v>
      </c>
      <c r="AB368" t="b">
        <f t="shared" si="19"/>
        <v>0</v>
      </c>
      <c r="AC368" t="b">
        <f t="shared" si="20"/>
        <v>0</v>
      </c>
    </row>
    <row r="369" spans="13:29">
      <c r="M369">
        <v>20</v>
      </c>
      <c r="N369">
        <v>20</v>
      </c>
      <c r="O369">
        <v>5</v>
      </c>
      <c r="P369">
        <v>7</v>
      </c>
      <c r="Q369">
        <v>5</v>
      </c>
      <c r="R369">
        <v>30</v>
      </c>
      <c r="S369">
        <v>100</v>
      </c>
      <c r="T369">
        <v>85</v>
      </c>
      <c r="U369">
        <v>25</v>
      </c>
      <c r="V369" t="b">
        <f t="shared" si="13"/>
        <v>0</v>
      </c>
      <c r="W369" t="b">
        <f t="shared" si="14"/>
        <v>0</v>
      </c>
      <c r="X369" t="b">
        <f t="shared" si="15"/>
        <v>0</v>
      </c>
      <c r="Y369" t="b">
        <f t="shared" si="16"/>
        <v>0</v>
      </c>
      <c r="Z369" t="b">
        <f t="shared" si="17"/>
        <v>0</v>
      </c>
      <c r="AA369" t="b">
        <f t="shared" si="18"/>
        <v>0</v>
      </c>
      <c r="AB369" t="b">
        <f t="shared" si="19"/>
        <v>0</v>
      </c>
      <c r="AC369" t="b">
        <f t="shared" si="20"/>
        <v>0</v>
      </c>
    </row>
    <row r="370" spans="13:29">
      <c r="M370">
        <v>20</v>
      </c>
      <c r="N370">
        <v>20</v>
      </c>
      <c r="O370">
        <v>5</v>
      </c>
      <c r="P370">
        <v>7</v>
      </c>
      <c r="Q370">
        <v>5</v>
      </c>
      <c r="R370">
        <v>20</v>
      </c>
      <c r="S370">
        <v>80</v>
      </c>
      <c r="T370">
        <v>85</v>
      </c>
      <c r="U370">
        <v>30</v>
      </c>
      <c r="V370" t="b">
        <f t="shared" si="13"/>
        <v>0</v>
      </c>
      <c r="W370" t="b">
        <f t="shared" si="14"/>
        <v>0</v>
      </c>
      <c r="X370" t="b">
        <f t="shared" si="15"/>
        <v>0</v>
      </c>
      <c r="Y370" t="b">
        <f t="shared" si="16"/>
        <v>0</v>
      </c>
      <c r="Z370" t="b">
        <f t="shared" si="17"/>
        <v>0</v>
      </c>
      <c r="AA370" t="b">
        <f t="shared" si="18"/>
        <v>0</v>
      </c>
      <c r="AB370" t="b">
        <f t="shared" si="19"/>
        <v>0</v>
      </c>
      <c r="AC370" t="b">
        <f t="shared" si="20"/>
        <v>0</v>
      </c>
    </row>
    <row r="371" spans="13:29">
      <c r="M371">
        <v>20</v>
      </c>
      <c r="N371">
        <v>20</v>
      </c>
      <c r="O371">
        <v>5</v>
      </c>
      <c r="P371">
        <v>4</v>
      </c>
      <c r="Q371">
        <v>5</v>
      </c>
      <c r="R371">
        <v>20</v>
      </c>
      <c r="S371">
        <v>100</v>
      </c>
      <c r="T371">
        <v>85</v>
      </c>
      <c r="U371">
        <v>25</v>
      </c>
      <c r="V371" t="b">
        <f t="shared" si="13"/>
        <v>0</v>
      </c>
      <c r="W371" t="b">
        <f t="shared" si="14"/>
        <v>0</v>
      </c>
      <c r="X371" t="b">
        <f t="shared" si="15"/>
        <v>0</v>
      </c>
      <c r="Y371" t="b">
        <f t="shared" si="16"/>
        <v>0</v>
      </c>
      <c r="Z371" t="b">
        <f t="shared" si="17"/>
        <v>0</v>
      </c>
      <c r="AA371" t="b">
        <f t="shared" si="18"/>
        <v>0</v>
      </c>
      <c r="AB371" t="b">
        <f t="shared" si="19"/>
        <v>0</v>
      </c>
      <c r="AC371" t="b">
        <f t="shared" si="20"/>
        <v>0</v>
      </c>
    </row>
    <row r="372" spans="13:29">
      <c r="M372">
        <v>20</v>
      </c>
      <c r="N372">
        <v>20</v>
      </c>
      <c r="O372">
        <v>5</v>
      </c>
      <c r="P372">
        <v>7</v>
      </c>
      <c r="Q372">
        <v>5</v>
      </c>
      <c r="R372">
        <v>20</v>
      </c>
      <c r="S372">
        <v>90</v>
      </c>
      <c r="T372">
        <v>85</v>
      </c>
      <c r="U372">
        <v>30</v>
      </c>
      <c r="V372" t="b">
        <f t="shared" si="13"/>
        <v>0</v>
      </c>
      <c r="W372" t="b">
        <f t="shared" si="14"/>
        <v>0</v>
      </c>
      <c r="X372" t="b">
        <f t="shared" si="15"/>
        <v>0</v>
      </c>
      <c r="Y372" t="b">
        <f t="shared" si="16"/>
        <v>0</v>
      </c>
      <c r="Z372" t="b">
        <f t="shared" si="17"/>
        <v>0</v>
      </c>
      <c r="AA372" t="b">
        <f t="shared" si="18"/>
        <v>0</v>
      </c>
      <c r="AB372" t="b">
        <f t="shared" si="19"/>
        <v>0</v>
      </c>
      <c r="AC372" t="b">
        <f t="shared" si="20"/>
        <v>0</v>
      </c>
    </row>
    <row r="373" spans="13:29">
      <c r="M373">
        <v>20</v>
      </c>
      <c r="N373">
        <v>20</v>
      </c>
      <c r="O373">
        <v>5</v>
      </c>
      <c r="P373">
        <v>4</v>
      </c>
      <c r="Q373">
        <v>5</v>
      </c>
      <c r="R373">
        <v>30</v>
      </c>
      <c r="S373">
        <v>100</v>
      </c>
      <c r="T373">
        <v>85</v>
      </c>
      <c r="U373">
        <v>25</v>
      </c>
      <c r="V373" t="b">
        <f t="shared" si="13"/>
        <v>0</v>
      </c>
      <c r="W373" t="b">
        <f t="shared" si="14"/>
        <v>0</v>
      </c>
      <c r="X373" t="b">
        <f t="shared" si="15"/>
        <v>0</v>
      </c>
      <c r="Y373" t="b">
        <f t="shared" si="16"/>
        <v>0</v>
      </c>
      <c r="Z373" t="b">
        <f t="shared" si="17"/>
        <v>0</v>
      </c>
      <c r="AA373" t="b">
        <f t="shared" si="18"/>
        <v>0</v>
      </c>
      <c r="AB373" t="b">
        <f t="shared" si="19"/>
        <v>0</v>
      </c>
      <c r="AC373" t="b">
        <f t="shared" si="20"/>
        <v>0</v>
      </c>
    </row>
    <row r="374" spans="13:29">
      <c r="M374">
        <v>20</v>
      </c>
      <c r="N374">
        <v>20</v>
      </c>
      <c r="O374">
        <v>5</v>
      </c>
      <c r="P374">
        <v>7</v>
      </c>
      <c r="Q374">
        <v>5</v>
      </c>
      <c r="R374">
        <v>30</v>
      </c>
      <c r="S374">
        <v>90</v>
      </c>
      <c r="T374">
        <v>85</v>
      </c>
      <c r="U374">
        <v>30</v>
      </c>
      <c r="V374" t="b">
        <f t="shared" si="13"/>
        <v>0</v>
      </c>
      <c r="W374" t="b">
        <f t="shared" si="14"/>
        <v>0</v>
      </c>
      <c r="X374" t="b">
        <f t="shared" si="15"/>
        <v>0</v>
      </c>
      <c r="Y374" t="b">
        <f t="shared" si="16"/>
        <v>0</v>
      </c>
      <c r="Z374" t="b">
        <f t="shared" si="17"/>
        <v>0</v>
      </c>
      <c r="AA374" t="b">
        <f t="shared" si="18"/>
        <v>0</v>
      </c>
      <c r="AB374" t="b">
        <f t="shared" si="19"/>
        <v>0</v>
      </c>
      <c r="AC374" t="b">
        <f t="shared" si="20"/>
        <v>0</v>
      </c>
    </row>
    <row r="375" spans="13:29">
      <c r="M375">
        <v>20</v>
      </c>
      <c r="N375">
        <v>20</v>
      </c>
      <c r="O375">
        <v>5</v>
      </c>
      <c r="P375">
        <v>4</v>
      </c>
      <c r="Q375">
        <v>5</v>
      </c>
      <c r="R375">
        <v>20</v>
      </c>
      <c r="S375">
        <v>80</v>
      </c>
      <c r="T375">
        <v>85</v>
      </c>
      <c r="U375">
        <v>30</v>
      </c>
      <c r="V375" t="b">
        <f t="shared" si="13"/>
        <v>0</v>
      </c>
      <c r="W375" t="b">
        <f t="shared" si="14"/>
        <v>0</v>
      </c>
      <c r="X375" t="b">
        <f t="shared" si="15"/>
        <v>0</v>
      </c>
      <c r="Y375" t="b">
        <f t="shared" si="16"/>
        <v>0</v>
      </c>
      <c r="Z375" t="b">
        <f t="shared" si="17"/>
        <v>0</v>
      </c>
      <c r="AA375" t="b">
        <f t="shared" si="18"/>
        <v>0</v>
      </c>
      <c r="AB375" t="b">
        <f t="shared" si="19"/>
        <v>0</v>
      </c>
      <c r="AC375" t="b">
        <f t="shared" si="20"/>
        <v>0</v>
      </c>
    </row>
    <row r="376" spans="13:29">
      <c r="M376">
        <v>21</v>
      </c>
      <c r="N376">
        <v>20</v>
      </c>
      <c r="O376">
        <v>5</v>
      </c>
      <c r="P376">
        <v>7</v>
      </c>
      <c r="Q376">
        <v>5</v>
      </c>
      <c r="R376">
        <v>20</v>
      </c>
      <c r="S376">
        <v>100</v>
      </c>
      <c r="T376">
        <v>85</v>
      </c>
      <c r="U376">
        <v>25</v>
      </c>
      <c r="V376" t="b">
        <f t="shared" si="13"/>
        <v>0</v>
      </c>
      <c r="W376" t="b">
        <f t="shared" si="14"/>
        <v>0</v>
      </c>
      <c r="X376" t="b">
        <f t="shared" si="15"/>
        <v>0</v>
      </c>
      <c r="Y376" t="b">
        <f t="shared" si="16"/>
        <v>0</v>
      </c>
      <c r="Z376" t="b">
        <f t="shared" si="17"/>
        <v>0</v>
      </c>
      <c r="AA376" t="b">
        <f t="shared" si="18"/>
        <v>0</v>
      </c>
      <c r="AB376" t="b">
        <f t="shared" si="19"/>
        <v>0</v>
      </c>
      <c r="AC376" t="b">
        <f t="shared" si="20"/>
        <v>0</v>
      </c>
    </row>
    <row r="377" spans="13:29">
      <c r="M377">
        <v>21</v>
      </c>
      <c r="N377">
        <v>20</v>
      </c>
      <c r="O377">
        <v>5</v>
      </c>
      <c r="P377">
        <v>7</v>
      </c>
      <c r="Q377">
        <v>5</v>
      </c>
      <c r="R377">
        <v>30</v>
      </c>
      <c r="S377">
        <v>100</v>
      </c>
      <c r="T377">
        <v>85</v>
      </c>
      <c r="U377">
        <v>25</v>
      </c>
      <c r="V377" t="b">
        <f t="shared" si="13"/>
        <v>0</v>
      </c>
      <c r="W377" t="b">
        <f t="shared" si="14"/>
        <v>0</v>
      </c>
      <c r="X377" t="b">
        <f t="shared" si="15"/>
        <v>0</v>
      </c>
      <c r="Y377" t="b">
        <f t="shared" si="16"/>
        <v>0</v>
      </c>
      <c r="Z377" t="b">
        <f t="shared" si="17"/>
        <v>0</v>
      </c>
      <c r="AA377" t="b">
        <f t="shared" si="18"/>
        <v>0</v>
      </c>
      <c r="AB377" t="b">
        <f t="shared" si="19"/>
        <v>0</v>
      </c>
      <c r="AC377" t="b">
        <f t="shared" si="20"/>
        <v>0</v>
      </c>
    </row>
    <row r="378" spans="13:29">
      <c r="M378">
        <v>21</v>
      </c>
      <c r="N378">
        <v>20</v>
      </c>
      <c r="O378">
        <v>5</v>
      </c>
      <c r="P378">
        <v>7</v>
      </c>
      <c r="Q378">
        <v>5</v>
      </c>
      <c r="R378">
        <v>30</v>
      </c>
      <c r="S378">
        <v>80</v>
      </c>
      <c r="T378">
        <v>85</v>
      </c>
      <c r="U378">
        <v>30</v>
      </c>
      <c r="V378" t="b">
        <f t="shared" si="13"/>
        <v>0</v>
      </c>
      <c r="W378" t="b">
        <f t="shared" si="14"/>
        <v>0</v>
      </c>
      <c r="X378" t="b">
        <f t="shared" si="15"/>
        <v>0</v>
      </c>
      <c r="Y378" t="b">
        <f t="shared" si="16"/>
        <v>0</v>
      </c>
      <c r="Z378" t="b">
        <f t="shared" si="17"/>
        <v>0</v>
      </c>
      <c r="AA378" t="b">
        <f t="shared" si="18"/>
        <v>0</v>
      </c>
      <c r="AB378" t="b">
        <f t="shared" si="19"/>
        <v>0</v>
      </c>
      <c r="AC378" t="b">
        <f t="shared" si="20"/>
        <v>0</v>
      </c>
    </row>
    <row r="379" spans="13:29">
      <c r="M379">
        <v>21</v>
      </c>
      <c r="N379">
        <v>20</v>
      </c>
      <c r="O379">
        <v>5</v>
      </c>
      <c r="P379">
        <v>4</v>
      </c>
      <c r="Q379">
        <v>5</v>
      </c>
      <c r="R379">
        <v>30</v>
      </c>
      <c r="S379">
        <v>90</v>
      </c>
      <c r="T379">
        <v>85</v>
      </c>
      <c r="U379">
        <v>30</v>
      </c>
      <c r="V379" t="b">
        <f t="shared" si="13"/>
        <v>0</v>
      </c>
      <c r="W379" t="b">
        <f t="shared" si="14"/>
        <v>0</v>
      </c>
      <c r="X379" t="b">
        <f t="shared" si="15"/>
        <v>0</v>
      </c>
      <c r="Y379" t="b">
        <f t="shared" si="16"/>
        <v>0</v>
      </c>
      <c r="Z379" t="b">
        <f t="shared" si="17"/>
        <v>0</v>
      </c>
      <c r="AA379" t="b">
        <f t="shared" si="18"/>
        <v>0</v>
      </c>
      <c r="AB379" t="b">
        <f t="shared" si="19"/>
        <v>0</v>
      </c>
      <c r="AC379" t="b">
        <f t="shared" si="20"/>
        <v>0</v>
      </c>
    </row>
    <row r="380" spans="13:29">
      <c r="M380">
        <v>21</v>
      </c>
      <c r="N380">
        <v>20</v>
      </c>
      <c r="O380">
        <v>5</v>
      </c>
      <c r="P380">
        <v>7</v>
      </c>
      <c r="Q380">
        <v>5</v>
      </c>
      <c r="R380">
        <v>20</v>
      </c>
      <c r="S380">
        <v>90</v>
      </c>
      <c r="T380">
        <v>85</v>
      </c>
      <c r="U380">
        <v>30</v>
      </c>
      <c r="V380" t="b">
        <f t="shared" si="13"/>
        <v>0</v>
      </c>
      <c r="W380" t="b">
        <f t="shared" si="14"/>
        <v>0</v>
      </c>
      <c r="X380" t="b">
        <f t="shared" si="15"/>
        <v>0</v>
      </c>
      <c r="Y380" t="b">
        <f t="shared" si="16"/>
        <v>0</v>
      </c>
      <c r="Z380" t="b">
        <f t="shared" si="17"/>
        <v>0</v>
      </c>
      <c r="AA380" t="b">
        <f t="shared" si="18"/>
        <v>0</v>
      </c>
      <c r="AB380" t="b">
        <f t="shared" si="19"/>
        <v>0</v>
      </c>
      <c r="AC380" t="b">
        <f t="shared" si="20"/>
        <v>0</v>
      </c>
    </row>
    <row r="381" spans="13:29">
      <c r="M381">
        <v>21</v>
      </c>
      <c r="N381">
        <v>20</v>
      </c>
      <c r="O381">
        <v>5</v>
      </c>
      <c r="P381">
        <v>7</v>
      </c>
      <c r="Q381">
        <v>5</v>
      </c>
      <c r="R381">
        <v>20</v>
      </c>
      <c r="S381">
        <v>80</v>
      </c>
      <c r="T381">
        <v>85</v>
      </c>
      <c r="U381">
        <v>30</v>
      </c>
      <c r="V381" t="b">
        <f t="shared" si="13"/>
        <v>0</v>
      </c>
      <c r="W381" t="b">
        <f t="shared" si="14"/>
        <v>0</v>
      </c>
      <c r="X381" t="b">
        <f t="shared" si="15"/>
        <v>0</v>
      </c>
      <c r="Y381" t="b">
        <f t="shared" si="16"/>
        <v>0</v>
      </c>
      <c r="Z381" t="b">
        <f t="shared" si="17"/>
        <v>0</v>
      </c>
      <c r="AA381" t="b">
        <f t="shared" si="18"/>
        <v>0</v>
      </c>
      <c r="AB381" t="b">
        <f t="shared" si="19"/>
        <v>0</v>
      </c>
      <c r="AC381" t="b">
        <f t="shared" si="20"/>
        <v>0</v>
      </c>
    </row>
    <row r="382" spans="13:29">
      <c r="M382">
        <v>21</v>
      </c>
      <c r="N382">
        <v>20</v>
      </c>
      <c r="O382">
        <v>5</v>
      </c>
      <c r="P382">
        <v>4</v>
      </c>
      <c r="Q382">
        <v>5</v>
      </c>
      <c r="R382">
        <v>20</v>
      </c>
      <c r="S382">
        <v>100</v>
      </c>
      <c r="T382">
        <v>85</v>
      </c>
      <c r="U382">
        <v>25</v>
      </c>
      <c r="V382" t="b">
        <f t="shared" si="13"/>
        <v>0</v>
      </c>
      <c r="W382" t="b">
        <f t="shared" si="14"/>
        <v>0</v>
      </c>
      <c r="X382" t="b">
        <f t="shared" si="15"/>
        <v>0</v>
      </c>
      <c r="Y382" t="b">
        <f t="shared" si="16"/>
        <v>0</v>
      </c>
      <c r="Z382" t="b">
        <f t="shared" si="17"/>
        <v>0</v>
      </c>
      <c r="AA382" t="b">
        <f t="shared" si="18"/>
        <v>0</v>
      </c>
      <c r="AB382" t="b">
        <f t="shared" si="19"/>
        <v>0</v>
      </c>
      <c r="AC382" t="b">
        <f t="shared" si="20"/>
        <v>0</v>
      </c>
    </row>
    <row r="383" spans="13:29">
      <c r="M383">
        <v>21</v>
      </c>
      <c r="N383">
        <v>20</v>
      </c>
      <c r="O383">
        <v>5</v>
      </c>
      <c r="P383">
        <v>7</v>
      </c>
      <c r="Q383">
        <v>5</v>
      </c>
      <c r="R383">
        <v>30</v>
      </c>
      <c r="S383">
        <v>90</v>
      </c>
      <c r="T383">
        <v>85</v>
      </c>
      <c r="U383">
        <v>30</v>
      </c>
      <c r="V383" t="b">
        <f t="shared" si="13"/>
        <v>0</v>
      </c>
      <c r="W383" t="b">
        <f t="shared" si="14"/>
        <v>0</v>
      </c>
      <c r="X383" t="b">
        <f t="shared" si="15"/>
        <v>0</v>
      </c>
      <c r="Y383" t="b">
        <f t="shared" si="16"/>
        <v>0</v>
      </c>
      <c r="Z383" t="b">
        <f t="shared" si="17"/>
        <v>0</v>
      </c>
      <c r="AA383" t="b">
        <f t="shared" si="18"/>
        <v>0</v>
      </c>
      <c r="AB383" t="b">
        <f t="shared" si="19"/>
        <v>0</v>
      </c>
      <c r="AC383" t="b">
        <f t="shared" si="20"/>
        <v>0</v>
      </c>
    </row>
    <row r="384" spans="13:29">
      <c r="M384">
        <v>21</v>
      </c>
      <c r="N384">
        <v>20</v>
      </c>
      <c r="O384">
        <v>5</v>
      </c>
      <c r="P384">
        <v>4</v>
      </c>
      <c r="Q384">
        <v>5</v>
      </c>
      <c r="R384">
        <v>30</v>
      </c>
      <c r="S384">
        <v>100</v>
      </c>
      <c r="T384">
        <v>85</v>
      </c>
      <c r="U384">
        <v>25</v>
      </c>
      <c r="V384" t="b">
        <f t="shared" si="13"/>
        <v>0</v>
      </c>
      <c r="W384" t="b">
        <f t="shared" si="14"/>
        <v>0</v>
      </c>
      <c r="X384" t="b">
        <f t="shared" si="15"/>
        <v>0</v>
      </c>
      <c r="Y384" t="b">
        <f t="shared" si="16"/>
        <v>0</v>
      </c>
      <c r="Z384" t="b">
        <f t="shared" si="17"/>
        <v>0</v>
      </c>
      <c r="AA384" t="b">
        <f t="shared" si="18"/>
        <v>0</v>
      </c>
      <c r="AB384" t="b">
        <f t="shared" si="19"/>
        <v>0</v>
      </c>
      <c r="AC384" t="b">
        <f t="shared" si="20"/>
        <v>0</v>
      </c>
    </row>
    <row r="385" spans="13:29">
      <c r="M385">
        <v>21</v>
      </c>
      <c r="N385">
        <v>20</v>
      </c>
      <c r="O385">
        <v>5</v>
      </c>
      <c r="P385">
        <v>4</v>
      </c>
      <c r="Q385">
        <v>5</v>
      </c>
      <c r="R385">
        <v>20</v>
      </c>
      <c r="S385">
        <v>80</v>
      </c>
      <c r="T385">
        <v>85</v>
      </c>
      <c r="U385">
        <v>30</v>
      </c>
      <c r="V385" t="b">
        <f t="shared" si="13"/>
        <v>0</v>
      </c>
      <c r="W385" t="b">
        <f t="shared" si="14"/>
        <v>0</v>
      </c>
      <c r="X385" t="b">
        <f t="shared" si="15"/>
        <v>0</v>
      </c>
      <c r="Y385" t="b">
        <f t="shared" si="16"/>
        <v>0</v>
      </c>
      <c r="Z385" t="b">
        <f t="shared" si="17"/>
        <v>0</v>
      </c>
      <c r="AA385" t="b">
        <f t="shared" si="18"/>
        <v>0</v>
      </c>
      <c r="AB385" t="b">
        <f t="shared" si="19"/>
        <v>0</v>
      </c>
      <c r="AC385" t="b">
        <f t="shared" si="20"/>
        <v>0</v>
      </c>
    </row>
    <row r="386" spans="13:29">
      <c r="M386">
        <v>21</v>
      </c>
      <c r="N386">
        <v>20</v>
      </c>
      <c r="O386">
        <v>5</v>
      </c>
      <c r="P386">
        <v>4</v>
      </c>
      <c r="Q386">
        <v>5</v>
      </c>
      <c r="R386">
        <v>30</v>
      </c>
      <c r="S386">
        <v>80</v>
      </c>
      <c r="T386">
        <v>85</v>
      </c>
      <c r="U386">
        <v>30</v>
      </c>
      <c r="V386" t="b">
        <f t="shared" si="13"/>
        <v>0</v>
      </c>
      <c r="W386" t="b">
        <f t="shared" si="14"/>
        <v>0</v>
      </c>
      <c r="X386" t="b">
        <f t="shared" si="15"/>
        <v>0</v>
      </c>
      <c r="Y386" t="b">
        <f t="shared" si="16"/>
        <v>0</v>
      </c>
      <c r="Z386" t="b">
        <f t="shared" si="17"/>
        <v>0</v>
      </c>
      <c r="AA386" t="b">
        <f t="shared" si="18"/>
        <v>0</v>
      </c>
      <c r="AB386" t="b">
        <f t="shared" si="19"/>
        <v>0</v>
      </c>
      <c r="AC386" t="b">
        <f t="shared" si="20"/>
        <v>0</v>
      </c>
    </row>
    <row r="387" spans="13:29">
      <c r="M387">
        <v>21</v>
      </c>
      <c r="N387">
        <v>20</v>
      </c>
      <c r="O387">
        <v>5</v>
      </c>
      <c r="P387">
        <v>4</v>
      </c>
      <c r="Q387">
        <v>5</v>
      </c>
      <c r="R387">
        <v>20</v>
      </c>
      <c r="S387">
        <v>90</v>
      </c>
      <c r="T387">
        <v>85</v>
      </c>
      <c r="U387">
        <v>30</v>
      </c>
      <c r="V387" t="b">
        <f t="shared" si="13"/>
        <v>0</v>
      </c>
      <c r="W387" t="b">
        <f t="shared" si="14"/>
        <v>0</v>
      </c>
      <c r="X387" t="b">
        <f t="shared" si="15"/>
        <v>0</v>
      </c>
      <c r="Y387" t="b">
        <f t="shared" si="16"/>
        <v>0</v>
      </c>
      <c r="Z387" t="b">
        <f t="shared" si="17"/>
        <v>0</v>
      </c>
      <c r="AA387" t="b">
        <f t="shared" si="18"/>
        <v>0</v>
      </c>
      <c r="AB387" t="b">
        <f t="shared" si="19"/>
        <v>0</v>
      </c>
      <c r="AC387" t="b">
        <f t="shared" si="20"/>
        <v>0</v>
      </c>
    </row>
    <row r="388" spans="13:29">
      <c r="M388">
        <v>21</v>
      </c>
      <c r="N388">
        <v>20</v>
      </c>
      <c r="O388">
        <v>5</v>
      </c>
      <c r="P388">
        <v>7</v>
      </c>
      <c r="Q388">
        <v>5</v>
      </c>
      <c r="R388">
        <v>20</v>
      </c>
      <c r="S388">
        <v>100</v>
      </c>
      <c r="T388">
        <v>85</v>
      </c>
      <c r="U388">
        <v>25</v>
      </c>
      <c r="V388" t="b">
        <f t="shared" si="13"/>
        <v>0</v>
      </c>
      <c r="W388" t="b">
        <f t="shared" si="14"/>
        <v>0</v>
      </c>
      <c r="X388" t="b">
        <f t="shared" si="15"/>
        <v>0</v>
      </c>
      <c r="Y388" t="b">
        <f t="shared" si="16"/>
        <v>0</v>
      </c>
      <c r="Z388" t="b">
        <f t="shared" si="17"/>
        <v>0</v>
      </c>
      <c r="AA388" t="b">
        <f t="shared" si="18"/>
        <v>0</v>
      </c>
      <c r="AB388" t="b">
        <f t="shared" si="19"/>
        <v>0</v>
      </c>
      <c r="AC388" t="b">
        <f t="shared" si="20"/>
        <v>0</v>
      </c>
    </row>
    <row r="389" spans="13:29">
      <c r="M389">
        <v>21</v>
      </c>
      <c r="N389">
        <v>20</v>
      </c>
      <c r="O389">
        <v>5</v>
      </c>
      <c r="P389">
        <v>7</v>
      </c>
      <c r="Q389">
        <v>5</v>
      </c>
      <c r="R389">
        <v>30</v>
      </c>
      <c r="S389">
        <v>100</v>
      </c>
      <c r="T389">
        <v>85</v>
      </c>
      <c r="U389">
        <v>25</v>
      </c>
      <c r="V389" t="b">
        <f t="shared" si="13"/>
        <v>0</v>
      </c>
      <c r="W389" t="b">
        <f t="shared" si="14"/>
        <v>0</v>
      </c>
      <c r="X389" t="b">
        <f t="shared" si="15"/>
        <v>0</v>
      </c>
      <c r="Y389" t="b">
        <f t="shared" si="16"/>
        <v>0</v>
      </c>
      <c r="Z389" t="b">
        <f t="shared" si="17"/>
        <v>0</v>
      </c>
      <c r="AA389" t="b">
        <f t="shared" si="18"/>
        <v>0</v>
      </c>
      <c r="AB389" t="b">
        <f t="shared" si="19"/>
        <v>0</v>
      </c>
      <c r="AC389" t="b">
        <f t="shared" si="20"/>
        <v>0</v>
      </c>
    </row>
    <row r="390" spans="13:29">
      <c r="M390">
        <v>21</v>
      </c>
      <c r="N390">
        <v>20</v>
      </c>
      <c r="O390">
        <v>5</v>
      </c>
      <c r="P390">
        <v>7</v>
      </c>
      <c r="Q390">
        <v>5</v>
      </c>
      <c r="R390">
        <v>30</v>
      </c>
      <c r="S390">
        <v>80</v>
      </c>
      <c r="T390">
        <v>85</v>
      </c>
      <c r="U390">
        <v>30</v>
      </c>
      <c r="V390" t="b">
        <f t="shared" si="13"/>
        <v>0</v>
      </c>
      <c r="W390" t="b">
        <f t="shared" si="14"/>
        <v>0</v>
      </c>
      <c r="X390" t="b">
        <f t="shared" si="15"/>
        <v>0</v>
      </c>
      <c r="Y390" t="b">
        <f t="shared" si="16"/>
        <v>0</v>
      </c>
      <c r="Z390" t="b">
        <f t="shared" si="17"/>
        <v>0</v>
      </c>
      <c r="AA390" t="b">
        <f t="shared" si="18"/>
        <v>0</v>
      </c>
      <c r="AB390" t="b">
        <f t="shared" si="19"/>
        <v>0</v>
      </c>
      <c r="AC390" t="b">
        <f t="shared" si="20"/>
        <v>0</v>
      </c>
    </row>
    <row r="391" spans="13:29">
      <c r="M391">
        <v>21</v>
      </c>
      <c r="N391">
        <v>20</v>
      </c>
      <c r="O391">
        <v>5</v>
      </c>
      <c r="P391">
        <v>4</v>
      </c>
      <c r="Q391">
        <v>5</v>
      </c>
      <c r="R391">
        <v>30</v>
      </c>
      <c r="S391">
        <v>90</v>
      </c>
      <c r="T391">
        <v>85</v>
      </c>
      <c r="U391">
        <v>30</v>
      </c>
      <c r="V391" t="b">
        <f t="shared" si="13"/>
        <v>0</v>
      </c>
      <c r="W391" t="b">
        <f t="shared" si="14"/>
        <v>0</v>
      </c>
      <c r="X391" t="b">
        <f t="shared" si="15"/>
        <v>0</v>
      </c>
      <c r="Y391" t="b">
        <f t="shared" si="16"/>
        <v>0</v>
      </c>
      <c r="Z391" t="b">
        <f t="shared" si="17"/>
        <v>0</v>
      </c>
      <c r="AA391" t="b">
        <f t="shared" si="18"/>
        <v>0</v>
      </c>
      <c r="AB391" t="b">
        <f t="shared" si="19"/>
        <v>0</v>
      </c>
      <c r="AC391" t="b">
        <f t="shared" si="20"/>
        <v>0</v>
      </c>
    </row>
    <row r="392" spans="13:29">
      <c r="M392">
        <v>21</v>
      </c>
      <c r="N392">
        <v>20</v>
      </c>
      <c r="O392">
        <v>5</v>
      </c>
      <c r="P392">
        <v>7</v>
      </c>
      <c r="Q392">
        <v>5</v>
      </c>
      <c r="R392">
        <v>20</v>
      </c>
      <c r="S392">
        <v>90</v>
      </c>
      <c r="T392">
        <v>85</v>
      </c>
      <c r="U392">
        <v>30</v>
      </c>
      <c r="V392" t="b">
        <f t="shared" si="13"/>
        <v>0</v>
      </c>
      <c r="W392" t="b">
        <f t="shared" si="14"/>
        <v>0</v>
      </c>
      <c r="X392" t="b">
        <f t="shared" si="15"/>
        <v>0</v>
      </c>
      <c r="Y392" t="b">
        <f t="shared" si="16"/>
        <v>0</v>
      </c>
      <c r="Z392" t="b">
        <f t="shared" si="17"/>
        <v>0</v>
      </c>
      <c r="AA392" t="b">
        <f t="shared" si="18"/>
        <v>0</v>
      </c>
      <c r="AB392" t="b">
        <f t="shared" si="19"/>
        <v>0</v>
      </c>
      <c r="AC392" t="b">
        <f t="shared" si="20"/>
        <v>0</v>
      </c>
    </row>
    <row r="393" spans="13:29">
      <c r="M393">
        <v>21</v>
      </c>
      <c r="N393">
        <v>20</v>
      </c>
      <c r="O393">
        <v>5</v>
      </c>
      <c r="P393">
        <v>7</v>
      </c>
      <c r="Q393">
        <v>5</v>
      </c>
      <c r="R393">
        <v>20</v>
      </c>
      <c r="S393">
        <v>80</v>
      </c>
      <c r="T393">
        <v>85</v>
      </c>
      <c r="U393">
        <v>30</v>
      </c>
      <c r="V393" t="b">
        <f t="shared" ref="V393:V416" si="21">B393=N393</f>
        <v>0</v>
      </c>
      <c r="W393" t="b">
        <f t="shared" ref="W393:W416" si="22">C393=O393</f>
        <v>0</v>
      </c>
      <c r="X393" t="b">
        <f t="shared" ref="X393:X416" si="23">F393=P393</f>
        <v>0</v>
      </c>
      <c r="Y393" t="b">
        <f t="shared" ref="Y393:Y416" si="24">G393=Q393</f>
        <v>0</v>
      </c>
      <c r="Z393" t="b">
        <f t="shared" ref="Z393:Z416" si="25">H393=R393</f>
        <v>0</v>
      </c>
      <c r="AA393" t="b">
        <f t="shared" ref="AA393:AA416" si="26">I393=S393</f>
        <v>0</v>
      </c>
      <c r="AB393" t="b">
        <f t="shared" ref="AB393:AB416" si="27">J393=T393</f>
        <v>0</v>
      </c>
      <c r="AC393" t="b">
        <f t="shared" ref="AC393:AC416" si="28">K393=U393</f>
        <v>0</v>
      </c>
    </row>
    <row r="394" spans="13:29">
      <c r="M394">
        <v>21</v>
      </c>
      <c r="N394">
        <v>20</v>
      </c>
      <c r="O394">
        <v>5</v>
      </c>
      <c r="P394">
        <v>4</v>
      </c>
      <c r="Q394">
        <v>5</v>
      </c>
      <c r="R394">
        <v>20</v>
      </c>
      <c r="S394">
        <v>100</v>
      </c>
      <c r="T394">
        <v>85</v>
      </c>
      <c r="U394">
        <v>25</v>
      </c>
      <c r="V394" t="b">
        <f t="shared" si="21"/>
        <v>0</v>
      </c>
      <c r="W394" t="b">
        <f t="shared" si="22"/>
        <v>0</v>
      </c>
      <c r="X394" t="b">
        <f t="shared" si="23"/>
        <v>0</v>
      </c>
      <c r="Y394" t="b">
        <f t="shared" si="24"/>
        <v>0</v>
      </c>
      <c r="Z394" t="b">
        <f t="shared" si="25"/>
        <v>0</v>
      </c>
      <c r="AA394" t="b">
        <f t="shared" si="26"/>
        <v>0</v>
      </c>
      <c r="AB394" t="b">
        <f t="shared" si="27"/>
        <v>0</v>
      </c>
      <c r="AC394" t="b">
        <f t="shared" si="28"/>
        <v>0</v>
      </c>
    </row>
    <row r="395" spans="13:29">
      <c r="M395">
        <v>21</v>
      </c>
      <c r="N395">
        <v>20</v>
      </c>
      <c r="O395">
        <v>5</v>
      </c>
      <c r="P395">
        <v>7</v>
      </c>
      <c r="Q395">
        <v>5</v>
      </c>
      <c r="R395">
        <v>30</v>
      </c>
      <c r="S395">
        <v>90</v>
      </c>
      <c r="T395">
        <v>85</v>
      </c>
      <c r="U395">
        <v>30</v>
      </c>
      <c r="V395" t="b">
        <f t="shared" si="21"/>
        <v>0</v>
      </c>
      <c r="W395" t="b">
        <f t="shared" si="22"/>
        <v>0</v>
      </c>
      <c r="X395" t="b">
        <f t="shared" si="23"/>
        <v>0</v>
      </c>
      <c r="Y395" t="b">
        <f t="shared" si="24"/>
        <v>0</v>
      </c>
      <c r="Z395" t="b">
        <f t="shared" si="25"/>
        <v>0</v>
      </c>
      <c r="AA395" t="b">
        <f t="shared" si="26"/>
        <v>0</v>
      </c>
      <c r="AB395" t="b">
        <f t="shared" si="27"/>
        <v>0</v>
      </c>
      <c r="AC395" t="b">
        <f t="shared" si="28"/>
        <v>0</v>
      </c>
    </row>
    <row r="396" spans="13:29">
      <c r="M396">
        <v>21</v>
      </c>
      <c r="N396">
        <v>20</v>
      </c>
      <c r="O396">
        <v>5</v>
      </c>
      <c r="P396">
        <v>4</v>
      </c>
      <c r="Q396">
        <v>5</v>
      </c>
      <c r="R396">
        <v>30</v>
      </c>
      <c r="S396">
        <v>100</v>
      </c>
      <c r="T396">
        <v>85</v>
      </c>
      <c r="U396">
        <v>25</v>
      </c>
      <c r="V396" t="b">
        <f t="shared" si="21"/>
        <v>0</v>
      </c>
      <c r="W396" t="b">
        <f t="shared" si="22"/>
        <v>0</v>
      </c>
      <c r="X396" t="b">
        <f t="shared" si="23"/>
        <v>0</v>
      </c>
      <c r="Y396" t="b">
        <f t="shared" si="24"/>
        <v>0</v>
      </c>
      <c r="Z396" t="b">
        <f t="shared" si="25"/>
        <v>0</v>
      </c>
      <c r="AA396" t="b">
        <f t="shared" si="26"/>
        <v>0</v>
      </c>
      <c r="AB396" t="b">
        <f t="shared" si="27"/>
        <v>0</v>
      </c>
      <c r="AC396" t="b">
        <f t="shared" si="28"/>
        <v>0</v>
      </c>
    </row>
    <row r="397" spans="13:29">
      <c r="M397">
        <v>21</v>
      </c>
      <c r="N397">
        <v>20</v>
      </c>
      <c r="O397">
        <v>5</v>
      </c>
      <c r="P397">
        <v>4</v>
      </c>
      <c r="Q397">
        <v>5</v>
      </c>
      <c r="R397">
        <v>20</v>
      </c>
      <c r="S397">
        <v>80</v>
      </c>
      <c r="T397">
        <v>85</v>
      </c>
      <c r="U397">
        <v>30</v>
      </c>
      <c r="V397" t="b">
        <f t="shared" si="21"/>
        <v>0</v>
      </c>
      <c r="W397" t="b">
        <f t="shared" si="22"/>
        <v>0</v>
      </c>
      <c r="X397" t="b">
        <f t="shared" si="23"/>
        <v>0</v>
      </c>
      <c r="Y397" t="b">
        <f t="shared" si="24"/>
        <v>0</v>
      </c>
      <c r="Z397" t="b">
        <f t="shared" si="25"/>
        <v>0</v>
      </c>
      <c r="AA397" t="b">
        <f t="shared" si="26"/>
        <v>0</v>
      </c>
      <c r="AB397" t="b">
        <f t="shared" si="27"/>
        <v>0</v>
      </c>
      <c r="AC397" t="b">
        <f t="shared" si="28"/>
        <v>0</v>
      </c>
    </row>
    <row r="398" spans="13:29">
      <c r="M398">
        <v>21</v>
      </c>
      <c r="N398">
        <v>20</v>
      </c>
      <c r="O398">
        <v>5</v>
      </c>
      <c r="P398">
        <v>4</v>
      </c>
      <c r="Q398">
        <v>5</v>
      </c>
      <c r="R398">
        <v>30</v>
      </c>
      <c r="S398">
        <v>80</v>
      </c>
      <c r="T398">
        <v>85</v>
      </c>
      <c r="U398">
        <v>30</v>
      </c>
      <c r="V398" t="b">
        <f t="shared" si="21"/>
        <v>0</v>
      </c>
      <c r="W398" t="b">
        <f t="shared" si="22"/>
        <v>0</v>
      </c>
      <c r="X398" t="b">
        <f t="shared" si="23"/>
        <v>0</v>
      </c>
      <c r="Y398" t="b">
        <f t="shared" si="24"/>
        <v>0</v>
      </c>
      <c r="Z398" t="b">
        <f t="shared" si="25"/>
        <v>0</v>
      </c>
      <c r="AA398" t="b">
        <f t="shared" si="26"/>
        <v>0</v>
      </c>
      <c r="AB398" t="b">
        <f t="shared" si="27"/>
        <v>0</v>
      </c>
      <c r="AC398" t="b">
        <f t="shared" si="28"/>
        <v>0</v>
      </c>
    </row>
    <row r="399" spans="13:29">
      <c r="M399">
        <v>21</v>
      </c>
      <c r="N399">
        <v>20</v>
      </c>
      <c r="O399">
        <v>5</v>
      </c>
      <c r="P399">
        <v>4</v>
      </c>
      <c r="Q399">
        <v>5</v>
      </c>
      <c r="R399">
        <v>20</v>
      </c>
      <c r="S399">
        <v>90</v>
      </c>
      <c r="T399">
        <v>85</v>
      </c>
      <c r="U399">
        <v>30</v>
      </c>
      <c r="V399" t="b">
        <f t="shared" si="21"/>
        <v>0</v>
      </c>
      <c r="W399" t="b">
        <f t="shared" si="22"/>
        <v>0</v>
      </c>
      <c r="X399" t="b">
        <f t="shared" si="23"/>
        <v>0</v>
      </c>
      <c r="Y399" t="b">
        <f t="shared" si="24"/>
        <v>0</v>
      </c>
      <c r="Z399" t="b">
        <f t="shared" si="25"/>
        <v>0</v>
      </c>
      <c r="AA399" t="b">
        <f t="shared" si="26"/>
        <v>0</v>
      </c>
      <c r="AB399" t="b">
        <f t="shared" si="27"/>
        <v>0</v>
      </c>
      <c r="AC399" t="b">
        <f t="shared" si="28"/>
        <v>0</v>
      </c>
    </row>
    <row r="400" spans="13:29">
      <c r="M400">
        <v>22</v>
      </c>
      <c r="N400">
        <v>20</v>
      </c>
      <c r="O400">
        <v>5</v>
      </c>
      <c r="P400">
        <v>7</v>
      </c>
      <c r="Q400">
        <v>5</v>
      </c>
      <c r="R400">
        <v>20</v>
      </c>
      <c r="S400">
        <v>100</v>
      </c>
      <c r="T400">
        <v>85</v>
      </c>
      <c r="U400">
        <v>25</v>
      </c>
      <c r="V400" t="b">
        <f t="shared" si="21"/>
        <v>0</v>
      </c>
      <c r="W400" t="b">
        <f t="shared" si="22"/>
        <v>0</v>
      </c>
      <c r="X400" t="b">
        <f t="shared" si="23"/>
        <v>0</v>
      </c>
      <c r="Y400" t="b">
        <f t="shared" si="24"/>
        <v>0</v>
      </c>
      <c r="Z400" t="b">
        <f t="shared" si="25"/>
        <v>0</v>
      </c>
      <c r="AA400" t="b">
        <f t="shared" si="26"/>
        <v>0</v>
      </c>
      <c r="AB400" t="b">
        <f t="shared" si="27"/>
        <v>0</v>
      </c>
      <c r="AC400" t="b">
        <f t="shared" si="28"/>
        <v>0</v>
      </c>
    </row>
    <row r="401" spans="13:29">
      <c r="M401">
        <v>22</v>
      </c>
      <c r="N401">
        <v>20</v>
      </c>
      <c r="O401">
        <v>5</v>
      </c>
      <c r="P401">
        <v>7</v>
      </c>
      <c r="Q401">
        <v>5</v>
      </c>
      <c r="R401">
        <v>30</v>
      </c>
      <c r="S401">
        <v>100</v>
      </c>
      <c r="T401">
        <v>85</v>
      </c>
      <c r="U401">
        <v>25</v>
      </c>
      <c r="V401" t="b">
        <f t="shared" si="21"/>
        <v>0</v>
      </c>
      <c r="W401" t="b">
        <f t="shared" si="22"/>
        <v>0</v>
      </c>
      <c r="X401" t="b">
        <f t="shared" si="23"/>
        <v>0</v>
      </c>
      <c r="Y401" t="b">
        <f t="shared" si="24"/>
        <v>0</v>
      </c>
      <c r="Z401" t="b">
        <f t="shared" si="25"/>
        <v>0</v>
      </c>
      <c r="AA401" t="b">
        <f t="shared" si="26"/>
        <v>0</v>
      </c>
      <c r="AB401" t="b">
        <f t="shared" si="27"/>
        <v>0</v>
      </c>
      <c r="AC401" t="b">
        <f t="shared" si="28"/>
        <v>0</v>
      </c>
    </row>
    <row r="402" spans="13:29">
      <c r="M402">
        <v>22</v>
      </c>
      <c r="N402">
        <v>20</v>
      </c>
      <c r="O402">
        <v>5</v>
      </c>
      <c r="P402">
        <v>7</v>
      </c>
      <c r="Q402">
        <v>5</v>
      </c>
      <c r="R402">
        <v>30</v>
      </c>
      <c r="S402">
        <v>80</v>
      </c>
      <c r="T402">
        <v>85</v>
      </c>
      <c r="U402">
        <v>30</v>
      </c>
      <c r="V402" t="b">
        <f t="shared" si="21"/>
        <v>0</v>
      </c>
      <c r="W402" t="b">
        <f t="shared" si="22"/>
        <v>0</v>
      </c>
      <c r="X402" t="b">
        <f t="shared" si="23"/>
        <v>0</v>
      </c>
      <c r="Y402" t="b">
        <f t="shared" si="24"/>
        <v>0</v>
      </c>
      <c r="Z402" t="b">
        <f t="shared" si="25"/>
        <v>0</v>
      </c>
      <c r="AA402" t="b">
        <f t="shared" si="26"/>
        <v>0</v>
      </c>
      <c r="AB402" t="b">
        <f t="shared" si="27"/>
        <v>0</v>
      </c>
      <c r="AC402" t="b">
        <f t="shared" si="28"/>
        <v>0</v>
      </c>
    </row>
    <row r="403" spans="13:29">
      <c r="M403">
        <v>22</v>
      </c>
      <c r="N403">
        <v>20</v>
      </c>
      <c r="O403">
        <v>5</v>
      </c>
      <c r="P403">
        <v>4</v>
      </c>
      <c r="Q403">
        <v>5</v>
      </c>
      <c r="R403">
        <v>30</v>
      </c>
      <c r="S403">
        <v>90</v>
      </c>
      <c r="T403">
        <v>85</v>
      </c>
      <c r="U403">
        <v>30</v>
      </c>
      <c r="V403" t="b">
        <f t="shared" si="21"/>
        <v>0</v>
      </c>
      <c r="W403" t="b">
        <f t="shared" si="22"/>
        <v>0</v>
      </c>
      <c r="X403" t="b">
        <f t="shared" si="23"/>
        <v>0</v>
      </c>
      <c r="Y403" t="b">
        <f t="shared" si="24"/>
        <v>0</v>
      </c>
      <c r="Z403" t="b">
        <f t="shared" si="25"/>
        <v>0</v>
      </c>
      <c r="AA403" t="b">
        <f t="shared" si="26"/>
        <v>0</v>
      </c>
      <c r="AB403" t="b">
        <f t="shared" si="27"/>
        <v>0</v>
      </c>
      <c r="AC403" t="b">
        <f t="shared" si="28"/>
        <v>0</v>
      </c>
    </row>
    <row r="404" spans="13:29">
      <c r="M404">
        <v>22</v>
      </c>
      <c r="N404">
        <v>20</v>
      </c>
      <c r="O404">
        <v>5</v>
      </c>
      <c r="P404">
        <v>7</v>
      </c>
      <c r="Q404">
        <v>5</v>
      </c>
      <c r="R404">
        <v>20</v>
      </c>
      <c r="S404">
        <v>90</v>
      </c>
      <c r="T404">
        <v>85</v>
      </c>
      <c r="U404">
        <v>30</v>
      </c>
      <c r="V404" t="b">
        <f t="shared" si="21"/>
        <v>0</v>
      </c>
      <c r="W404" t="b">
        <f t="shared" si="22"/>
        <v>0</v>
      </c>
      <c r="X404" t="b">
        <f t="shared" si="23"/>
        <v>0</v>
      </c>
      <c r="Y404" t="b">
        <f t="shared" si="24"/>
        <v>0</v>
      </c>
      <c r="Z404" t="b">
        <f t="shared" si="25"/>
        <v>0</v>
      </c>
      <c r="AA404" t="b">
        <f t="shared" si="26"/>
        <v>0</v>
      </c>
      <c r="AB404" t="b">
        <f t="shared" si="27"/>
        <v>0</v>
      </c>
      <c r="AC404" t="b">
        <f t="shared" si="28"/>
        <v>0</v>
      </c>
    </row>
    <row r="405" spans="13:29">
      <c r="M405">
        <v>22</v>
      </c>
      <c r="N405">
        <v>20</v>
      </c>
      <c r="O405">
        <v>5</v>
      </c>
      <c r="P405">
        <v>7</v>
      </c>
      <c r="Q405">
        <v>5</v>
      </c>
      <c r="R405">
        <v>20</v>
      </c>
      <c r="S405">
        <v>80</v>
      </c>
      <c r="T405">
        <v>85</v>
      </c>
      <c r="U405">
        <v>30</v>
      </c>
      <c r="V405" t="b">
        <f t="shared" si="21"/>
        <v>0</v>
      </c>
      <c r="W405" t="b">
        <f t="shared" si="22"/>
        <v>0</v>
      </c>
      <c r="X405" t="b">
        <f t="shared" si="23"/>
        <v>0</v>
      </c>
      <c r="Y405" t="b">
        <f t="shared" si="24"/>
        <v>0</v>
      </c>
      <c r="Z405" t="b">
        <f t="shared" si="25"/>
        <v>0</v>
      </c>
      <c r="AA405" t="b">
        <f t="shared" si="26"/>
        <v>0</v>
      </c>
      <c r="AB405" t="b">
        <f t="shared" si="27"/>
        <v>0</v>
      </c>
      <c r="AC405" t="b">
        <f t="shared" si="28"/>
        <v>0</v>
      </c>
    </row>
    <row r="406" spans="13:29">
      <c r="M406">
        <v>22</v>
      </c>
      <c r="N406">
        <v>20</v>
      </c>
      <c r="O406">
        <v>5</v>
      </c>
      <c r="P406">
        <v>4</v>
      </c>
      <c r="Q406">
        <v>5</v>
      </c>
      <c r="R406">
        <v>20</v>
      </c>
      <c r="S406">
        <v>100</v>
      </c>
      <c r="T406">
        <v>85</v>
      </c>
      <c r="U406">
        <v>25</v>
      </c>
      <c r="V406" t="b">
        <f t="shared" si="21"/>
        <v>0</v>
      </c>
      <c r="W406" t="b">
        <f t="shared" si="22"/>
        <v>0</v>
      </c>
      <c r="X406" t="b">
        <f t="shared" si="23"/>
        <v>0</v>
      </c>
      <c r="Y406" t="b">
        <f t="shared" si="24"/>
        <v>0</v>
      </c>
      <c r="Z406" t="b">
        <f t="shared" si="25"/>
        <v>0</v>
      </c>
      <c r="AA406" t="b">
        <f t="shared" si="26"/>
        <v>0</v>
      </c>
      <c r="AB406" t="b">
        <f t="shared" si="27"/>
        <v>0</v>
      </c>
      <c r="AC406" t="b">
        <f t="shared" si="28"/>
        <v>0</v>
      </c>
    </row>
    <row r="407" spans="13:29">
      <c r="M407">
        <v>22</v>
      </c>
      <c r="N407">
        <v>20</v>
      </c>
      <c r="O407">
        <v>5</v>
      </c>
      <c r="P407">
        <v>7</v>
      </c>
      <c r="Q407">
        <v>5</v>
      </c>
      <c r="R407">
        <v>30</v>
      </c>
      <c r="S407">
        <v>90</v>
      </c>
      <c r="T407">
        <v>85</v>
      </c>
      <c r="U407">
        <v>30</v>
      </c>
      <c r="V407" t="b">
        <f t="shared" si="21"/>
        <v>0</v>
      </c>
      <c r="W407" t="b">
        <f t="shared" si="22"/>
        <v>0</v>
      </c>
      <c r="X407" t="b">
        <f t="shared" si="23"/>
        <v>0</v>
      </c>
      <c r="Y407" t="b">
        <f t="shared" si="24"/>
        <v>0</v>
      </c>
      <c r="Z407" t="b">
        <f t="shared" si="25"/>
        <v>0</v>
      </c>
      <c r="AA407" t="b">
        <f t="shared" si="26"/>
        <v>0</v>
      </c>
      <c r="AB407" t="b">
        <f t="shared" si="27"/>
        <v>0</v>
      </c>
      <c r="AC407" t="b">
        <f t="shared" si="28"/>
        <v>0</v>
      </c>
    </row>
    <row r="408" spans="13:29">
      <c r="M408">
        <v>22</v>
      </c>
      <c r="N408">
        <v>20</v>
      </c>
      <c r="O408">
        <v>5</v>
      </c>
      <c r="P408">
        <v>4</v>
      </c>
      <c r="Q408">
        <v>5</v>
      </c>
      <c r="R408">
        <v>30</v>
      </c>
      <c r="S408">
        <v>100</v>
      </c>
      <c r="T408">
        <v>85</v>
      </c>
      <c r="U408">
        <v>25</v>
      </c>
      <c r="V408" t="b">
        <f t="shared" si="21"/>
        <v>0</v>
      </c>
      <c r="W408" t="b">
        <f t="shared" si="22"/>
        <v>0</v>
      </c>
      <c r="X408" t="b">
        <f t="shared" si="23"/>
        <v>0</v>
      </c>
      <c r="Y408" t="b">
        <f t="shared" si="24"/>
        <v>0</v>
      </c>
      <c r="Z408" t="b">
        <f t="shared" si="25"/>
        <v>0</v>
      </c>
      <c r="AA408" t="b">
        <f t="shared" si="26"/>
        <v>0</v>
      </c>
      <c r="AB408" t="b">
        <f t="shared" si="27"/>
        <v>0</v>
      </c>
      <c r="AC408" t="b">
        <f t="shared" si="28"/>
        <v>0</v>
      </c>
    </row>
    <row r="409" spans="13:29">
      <c r="M409">
        <v>22</v>
      </c>
      <c r="N409">
        <v>20</v>
      </c>
      <c r="O409">
        <v>5</v>
      </c>
      <c r="P409">
        <v>4</v>
      </c>
      <c r="Q409">
        <v>5</v>
      </c>
      <c r="R409">
        <v>20</v>
      </c>
      <c r="S409">
        <v>80</v>
      </c>
      <c r="T409">
        <v>85</v>
      </c>
      <c r="U409">
        <v>30</v>
      </c>
      <c r="V409" t="b">
        <f t="shared" si="21"/>
        <v>0</v>
      </c>
      <c r="W409" t="b">
        <f t="shared" si="22"/>
        <v>0</v>
      </c>
      <c r="X409" t="b">
        <f t="shared" si="23"/>
        <v>0</v>
      </c>
      <c r="Y409" t="b">
        <f t="shared" si="24"/>
        <v>0</v>
      </c>
      <c r="Z409" t="b">
        <f t="shared" si="25"/>
        <v>0</v>
      </c>
      <c r="AA409" t="b">
        <f t="shared" si="26"/>
        <v>0</v>
      </c>
      <c r="AB409" t="b">
        <f t="shared" si="27"/>
        <v>0</v>
      </c>
      <c r="AC409" t="b">
        <f t="shared" si="28"/>
        <v>0</v>
      </c>
    </row>
    <row r="410" spans="13:29">
      <c r="M410">
        <v>22</v>
      </c>
      <c r="N410">
        <v>20</v>
      </c>
      <c r="O410">
        <v>5</v>
      </c>
      <c r="P410">
        <v>4</v>
      </c>
      <c r="Q410">
        <v>5</v>
      </c>
      <c r="R410">
        <v>30</v>
      </c>
      <c r="S410">
        <v>80</v>
      </c>
      <c r="T410">
        <v>85</v>
      </c>
      <c r="U410">
        <v>30</v>
      </c>
      <c r="V410" t="b">
        <f t="shared" si="21"/>
        <v>0</v>
      </c>
      <c r="W410" t="b">
        <f t="shared" si="22"/>
        <v>0</v>
      </c>
      <c r="X410" t="b">
        <f t="shared" si="23"/>
        <v>0</v>
      </c>
      <c r="Y410" t="b">
        <f t="shared" si="24"/>
        <v>0</v>
      </c>
      <c r="Z410" t="b">
        <f t="shared" si="25"/>
        <v>0</v>
      </c>
      <c r="AA410" t="b">
        <f t="shared" si="26"/>
        <v>0</v>
      </c>
      <c r="AB410" t="b">
        <f t="shared" si="27"/>
        <v>0</v>
      </c>
      <c r="AC410" t="b">
        <f t="shared" si="28"/>
        <v>0</v>
      </c>
    </row>
    <row r="411" spans="13:29">
      <c r="M411">
        <v>22</v>
      </c>
      <c r="N411">
        <v>20</v>
      </c>
      <c r="O411">
        <v>5</v>
      </c>
      <c r="P411">
        <v>4</v>
      </c>
      <c r="Q411">
        <v>5</v>
      </c>
      <c r="R411">
        <v>20</v>
      </c>
      <c r="S411">
        <v>90</v>
      </c>
      <c r="T411">
        <v>85</v>
      </c>
      <c r="U411">
        <v>30</v>
      </c>
      <c r="V411" t="b">
        <f t="shared" si="21"/>
        <v>0</v>
      </c>
      <c r="W411" t="b">
        <f t="shared" si="22"/>
        <v>0</v>
      </c>
      <c r="X411" t="b">
        <f t="shared" si="23"/>
        <v>0</v>
      </c>
      <c r="Y411" t="b">
        <f t="shared" si="24"/>
        <v>0</v>
      </c>
      <c r="Z411" t="b">
        <f t="shared" si="25"/>
        <v>0</v>
      </c>
      <c r="AA411" t="b">
        <f t="shared" si="26"/>
        <v>0</v>
      </c>
      <c r="AB411" t="b">
        <f t="shared" si="27"/>
        <v>0</v>
      </c>
      <c r="AC411" t="b">
        <f t="shared" si="28"/>
        <v>0</v>
      </c>
    </row>
    <row r="412" spans="13:29">
      <c r="M412">
        <v>22</v>
      </c>
      <c r="N412">
        <v>20</v>
      </c>
      <c r="O412">
        <v>5</v>
      </c>
      <c r="P412">
        <v>7</v>
      </c>
      <c r="Q412">
        <v>5</v>
      </c>
      <c r="R412">
        <v>20</v>
      </c>
      <c r="S412">
        <v>100</v>
      </c>
      <c r="T412">
        <v>85</v>
      </c>
      <c r="U412">
        <v>25</v>
      </c>
      <c r="V412" t="b">
        <f t="shared" si="21"/>
        <v>0</v>
      </c>
      <c r="W412" t="b">
        <f t="shared" si="22"/>
        <v>0</v>
      </c>
      <c r="X412" t="b">
        <f t="shared" si="23"/>
        <v>0</v>
      </c>
      <c r="Y412" t="b">
        <f t="shared" si="24"/>
        <v>0</v>
      </c>
      <c r="Z412" t="b">
        <f t="shared" si="25"/>
        <v>0</v>
      </c>
      <c r="AA412" t="b">
        <f t="shared" si="26"/>
        <v>0</v>
      </c>
      <c r="AB412" t="b">
        <f t="shared" si="27"/>
        <v>0</v>
      </c>
      <c r="AC412" t="b">
        <f t="shared" si="28"/>
        <v>0</v>
      </c>
    </row>
    <row r="413" spans="13:29">
      <c r="M413">
        <v>22</v>
      </c>
      <c r="N413">
        <v>20</v>
      </c>
      <c r="O413">
        <v>5</v>
      </c>
      <c r="P413">
        <v>7</v>
      </c>
      <c r="Q413">
        <v>5</v>
      </c>
      <c r="R413">
        <v>30</v>
      </c>
      <c r="S413">
        <v>100</v>
      </c>
      <c r="T413">
        <v>85</v>
      </c>
      <c r="U413">
        <v>25</v>
      </c>
      <c r="V413" t="b">
        <f t="shared" si="21"/>
        <v>0</v>
      </c>
      <c r="W413" t="b">
        <f t="shared" si="22"/>
        <v>0</v>
      </c>
      <c r="X413" t="b">
        <f t="shared" si="23"/>
        <v>0</v>
      </c>
      <c r="Y413" t="b">
        <f t="shared" si="24"/>
        <v>0</v>
      </c>
      <c r="Z413" t="b">
        <f t="shared" si="25"/>
        <v>0</v>
      </c>
      <c r="AA413" t="b">
        <f t="shared" si="26"/>
        <v>0</v>
      </c>
      <c r="AB413" t="b">
        <f t="shared" si="27"/>
        <v>0</v>
      </c>
      <c r="AC413" t="b">
        <f t="shared" si="28"/>
        <v>0</v>
      </c>
    </row>
    <row r="414" spans="13:29">
      <c r="M414">
        <v>22</v>
      </c>
      <c r="N414">
        <v>20</v>
      </c>
      <c r="O414">
        <v>5</v>
      </c>
      <c r="P414">
        <v>7</v>
      </c>
      <c r="Q414">
        <v>5</v>
      </c>
      <c r="R414">
        <v>30</v>
      </c>
      <c r="S414">
        <v>80</v>
      </c>
      <c r="T414">
        <v>85</v>
      </c>
      <c r="U414">
        <v>30</v>
      </c>
      <c r="V414" t="b">
        <f t="shared" si="21"/>
        <v>0</v>
      </c>
      <c r="W414" t="b">
        <f t="shared" si="22"/>
        <v>0</v>
      </c>
      <c r="X414" t="b">
        <f t="shared" si="23"/>
        <v>0</v>
      </c>
      <c r="Y414" t="b">
        <f t="shared" si="24"/>
        <v>0</v>
      </c>
      <c r="Z414" t="b">
        <f t="shared" si="25"/>
        <v>0</v>
      </c>
      <c r="AA414" t="b">
        <f t="shared" si="26"/>
        <v>0</v>
      </c>
      <c r="AB414" t="b">
        <f t="shared" si="27"/>
        <v>0</v>
      </c>
      <c r="AC414" t="b">
        <f t="shared" si="28"/>
        <v>0</v>
      </c>
    </row>
    <row r="415" spans="13:29">
      <c r="M415">
        <v>22</v>
      </c>
      <c r="N415">
        <v>20</v>
      </c>
      <c r="O415">
        <v>5</v>
      </c>
      <c r="P415">
        <v>4</v>
      </c>
      <c r="Q415">
        <v>5</v>
      </c>
      <c r="R415">
        <v>30</v>
      </c>
      <c r="S415">
        <v>90</v>
      </c>
      <c r="T415">
        <v>85</v>
      </c>
      <c r="U415">
        <v>30</v>
      </c>
      <c r="V415" t="b">
        <f t="shared" si="21"/>
        <v>0</v>
      </c>
      <c r="W415" t="b">
        <f t="shared" si="22"/>
        <v>0</v>
      </c>
      <c r="X415" t="b">
        <f t="shared" si="23"/>
        <v>0</v>
      </c>
      <c r="Y415" t="b">
        <f t="shared" si="24"/>
        <v>0</v>
      </c>
      <c r="Z415" t="b">
        <f t="shared" si="25"/>
        <v>0</v>
      </c>
      <c r="AA415" t="b">
        <f t="shared" si="26"/>
        <v>0</v>
      </c>
      <c r="AB415" t="b">
        <f t="shared" si="27"/>
        <v>0</v>
      </c>
      <c r="AC415" t="b">
        <f t="shared" si="28"/>
        <v>0</v>
      </c>
    </row>
    <row r="416" spans="13:29">
      <c r="M416">
        <v>22</v>
      </c>
      <c r="N416">
        <v>20</v>
      </c>
      <c r="O416">
        <v>5</v>
      </c>
      <c r="P416">
        <v>7</v>
      </c>
      <c r="Q416">
        <v>5</v>
      </c>
      <c r="R416">
        <v>20</v>
      </c>
      <c r="S416">
        <v>90</v>
      </c>
      <c r="T416">
        <v>85</v>
      </c>
      <c r="U416">
        <v>30</v>
      </c>
      <c r="V416" t="b">
        <f t="shared" si="21"/>
        <v>0</v>
      </c>
      <c r="W416" t="b">
        <f t="shared" si="22"/>
        <v>0</v>
      </c>
      <c r="X416" t="b">
        <f t="shared" si="23"/>
        <v>0</v>
      </c>
      <c r="Y416" t="b">
        <f t="shared" si="24"/>
        <v>0</v>
      </c>
      <c r="Z416" t="b">
        <f t="shared" si="25"/>
        <v>0</v>
      </c>
      <c r="AA416" t="b">
        <f t="shared" si="26"/>
        <v>0</v>
      </c>
      <c r="AB416" t="b">
        <f t="shared" si="27"/>
        <v>0</v>
      </c>
      <c r="AC416" t="b">
        <f t="shared" si="28"/>
        <v>0</v>
      </c>
    </row>
    <row r="417" spans="13:21">
      <c r="M417">
        <v>22</v>
      </c>
      <c r="N417">
        <v>20</v>
      </c>
      <c r="O417">
        <v>5</v>
      </c>
      <c r="P417">
        <v>7</v>
      </c>
      <c r="Q417">
        <v>5</v>
      </c>
      <c r="R417">
        <v>20</v>
      </c>
      <c r="S417">
        <v>80</v>
      </c>
      <c r="T417">
        <v>85</v>
      </c>
      <c r="U417">
        <v>30</v>
      </c>
    </row>
    <row r="418" spans="13:21">
      <c r="M418">
        <v>22</v>
      </c>
      <c r="N418">
        <v>20</v>
      </c>
      <c r="O418">
        <v>5</v>
      </c>
      <c r="P418">
        <v>4</v>
      </c>
      <c r="Q418">
        <v>5</v>
      </c>
      <c r="R418">
        <v>20</v>
      </c>
      <c r="S418">
        <v>100</v>
      </c>
      <c r="T418">
        <v>85</v>
      </c>
      <c r="U418">
        <v>25</v>
      </c>
    </row>
    <row r="419" spans="13:21">
      <c r="M419">
        <v>22</v>
      </c>
      <c r="N419">
        <v>20</v>
      </c>
      <c r="O419">
        <v>5</v>
      </c>
      <c r="P419">
        <v>7</v>
      </c>
      <c r="Q419">
        <v>5</v>
      </c>
      <c r="R419">
        <v>30</v>
      </c>
      <c r="S419">
        <v>90</v>
      </c>
      <c r="T419">
        <v>85</v>
      </c>
      <c r="U419">
        <v>30</v>
      </c>
    </row>
    <row r="420" spans="13:21">
      <c r="M420">
        <v>22</v>
      </c>
      <c r="N420">
        <v>20</v>
      </c>
      <c r="O420">
        <v>5</v>
      </c>
      <c r="P420">
        <v>4</v>
      </c>
      <c r="Q420">
        <v>5</v>
      </c>
      <c r="R420">
        <v>30</v>
      </c>
      <c r="S420">
        <v>100</v>
      </c>
      <c r="T420">
        <v>85</v>
      </c>
      <c r="U420">
        <v>25</v>
      </c>
    </row>
    <row r="421" spans="13:21">
      <c r="M421">
        <v>22</v>
      </c>
      <c r="N421">
        <v>20</v>
      </c>
      <c r="O421">
        <v>5</v>
      </c>
      <c r="P421">
        <v>4</v>
      </c>
      <c r="Q421">
        <v>5</v>
      </c>
      <c r="R421">
        <v>20</v>
      </c>
      <c r="S421">
        <v>80</v>
      </c>
      <c r="T421">
        <v>85</v>
      </c>
      <c r="U421">
        <v>30</v>
      </c>
    </row>
    <row r="422" spans="13:21">
      <c r="M422">
        <v>22</v>
      </c>
      <c r="N422">
        <v>20</v>
      </c>
      <c r="O422">
        <v>5</v>
      </c>
      <c r="P422">
        <v>4</v>
      </c>
      <c r="Q422">
        <v>5</v>
      </c>
      <c r="R422">
        <v>30</v>
      </c>
      <c r="S422">
        <v>80</v>
      </c>
      <c r="T422">
        <v>85</v>
      </c>
      <c r="U422">
        <v>30</v>
      </c>
    </row>
    <row r="423" spans="13:21">
      <c r="M423">
        <v>22</v>
      </c>
      <c r="N423">
        <v>20</v>
      </c>
      <c r="O423">
        <v>5</v>
      </c>
      <c r="P423">
        <v>4</v>
      </c>
      <c r="Q423">
        <v>5</v>
      </c>
      <c r="R423">
        <v>20</v>
      </c>
      <c r="S423">
        <v>90</v>
      </c>
      <c r="T423">
        <v>85</v>
      </c>
      <c r="U423">
        <v>30</v>
      </c>
    </row>
  </sheetData>
  <sortState ref="B3:B60">
    <sortCondition ref="B3:B60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3DB87-C9B9-4327-B947-027AFDEEF304}">
  <sheetPr codeName="Sheet1" filterMode="1"/>
  <dimension ref="B1:B163"/>
  <sheetViews>
    <sheetView workbookViewId="0">
      <selection activeCell="B2" sqref="B2:B163"/>
    </sheetView>
  </sheetViews>
  <sheetFormatPr defaultRowHeight="14.25"/>
  <cols>
    <col min="2" max="3" width="17.75" bestFit="1" customWidth="1"/>
  </cols>
  <sheetData>
    <row r="1" spans="2:2">
      <c r="B1" t="s">
        <v>121</v>
      </c>
    </row>
    <row r="2" spans="2:2" hidden="1">
      <c r="B2" t="s">
        <v>126</v>
      </c>
    </row>
    <row r="3" spans="2:2" hidden="1">
      <c r="B3" t="s">
        <v>127</v>
      </c>
    </row>
    <row r="4" spans="2:2" hidden="1">
      <c r="B4" t="s">
        <v>128</v>
      </c>
    </row>
    <row r="5" spans="2:2" hidden="1">
      <c r="B5" t="s">
        <v>132</v>
      </c>
    </row>
    <row r="6" spans="2:2" hidden="1">
      <c r="B6" t="s">
        <v>133</v>
      </c>
    </row>
    <row r="7" spans="2:2" hidden="1">
      <c r="B7" t="s">
        <v>137</v>
      </c>
    </row>
    <row r="8" spans="2:2" hidden="1">
      <c r="B8" t="s">
        <v>142</v>
      </c>
    </row>
    <row r="9" spans="2:2" hidden="1">
      <c r="B9" t="s">
        <v>250</v>
      </c>
    </row>
    <row r="10" spans="2:2" hidden="1">
      <c r="B10" t="s">
        <v>145</v>
      </c>
    </row>
    <row r="11" spans="2:2" hidden="1">
      <c r="B11" t="s">
        <v>149</v>
      </c>
    </row>
    <row r="12" spans="2:2" hidden="1">
      <c r="B12" t="s">
        <v>263</v>
      </c>
    </row>
    <row r="13" spans="2:2" hidden="1">
      <c r="B13" t="s">
        <v>266</v>
      </c>
    </row>
    <row r="14" spans="2:2" hidden="1">
      <c r="B14" t="s">
        <v>154</v>
      </c>
    </row>
    <row r="15" spans="2:2" hidden="1">
      <c r="B15" t="s">
        <v>251</v>
      </c>
    </row>
    <row r="16" spans="2:2" hidden="1">
      <c r="B16" t="s">
        <v>158</v>
      </c>
    </row>
    <row r="17" spans="2:2" hidden="1">
      <c r="B17" t="s">
        <v>162</v>
      </c>
    </row>
    <row r="18" spans="2:2" hidden="1">
      <c r="B18" t="s">
        <v>237</v>
      </c>
    </row>
    <row r="19" spans="2:2">
      <c r="B19" t="s">
        <v>164</v>
      </c>
    </row>
    <row r="20" spans="2:2">
      <c r="B20" t="s">
        <v>166</v>
      </c>
    </row>
    <row r="21" spans="2:2">
      <c r="B21" t="s">
        <v>253</v>
      </c>
    </row>
    <row r="22" spans="2:2">
      <c r="B22" t="s">
        <v>168</v>
      </c>
    </row>
    <row r="23" spans="2:2">
      <c r="B23" t="s">
        <v>171</v>
      </c>
    </row>
    <row r="24" spans="2:2">
      <c r="B24" t="s">
        <v>270</v>
      </c>
    </row>
    <row r="25" spans="2:2" hidden="1">
      <c r="B25" t="s">
        <v>177</v>
      </c>
    </row>
    <row r="26" spans="2:2" hidden="1">
      <c r="B26" t="s">
        <v>238</v>
      </c>
    </row>
    <row r="27" spans="2:2" hidden="1">
      <c r="B27" t="s">
        <v>180</v>
      </c>
    </row>
    <row r="28" spans="2:2" hidden="1">
      <c r="B28" t="s">
        <v>183</v>
      </c>
    </row>
    <row r="29" spans="2:2" hidden="1">
      <c r="B29" t="s">
        <v>184</v>
      </c>
    </row>
    <row r="30" spans="2:2" hidden="1">
      <c r="B30" t="s">
        <v>273</v>
      </c>
    </row>
    <row r="31" spans="2:2" hidden="1">
      <c r="B31" t="s">
        <v>189</v>
      </c>
    </row>
    <row r="32" spans="2:2" hidden="1">
      <c r="B32" t="s">
        <v>190</v>
      </c>
    </row>
    <row r="33" spans="2:2" hidden="1">
      <c r="B33" t="s">
        <v>195</v>
      </c>
    </row>
    <row r="34" spans="2:2" hidden="1">
      <c r="B34" t="s">
        <v>199</v>
      </c>
    </row>
    <row r="35" spans="2:2" hidden="1">
      <c r="B35" t="s">
        <v>200</v>
      </c>
    </row>
    <row r="36" spans="2:2" hidden="1">
      <c r="B36" t="s">
        <v>202</v>
      </c>
    </row>
    <row r="37" spans="2:2" hidden="1">
      <c r="B37" t="s">
        <v>206</v>
      </c>
    </row>
    <row r="38" spans="2:2" hidden="1">
      <c r="B38" t="s">
        <v>242</v>
      </c>
    </row>
    <row r="39" spans="2:2" hidden="1">
      <c r="B39" t="s">
        <v>244</v>
      </c>
    </row>
    <row r="40" spans="2:2" hidden="1">
      <c r="B40" t="s">
        <v>212</v>
      </c>
    </row>
    <row r="41" spans="2:2" hidden="1">
      <c r="B41" t="s">
        <v>213</v>
      </c>
    </row>
    <row r="42" spans="2:2">
      <c r="B42" t="s">
        <v>259</v>
      </c>
    </row>
    <row r="43" spans="2:2">
      <c r="B43" t="s">
        <v>218</v>
      </c>
    </row>
    <row r="44" spans="2:2">
      <c r="B44" t="s">
        <v>220</v>
      </c>
    </row>
    <row r="45" spans="2:2">
      <c r="B45" t="s">
        <v>224</v>
      </c>
    </row>
    <row r="46" spans="2:2">
      <c r="B46" t="s">
        <v>228</v>
      </c>
    </row>
    <row r="47" spans="2:2">
      <c r="B47" t="s">
        <v>247</v>
      </c>
    </row>
    <row r="48" spans="2:2">
      <c r="B48" t="s">
        <v>231</v>
      </c>
    </row>
    <row r="49" spans="2:2">
      <c r="B49" t="s">
        <v>235</v>
      </c>
    </row>
    <row r="50" spans="2:2" hidden="1">
      <c r="B50" t="s">
        <v>284</v>
      </c>
    </row>
    <row r="51" spans="2:2" hidden="1">
      <c r="B51" t="s">
        <v>129</v>
      </c>
    </row>
    <row r="52" spans="2:2" hidden="1">
      <c r="B52" t="s">
        <v>136</v>
      </c>
    </row>
    <row r="53" spans="2:2" hidden="1">
      <c r="B53" t="s">
        <v>140</v>
      </c>
    </row>
    <row r="54" spans="2:2" hidden="1">
      <c r="B54" t="s">
        <v>262</v>
      </c>
    </row>
    <row r="55" spans="2:2" hidden="1">
      <c r="B55" t="s">
        <v>148</v>
      </c>
    </row>
    <row r="56" spans="2:2" hidden="1">
      <c r="B56" t="s">
        <v>264</v>
      </c>
    </row>
    <row r="57" spans="2:2" hidden="1">
      <c r="B57" t="s">
        <v>152</v>
      </c>
    </row>
    <row r="58" spans="2:2" hidden="1">
      <c r="B58" t="s">
        <v>252</v>
      </c>
    </row>
    <row r="59" spans="2:2" hidden="1">
      <c r="B59" t="s">
        <v>160</v>
      </c>
    </row>
    <row r="60" spans="2:2">
      <c r="B60" t="s">
        <v>279</v>
      </c>
    </row>
    <row r="61" spans="2:2">
      <c r="B61" t="s">
        <v>281</v>
      </c>
    </row>
    <row r="62" spans="2:2">
      <c r="B62" t="s">
        <v>254</v>
      </c>
    </row>
    <row r="63" spans="2:2">
      <c r="B63" t="s">
        <v>170</v>
      </c>
    </row>
    <row r="64" spans="2:2">
      <c r="B64" t="s">
        <v>172</v>
      </c>
    </row>
    <row r="65" spans="2:2">
      <c r="B65" t="s">
        <v>271</v>
      </c>
    </row>
    <row r="66" spans="2:2" hidden="1">
      <c r="B66" t="s">
        <v>239</v>
      </c>
    </row>
    <row r="67" spans="2:2" hidden="1">
      <c r="B67" t="s">
        <v>241</v>
      </c>
    </row>
    <row r="68" spans="2:2" hidden="1">
      <c r="B68" t="s">
        <v>185</v>
      </c>
    </row>
    <row r="69" spans="2:2" hidden="1">
      <c r="B69" t="s">
        <v>187</v>
      </c>
    </row>
    <row r="70" spans="2:2" hidden="1">
      <c r="B70" t="s">
        <v>191</v>
      </c>
    </row>
    <row r="71" spans="2:2" hidden="1">
      <c r="B71" t="s">
        <v>194</v>
      </c>
    </row>
    <row r="72" spans="2:2" hidden="1">
      <c r="B72" t="s">
        <v>196</v>
      </c>
    </row>
    <row r="73" spans="2:2" hidden="1">
      <c r="B73" t="s">
        <v>276</v>
      </c>
    </row>
    <row r="74" spans="2:2" hidden="1">
      <c r="B74" t="s">
        <v>283</v>
      </c>
    </row>
    <row r="75" spans="2:2" hidden="1">
      <c r="B75" t="s">
        <v>205</v>
      </c>
    </row>
    <row r="76" spans="2:2" hidden="1">
      <c r="B76" t="s">
        <v>208</v>
      </c>
    </row>
    <row r="77" spans="2:2" hidden="1">
      <c r="B77" t="s">
        <v>245</v>
      </c>
    </row>
    <row r="78" spans="2:2">
      <c r="B78" t="s">
        <v>214</v>
      </c>
    </row>
    <row r="79" spans="2:2">
      <c r="B79" t="s">
        <v>216</v>
      </c>
    </row>
    <row r="80" spans="2:2">
      <c r="B80" t="s">
        <v>221</v>
      </c>
    </row>
    <row r="81" spans="2:2">
      <c r="B81" t="s">
        <v>225</v>
      </c>
    </row>
    <row r="82" spans="2:2">
      <c r="B82" t="s">
        <v>230</v>
      </c>
    </row>
    <row r="83" spans="2:2">
      <c r="B83" t="s">
        <v>234</v>
      </c>
    </row>
    <row r="84" spans="2:2" hidden="1">
      <c r="B84" t="s">
        <v>125</v>
      </c>
    </row>
    <row r="85" spans="2:2" hidden="1">
      <c r="B85" t="s">
        <v>249</v>
      </c>
    </row>
    <row r="86" spans="2:2" hidden="1">
      <c r="B86" t="s">
        <v>131</v>
      </c>
    </row>
    <row r="87" spans="2:2" hidden="1">
      <c r="B87" t="s">
        <v>135</v>
      </c>
    </row>
    <row r="88" spans="2:2" hidden="1">
      <c r="B88" t="s">
        <v>139</v>
      </c>
    </row>
    <row r="89" spans="2:2" hidden="1">
      <c r="B89" t="s">
        <v>261</v>
      </c>
    </row>
    <row r="90" spans="2:2" hidden="1">
      <c r="B90" t="s">
        <v>143</v>
      </c>
    </row>
    <row r="91" spans="2:2" hidden="1">
      <c r="B91" t="s">
        <v>146</v>
      </c>
    </row>
    <row r="92" spans="2:2" hidden="1">
      <c r="B92" t="s">
        <v>151</v>
      </c>
    </row>
    <row r="93" spans="2:2" hidden="1">
      <c r="B93" t="s">
        <v>153</v>
      </c>
    </row>
    <row r="94" spans="2:2" hidden="1">
      <c r="B94" t="s">
        <v>156</v>
      </c>
    </row>
    <row r="95" spans="2:2" hidden="1">
      <c r="B95" t="s">
        <v>161</v>
      </c>
    </row>
    <row r="96" spans="2:2">
      <c r="B96" t="s">
        <v>163</v>
      </c>
    </row>
    <row r="97" spans="2:2">
      <c r="B97" t="s">
        <v>165</v>
      </c>
    </row>
    <row r="98" spans="2:2">
      <c r="B98" t="s">
        <v>167</v>
      </c>
    </row>
    <row r="99" spans="2:2">
      <c r="B99" t="s">
        <v>285</v>
      </c>
    </row>
    <row r="100" spans="2:2">
      <c r="B100" t="s">
        <v>169</v>
      </c>
    </row>
    <row r="101" spans="2:2">
      <c r="B101" t="s">
        <v>268</v>
      </c>
    </row>
    <row r="102" spans="2:2">
      <c r="B102" t="s">
        <v>173</v>
      </c>
    </row>
    <row r="103" spans="2:2">
      <c r="B103" t="s">
        <v>176</v>
      </c>
    </row>
    <row r="104" spans="2:2" hidden="1">
      <c r="B104" t="s">
        <v>179</v>
      </c>
    </row>
    <row r="105" spans="2:2" hidden="1">
      <c r="B105" t="s">
        <v>182</v>
      </c>
    </row>
    <row r="106" spans="2:2" hidden="1">
      <c r="B106" t="s">
        <v>186</v>
      </c>
    </row>
    <row r="107" spans="2:2" hidden="1">
      <c r="B107" t="s">
        <v>275</v>
      </c>
    </row>
    <row r="108" spans="2:2" hidden="1">
      <c r="B108" t="s">
        <v>193</v>
      </c>
    </row>
    <row r="109" spans="2:2" hidden="1">
      <c r="B109" t="s">
        <v>198</v>
      </c>
    </row>
    <row r="110" spans="2:2" hidden="1">
      <c r="B110" t="s">
        <v>201</v>
      </c>
    </row>
    <row r="111" spans="2:2" hidden="1">
      <c r="B111" t="s">
        <v>204</v>
      </c>
    </row>
    <row r="112" spans="2:2" hidden="1">
      <c r="B112" t="s">
        <v>243</v>
      </c>
    </row>
    <row r="113" spans="2:2" hidden="1">
      <c r="B113" t="s">
        <v>210</v>
      </c>
    </row>
    <row r="114" spans="2:2" hidden="1">
      <c r="B114" t="s">
        <v>256</v>
      </c>
    </row>
    <row r="115" spans="2:2">
      <c r="B115" t="s">
        <v>258</v>
      </c>
    </row>
    <row r="116" spans="2:2">
      <c r="B116" t="s">
        <v>217</v>
      </c>
    </row>
    <row r="117" spans="2:2">
      <c r="B117" t="s">
        <v>222</v>
      </c>
    </row>
    <row r="118" spans="2:2">
      <c r="B118" t="s">
        <v>226</v>
      </c>
    </row>
    <row r="119" spans="2:2">
      <c r="B119" t="s">
        <v>246</v>
      </c>
    </row>
    <row r="120" spans="2:2">
      <c r="B120" t="s">
        <v>248</v>
      </c>
    </row>
    <row r="121" spans="2:2">
      <c r="B121" t="s">
        <v>232</v>
      </c>
    </row>
    <row r="122" spans="2:2" hidden="1">
      <c r="B122" t="s">
        <v>260</v>
      </c>
    </row>
    <row r="123" spans="2:2" hidden="1">
      <c r="B123" t="s">
        <v>236</v>
      </c>
    </row>
    <row r="124" spans="2:2" hidden="1">
      <c r="B124" t="s">
        <v>130</v>
      </c>
    </row>
    <row r="125" spans="2:2" hidden="1">
      <c r="B125" t="s">
        <v>134</v>
      </c>
    </row>
    <row r="126" spans="2:2" hidden="1">
      <c r="B126" t="s">
        <v>138</v>
      </c>
    </row>
    <row r="127" spans="2:2" hidden="1">
      <c r="B127" t="s">
        <v>141</v>
      </c>
    </row>
    <row r="128" spans="2:2" hidden="1">
      <c r="B128" t="s">
        <v>144</v>
      </c>
    </row>
    <row r="129" spans="2:2" hidden="1">
      <c r="B129" t="s">
        <v>147</v>
      </c>
    </row>
    <row r="130" spans="2:2" hidden="1">
      <c r="B130" t="s">
        <v>150</v>
      </c>
    </row>
    <row r="131" spans="2:2" hidden="1">
      <c r="B131" t="s">
        <v>265</v>
      </c>
    </row>
    <row r="132" spans="2:2" hidden="1">
      <c r="B132" t="s">
        <v>267</v>
      </c>
    </row>
    <row r="133" spans="2:2" hidden="1">
      <c r="B133" t="s">
        <v>155</v>
      </c>
    </row>
    <row r="134" spans="2:2" hidden="1">
      <c r="B134" t="s">
        <v>157</v>
      </c>
    </row>
    <row r="135" spans="2:2" hidden="1">
      <c r="B135" t="s">
        <v>159</v>
      </c>
    </row>
    <row r="136" spans="2:2" hidden="1">
      <c r="B136" t="s">
        <v>278</v>
      </c>
    </row>
    <row r="137" spans="2:2">
      <c r="B137" t="s">
        <v>280</v>
      </c>
    </row>
    <row r="138" spans="2:2">
      <c r="B138" t="s">
        <v>282</v>
      </c>
    </row>
    <row r="139" spans="2:2">
      <c r="B139" t="s">
        <v>255</v>
      </c>
    </row>
    <row r="140" spans="2:2">
      <c r="B140" t="s">
        <v>286</v>
      </c>
    </row>
    <row r="141" spans="2:2">
      <c r="B141" t="s">
        <v>269</v>
      </c>
    </row>
    <row r="142" spans="2:2">
      <c r="B142" t="s">
        <v>174</v>
      </c>
    </row>
    <row r="143" spans="2:2">
      <c r="B143" t="s">
        <v>175</v>
      </c>
    </row>
    <row r="144" spans="2:2" hidden="1">
      <c r="B144" t="s">
        <v>178</v>
      </c>
    </row>
    <row r="145" spans="2:2" hidden="1">
      <c r="B145" t="s">
        <v>240</v>
      </c>
    </row>
    <row r="146" spans="2:2" hidden="1">
      <c r="B146" t="s">
        <v>181</v>
      </c>
    </row>
    <row r="147" spans="2:2" hidden="1">
      <c r="B147" t="s">
        <v>272</v>
      </c>
    </row>
    <row r="148" spans="2:2" hidden="1">
      <c r="B148" t="s">
        <v>274</v>
      </c>
    </row>
    <row r="149" spans="2:2" hidden="1">
      <c r="B149" t="s">
        <v>188</v>
      </c>
    </row>
    <row r="150" spans="2:2" hidden="1">
      <c r="B150" t="s">
        <v>192</v>
      </c>
    </row>
    <row r="151" spans="2:2" hidden="1">
      <c r="B151" t="s">
        <v>197</v>
      </c>
    </row>
    <row r="152" spans="2:2" hidden="1">
      <c r="B152" t="s">
        <v>277</v>
      </c>
    </row>
    <row r="153" spans="2:2" hidden="1">
      <c r="B153" t="s">
        <v>203</v>
      </c>
    </row>
    <row r="154" spans="2:2" hidden="1">
      <c r="B154" t="s">
        <v>207</v>
      </c>
    </row>
    <row r="155" spans="2:2" hidden="1">
      <c r="B155" t="s">
        <v>209</v>
      </c>
    </row>
    <row r="156" spans="2:2" hidden="1">
      <c r="B156" t="s">
        <v>211</v>
      </c>
    </row>
    <row r="157" spans="2:2" hidden="1">
      <c r="B157" t="s">
        <v>257</v>
      </c>
    </row>
    <row r="158" spans="2:2">
      <c r="B158" t="s">
        <v>215</v>
      </c>
    </row>
    <row r="159" spans="2:2">
      <c r="B159" t="s">
        <v>219</v>
      </c>
    </row>
    <row r="160" spans="2:2">
      <c r="B160" t="s">
        <v>223</v>
      </c>
    </row>
    <row r="161" spans="2:2">
      <c r="B161" t="s">
        <v>227</v>
      </c>
    </row>
    <row r="162" spans="2:2">
      <c r="B162" t="s">
        <v>229</v>
      </c>
    </row>
    <row r="163" spans="2:2">
      <c r="B163" t="s">
        <v>233</v>
      </c>
    </row>
  </sheetData>
  <autoFilter ref="B1:B163" xr:uid="{A0676D03-B287-4B9D-8C3D-35B644CF44A6}">
    <filterColumn colId="0">
      <customFilters>
        <customFilter val="59,9*"/>
      </customFilters>
    </filterColumn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F3363-5F61-406F-BF77-4D1487F9DF07}">
  <sheetPr codeName="Foglio2"/>
  <dimension ref="B2:E2628"/>
  <sheetViews>
    <sheetView topLeftCell="B1" workbookViewId="0">
      <selection activeCell="D19" sqref="D19"/>
    </sheetView>
  </sheetViews>
  <sheetFormatPr defaultRowHeight="14.25"/>
  <cols>
    <col min="2" max="2" width="81.375" bestFit="1" customWidth="1"/>
    <col min="3" max="3" width="5" bestFit="1" customWidth="1"/>
    <col min="4" max="4" width="81.375" bestFit="1" customWidth="1"/>
    <col min="5" max="5" width="9.875" bestFit="1" customWidth="1"/>
    <col min="6" max="6" width="18.375" bestFit="1" customWidth="1"/>
    <col min="7" max="7" width="8.875" bestFit="1" customWidth="1"/>
    <col min="8" max="8" width="14.625" bestFit="1" customWidth="1"/>
    <col min="9" max="9" width="16" bestFit="1" customWidth="1"/>
    <col min="10" max="10" width="13.625" bestFit="1" customWidth="1"/>
    <col min="11" max="11" width="13.375" bestFit="1" customWidth="1"/>
    <col min="12" max="12" width="11.75" bestFit="1" customWidth="1"/>
    <col min="13" max="14" width="12.125" bestFit="1" customWidth="1"/>
    <col min="15" max="15" width="12" bestFit="1" customWidth="1"/>
    <col min="16" max="16" width="14.25" bestFit="1" customWidth="1"/>
  </cols>
  <sheetData>
    <row r="2" spans="2:5">
      <c r="B2" t="s">
        <v>287</v>
      </c>
      <c r="C2" t="str">
        <f>VLOOKUP(B2,D:E,2,0)</f>
        <v>x</v>
      </c>
      <c r="D2" t="s">
        <v>1491</v>
      </c>
      <c r="E2" t="s">
        <v>2817</v>
      </c>
    </row>
    <row r="3" spans="2:5">
      <c r="B3" t="s">
        <v>288</v>
      </c>
      <c r="C3" t="str">
        <f t="shared" ref="C3:C66" si="0">VLOOKUP(B3,D:E,2,0)</f>
        <v>x</v>
      </c>
      <c r="D3" t="s">
        <v>2556</v>
      </c>
      <c r="E3" t="s">
        <v>2817</v>
      </c>
    </row>
    <row r="4" spans="2:5">
      <c r="B4" t="s">
        <v>289</v>
      </c>
      <c r="C4" t="str">
        <f t="shared" si="0"/>
        <v>x</v>
      </c>
      <c r="D4" t="s">
        <v>1733</v>
      </c>
      <c r="E4" t="s">
        <v>2817</v>
      </c>
    </row>
    <row r="5" spans="2:5">
      <c r="B5" t="s">
        <v>290</v>
      </c>
      <c r="C5" t="str">
        <f t="shared" si="0"/>
        <v>x</v>
      </c>
      <c r="D5" t="s">
        <v>1214</v>
      </c>
      <c r="E5" t="s">
        <v>2817</v>
      </c>
    </row>
    <row r="6" spans="2:5">
      <c r="B6" t="s">
        <v>291</v>
      </c>
      <c r="C6" t="str">
        <f t="shared" si="0"/>
        <v>x</v>
      </c>
      <c r="D6" t="s">
        <v>2653</v>
      </c>
      <c r="E6" t="s">
        <v>2817</v>
      </c>
    </row>
    <row r="7" spans="2:5">
      <c r="B7" t="s">
        <v>292</v>
      </c>
      <c r="C7" t="str">
        <f t="shared" si="0"/>
        <v>x</v>
      </c>
      <c r="D7" t="s">
        <v>2065</v>
      </c>
      <c r="E7" t="s">
        <v>2817</v>
      </c>
    </row>
    <row r="8" spans="2:5">
      <c r="B8" t="s">
        <v>293</v>
      </c>
      <c r="C8" t="str">
        <f t="shared" si="0"/>
        <v>x</v>
      </c>
      <c r="D8" t="s">
        <v>1734</v>
      </c>
      <c r="E8" t="s">
        <v>2817</v>
      </c>
    </row>
    <row r="9" spans="2:5">
      <c r="B9" t="s">
        <v>294</v>
      </c>
      <c r="C9" t="str">
        <f t="shared" si="0"/>
        <v>x</v>
      </c>
      <c r="D9" t="s">
        <v>1346</v>
      </c>
      <c r="E9" t="s">
        <v>2817</v>
      </c>
    </row>
    <row r="10" spans="2:5">
      <c r="B10" t="s">
        <v>295</v>
      </c>
      <c r="C10" t="str">
        <f t="shared" si="0"/>
        <v>x</v>
      </c>
      <c r="D10" t="s">
        <v>1692</v>
      </c>
      <c r="E10" t="s">
        <v>2817</v>
      </c>
    </row>
    <row r="11" spans="2:5">
      <c r="B11" t="s">
        <v>296</v>
      </c>
      <c r="C11" t="str">
        <f t="shared" si="0"/>
        <v>x</v>
      </c>
      <c r="D11" t="s">
        <v>1051</v>
      </c>
      <c r="E11" t="s">
        <v>2817</v>
      </c>
    </row>
    <row r="12" spans="2:5">
      <c r="B12" t="s">
        <v>297</v>
      </c>
      <c r="C12" t="str">
        <f t="shared" si="0"/>
        <v>x</v>
      </c>
      <c r="D12" t="s">
        <v>1450</v>
      </c>
      <c r="E12" t="s">
        <v>2817</v>
      </c>
    </row>
    <row r="13" spans="2:5">
      <c r="B13" t="s">
        <v>298</v>
      </c>
      <c r="C13" t="str">
        <f t="shared" si="0"/>
        <v>x</v>
      </c>
      <c r="D13" t="s">
        <v>1981</v>
      </c>
      <c r="E13" t="s">
        <v>2817</v>
      </c>
    </row>
    <row r="14" spans="2:5">
      <c r="B14" t="s">
        <v>299</v>
      </c>
      <c r="C14" t="str">
        <f t="shared" si="0"/>
        <v>x</v>
      </c>
      <c r="D14" t="s">
        <v>1406</v>
      </c>
      <c r="E14" t="s">
        <v>2817</v>
      </c>
    </row>
    <row r="15" spans="2:5">
      <c r="B15" t="s">
        <v>300</v>
      </c>
      <c r="C15" t="str">
        <f t="shared" si="0"/>
        <v>x</v>
      </c>
      <c r="D15" t="s">
        <v>2287</v>
      </c>
      <c r="E15" t="s">
        <v>2817</v>
      </c>
    </row>
    <row r="16" spans="2:5">
      <c r="B16" t="s">
        <v>301</v>
      </c>
      <c r="C16" t="str">
        <f t="shared" si="0"/>
        <v>x</v>
      </c>
      <c r="D16" t="s">
        <v>2605</v>
      </c>
      <c r="E16" t="s">
        <v>2817</v>
      </c>
    </row>
    <row r="17" spans="2:5">
      <c r="B17" t="s">
        <v>302</v>
      </c>
      <c r="C17" t="str">
        <f t="shared" si="0"/>
        <v>x</v>
      </c>
      <c r="D17" t="s">
        <v>1347</v>
      </c>
      <c r="E17" t="s">
        <v>2817</v>
      </c>
    </row>
    <row r="18" spans="2:5">
      <c r="B18" t="s">
        <v>303</v>
      </c>
      <c r="C18" t="str">
        <f t="shared" si="0"/>
        <v>x</v>
      </c>
      <c r="D18" t="s">
        <v>2654</v>
      </c>
      <c r="E18" t="s">
        <v>2817</v>
      </c>
    </row>
    <row r="19" spans="2:5">
      <c r="B19" t="s">
        <v>304</v>
      </c>
      <c r="C19" t="str">
        <f t="shared" si="0"/>
        <v>x</v>
      </c>
      <c r="D19" t="s">
        <v>287</v>
      </c>
      <c r="E19" t="s">
        <v>2817</v>
      </c>
    </row>
    <row r="20" spans="2:5">
      <c r="B20" t="s">
        <v>305</v>
      </c>
      <c r="C20" t="str">
        <f t="shared" si="0"/>
        <v>x</v>
      </c>
      <c r="D20" t="s">
        <v>288</v>
      </c>
      <c r="E20" t="s">
        <v>2817</v>
      </c>
    </row>
    <row r="21" spans="2:5">
      <c r="B21" t="s">
        <v>306</v>
      </c>
      <c r="C21" t="str">
        <f t="shared" si="0"/>
        <v>x</v>
      </c>
      <c r="D21" t="s">
        <v>289</v>
      </c>
      <c r="E21" t="s">
        <v>2817</v>
      </c>
    </row>
    <row r="22" spans="2:5">
      <c r="B22" t="s">
        <v>307</v>
      </c>
      <c r="C22" t="str">
        <f t="shared" si="0"/>
        <v>x</v>
      </c>
      <c r="D22" t="s">
        <v>290</v>
      </c>
      <c r="E22" t="s">
        <v>2817</v>
      </c>
    </row>
    <row r="23" spans="2:5">
      <c r="B23" t="s">
        <v>308</v>
      </c>
      <c r="C23" t="str">
        <f t="shared" si="0"/>
        <v>x</v>
      </c>
      <c r="D23" t="s">
        <v>291</v>
      </c>
      <c r="E23" t="s">
        <v>2817</v>
      </c>
    </row>
    <row r="24" spans="2:5">
      <c r="B24" t="s">
        <v>309</v>
      </c>
      <c r="C24" t="str">
        <f t="shared" si="0"/>
        <v>x</v>
      </c>
      <c r="D24" t="s">
        <v>292</v>
      </c>
      <c r="E24" t="s">
        <v>2817</v>
      </c>
    </row>
    <row r="25" spans="2:5">
      <c r="B25" t="s">
        <v>310</v>
      </c>
      <c r="C25" t="str">
        <f t="shared" si="0"/>
        <v>x</v>
      </c>
      <c r="D25" t="s">
        <v>419</v>
      </c>
      <c r="E25" t="s">
        <v>2817</v>
      </c>
    </row>
    <row r="26" spans="2:5">
      <c r="B26" t="s">
        <v>311</v>
      </c>
      <c r="C26" t="str">
        <f t="shared" si="0"/>
        <v>x</v>
      </c>
      <c r="D26" t="s">
        <v>460</v>
      </c>
      <c r="E26" t="s">
        <v>2817</v>
      </c>
    </row>
    <row r="27" spans="2:5">
      <c r="B27" t="s">
        <v>312</v>
      </c>
      <c r="C27" t="str">
        <f t="shared" si="0"/>
        <v>x</v>
      </c>
      <c r="D27" t="s">
        <v>1878</v>
      </c>
      <c r="E27" t="s">
        <v>2817</v>
      </c>
    </row>
    <row r="28" spans="2:5">
      <c r="B28" t="s">
        <v>313</v>
      </c>
      <c r="C28" t="str">
        <f t="shared" si="0"/>
        <v>x</v>
      </c>
      <c r="D28" t="s">
        <v>519</v>
      </c>
      <c r="E28" t="s">
        <v>2817</v>
      </c>
    </row>
    <row r="29" spans="2:5">
      <c r="B29" t="s">
        <v>314</v>
      </c>
      <c r="C29" t="str">
        <f t="shared" si="0"/>
        <v>x</v>
      </c>
      <c r="D29" t="s">
        <v>903</v>
      </c>
      <c r="E29" t="s">
        <v>2817</v>
      </c>
    </row>
    <row r="30" spans="2:5">
      <c r="B30" t="s">
        <v>315</v>
      </c>
      <c r="C30" t="str">
        <f t="shared" si="0"/>
        <v>x</v>
      </c>
      <c r="D30" t="s">
        <v>347</v>
      </c>
      <c r="E30" t="s">
        <v>2817</v>
      </c>
    </row>
    <row r="31" spans="2:5">
      <c r="B31" t="s">
        <v>316</v>
      </c>
      <c r="C31" t="str">
        <f t="shared" si="0"/>
        <v>x</v>
      </c>
      <c r="D31" t="s">
        <v>2461</v>
      </c>
      <c r="E31" t="s">
        <v>2817</v>
      </c>
    </row>
    <row r="32" spans="2:5">
      <c r="B32" t="s">
        <v>317</v>
      </c>
      <c r="C32" t="str">
        <f t="shared" si="0"/>
        <v>x</v>
      </c>
      <c r="D32" t="s">
        <v>1605</v>
      </c>
      <c r="E32" t="s">
        <v>2817</v>
      </c>
    </row>
    <row r="33" spans="2:5">
      <c r="B33" t="s">
        <v>318</v>
      </c>
      <c r="C33" t="str">
        <f t="shared" si="0"/>
        <v>x</v>
      </c>
      <c r="D33" t="s">
        <v>846</v>
      </c>
      <c r="E33" t="s">
        <v>2817</v>
      </c>
    </row>
    <row r="34" spans="2:5">
      <c r="B34" t="s">
        <v>319</v>
      </c>
      <c r="C34" t="str">
        <f t="shared" si="0"/>
        <v>x</v>
      </c>
      <c r="D34" t="s">
        <v>951</v>
      </c>
      <c r="E34" t="s">
        <v>2817</v>
      </c>
    </row>
    <row r="35" spans="2:5">
      <c r="B35" t="s">
        <v>320</v>
      </c>
      <c r="C35" t="str">
        <f t="shared" si="0"/>
        <v>x</v>
      </c>
      <c r="D35" t="s">
        <v>2376</v>
      </c>
      <c r="E35" t="s">
        <v>2817</v>
      </c>
    </row>
    <row r="36" spans="2:5">
      <c r="B36" t="s">
        <v>321</v>
      </c>
      <c r="C36" t="str">
        <f t="shared" si="0"/>
        <v>x</v>
      </c>
      <c r="D36" t="s">
        <v>2740</v>
      </c>
      <c r="E36" t="s">
        <v>2817</v>
      </c>
    </row>
    <row r="37" spans="2:5">
      <c r="B37" t="s">
        <v>322</v>
      </c>
      <c r="C37" t="str">
        <f t="shared" si="0"/>
        <v>x</v>
      </c>
      <c r="D37" t="s">
        <v>520</v>
      </c>
      <c r="E37" t="s">
        <v>2817</v>
      </c>
    </row>
    <row r="38" spans="2:5">
      <c r="B38" t="s">
        <v>323</v>
      </c>
      <c r="C38" t="str">
        <f t="shared" si="0"/>
        <v>x</v>
      </c>
      <c r="D38" t="s">
        <v>1410</v>
      </c>
      <c r="E38" t="s">
        <v>2817</v>
      </c>
    </row>
    <row r="39" spans="2:5">
      <c r="B39" t="s">
        <v>324</v>
      </c>
      <c r="C39" t="str">
        <f t="shared" si="0"/>
        <v>x</v>
      </c>
      <c r="D39" t="s">
        <v>1985</v>
      </c>
      <c r="E39" t="s">
        <v>2817</v>
      </c>
    </row>
    <row r="40" spans="2:5">
      <c r="B40" t="s">
        <v>325</v>
      </c>
      <c r="C40" t="str">
        <f t="shared" si="0"/>
        <v>x</v>
      </c>
      <c r="D40" t="s">
        <v>1986</v>
      </c>
      <c r="E40" t="s">
        <v>2817</v>
      </c>
    </row>
    <row r="41" spans="2:5">
      <c r="B41" t="s">
        <v>326</v>
      </c>
      <c r="C41" t="str">
        <f t="shared" si="0"/>
        <v>x</v>
      </c>
      <c r="D41" t="s">
        <v>1221</v>
      </c>
      <c r="E41" t="s">
        <v>2817</v>
      </c>
    </row>
    <row r="42" spans="2:5">
      <c r="B42" t="s">
        <v>327</v>
      </c>
      <c r="C42" t="str">
        <f t="shared" si="0"/>
        <v>x</v>
      </c>
      <c r="D42" t="s">
        <v>293</v>
      </c>
      <c r="E42" t="s">
        <v>2817</v>
      </c>
    </row>
    <row r="43" spans="2:5">
      <c r="B43" t="s">
        <v>328</v>
      </c>
      <c r="C43" t="str">
        <f t="shared" si="0"/>
        <v>x</v>
      </c>
      <c r="D43" t="s">
        <v>294</v>
      </c>
      <c r="E43" t="s">
        <v>2817</v>
      </c>
    </row>
    <row r="44" spans="2:5">
      <c r="B44" t="s">
        <v>329</v>
      </c>
      <c r="C44" t="str">
        <f t="shared" si="0"/>
        <v>x</v>
      </c>
      <c r="D44" t="s">
        <v>295</v>
      </c>
      <c r="E44" t="s">
        <v>2817</v>
      </c>
    </row>
    <row r="45" spans="2:5">
      <c r="B45" t="s">
        <v>330</v>
      </c>
      <c r="C45" t="str">
        <f t="shared" si="0"/>
        <v>x</v>
      </c>
      <c r="D45" t="s">
        <v>296</v>
      </c>
      <c r="E45" t="s">
        <v>2817</v>
      </c>
    </row>
    <row r="46" spans="2:5">
      <c r="B46" t="s">
        <v>331</v>
      </c>
      <c r="C46" t="str">
        <f t="shared" si="0"/>
        <v>x</v>
      </c>
      <c r="D46" t="s">
        <v>297</v>
      </c>
      <c r="E46" t="s">
        <v>2817</v>
      </c>
    </row>
    <row r="47" spans="2:5">
      <c r="B47" t="s">
        <v>332</v>
      </c>
      <c r="C47" t="str">
        <f t="shared" si="0"/>
        <v>x</v>
      </c>
      <c r="D47" t="s">
        <v>298</v>
      </c>
      <c r="E47" t="s">
        <v>2817</v>
      </c>
    </row>
    <row r="48" spans="2:5">
      <c r="B48" t="s">
        <v>333</v>
      </c>
      <c r="C48" t="str">
        <f t="shared" si="0"/>
        <v>x</v>
      </c>
      <c r="D48" t="s">
        <v>299</v>
      </c>
      <c r="E48" t="s">
        <v>2817</v>
      </c>
    </row>
    <row r="49" spans="2:5">
      <c r="B49" t="s">
        <v>334</v>
      </c>
      <c r="C49" t="str">
        <f t="shared" si="0"/>
        <v>x</v>
      </c>
      <c r="D49" t="s">
        <v>300</v>
      </c>
      <c r="E49" t="s">
        <v>2817</v>
      </c>
    </row>
    <row r="50" spans="2:5">
      <c r="B50" t="s">
        <v>335</v>
      </c>
      <c r="C50" t="str">
        <f t="shared" si="0"/>
        <v>x</v>
      </c>
      <c r="D50" t="s">
        <v>750</v>
      </c>
      <c r="E50" t="s">
        <v>2817</v>
      </c>
    </row>
    <row r="51" spans="2:5">
      <c r="B51" t="s">
        <v>336</v>
      </c>
      <c r="C51" t="str">
        <f t="shared" si="0"/>
        <v>x</v>
      </c>
      <c r="D51" t="s">
        <v>2557</v>
      </c>
      <c r="E51" t="s">
        <v>2817</v>
      </c>
    </row>
    <row r="52" spans="2:5">
      <c r="B52" t="s">
        <v>337</v>
      </c>
      <c r="C52" t="str">
        <f t="shared" si="0"/>
        <v>x</v>
      </c>
      <c r="D52" t="s">
        <v>1215</v>
      </c>
      <c r="E52" t="s">
        <v>2817</v>
      </c>
    </row>
    <row r="53" spans="2:5">
      <c r="B53" t="s">
        <v>338</v>
      </c>
      <c r="C53" t="str">
        <f t="shared" si="0"/>
        <v>x</v>
      </c>
      <c r="D53" t="s">
        <v>342</v>
      </c>
      <c r="E53" t="s">
        <v>2817</v>
      </c>
    </row>
    <row r="54" spans="2:5">
      <c r="B54" t="s">
        <v>339</v>
      </c>
      <c r="C54" t="str">
        <f t="shared" si="0"/>
        <v>x</v>
      </c>
      <c r="D54" t="s">
        <v>1980</v>
      </c>
      <c r="E54" t="s">
        <v>2817</v>
      </c>
    </row>
    <row r="55" spans="2:5">
      <c r="B55" t="s">
        <v>340</v>
      </c>
      <c r="C55" t="str">
        <f t="shared" si="0"/>
        <v>x</v>
      </c>
      <c r="D55" t="s">
        <v>2286</v>
      </c>
      <c r="E55" t="s">
        <v>2817</v>
      </c>
    </row>
    <row r="56" spans="2:5">
      <c r="C56" t="e">
        <f t="shared" si="0"/>
        <v>#N/A</v>
      </c>
      <c r="D56" t="s">
        <v>2067</v>
      </c>
      <c r="E56" t="s">
        <v>2817</v>
      </c>
    </row>
    <row r="57" spans="2:5">
      <c r="C57" t="e">
        <f t="shared" si="0"/>
        <v>#N/A</v>
      </c>
      <c r="D57" t="s">
        <v>949</v>
      </c>
      <c r="E57" t="s">
        <v>2817</v>
      </c>
    </row>
    <row r="58" spans="2:5">
      <c r="C58" t="e">
        <f t="shared" si="0"/>
        <v>#N/A</v>
      </c>
      <c r="D58" t="s">
        <v>751</v>
      </c>
      <c r="E58" t="s">
        <v>2817</v>
      </c>
    </row>
    <row r="59" spans="2:5">
      <c r="C59" t="e">
        <f t="shared" si="0"/>
        <v>#N/A</v>
      </c>
      <c r="D59" t="s">
        <v>345</v>
      </c>
      <c r="E59" t="s">
        <v>2817</v>
      </c>
    </row>
    <row r="60" spans="2:5">
      <c r="C60" t="e">
        <f t="shared" si="0"/>
        <v>#N/A</v>
      </c>
      <c r="D60" t="s">
        <v>301</v>
      </c>
      <c r="E60" t="s">
        <v>2817</v>
      </c>
    </row>
    <row r="61" spans="2:5">
      <c r="C61" t="e">
        <f t="shared" si="0"/>
        <v>#N/A</v>
      </c>
      <c r="D61" t="s">
        <v>302</v>
      </c>
      <c r="E61" t="s">
        <v>2817</v>
      </c>
    </row>
    <row r="62" spans="2:5">
      <c r="C62" t="e">
        <f t="shared" si="0"/>
        <v>#N/A</v>
      </c>
      <c r="D62" t="s">
        <v>303</v>
      </c>
      <c r="E62" t="s">
        <v>2817</v>
      </c>
    </row>
    <row r="63" spans="2:5">
      <c r="C63" t="e">
        <f t="shared" si="0"/>
        <v>#N/A</v>
      </c>
      <c r="D63" t="s">
        <v>304</v>
      </c>
      <c r="E63" t="s">
        <v>2817</v>
      </c>
    </row>
    <row r="64" spans="2:5">
      <c r="C64" t="e">
        <f t="shared" si="0"/>
        <v>#N/A</v>
      </c>
      <c r="D64" t="s">
        <v>305</v>
      </c>
      <c r="E64" t="s">
        <v>2817</v>
      </c>
    </row>
    <row r="65" spans="3:5">
      <c r="C65" t="e">
        <f t="shared" si="0"/>
        <v>#N/A</v>
      </c>
      <c r="D65" t="s">
        <v>306</v>
      </c>
      <c r="E65" t="s">
        <v>2817</v>
      </c>
    </row>
    <row r="66" spans="3:5">
      <c r="C66" t="e">
        <f t="shared" si="0"/>
        <v>#N/A</v>
      </c>
      <c r="D66" t="s">
        <v>2773</v>
      </c>
      <c r="E66" t="s">
        <v>2817</v>
      </c>
    </row>
    <row r="67" spans="3:5">
      <c r="C67" t="e">
        <f t="shared" ref="C67:C130" si="1">VLOOKUP(B67,D:E,2,0)</f>
        <v>#N/A</v>
      </c>
      <c r="D67" t="s">
        <v>1118</v>
      </c>
      <c r="E67" t="s">
        <v>2817</v>
      </c>
    </row>
    <row r="68" spans="3:5">
      <c r="C68" t="e">
        <f t="shared" si="1"/>
        <v>#N/A</v>
      </c>
      <c r="D68" t="s">
        <v>2460</v>
      </c>
      <c r="E68" t="s">
        <v>2817</v>
      </c>
    </row>
    <row r="69" spans="3:5">
      <c r="C69" t="e">
        <f t="shared" si="1"/>
        <v>#N/A</v>
      </c>
      <c r="D69" t="s">
        <v>348</v>
      </c>
      <c r="E69" t="s">
        <v>2817</v>
      </c>
    </row>
    <row r="70" spans="3:5">
      <c r="C70" t="e">
        <f t="shared" si="1"/>
        <v>#N/A</v>
      </c>
      <c r="D70" t="s">
        <v>1824</v>
      </c>
      <c r="E70" t="s">
        <v>2817</v>
      </c>
    </row>
    <row r="71" spans="3:5">
      <c r="C71" t="e">
        <f t="shared" si="1"/>
        <v>#N/A</v>
      </c>
      <c r="D71" t="s">
        <v>349</v>
      </c>
      <c r="E71" t="s">
        <v>2817</v>
      </c>
    </row>
    <row r="72" spans="3:5">
      <c r="C72" t="e">
        <f t="shared" si="1"/>
        <v>#N/A</v>
      </c>
      <c r="D72" t="s">
        <v>1737</v>
      </c>
      <c r="E72" t="s">
        <v>2817</v>
      </c>
    </row>
    <row r="73" spans="3:5">
      <c r="C73" t="e">
        <f t="shared" si="1"/>
        <v>#N/A</v>
      </c>
      <c r="D73" t="s">
        <v>2293</v>
      </c>
      <c r="E73" t="s">
        <v>2817</v>
      </c>
    </row>
    <row r="74" spans="3:5">
      <c r="C74" t="e">
        <f t="shared" si="1"/>
        <v>#N/A</v>
      </c>
      <c r="D74" t="s">
        <v>350</v>
      </c>
      <c r="E74" t="s">
        <v>2817</v>
      </c>
    </row>
    <row r="75" spans="3:5">
      <c r="C75" t="e">
        <f t="shared" si="1"/>
        <v>#N/A</v>
      </c>
      <c r="D75" t="s">
        <v>2462</v>
      </c>
      <c r="E75" t="s">
        <v>2817</v>
      </c>
    </row>
    <row r="76" spans="3:5">
      <c r="C76" t="e">
        <f t="shared" si="1"/>
        <v>#N/A</v>
      </c>
      <c r="D76" t="s">
        <v>2502</v>
      </c>
      <c r="E76" t="s">
        <v>2817</v>
      </c>
    </row>
    <row r="77" spans="3:5">
      <c r="C77" t="e">
        <f t="shared" si="1"/>
        <v>#N/A</v>
      </c>
      <c r="D77" t="s">
        <v>2029</v>
      </c>
      <c r="E77" t="s">
        <v>2817</v>
      </c>
    </row>
    <row r="78" spans="3:5">
      <c r="C78" t="e">
        <f t="shared" si="1"/>
        <v>#N/A</v>
      </c>
      <c r="D78" t="s">
        <v>307</v>
      </c>
      <c r="E78" t="s">
        <v>2817</v>
      </c>
    </row>
    <row r="79" spans="3:5">
      <c r="C79" t="e">
        <f t="shared" si="1"/>
        <v>#N/A</v>
      </c>
      <c r="D79" t="s">
        <v>308</v>
      </c>
      <c r="E79" t="s">
        <v>2817</v>
      </c>
    </row>
    <row r="80" spans="3:5">
      <c r="C80" t="e">
        <f t="shared" si="1"/>
        <v>#N/A</v>
      </c>
      <c r="D80" t="s">
        <v>309</v>
      </c>
      <c r="E80" t="s">
        <v>2817</v>
      </c>
    </row>
    <row r="81" spans="3:5">
      <c r="C81" t="e">
        <f t="shared" si="1"/>
        <v>#N/A</v>
      </c>
      <c r="D81" t="s">
        <v>310</v>
      </c>
      <c r="E81" t="s">
        <v>2817</v>
      </c>
    </row>
    <row r="82" spans="3:5">
      <c r="C82" t="e">
        <f t="shared" si="1"/>
        <v>#N/A</v>
      </c>
      <c r="D82" t="s">
        <v>311</v>
      </c>
      <c r="E82" t="s">
        <v>2817</v>
      </c>
    </row>
    <row r="83" spans="3:5">
      <c r="C83" t="e">
        <f t="shared" si="1"/>
        <v>#N/A</v>
      </c>
      <c r="D83" t="s">
        <v>312</v>
      </c>
      <c r="E83" t="s">
        <v>2817</v>
      </c>
    </row>
    <row r="84" spans="3:5">
      <c r="C84" t="e">
        <f t="shared" si="1"/>
        <v>#N/A</v>
      </c>
      <c r="D84" t="s">
        <v>749</v>
      </c>
      <c r="E84" t="s">
        <v>2817</v>
      </c>
    </row>
    <row r="85" spans="3:5">
      <c r="C85" t="e">
        <f t="shared" si="1"/>
        <v>#N/A</v>
      </c>
      <c r="D85" t="s">
        <v>1312</v>
      </c>
      <c r="E85" t="s">
        <v>2817</v>
      </c>
    </row>
    <row r="86" spans="3:5">
      <c r="C86" t="e">
        <f t="shared" si="1"/>
        <v>#N/A</v>
      </c>
      <c r="D86" t="s">
        <v>2558</v>
      </c>
      <c r="E86" t="s">
        <v>2817</v>
      </c>
    </row>
    <row r="87" spans="3:5">
      <c r="C87" t="e">
        <f t="shared" si="1"/>
        <v>#N/A</v>
      </c>
      <c r="D87" t="s">
        <v>1345</v>
      </c>
      <c r="E87" t="s">
        <v>2817</v>
      </c>
    </row>
    <row r="88" spans="3:5">
      <c r="C88" t="e">
        <f t="shared" si="1"/>
        <v>#N/A</v>
      </c>
      <c r="D88" t="s">
        <v>2119</v>
      </c>
      <c r="E88" t="s">
        <v>2817</v>
      </c>
    </row>
    <row r="89" spans="3:5">
      <c r="C89" t="e">
        <f t="shared" si="1"/>
        <v>#N/A</v>
      </c>
      <c r="D89" t="s">
        <v>2245</v>
      </c>
      <c r="E89" t="s">
        <v>2817</v>
      </c>
    </row>
    <row r="90" spans="3:5">
      <c r="C90" t="e">
        <f t="shared" si="1"/>
        <v>#N/A</v>
      </c>
      <c r="D90" t="s">
        <v>1918</v>
      </c>
      <c r="E90" t="s">
        <v>2817</v>
      </c>
    </row>
    <row r="91" spans="3:5">
      <c r="C91" t="e">
        <f t="shared" si="1"/>
        <v>#N/A</v>
      </c>
      <c r="D91" t="s">
        <v>2419</v>
      </c>
      <c r="E91" t="s">
        <v>2817</v>
      </c>
    </row>
    <row r="92" spans="3:5">
      <c r="C92" t="e">
        <f t="shared" si="1"/>
        <v>#N/A</v>
      </c>
      <c r="D92" t="s">
        <v>897</v>
      </c>
      <c r="E92" t="s">
        <v>2817</v>
      </c>
    </row>
    <row r="93" spans="3:5">
      <c r="C93" t="e">
        <f t="shared" si="1"/>
        <v>#N/A</v>
      </c>
      <c r="D93" t="s">
        <v>1405</v>
      </c>
      <c r="E93" t="s">
        <v>2817</v>
      </c>
    </row>
    <row r="94" spans="3:5">
      <c r="C94" t="e">
        <f t="shared" si="1"/>
        <v>#N/A</v>
      </c>
      <c r="D94" t="s">
        <v>2338</v>
      </c>
      <c r="E94" t="s">
        <v>2817</v>
      </c>
    </row>
    <row r="95" spans="3:5">
      <c r="C95" t="e">
        <f t="shared" si="1"/>
        <v>#N/A</v>
      </c>
      <c r="D95" t="s">
        <v>1919</v>
      </c>
      <c r="E95" t="s">
        <v>2817</v>
      </c>
    </row>
    <row r="96" spans="3:5">
      <c r="C96" t="e">
        <f t="shared" si="1"/>
        <v>#N/A</v>
      </c>
      <c r="D96" t="s">
        <v>313</v>
      </c>
      <c r="E96" t="s">
        <v>2817</v>
      </c>
    </row>
    <row r="97" spans="3:5">
      <c r="C97" t="e">
        <f t="shared" si="1"/>
        <v>#N/A</v>
      </c>
      <c r="D97" t="s">
        <v>314</v>
      </c>
      <c r="E97" t="s">
        <v>2817</v>
      </c>
    </row>
    <row r="98" spans="3:5">
      <c r="C98" t="e">
        <f t="shared" si="1"/>
        <v>#N/A</v>
      </c>
      <c r="D98" t="s">
        <v>315</v>
      </c>
      <c r="E98" t="s">
        <v>2817</v>
      </c>
    </row>
    <row r="99" spans="3:5">
      <c r="C99" t="e">
        <f t="shared" si="1"/>
        <v>#N/A</v>
      </c>
      <c r="D99" t="s">
        <v>316</v>
      </c>
      <c r="E99" t="s">
        <v>2817</v>
      </c>
    </row>
    <row r="100" spans="3:5">
      <c r="C100" t="e">
        <f t="shared" si="1"/>
        <v>#N/A</v>
      </c>
      <c r="D100" t="s">
        <v>317</v>
      </c>
      <c r="E100" t="s">
        <v>2817</v>
      </c>
    </row>
    <row r="101" spans="3:5">
      <c r="C101" t="e">
        <f t="shared" si="1"/>
        <v>#N/A</v>
      </c>
      <c r="D101" t="s">
        <v>318</v>
      </c>
      <c r="E101" t="s">
        <v>2817</v>
      </c>
    </row>
    <row r="102" spans="3:5">
      <c r="C102" t="e">
        <f t="shared" si="1"/>
        <v>#N/A</v>
      </c>
      <c r="D102" t="s">
        <v>319</v>
      </c>
      <c r="E102" t="s">
        <v>2817</v>
      </c>
    </row>
    <row r="103" spans="3:5">
      <c r="C103" t="e">
        <f t="shared" si="1"/>
        <v>#N/A</v>
      </c>
      <c r="D103" t="s">
        <v>320</v>
      </c>
      <c r="E103" t="s">
        <v>2817</v>
      </c>
    </row>
    <row r="104" spans="3:5">
      <c r="C104" t="e">
        <f t="shared" si="1"/>
        <v>#N/A</v>
      </c>
      <c r="D104" t="s">
        <v>1821</v>
      </c>
      <c r="E104" t="s">
        <v>2817</v>
      </c>
    </row>
    <row r="105" spans="3:5">
      <c r="C105" t="e">
        <f t="shared" si="1"/>
        <v>#N/A</v>
      </c>
      <c r="D105" t="s">
        <v>1650</v>
      </c>
      <c r="E105" t="s">
        <v>2817</v>
      </c>
    </row>
    <row r="106" spans="3:5">
      <c r="C106" t="e">
        <f t="shared" si="1"/>
        <v>#N/A</v>
      </c>
      <c r="D106" t="s">
        <v>1453</v>
      </c>
      <c r="E106" t="s">
        <v>2817</v>
      </c>
    </row>
    <row r="107" spans="3:5">
      <c r="C107" t="e">
        <f t="shared" si="1"/>
        <v>#N/A</v>
      </c>
      <c r="D107" t="s">
        <v>1823</v>
      </c>
      <c r="E107" t="s">
        <v>2817</v>
      </c>
    </row>
    <row r="108" spans="3:5">
      <c r="C108" t="e">
        <f t="shared" si="1"/>
        <v>#N/A</v>
      </c>
      <c r="D108" t="s">
        <v>796</v>
      </c>
      <c r="E108" t="s">
        <v>2817</v>
      </c>
    </row>
    <row r="109" spans="3:5">
      <c r="C109" t="e">
        <f t="shared" si="1"/>
        <v>#N/A</v>
      </c>
      <c r="D109" t="s">
        <v>2694</v>
      </c>
      <c r="E109" t="s">
        <v>2817</v>
      </c>
    </row>
    <row r="110" spans="3:5">
      <c r="C110" t="e">
        <f t="shared" si="1"/>
        <v>#N/A</v>
      </c>
      <c r="D110" t="s">
        <v>2421</v>
      </c>
      <c r="E110" t="s">
        <v>2817</v>
      </c>
    </row>
    <row r="111" spans="3:5">
      <c r="C111" t="e">
        <f t="shared" si="1"/>
        <v>#N/A</v>
      </c>
      <c r="D111" t="s">
        <v>659</v>
      </c>
      <c r="E111" t="s">
        <v>2817</v>
      </c>
    </row>
    <row r="112" spans="3:5">
      <c r="C112" t="e">
        <f t="shared" si="1"/>
        <v>#N/A</v>
      </c>
      <c r="D112" t="s">
        <v>2741</v>
      </c>
      <c r="E112" t="s">
        <v>2817</v>
      </c>
    </row>
    <row r="113" spans="3:5">
      <c r="C113" t="e">
        <f t="shared" si="1"/>
        <v>#N/A</v>
      </c>
      <c r="D113" t="s">
        <v>952</v>
      </c>
      <c r="E113" t="s">
        <v>2817</v>
      </c>
    </row>
    <row r="114" spans="3:5">
      <c r="C114" t="e">
        <f t="shared" si="1"/>
        <v>#N/A</v>
      </c>
      <c r="D114" t="s">
        <v>1558</v>
      </c>
      <c r="E114" t="s">
        <v>2817</v>
      </c>
    </row>
    <row r="115" spans="3:5">
      <c r="C115" t="e">
        <f t="shared" si="1"/>
        <v>#N/A</v>
      </c>
      <c r="D115" t="s">
        <v>321</v>
      </c>
      <c r="E115" t="s">
        <v>2817</v>
      </c>
    </row>
    <row r="116" spans="3:5">
      <c r="C116" t="e">
        <f t="shared" si="1"/>
        <v>#N/A</v>
      </c>
      <c r="D116" t="s">
        <v>322</v>
      </c>
      <c r="E116" t="s">
        <v>2817</v>
      </c>
    </row>
    <row r="117" spans="3:5">
      <c r="C117" t="e">
        <f t="shared" si="1"/>
        <v>#N/A</v>
      </c>
      <c r="D117" t="s">
        <v>323</v>
      </c>
      <c r="E117" t="s">
        <v>2817</v>
      </c>
    </row>
    <row r="118" spans="3:5">
      <c r="C118" t="e">
        <f t="shared" si="1"/>
        <v>#N/A</v>
      </c>
      <c r="D118" t="s">
        <v>324</v>
      </c>
      <c r="E118" t="s">
        <v>2817</v>
      </c>
    </row>
    <row r="119" spans="3:5">
      <c r="C119" t="e">
        <f t="shared" si="1"/>
        <v>#N/A</v>
      </c>
      <c r="D119" t="s">
        <v>325</v>
      </c>
      <c r="E119" t="s">
        <v>2817</v>
      </c>
    </row>
    <row r="120" spans="3:5">
      <c r="C120" t="e">
        <f t="shared" si="1"/>
        <v>#N/A</v>
      </c>
      <c r="D120" t="s">
        <v>326</v>
      </c>
      <c r="E120" t="s">
        <v>2817</v>
      </c>
    </row>
    <row r="121" spans="3:5">
      <c r="C121" t="e">
        <f t="shared" si="1"/>
        <v>#N/A</v>
      </c>
      <c r="D121" t="s">
        <v>327</v>
      </c>
      <c r="E121" t="s">
        <v>2817</v>
      </c>
    </row>
    <row r="122" spans="3:5">
      <c r="C122" t="e">
        <f t="shared" si="1"/>
        <v>#N/A</v>
      </c>
      <c r="D122" t="s">
        <v>2064</v>
      </c>
      <c r="E122" t="s">
        <v>2817</v>
      </c>
    </row>
    <row r="123" spans="3:5">
      <c r="C123" t="e">
        <f t="shared" si="1"/>
        <v>#N/A</v>
      </c>
      <c r="D123" t="s">
        <v>2418</v>
      </c>
      <c r="E123" t="s">
        <v>2817</v>
      </c>
    </row>
    <row r="124" spans="3:5">
      <c r="C124" t="e">
        <f t="shared" si="1"/>
        <v>#N/A</v>
      </c>
      <c r="D124" t="s">
        <v>341</v>
      </c>
      <c r="E124" t="s">
        <v>2817</v>
      </c>
    </row>
    <row r="125" spans="3:5">
      <c r="C125" t="e">
        <f t="shared" si="1"/>
        <v>#N/A</v>
      </c>
      <c r="D125" t="s">
        <v>1555</v>
      </c>
      <c r="E125" t="s">
        <v>2817</v>
      </c>
    </row>
    <row r="126" spans="3:5">
      <c r="C126" t="e">
        <f t="shared" si="1"/>
        <v>#N/A</v>
      </c>
      <c r="D126" t="s">
        <v>704</v>
      </c>
      <c r="E126" t="s">
        <v>2817</v>
      </c>
    </row>
    <row r="127" spans="3:5">
      <c r="C127" t="e">
        <f t="shared" si="1"/>
        <v>#N/A</v>
      </c>
      <c r="D127" t="s">
        <v>562</v>
      </c>
      <c r="E127" t="s">
        <v>2817</v>
      </c>
    </row>
    <row r="128" spans="3:5">
      <c r="C128" t="e">
        <f t="shared" si="1"/>
        <v>#N/A</v>
      </c>
      <c r="D128" t="s">
        <v>2066</v>
      </c>
      <c r="E128" t="s">
        <v>2817</v>
      </c>
    </row>
    <row r="129" spans="3:5">
      <c r="C129" t="e">
        <f t="shared" si="1"/>
        <v>#N/A</v>
      </c>
      <c r="D129" t="s">
        <v>343</v>
      </c>
      <c r="E129" t="s">
        <v>2817</v>
      </c>
    </row>
    <row r="130" spans="3:5">
      <c r="C130" t="e">
        <f t="shared" si="1"/>
        <v>#N/A</v>
      </c>
      <c r="D130" t="s">
        <v>1644</v>
      </c>
      <c r="E130" t="s">
        <v>2817</v>
      </c>
    </row>
    <row r="131" spans="3:5">
      <c r="C131" t="e">
        <f t="shared" ref="C131:C194" si="2">VLOOKUP(B131,D:E,2,0)</f>
        <v>#N/A</v>
      </c>
      <c r="D131" t="s">
        <v>1693</v>
      </c>
      <c r="E131" t="s">
        <v>2817</v>
      </c>
    </row>
    <row r="132" spans="3:5">
      <c r="C132" t="e">
        <f t="shared" si="2"/>
        <v>#N/A</v>
      </c>
      <c r="D132" t="s">
        <v>344</v>
      </c>
      <c r="E132" t="s">
        <v>2817</v>
      </c>
    </row>
    <row r="133" spans="3:5">
      <c r="C133" t="e">
        <f t="shared" si="2"/>
        <v>#N/A</v>
      </c>
      <c r="D133" t="s">
        <v>2499</v>
      </c>
      <c r="E133" t="s">
        <v>2817</v>
      </c>
    </row>
    <row r="134" spans="3:5">
      <c r="C134" t="e">
        <f t="shared" si="2"/>
        <v>#N/A</v>
      </c>
      <c r="D134" t="s">
        <v>705</v>
      </c>
      <c r="E134" t="s">
        <v>2817</v>
      </c>
    </row>
    <row r="135" spans="3:5">
      <c r="C135" t="e">
        <f t="shared" si="2"/>
        <v>#N/A</v>
      </c>
      <c r="D135" t="s">
        <v>2068</v>
      </c>
      <c r="E135" t="s">
        <v>2817</v>
      </c>
    </row>
    <row r="136" spans="3:5">
      <c r="C136" t="e">
        <f t="shared" si="2"/>
        <v>#N/A</v>
      </c>
      <c r="D136" t="s">
        <v>2288</v>
      </c>
      <c r="E136" t="s">
        <v>2817</v>
      </c>
    </row>
    <row r="137" spans="3:5">
      <c r="C137" t="e">
        <f t="shared" si="2"/>
        <v>#N/A</v>
      </c>
      <c r="D137" t="s">
        <v>328</v>
      </c>
      <c r="E137" t="s">
        <v>2817</v>
      </c>
    </row>
    <row r="138" spans="3:5">
      <c r="C138" t="e">
        <f t="shared" si="2"/>
        <v>#N/A</v>
      </c>
      <c r="D138" t="s">
        <v>329</v>
      </c>
      <c r="E138" t="s">
        <v>2817</v>
      </c>
    </row>
    <row r="139" spans="3:5">
      <c r="C139" t="e">
        <f t="shared" si="2"/>
        <v>#N/A</v>
      </c>
      <c r="D139" t="s">
        <v>330</v>
      </c>
      <c r="E139" t="s">
        <v>2817</v>
      </c>
    </row>
    <row r="140" spans="3:5">
      <c r="C140" t="e">
        <f t="shared" si="2"/>
        <v>#N/A</v>
      </c>
      <c r="D140" t="s">
        <v>331</v>
      </c>
      <c r="E140" t="s">
        <v>2817</v>
      </c>
    </row>
    <row r="141" spans="3:5">
      <c r="C141" t="e">
        <f t="shared" si="2"/>
        <v>#N/A</v>
      </c>
      <c r="D141" t="s">
        <v>332</v>
      </c>
      <c r="E141" t="s">
        <v>2817</v>
      </c>
    </row>
    <row r="142" spans="3:5">
      <c r="C142" t="e">
        <f t="shared" si="2"/>
        <v>#N/A</v>
      </c>
      <c r="D142" t="s">
        <v>333</v>
      </c>
      <c r="E142" t="s">
        <v>2817</v>
      </c>
    </row>
    <row r="143" spans="3:5">
      <c r="C143" t="e">
        <f t="shared" si="2"/>
        <v>#N/A</v>
      </c>
      <c r="D143" t="s">
        <v>334</v>
      </c>
      <c r="E143" t="s">
        <v>2817</v>
      </c>
    </row>
    <row r="144" spans="3:5">
      <c r="C144" t="e">
        <f t="shared" si="2"/>
        <v>#N/A</v>
      </c>
      <c r="D144" t="s">
        <v>2292</v>
      </c>
      <c r="E144" t="s">
        <v>2817</v>
      </c>
    </row>
    <row r="145" spans="3:5">
      <c r="C145" t="e">
        <f t="shared" si="2"/>
        <v>#N/A</v>
      </c>
      <c r="D145" t="s">
        <v>346</v>
      </c>
      <c r="E145" t="s">
        <v>2817</v>
      </c>
    </row>
    <row r="146" spans="3:5">
      <c r="C146" t="e">
        <f t="shared" si="2"/>
        <v>#N/A</v>
      </c>
      <c r="D146" t="s">
        <v>1006</v>
      </c>
      <c r="E146" t="s">
        <v>2817</v>
      </c>
    </row>
    <row r="147" spans="3:5">
      <c r="C147" t="e">
        <f t="shared" si="2"/>
        <v>#N/A</v>
      </c>
      <c r="D147" t="s">
        <v>1822</v>
      </c>
      <c r="E147" t="s">
        <v>2817</v>
      </c>
    </row>
    <row r="148" spans="3:5">
      <c r="C148" t="e">
        <f t="shared" si="2"/>
        <v>#N/A</v>
      </c>
      <c r="D148" t="s">
        <v>1604</v>
      </c>
      <c r="E148" t="s">
        <v>2817</v>
      </c>
    </row>
    <row r="149" spans="3:5">
      <c r="C149" t="e">
        <f t="shared" si="2"/>
        <v>#N/A</v>
      </c>
      <c r="D149" t="s">
        <v>1220</v>
      </c>
      <c r="E149" t="s">
        <v>2817</v>
      </c>
    </row>
    <row r="150" spans="3:5">
      <c r="C150" t="e">
        <f t="shared" si="2"/>
        <v>#N/A</v>
      </c>
      <c r="D150" t="s">
        <v>1409</v>
      </c>
      <c r="E150" t="s">
        <v>2817</v>
      </c>
    </row>
    <row r="151" spans="3:5">
      <c r="C151" t="e">
        <f t="shared" si="2"/>
        <v>#N/A</v>
      </c>
      <c r="D151" t="s">
        <v>1984</v>
      </c>
      <c r="E151" t="s">
        <v>2817</v>
      </c>
    </row>
    <row r="152" spans="3:5">
      <c r="C152" t="e">
        <f t="shared" si="2"/>
        <v>#N/A</v>
      </c>
      <c r="D152" t="s">
        <v>565</v>
      </c>
      <c r="E152" t="s">
        <v>2817</v>
      </c>
    </row>
    <row r="153" spans="3:5">
      <c r="C153" t="e">
        <f t="shared" si="2"/>
        <v>#N/A</v>
      </c>
      <c r="D153" t="s">
        <v>847</v>
      </c>
      <c r="E153" t="s">
        <v>2817</v>
      </c>
    </row>
    <row r="154" spans="3:5">
      <c r="C154" t="e">
        <f t="shared" si="2"/>
        <v>#N/A</v>
      </c>
      <c r="D154" t="s">
        <v>461</v>
      </c>
      <c r="E154" t="s">
        <v>2817</v>
      </c>
    </row>
    <row r="155" spans="3:5">
      <c r="C155" t="e">
        <f t="shared" si="2"/>
        <v>#N/A</v>
      </c>
      <c r="D155" t="s">
        <v>351</v>
      </c>
      <c r="E155" t="s">
        <v>2817</v>
      </c>
    </row>
    <row r="156" spans="3:5">
      <c r="C156" t="e">
        <f t="shared" si="2"/>
        <v>#N/A</v>
      </c>
      <c r="D156" t="s">
        <v>2121</v>
      </c>
      <c r="E156" t="s">
        <v>2817</v>
      </c>
    </row>
    <row r="157" spans="3:5">
      <c r="C157" t="e">
        <f t="shared" si="2"/>
        <v>#N/A</v>
      </c>
      <c r="D157" t="s">
        <v>420</v>
      </c>
      <c r="E157" t="s">
        <v>2817</v>
      </c>
    </row>
    <row r="158" spans="3:5">
      <c r="C158" t="e">
        <f t="shared" si="2"/>
        <v>#N/A</v>
      </c>
      <c r="D158" t="s">
        <v>335</v>
      </c>
      <c r="E158" t="s">
        <v>2817</v>
      </c>
    </row>
    <row r="159" spans="3:5">
      <c r="C159" t="e">
        <f t="shared" si="2"/>
        <v>#N/A</v>
      </c>
      <c r="D159" t="s">
        <v>336</v>
      </c>
      <c r="E159" t="s">
        <v>2817</v>
      </c>
    </row>
    <row r="160" spans="3:5">
      <c r="C160" t="e">
        <f t="shared" si="2"/>
        <v>#N/A</v>
      </c>
      <c r="D160" t="s">
        <v>337</v>
      </c>
      <c r="E160" t="s">
        <v>2817</v>
      </c>
    </row>
    <row r="161" spans="3:5">
      <c r="C161" t="e">
        <f t="shared" si="2"/>
        <v>#N/A</v>
      </c>
      <c r="D161" t="s">
        <v>338</v>
      </c>
      <c r="E161" t="s">
        <v>2817</v>
      </c>
    </row>
    <row r="162" spans="3:5">
      <c r="C162" t="e">
        <f t="shared" si="2"/>
        <v>#N/A</v>
      </c>
      <c r="D162" t="s">
        <v>339</v>
      </c>
      <c r="E162" t="s">
        <v>2817</v>
      </c>
    </row>
    <row r="163" spans="3:5">
      <c r="C163" t="e">
        <f t="shared" si="2"/>
        <v>#N/A</v>
      </c>
      <c r="D163" t="s">
        <v>340</v>
      </c>
      <c r="E163" t="s">
        <v>2817</v>
      </c>
    </row>
    <row r="164" spans="3:5">
      <c r="C164" t="e">
        <f t="shared" si="2"/>
        <v>#N/A</v>
      </c>
      <c r="D164" t="s">
        <v>352</v>
      </c>
      <c r="E164" t="s">
        <v>2817</v>
      </c>
    </row>
    <row r="165" spans="3:5">
      <c r="C165" t="e">
        <f t="shared" si="2"/>
        <v>#N/A</v>
      </c>
      <c r="D165" t="s">
        <v>353</v>
      </c>
      <c r="E165" t="s">
        <v>2817</v>
      </c>
    </row>
    <row r="166" spans="3:5">
      <c r="C166" t="e">
        <f t="shared" si="2"/>
        <v>#N/A</v>
      </c>
      <c r="D166" t="s">
        <v>354</v>
      </c>
      <c r="E166" t="s">
        <v>2817</v>
      </c>
    </row>
    <row r="167" spans="3:5">
      <c r="C167" t="e">
        <f t="shared" si="2"/>
        <v>#N/A</v>
      </c>
      <c r="D167" t="s">
        <v>355</v>
      </c>
      <c r="E167" t="s">
        <v>2817</v>
      </c>
    </row>
    <row r="168" spans="3:5">
      <c r="C168" t="e">
        <f t="shared" si="2"/>
        <v>#N/A</v>
      </c>
      <c r="D168" t="s">
        <v>356</v>
      </c>
      <c r="E168" t="s">
        <v>2817</v>
      </c>
    </row>
    <row r="169" spans="3:5">
      <c r="C169" t="e">
        <f t="shared" si="2"/>
        <v>#N/A</v>
      </c>
      <c r="D169" t="s">
        <v>357</v>
      </c>
      <c r="E169" t="s">
        <v>2817</v>
      </c>
    </row>
    <row r="170" spans="3:5">
      <c r="C170" t="e">
        <f t="shared" si="2"/>
        <v>#N/A</v>
      </c>
      <c r="D170" t="s">
        <v>358</v>
      </c>
      <c r="E170" t="s">
        <v>2817</v>
      </c>
    </row>
    <row r="171" spans="3:5">
      <c r="C171" t="e">
        <f t="shared" si="2"/>
        <v>#N/A</v>
      </c>
      <c r="D171" t="s">
        <v>359</v>
      </c>
      <c r="E171" t="s">
        <v>2817</v>
      </c>
    </row>
    <row r="172" spans="3:5">
      <c r="C172" t="e">
        <f t="shared" si="2"/>
        <v>#N/A</v>
      </c>
      <c r="D172" t="s">
        <v>360</v>
      </c>
      <c r="E172" t="s">
        <v>2817</v>
      </c>
    </row>
    <row r="173" spans="3:5">
      <c r="C173" t="e">
        <f t="shared" si="2"/>
        <v>#N/A</v>
      </c>
      <c r="D173" t="s">
        <v>361</v>
      </c>
      <c r="E173" t="s">
        <v>2817</v>
      </c>
    </row>
    <row r="174" spans="3:5">
      <c r="C174" t="e">
        <f t="shared" si="2"/>
        <v>#N/A</v>
      </c>
      <c r="D174" t="s">
        <v>362</v>
      </c>
      <c r="E174" t="s">
        <v>2817</v>
      </c>
    </row>
    <row r="175" spans="3:5">
      <c r="C175" t="e">
        <f t="shared" si="2"/>
        <v>#N/A</v>
      </c>
      <c r="D175" t="s">
        <v>363</v>
      </c>
      <c r="E175" t="s">
        <v>2817</v>
      </c>
    </row>
    <row r="176" spans="3:5">
      <c r="C176" t="e">
        <f t="shared" si="2"/>
        <v>#N/A</v>
      </c>
      <c r="D176" t="s">
        <v>364</v>
      </c>
      <c r="E176" t="s">
        <v>2817</v>
      </c>
    </row>
    <row r="177" spans="3:5">
      <c r="C177" t="e">
        <f t="shared" si="2"/>
        <v>#N/A</v>
      </c>
      <c r="D177" t="s">
        <v>365</v>
      </c>
      <c r="E177" t="s">
        <v>2817</v>
      </c>
    </row>
    <row r="178" spans="3:5">
      <c r="C178" t="e">
        <f t="shared" si="2"/>
        <v>#N/A</v>
      </c>
      <c r="D178" t="s">
        <v>366</v>
      </c>
      <c r="E178" t="s">
        <v>2817</v>
      </c>
    </row>
    <row r="179" spans="3:5">
      <c r="C179" t="e">
        <f t="shared" si="2"/>
        <v>#N/A</v>
      </c>
      <c r="D179" t="s">
        <v>367</v>
      </c>
      <c r="E179" t="s">
        <v>2817</v>
      </c>
    </row>
    <row r="180" spans="3:5">
      <c r="C180" t="e">
        <f t="shared" si="2"/>
        <v>#N/A</v>
      </c>
      <c r="D180" t="s">
        <v>368</v>
      </c>
      <c r="E180" t="s">
        <v>2817</v>
      </c>
    </row>
    <row r="181" spans="3:5">
      <c r="C181" t="e">
        <f t="shared" si="2"/>
        <v>#N/A</v>
      </c>
      <c r="D181" t="s">
        <v>369</v>
      </c>
      <c r="E181" t="s">
        <v>2817</v>
      </c>
    </row>
    <row r="182" spans="3:5">
      <c r="C182" t="e">
        <f t="shared" si="2"/>
        <v>#N/A</v>
      </c>
      <c r="D182" t="s">
        <v>370</v>
      </c>
      <c r="E182" t="s">
        <v>2817</v>
      </c>
    </row>
    <row r="183" spans="3:5">
      <c r="C183" t="e">
        <f t="shared" si="2"/>
        <v>#N/A</v>
      </c>
      <c r="D183" t="s">
        <v>371</v>
      </c>
      <c r="E183" t="s">
        <v>2817</v>
      </c>
    </row>
    <row r="184" spans="3:5">
      <c r="C184" t="e">
        <f t="shared" si="2"/>
        <v>#N/A</v>
      </c>
      <c r="D184" t="s">
        <v>372</v>
      </c>
      <c r="E184" t="s">
        <v>2817</v>
      </c>
    </row>
    <row r="185" spans="3:5">
      <c r="C185" t="e">
        <f t="shared" si="2"/>
        <v>#N/A</v>
      </c>
      <c r="D185" t="s">
        <v>373</v>
      </c>
      <c r="E185" t="s">
        <v>2817</v>
      </c>
    </row>
    <row r="186" spans="3:5">
      <c r="C186" t="e">
        <f t="shared" si="2"/>
        <v>#N/A</v>
      </c>
      <c r="D186" t="s">
        <v>374</v>
      </c>
      <c r="E186" t="s">
        <v>2817</v>
      </c>
    </row>
    <row r="187" spans="3:5">
      <c r="C187" t="e">
        <f t="shared" si="2"/>
        <v>#N/A</v>
      </c>
      <c r="D187" t="s">
        <v>375</v>
      </c>
      <c r="E187" t="s">
        <v>2817</v>
      </c>
    </row>
    <row r="188" spans="3:5">
      <c r="C188" t="e">
        <f t="shared" si="2"/>
        <v>#N/A</v>
      </c>
      <c r="D188" t="s">
        <v>376</v>
      </c>
      <c r="E188" t="s">
        <v>2817</v>
      </c>
    </row>
    <row r="189" spans="3:5">
      <c r="C189" t="e">
        <f t="shared" si="2"/>
        <v>#N/A</v>
      </c>
      <c r="D189" t="s">
        <v>377</v>
      </c>
      <c r="E189" t="s">
        <v>2817</v>
      </c>
    </row>
    <row r="190" spans="3:5">
      <c r="C190" t="e">
        <f t="shared" si="2"/>
        <v>#N/A</v>
      </c>
      <c r="D190" t="s">
        <v>378</v>
      </c>
      <c r="E190" t="s">
        <v>2817</v>
      </c>
    </row>
    <row r="191" spans="3:5">
      <c r="C191" t="e">
        <f t="shared" si="2"/>
        <v>#N/A</v>
      </c>
      <c r="D191" t="s">
        <v>379</v>
      </c>
      <c r="E191" t="s">
        <v>2817</v>
      </c>
    </row>
    <row r="192" spans="3:5">
      <c r="C192" t="e">
        <f t="shared" si="2"/>
        <v>#N/A</v>
      </c>
      <c r="D192" t="s">
        <v>380</v>
      </c>
      <c r="E192" t="s">
        <v>2817</v>
      </c>
    </row>
    <row r="193" spans="3:5">
      <c r="C193" t="e">
        <f t="shared" si="2"/>
        <v>#N/A</v>
      </c>
      <c r="D193" t="s">
        <v>381</v>
      </c>
      <c r="E193" t="s">
        <v>2817</v>
      </c>
    </row>
    <row r="194" spans="3:5">
      <c r="C194" t="e">
        <f t="shared" si="2"/>
        <v>#N/A</v>
      </c>
      <c r="D194" t="s">
        <v>382</v>
      </c>
      <c r="E194" t="s">
        <v>2817</v>
      </c>
    </row>
    <row r="195" spans="3:5">
      <c r="C195" t="e">
        <f t="shared" ref="C195:C258" si="3">VLOOKUP(B195,D:E,2,0)</f>
        <v>#N/A</v>
      </c>
      <c r="D195" t="s">
        <v>383</v>
      </c>
      <c r="E195" t="s">
        <v>2817</v>
      </c>
    </row>
    <row r="196" spans="3:5">
      <c r="C196" t="e">
        <f t="shared" si="3"/>
        <v>#N/A</v>
      </c>
      <c r="D196" t="s">
        <v>384</v>
      </c>
      <c r="E196" t="s">
        <v>2817</v>
      </c>
    </row>
    <row r="197" spans="3:5">
      <c r="C197" t="e">
        <f t="shared" si="3"/>
        <v>#N/A</v>
      </c>
      <c r="D197" t="s">
        <v>385</v>
      </c>
      <c r="E197" t="s">
        <v>2817</v>
      </c>
    </row>
    <row r="198" spans="3:5">
      <c r="C198" t="e">
        <f t="shared" si="3"/>
        <v>#N/A</v>
      </c>
      <c r="D198" t="s">
        <v>386</v>
      </c>
      <c r="E198" t="s">
        <v>2817</v>
      </c>
    </row>
    <row r="199" spans="3:5">
      <c r="C199" t="e">
        <f t="shared" si="3"/>
        <v>#N/A</v>
      </c>
      <c r="D199" t="s">
        <v>387</v>
      </c>
      <c r="E199" t="s">
        <v>2817</v>
      </c>
    </row>
    <row r="200" spans="3:5">
      <c r="C200" t="e">
        <f t="shared" si="3"/>
        <v>#N/A</v>
      </c>
      <c r="D200" t="s">
        <v>388</v>
      </c>
      <c r="E200" t="s">
        <v>2817</v>
      </c>
    </row>
    <row r="201" spans="3:5">
      <c r="C201" t="e">
        <f t="shared" si="3"/>
        <v>#N/A</v>
      </c>
      <c r="D201" t="s">
        <v>389</v>
      </c>
      <c r="E201" t="s">
        <v>2817</v>
      </c>
    </row>
    <row r="202" spans="3:5">
      <c r="C202" t="e">
        <f t="shared" si="3"/>
        <v>#N/A</v>
      </c>
      <c r="D202" t="s">
        <v>390</v>
      </c>
      <c r="E202" t="s">
        <v>2817</v>
      </c>
    </row>
    <row r="203" spans="3:5">
      <c r="C203" t="e">
        <f t="shared" si="3"/>
        <v>#N/A</v>
      </c>
      <c r="D203" t="s">
        <v>391</v>
      </c>
      <c r="E203" t="s">
        <v>2817</v>
      </c>
    </row>
    <row r="204" spans="3:5">
      <c r="C204" t="e">
        <f t="shared" si="3"/>
        <v>#N/A</v>
      </c>
      <c r="D204" t="s">
        <v>392</v>
      </c>
      <c r="E204" t="s">
        <v>2817</v>
      </c>
    </row>
    <row r="205" spans="3:5">
      <c r="C205" t="e">
        <f t="shared" si="3"/>
        <v>#N/A</v>
      </c>
      <c r="D205" t="s">
        <v>393</v>
      </c>
      <c r="E205" t="s">
        <v>2817</v>
      </c>
    </row>
    <row r="206" spans="3:5">
      <c r="C206" t="e">
        <f t="shared" si="3"/>
        <v>#N/A</v>
      </c>
      <c r="D206" t="s">
        <v>394</v>
      </c>
      <c r="E206" t="s">
        <v>2817</v>
      </c>
    </row>
    <row r="207" spans="3:5">
      <c r="C207" t="e">
        <f t="shared" si="3"/>
        <v>#N/A</v>
      </c>
      <c r="D207" t="s">
        <v>395</v>
      </c>
      <c r="E207" t="s">
        <v>2817</v>
      </c>
    </row>
    <row r="208" spans="3:5">
      <c r="C208" t="e">
        <f t="shared" si="3"/>
        <v>#N/A</v>
      </c>
      <c r="D208" t="s">
        <v>396</v>
      </c>
      <c r="E208" t="s">
        <v>2817</v>
      </c>
    </row>
    <row r="209" spans="3:5">
      <c r="C209" t="e">
        <f t="shared" si="3"/>
        <v>#N/A</v>
      </c>
      <c r="D209" t="s">
        <v>397</v>
      </c>
      <c r="E209" t="s">
        <v>2817</v>
      </c>
    </row>
    <row r="210" spans="3:5">
      <c r="C210" t="e">
        <f t="shared" si="3"/>
        <v>#N/A</v>
      </c>
      <c r="D210" t="s">
        <v>398</v>
      </c>
      <c r="E210" t="s">
        <v>2817</v>
      </c>
    </row>
    <row r="211" spans="3:5">
      <c r="C211" t="e">
        <f t="shared" si="3"/>
        <v>#N/A</v>
      </c>
      <c r="D211" t="s">
        <v>399</v>
      </c>
      <c r="E211" t="s">
        <v>2817</v>
      </c>
    </row>
    <row r="212" spans="3:5">
      <c r="C212" t="e">
        <f t="shared" si="3"/>
        <v>#N/A</v>
      </c>
      <c r="D212" t="s">
        <v>400</v>
      </c>
      <c r="E212" t="s">
        <v>2817</v>
      </c>
    </row>
    <row r="213" spans="3:5">
      <c r="C213" t="e">
        <f t="shared" si="3"/>
        <v>#N/A</v>
      </c>
      <c r="D213" t="s">
        <v>401</v>
      </c>
      <c r="E213" t="s">
        <v>2817</v>
      </c>
    </row>
    <row r="214" spans="3:5">
      <c r="C214" t="e">
        <f t="shared" si="3"/>
        <v>#N/A</v>
      </c>
      <c r="D214" t="s">
        <v>402</v>
      </c>
      <c r="E214" t="s">
        <v>2817</v>
      </c>
    </row>
    <row r="215" spans="3:5">
      <c r="C215" t="e">
        <f t="shared" si="3"/>
        <v>#N/A</v>
      </c>
      <c r="D215" t="s">
        <v>403</v>
      </c>
      <c r="E215" t="s">
        <v>2817</v>
      </c>
    </row>
    <row r="216" spans="3:5">
      <c r="C216" t="e">
        <f t="shared" si="3"/>
        <v>#N/A</v>
      </c>
      <c r="D216" t="s">
        <v>404</v>
      </c>
      <c r="E216" t="s">
        <v>2817</v>
      </c>
    </row>
    <row r="217" spans="3:5">
      <c r="C217" t="e">
        <f t="shared" si="3"/>
        <v>#N/A</v>
      </c>
      <c r="D217" t="s">
        <v>405</v>
      </c>
      <c r="E217" t="s">
        <v>2817</v>
      </c>
    </row>
    <row r="218" spans="3:5">
      <c r="C218" t="e">
        <f t="shared" si="3"/>
        <v>#N/A</v>
      </c>
      <c r="D218" t="s">
        <v>406</v>
      </c>
      <c r="E218" t="s">
        <v>2817</v>
      </c>
    </row>
    <row r="219" spans="3:5">
      <c r="C219" t="e">
        <f t="shared" si="3"/>
        <v>#N/A</v>
      </c>
      <c r="D219" t="s">
        <v>407</v>
      </c>
      <c r="E219" t="s">
        <v>2817</v>
      </c>
    </row>
    <row r="220" spans="3:5">
      <c r="C220" t="e">
        <f t="shared" si="3"/>
        <v>#N/A</v>
      </c>
      <c r="D220" t="s">
        <v>408</v>
      </c>
      <c r="E220" t="s">
        <v>2817</v>
      </c>
    </row>
    <row r="221" spans="3:5">
      <c r="C221" t="e">
        <f t="shared" si="3"/>
        <v>#N/A</v>
      </c>
      <c r="D221" t="s">
        <v>409</v>
      </c>
      <c r="E221" t="s">
        <v>2817</v>
      </c>
    </row>
    <row r="222" spans="3:5">
      <c r="C222" t="e">
        <f t="shared" si="3"/>
        <v>#N/A</v>
      </c>
      <c r="D222" t="s">
        <v>410</v>
      </c>
      <c r="E222" t="s">
        <v>2817</v>
      </c>
    </row>
    <row r="223" spans="3:5">
      <c r="C223" t="e">
        <f t="shared" si="3"/>
        <v>#N/A</v>
      </c>
      <c r="D223" t="s">
        <v>411</v>
      </c>
      <c r="E223" t="s">
        <v>2817</v>
      </c>
    </row>
    <row r="224" spans="3:5">
      <c r="C224" t="e">
        <f t="shared" si="3"/>
        <v>#N/A</v>
      </c>
      <c r="D224" t="s">
        <v>412</v>
      </c>
      <c r="E224" t="s">
        <v>2817</v>
      </c>
    </row>
    <row r="225" spans="3:5">
      <c r="C225" t="e">
        <f t="shared" si="3"/>
        <v>#N/A</v>
      </c>
      <c r="D225" t="s">
        <v>413</v>
      </c>
      <c r="E225" t="s">
        <v>2817</v>
      </c>
    </row>
    <row r="226" spans="3:5">
      <c r="C226" t="e">
        <f t="shared" si="3"/>
        <v>#N/A</v>
      </c>
      <c r="D226" t="s">
        <v>414</v>
      </c>
      <c r="E226" t="s">
        <v>2817</v>
      </c>
    </row>
    <row r="227" spans="3:5">
      <c r="C227" t="e">
        <f t="shared" si="3"/>
        <v>#N/A</v>
      </c>
      <c r="D227" t="s">
        <v>415</v>
      </c>
      <c r="E227" t="s">
        <v>2817</v>
      </c>
    </row>
    <row r="228" spans="3:5">
      <c r="C228" t="e">
        <f t="shared" si="3"/>
        <v>#N/A</v>
      </c>
      <c r="D228" t="s">
        <v>416</v>
      </c>
      <c r="E228" t="s">
        <v>2817</v>
      </c>
    </row>
    <row r="229" spans="3:5">
      <c r="C229" t="e">
        <f t="shared" si="3"/>
        <v>#N/A</v>
      </c>
      <c r="D229" t="s">
        <v>417</v>
      </c>
      <c r="E229" t="s">
        <v>2817</v>
      </c>
    </row>
    <row r="230" spans="3:5">
      <c r="C230" t="e">
        <f t="shared" si="3"/>
        <v>#N/A</v>
      </c>
      <c r="D230" t="s">
        <v>418</v>
      </c>
      <c r="E230" t="s">
        <v>2817</v>
      </c>
    </row>
    <row r="231" spans="3:5">
      <c r="C231" t="e">
        <f t="shared" si="3"/>
        <v>#N/A</v>
      </c>
      <c r="D231" t="s">
        <v>419</v>
      </c>
      <c r="E231" t="s">
        <v>2817</v>
      </c>
    </row>
    <row r="232" spans="3:5">
      <c r="C232" t="e">
        <f t="shared" si="3"/>
        <v>#N/A</v>
      </c>
      <c r="D232" t="s">
        <v>420</v>
      </c>
      <c r="E232" t="s">
        <v>2817</v>
      </c>
    </row>
    <row r="233" spans="3:5">
      <c r="C233" t="e">
        <f t="shared" si="3"/>
        <v>#N/A</v>
      </c>
      <c r="D233" t="s">
        <v>421</v>
      </c>
      <c r="E233" t="s">
        <v>2817</v>
      </c>
    </row>
    <row r="234" spans="3:5">
      <c r="C234" t="e">
        <f t="shared" si="3"/>
        <v>#N/A</v>
      </c>
      <c r="D234" t="s">
        <v>422</v>
      </c>
      <c r="E234" t="s">
        <v>2817</v>
      </c>
    </row>
    <row r="235" spans="3:5">
      <c r="C235" t="e">
        <f t="shared" si="3"/>
        <v>#N/A</v>
      </c>
      <c r="D235" t="s">
        <v>423</v>
      </c>
      <c r="E235" t="s">
        <v>2817</v>
      </c>
    </row>
    <row r="236" spans="3:5">
      <c r="C236" t="e">
        <f t="shared" si="3"/>
        <v>#N/A</v>
      </c>
      <c r="D236" t="s">
        <v>424</v>
      </c>
      <c r="E236" t="s">
        <v>2817</v>
      </c>
    </row>
    <row r="237" spans="3:5">
      <c r="C237" t="e">
        <f t="shared" si="3"/>
        <v>#N/A</v>
      </c>
      <c r="D237" t="s">
        <v>425</v>
      </c>
      <c r="E237" t="s">
        <v>2817</v>
      </c>
    </row>
    <row r="238" spans="3:5">
      <c r="C238" t="e">
        <f t="shared" si="3"/>
        <v>#N/A</v>
      </c>
      <c r="D238" t="s">
        <v>426</v>
      </c>
      <c r="E238" t="s">
        <v>2817</v>
      </c>
    </row>
    <row r="239" spans="3:5">
      <c r="C239" t="e">
        <f t="shared" si="3"/>
        <v>#N/A</v>
      </c>
      <c r="D239" t="s">
        <v>427</v>
      </c>
      <c r="E239" t="s">
        <v>2817</v>
      </c>
    </row>
    <row r="240" spans="3:5">
      <c r="C240" t="e">
        <f t="shared" si="3"/>
        <v>#N/A</v>
      </c>
      <c r="D240" t="s">
        <v>428</v>
      </c>
      <c r="E240" t="s">
        <v>2817</v>
      </c>
    </row>
    <row r="241" spans="3:5">
      <c r="C241" t="e">
        <f t="shared" si="3"/>
        <v>#N/A</v>
      </c>
      <c r="D241" t="s">
        <v>429</v>
      </c>
      <c r="E241" t="s">
        <v>2817</v>
      </c>
    </row>
    <row r="242" spans="3:5">
      <c r="C242" t="e">
        <f t="shared" si="3"/>
        <v>#N/A</v>
      </c>
      <c r="D242" t="s">
        <v>430</v>
      </c>
      <c r="E242" t="s">
        <v>2817</v>
      </c>
    </row>
    <row r="243" spans="3:5">
      <c r="C243" t="e">
        <f t="shared" si="3"/>
        <v>#N/A</v>
      </c>
      <c r="D243" t="s">
        <v>431</v>
      </c>
      <c r="E243" t="s">
        <v>2817</v>
      </c>
    </row>
    <row r="244" spans="3:5">
      <c r="C244" t="e">
        <f t="shared" si="3"/>
        <v>#N/A</v>
      </c>
      <c r="D244" t="s">
        <v>432</v>
      </c>
      <c r="E244" t="s">
        <v>2817</v>
      </c>
    </row>
    <row r="245" spans="3:5">
      <c r="C245" t="e">
        <f t="shared" si="3"/>
        <v>#N/A</v>
      </c>
      <c r="D245" t="s">
        <v>433</v>
      </c>
      <c r="E245" t="s">
        <v>2817</v>
      </c>
    </row>
    <row r="246" spans="3:5">
      <c r="C246" t="e">
        <f t="shared" si="3"/>
        <v>#N/A</v>
      </c>
      <c r="D246" t="s">
        <v>434</v>
      </c>
      <c r="E246" t="s">
        <v>2817</v>
      </c>
    </row>
    <row r="247" spans="3:5">
      <c r="C247" t="e">
        <f t="shared" si="3"/>
        <v>#N/A</v>
      </c>
      <c r="D247" t="s">
        <v>435</v>
      </c>
      <c r="E247" t="s">
        <v>2817</v>
      </c>
    </row>
    <row r="248" spans="3:5">
      <c r="C248" t="e">
        <f t="shared" si="3"/>
        <v>#N/A</v>
      </c>
      <c r="D248" t="s">
        <v>436</v>
      </c>
      <c r="E248" t="s">
        <v>2817</v>
      </c>
    </row>
    <row r="249" spans="3:5">
      <c r="C249" t="e">
        <f t="shared" si="3"/>
        <v>#N/A</v>
      </c>
      <c r="D249" t="s">
        <v>437</v>
      </c>
      <c r="E249" t="s">
        <v>2817</v>
      </c>
    </row>
    <row r="250" spans="3:5">
      <c r="C250" t="e">
        <f t="shared" si="3"/>
        <v>#N/A</v>
      </c>
      <c r="D250" t="s">
        <v>438</v>
      </c>
      <c r="E250" t="s">
        <v>2817</v>
      </c>
    </row>
    <row r="251" spans="3:5">
      <c r="C251" t="e">
        <f t="shared" si="3"/>
        <v>#N/A</v>
      </c>
      <c r="D251" t="s">
        <v>439</v>
      </c>
      <c r="E251" t="s">
        <v>2817</v>
      </c>
    </row>
    <row r="252" spans="3:5">
      <c r="C252" t="e">
        <f t="shared" si="3"/>
        <v>#N/A</v>
      </c>
      <c r="D252" t="s">
        <v>440</v>
      </c>
      <c r="E252" t="s">
        <v>2817</v>
      </c>
    </row>
    <row r="253" spans="3:5">
      <c r="C253" t="e">
        <f t="shared" si="3"/>
        <v>#N/A</v>
      </c>
      <c r="D253" t="s">
        <v>441</v>
      </c>
      <c r="E253" t="s">
        <v>2817</v>
      </c>
    </row>
    <row r="254" spans="3:5">
      <c r="C254" t="e">
        <f t="shared" si="3"/>
        <v>#N/A</v>
      </c>
      <c r="D254" t="s">
        <v>442</v>
      </c>
      <c r="E254" t="s">
        <v>2817</v>
      </c>
    </row>
    <row r="255" spans="3:5">
      <c r="C255" t="e">
        <f t="shared" si="3"/>
        <v>#N/A</v>
      </c>
      <c r="D255" t="s">
        <v>443</v>
      </c>
      <c r="E255" t="s">
        <v>2817</v>
      </c>
    </row>
    <row r="256" spans="3:5">
      <c r="C256" t="e">
        <f t="shared" si="3"/>
        <v>#N/A</v>
      </c>
      <c r="D256" t="s">
        <v>444</v>
      </c>
      <c r="E256" t="s">
        <v>2817</v>
      </c>
    </row>
    <row r="257" spans="3:5">
      <c r="C257" t="e">
        <f t="shared" si="3"/>
        <v>#N/A</v>
      </c>
      <c r="D257" t="s">
        <v>445</v>
      </c>
      <c r="E257" t="s">
        <v>2817</v>
      </c>
    </row>
    <row r="258" spans="3:5">
      <c r="C258" t="e">
        <f t="shared" si="3"/>
        <v>#N/A</v>
      </c>
      <c r="D258" t="s">
        <v>446</v>
      </c>
      <c r="E258" t="s">
        <v>2817</v>
      </c>
    </row>
    <row r="259" spans="3:5">
      <c r="C259" t="e">
        <f t="shared" ref="C259:C322" si="4">VLOOKUP(B259,D:E,2,0)</f>
        <v>#N/A</v>
      </c>
      <c r="D259" t="s">
        <v>447</v>
      </c>
      <c r="E259" t="s">
        <v>2817</v>
      </c>
    </row>
    <row r="260" spans="3:5">
      <c r="C260" t="e">
        <f t="shared" si="4"/>
        <v>#N/A</v>
      </c>
      <c r="D260" t="s">
        <v>448</v>
      </c>
      <c r="E260" t="s">
        <v>2817</v>
      </c>
    </row>
    <row r="261" spans="3:5">
      <c r="C261" t="e">
        <f t="shared" si="4"/>
        <v>#N/A</v>
      </c>
      <c r="D261" t="s">
        <v>449</v>
      </c>
      <c r="E261" t="s">
        <v>2817</v>
      </c>
    </row>
    <row r="262" spans="3:5">
      <c r="C262" t="e">
        <f t="shared" si="4"/>
        <v>#N/A</v>
      </c>
      <c r="D262" t="s">
        <v>450</v>
      </c>
      <c r="E262" t="s">
        <v>2817</v>
      </c>
    </row>
    <row r="263" spans="3:5">
      <c r="C263" t="e">
        <f t="shared" si="4"/>
        <v>#N/A</v>
      </c>
      <c r="D263" t="s">
        <v>451</v>
      </c>
      <c r="E263" t="s">
        <v>2817</v>
      </c>
    </row>
    <row r="264" spans="3:5">
      <c r="C264" t="e">
        <f t="shared" si="4"/>
        <v>#N/A</v>
      </c>
      <c r="D264" t="s">
        <v>452</v>
      </c>
      <c r="E264" t="s">
        <v>2817</v>
      </c>
    </row>
    <row r="265" spans="3:5">
      <c r="C265" t="e">
        <f t="shared" si="4"/>
        <v>#N/A</v>
      </c>
      <c r="D265" t="s">
        <v>453</v>
      </c>
      <c r="E265" t="s">
        <v>2817</v>
      </c>
    </row>
    <row r="266" spans="3:5">
      <c r="C266" t="e">
        <f t="shared" si="4"/>
        <v>#N/A</v>
      </c>
      <c r="D266" t="s">
        <v>454</v>
      </c>
      <c r="E266" t="s">
        <v>2817</v>
      </c>
    </row>
    <row r="267" spans="3:5">
      <c r="C267" t="e">
        <f t="shared" si="4"/>
        <v>#N/A</v>
      </c>
      <c r="D267" t="s">
        <v>455</v>
      </c>
      <c r="E267" t="s">
        <v>2817</v>
      </c>
    </row>
    <row r="268" spans="3:5">
      <c r="C268" t="e">
        <f t="shared" si="4"/>
        <v>#N/A</v>
      </c>
      <c r="D268" t="s">
        <v>456</v>
      </c>
      <c r="E268" t="s">
        <v>2817</v>
      </c>
    </row>
    <row r="269" spans="3:5">
      <c r="C269" t="e">
        <f t="shared" si="4"/>
        <v>#N/A</v>
      </c>
      <c r="D269" t="s">
        <v>457</v>
      </c>
      <c r="E269" t="s">
        <v>2817</v>
      </c>
    </row>
    <row r="270" spans="3:5">
      <c r="C270" t="e">
        <f t="shared" si="4"/>
        <v>#N/A</v>
      </c>
      <c r="D270" t="s">
        <v>458</v>
      </c>
      <c r="E270" t="s">
        <v>2817</v>
      </c>
    </row>
    <row r="271" spans="3:5">
      <c r="C271" t="e">
        <f t="shared" si="4"/>
        <v>#N/A</v>
      </c>
      <c r="D271" t="s">
        <v>459</v>
      </c>
      <c r="E271" t="s">
        <v>2817</v>
      </c>
    </row>
    <row r="272" spans="3:5">
      <c r="C272" t="e">
        <f t="shared" si="4"/>
        <v>#N/A</v>
      </c>
      <c r="D272" t="s">
        <v>460</v>
      </c>
      <c r="E272" t="s">
        <v>2817</v>
      </c>
    </row>
    <row r="273" spans="3:5">
      <c r="C273" t="e">
        <f t="shared" si="4"/>
        <v>#N/A</v>
      </c>
      <c r="D273" t="s">
        <v>461</v>
      </c>
      <c r="E273" t="s">
        <v>2817</v>
      </c>
    </row>
    <row r="274" spans="3:5">
      <c r="C274" t="e">
        <f t="shared" si="4"/>
        <v>#N/A</v>
      </c>
      <c r="D274" t="s">
        <v>462</v>
      </c>
      <c r="E274" t="s">
        <v>2817</v>
      </c>
    </row>
    <row r="275" spans="3:5">
      <c r="C275" t="e">
        <f t="shared" si="4"/>
        <v>#N/A</v>
      </c>
      <c r="D275" t="s">
        <v>463</v>
      </c>
      <c r="E275" t="s">
        <v>2817</v>
      </c>
    </row>
    <row r="276" spans="3:5">
      <c r="C276" t="e">
        <f t="shared" si="4"/>
        <v>#N/A</v>
      </c>
      <c r="D276" t="s">
        <v>464</v>
      </c>
      <c r="E276" t="s">
        <v>2817</v>
      </c>
    </row>
    <row r="277" spans="3:5">
      <c r="C277" t="e">
        <f t="shared" si="4"/>
        <v>#N/A</v>
      </c>
      <c r="D277" t="s">
        <v>465</v>
      </c>
      <c r="E277" t="s">
        <v>2817</v>
      </c>
    </row>
    <row r="278" spans="3:5">
      <c r="C278" t="e">
        <f t="shared" si="4"/>
        <v>#N/A</v>
      </c>
      <c r="D278" t="s">
        <v>466</v>
      </c>
      <c r="E278" t="s">
        <v>2817</v>
      </c>
    </row>
    <row r="279" spans="3:5">
      <c r="C279" t="e">
        <f t="shared" si="4"/>
        <v>#N/A</v>
      </c>
      <c r="D279" t="s">
        <v>467</v>
      </c>
      <c r="E279" t="s">
        <v>2817</v>
      </c>
    </row>
    <row r="280" spans="3:5">
      <c r="C280" t="e">
        <f t="shared" si="4"/>
        <v>#N/A</v>
      </c>
      <c r="D280" t="s">
        <v>468</v>
      </c>
      <c r="E280" t="s">
        <v>2817</v>
      </c>
    </row>
    <row r="281" spans="3:5">
      <c r="C281" t="e">
        <f t="shared" si="4"/>
        <v>#N/A</v>
      </c>
      <c r="D281" t="s">
        <v>469</v>
      </c>
      <c r="E281" t="s">
        <v>2817</v>
      </c>
    </row>
    <row r="282" spans="3:5">
      <c r="C282" t="e">
        <f t="shared" si="4"/>
        <v>#N/A</v>
      </c>
      <c r="D282" t="s">
        <v>470</v>
      </c>
      <c r="E282" t="s">
        <v>2817</v>
      </c>
    </row>
    <row r="283" spans="3:5">
      <c r="C283" t="e">
        <f t="shared" si="4"/>
        <v>#N/A</v>
      </c>
      <c r="D283" t="s">
        <v>471</v>
      </c>
      <c r="E283" t="s">
        <v>2817</v>
      </c>
    </row>
    <row r="284" spans="3:5">
      <c r="C284" t="e">
        <f t="shared" si="4"/>
        <v>#N/A</v>
      </c>
      <c r="D284" t="s">
        <v>472</v>
      </c>
      <c r="E284" t="s">
        <v>2817</v>
      </c>
    </row>
    <row r="285" spans="3:5">
      <c r="C285" t="e">
        <f t="shared" si="4"/>
        <v>#N/A</v>
      </c>
      <c r="D285" t="s">
        <v>473</v>
      </c>
      <c r="E285" t="s">
        <v>2817</v>
      </c>
    </row>
    <row r="286" spans="3:5">
      <c r="C286" t="e">
        <f t="shared" si="4"/>
        <v>#N/A</v>
      </c>
      <c r="D286" t="s">
        <v>474</v>
      </c>
      <c r="E286" t="s">
        <v>2817</v>
      </c>
    </row>
    <row r="287" spans="3:5">
      <c r="C287" t="e">
        <f t="shared" si="4"/>
        <v>#N/A</v>
      </c>
      <c r="D287" t="s">
        <v>475</v>
      </c>
      <c r="E287" t="s">
        <v>2817</v>
      </c>
    </row>
    <row r="288" spans="3:5">
      <c r="C288" t="e">
        <f t="shared" si="4"/>
        <v>#N/A</v>
      </c>
      <c r="D288" t="s">
        <v>476</v>
      </c>
      <c r="E288" t="s">
        <v>2817</v>
      </c>
    </row>
    <row r="289" spans="3:5">
      <c r="C289" t="e">
        <f t="shared" si="4"/>
        <v>#N/A</v>
      </c>
      <c r="D289" t="s">
        <v>477</v>
      </c>
      <c r="E289" t="s">
        <v>2817</v>
      </c>
    </row>
    <row r="290" spans="3:5">
      <c r="C290" t="e">
        <f t="shared" si="4"/>
        <v>#N/A</v>
      </c>
      <c r="D290" t="s">
        <v>478</v>
      </c>
      <c r="E290" t="s">
        <v>2817</v>
      </c>
    </row>
    <row r="291" spans="3:5">
      <c r="C291" t="e">
        <f t="shared" si="4"/>
        <v>#N/A</v>
      </c>
      <c r="D291" t="s">
        <v>479</v>
      </c>
      <c r="E291" t="s">
        <v>2817</v>
      </c>
    </row>
    <row r="292" spans="3:5">
      <c r="C292" t="e">
        <f t="shared" si="4"/>
        <v>#N/A</v>
      </c>
      <c r="D292" t="s">
        <v>480</v>
      </c>
      <c r="E292" t="s">
        <v>2817</v>
      </c>
    </row>
    <row r="293" spans="3:5">
      <c r="C293" t="e">
        <f t="shared" si="4"/>
        <v>#N/A</v>
      </c>
      <c r="D293" t="s">
        <v>481</v>
      </c>
      <c r="E293" t="s">
        <v>2817</v>
      </c>
    </row>
    <row r="294" spans="3:5">
      <c r="C294" t="e">
        <f t="shared" si="4"/>
        <v>#N/A</v>
      </c>
      <c r="D294" t="s">
        <v>482</v>
      </c>
      <c r="E294" t="s">
        <v>2817</v>
      </c>
    </row>
    <row r="295" spans="3:5">
      <c r="C295" t="e">
        <f t="shared" si="4"/>
        <v>#N/A</v>
      </c>
      <c r="D295" t="s">
        <v>483</v>
      </c>
      <c r="E295" t="s">
        <v>2817</v>
      </c>
    </row>
    <row r="296" spans="3:5">
      <c r="C296" t="e">
        <f t="shared" si="4"/>
        <v>#N/A</v>
      </c>
      <c r="D296" t="s">
        <v>484</v>
      </c>
      <c r="E296" t="s">
        <v>2817</v>
      </c>
    </row>
    <row r="297" spans="3:5">
      <c r="C297" t="e">
        <f t="shared" si="4"/>
        <v>#N/A</v>
      </c>
      <c r="D297" t="s">
        <v>485</v>
      </c>
      <c r="E297" t="s">
        <v>2817</v>
      </c>
    </row>
    <row r="298" spans="3:5">
      <c r="C298" t="e">
        <f t="shared" si="4"/>
        <v>#N/A</v>
      </c>
      <c r="D298" t="s">
        <v>486</v>
      </c>
      <c r="E298" t="s">
        <v>2817</v>
      </c>
    </row>
    <row r="299" spans="3:5">
      <c r="C299" t="e">
        <f t="shared" si="4"/>
        <v>#N/A</v>
      </c>
      <c r="D299" t="s">
        <v>487</v>
      </c>
      <c r="E299" t="s">
        <v>2817</v>
      </c>
    </row>
    <row r="300" spans="3:5">
      <c r="C300" t="e">
        <f t="shared" si="4"/>
        <v>#N/A</v>
      </c>
      <c r="D300" t="s">
        <v>488</v>
      </c>
      <c r="E300" t="s">
        <v>2817</v>
      </c>
    </row>
    <row r="301" spans="3:5">
      <c r="C301" t="e">
        <f t="shared" si="4"/>
        <v>#N/A</v>
      </c>
      <c r="D301" t="s">
        <v>489</v>
      </c>
      <c r="E301" t="s">
        <v>2817</v>
      </c>
    </row>
    <row r="302" spans="3:5">
      <c r="C302" t="e">
        <f t="shared" si="4"/>
        <v>#N/A</v>
      </c>
      <c r="D302" t="s">
        <v>490</v>
      </c>
      <c r="E302" t="s">
        <v>2817</v>
      </c>
    </row>
    <row r="303" spans="3:5">
      <c r="C303" t="e">
        <f t="shared" si="4"/>
        <v>#N/A</v>
      </c>
      <c r="D303" t="s">
        <v>491</v>
      </c>
      <c r="E303" t="s">
        <v>2817</v>
      </c>
    </row>
    <row r="304" spans="3:5">
      <c r="C304" t="e">
        <f t="shared" si="4"/>
        <v>#N/A</v>
      </c>
      <c r="D304" t="s">
        <v>492</v>
      </c>
      <c r="E304" t="s">
        <v>2817</v>
      </c>
    </row>
    <row r="305" spans="3:5">
      <c r="C305" t="e">
        <f t="shared" si="4"/>
        <v>#N/A</v>
      </c>
      <c r="D305" t="s">
        <v>493</v>
      </c>
      <c r="E305" t="s">
        <v>2817</v>
      </c>
    </row>
    <row r="306" spans="3:5">
      <c r="C306" t="e">
        <f t="shared" si="4"/>
        <v>#N/A</v>
      </c>
      <c r="D306" t="s">
        <v>494</v>
      </c>
      <c r="E306" t="s">
        <v>2817</v>
      </c>
    </row>
    <row r="307" spans="3:5">
      <c r="C307" t="e">
        <f t="shared" si="4"/>
        <v>#N/A</v>
      </c>
      <c r="D307" t="s">
        <v>495</v>
      </c>
      <c r="E307" t="s">
        <v>2817</v>
      </c>
    </row>
    <row r="308" spans="3:5">
      <c r="C308" t="e">
        <f t="shared" si="4"/>
        <v>#N/A</v>
      </c>
      <c r="D308" t="s">
        <v>496</v>
      </c>
      <c r="E308" t="s">
        <v>2817</v>
      </c>
    </row>
    <row r="309" spans="3:5">
      <c r="C309" t="e">
        <f t="shared" si="4"/>
        <v>#N/A</v>
      </c>
      <c r="D309" t="s">
        <v>497</v>
      </c>
      <c r="E309" t="s">
        <v>2817</v>
      </c>
    </row>
    <row r="310" spans="3:5">
      <c r="C310" t="e">
        <f t="shared" si="4"/>
        <v>#N/A</v>
      </c>
      <c r="D310" t="s">
        <v>498</v>
      </c>
      <c r="E310" t="s">
        <v>2817</v>
      </c>
    </row>
    <row r="311" spans="3:5">
      <c r="C311" t="e">
        <f t="shared" si="4"/>
        <v>#N/A</v>
      </c>
      <c r="D311" t="s">
        <v>499</v>
      </c>
      <c r="E311" t="s">
        <v>2817</v>
      </c>
    </row>
    <row r="312" spans="3:5">
      <c r="C312" t="e">
        <f t="shared" si="4"/>
        <v>#N/A</v>
      </c>
      <c r="D312" t="s">
        <v>500</v>
      </c>
      <c r="E312" t="s">
        <v>2817</v>
      </c>
    </row>
    <row r="313" spans="3:5">
      <c r="C313" t="e">
        <f t="shared" si="4"/>
        <v>#N/A</v>
      </c>
      <c r="D313" t="s">
        <v>501</v>
      </c>
      <c r="E313" t="s">
        <v>2817</v>
      </c>
    </row>
    <row r="314" spans="3:5">
      <c r="C314" t="e">
        <f t="shared" si="4"/>
        <v>#N/A</v>
      </c>
      <c r="D314" t="s">
        <v>502</v>
      </c>
      <c r="E314" t="s">
        <v>2817</v>
      </c>
    </row>
    <row r="315" spans="3:5">
      <c r="C315" t="e">
        <f t="shared" si="4"/>
        <v>#N/A</v>
      </c>
      <c r="D315" t="s">
        <v>503</v>
      </c>
      <c r="E315" t="s">
        <v>2817</v>
      </c>
    </row>
    <row r="316" spans="3:5">
      <c r="C316" t="e">
        <f t="shared" si="4"/>
        <v>#N/A</v>
      </c>
      <c r="D316" t="s">
        <v>504</v>
      </c>
      <c r="E316" t="s">
        <v>2817</v>
      </c>
    </row>
    <row r="317" spans="3:5">
      <c r="C317" t="e">
        <f t="shared" si="4"/>
        <v>#N/A</v>
      </c>
      <c r="D317" t="s">
        <v>505</v>
      </c>
      <c r="E317" t="s">
        <v>2817</v>
      </c>
    </row>
    <row r="318" spans="3:5">
      <c r="C318" t="e">
        <f t="shared" si="4"/>
        <v>#N/A</v>
      </c>
      <c r="D318" t="s">
        <v>506</v>
      </c>
      <c r="E318" t="s">
        <v>2817</v>
      </c>
    </row>
    <row r="319" spans="3:5">
      <c r="C319" t="e">
        <f t="shared" si="4"/>
        <v>#N/A</v>
      </c>
      <c r="D319" t="s">
        <v>507</v>
      </c>
      <c r="E319" t="s">
        <v>2817</v>
      </c>
    </row>
    <row r="320" spans="3:5">
      <c r="C320" t="e">
        <f t="shared" si="4"/>
        <v>#N/A</v>
      </c>
      <c r="D320" t="s">
        <v>508</v>
      </c>
      <c r="E320" t="s">
        <v>2817</v>
      </c>
    </row>
    <row r="321" spans="3:5">
      <c r="C321" t="e">
        <f t="shared" si="4"/>
        <v>#N/A</v>
      </c>
      <c r="D321" t="s">
        <v>509</v>
      </c>
      <c r="E321" t="s">
        <v>2817</v>
      </c>
    </row>
    <row r="322" spans="3:5">
      <c r="C322" t="e">
        <f t="shared" si="4"/>
        <v>#N/A</v>
      </c>
      <c r="D322" t="s">
        <v>510</v>
      </c>
      <c r="E322" t="s">
        <v>2817</v>
      </c>
    </row>
    <row r="323" spans="3:5">
      <c r="C323" t="e">
        <f t="shared" ref="C323:C386" si="5">VLOOKUP(B323,D:E,2,0)</f>
        <v>#N/A</v>
      </c>
      <c r="D323" t="s">
        <v>511</v>
      </c>
      <c r="E323" t="s">
        <v>2817</v>
      </c>
    </row>
    <row r="324" spans="3:5">
      <c r="C324" t="e">
        <f t="shared" si="5"/>
        <v>#N/A</v>
      </c>
      <c r="D324" t="s">
        <v>512</v>
      </c>
      <c r="E324" t="s">
        <v>2817</v>
      </c>
    </row>
    <row r="325" spans="3:5">
      <c r="C325" t="e">
        <f t="shared" si="5"/>
        <v>#N/A</v>
      </c>
      <c r="D325" t="s">
        <v>513</v>
      </c>
      <c r="E325" t="s">
        <v>2817</v>
      </c>
    </row>
    <row r="326" spans="3:5">
      <c r="C326" t="e">
        <f t="shared" si="5"/>
        <v>#N/A</v>
      </c>
      <c r="D326" t="s">
        <v>514</v>
      </c>
      <c r="E326" t="s">
        <v>2817</v>
      </c>
    </row>
    <row r="327" spans="3:5">
      <c r="C327" t="e">
        <f t="shared" si="5"/>
        <v>#N/A</v>
      </c>
      <c r="D327" t="s">
        <v>515</v>
      </c>
      <c r="E327" t="s">
        <v>2817</v>
      </c>
    </row>
    <row r="328" spans="3:5">
      <c r="C328" t="e">
        <f t="shared" si="5"/>
        <v>#N/A</v>
      </c>
      <c r="D328" t="s">
        <v>516</v>
      </c>
      <c r="E328" t="s">
        <v>2817</v>
      </c>
    </row>
    <row r="329" spans="3:5">
      <c r="C329" t="e">
        <f t="shared" si="5"/>
        <v>#N/A</v>
      </c>
      <c r="D329" t="s">
        <v>517</v>
      </c>
      <c r="E329" t="s">
        <v>2817</v>
      </c>
    </row>
    <row r="330" spans="3:5">
      <c r="C330" t="e">
        <f t="shared" si="5"/>
        <v>#N/A</v>
      </c>
      <c r="D330" t="s">
        <v>518</v>
      </c>
      <c r="E330" t="s">
        <v>2817</v>
      </c>
    </row>
    <row r="331" spans="3:5">
      <c r="C331" t="e">
        <f t="shared" si="5"/>
        <v>#N/A</v>
      </c>
      <c r="D331" t="s">
        <v>519</v>
      </c>
      <c r="E331" t="s">
        <v>2817</v>
      </c>
    </row>
    <row r="332" spans="3:5">
      <c r="C332" t="e">
        <f t="shared" si="5"/>
        <v>#N/A</v>
      </c>
      <c r="D332" t="s">
        <v>520</v>
      </c>
      <c r="E332" t="s">
        <v>2817</v>
      </c>
    </row>
    <row r="333" spans="3:5">
      <c r="C333" t="e">
        <f t="shared" si="5"/>
        <v>#N/A</v>
      </c>
      <c r="D333" t="s">
        <v>521</v>
      </c>
      <c r="E333" t="s">
        <v>2817</v>
      </c>
    </row>
    <row r="334" spans="3:5">
      <c r="C334" t="e">
        <f t="shared" si="5"/>
        <v>#N/A</v>
      </c>
      <c r="D334" t="s">
        <v>522</v>
      </c>
      <c r="E334" t="s">
        <v>2817</v>
      </c>
    </row>
    <row r="335" spans="3:5">
      <c r="C335" t="e">
        <f t="shared" si="5"/>
        <v>#N/A</v>
      </c>
      <c r="D335" t="s">
        <v>523</v>
      </c>
      <c r="E335" t="s">
        <v>2817</v>
      </c>
    </row>
    <row r="336" spans="3:5">
      <c r="C336" t="e">
        <f t="shared" si="5"/>
        <v>#N/A</v>
      </c>
      <c r="D336" t="s">
        <v>524</v>
      </c>
      <c r="E336" t="s">
        <v>2817</v>
      </c>
    </row>
    <row r="337" spans="3:5">
      <c r="C337" t="e">
        <f t="shared" si="5"/>
        <v>#N/A</v>
      </c>
      <c r="D337" t="s">
        <v>525</v>
      </c>
      <c r="E337" t="s">
        <v>2817</v>
      </c>
    </row>
    <row r="338" spans="3:5">
      <c r="C338" t="e">
        <f t="shared" si="5"/>
        <v>#N/A</v>
      </c>
      <c r="D338" t="s">
        <v>526</v>
      </c>
      <c r="E338" t="s">
        <v>2817</v>
      </c>
    </row>
    <row r="339" spans="3:5">
      <c r="C339" t="e">
        <f t="shared" si="5"/>
        <v>#N/A</v>
      </c>
      <c r="D339" t="s">
        <v>527</v>
      </c>
      <c r="E339" t="s">
        <v>2817</v>
      </c>
    </row>
    <row r="340" spans="3:5">
      <c r="C340" t="e">
        <f t="shared" si="5"/>
        <v>#N/A</v>
      </c>
      <c r="D340" t="s">
        <v>528</v>
      </c>
      <c r="E340" t="s">
        <v>2817</v>
      </c>
    </row>
    <row r="341" spans="3:5">
      <c r="C341" t="e">
        <f t="shared" si="5"/>
        <v>#N/A</v>
      </c>
      <c r="D341" t="s">
        <v>529</v>
      </c>
      <c r="E341" t="s">
        <v>2817</v>
      </c>
    </row>
    <row r="342" spans="3:5">
      <c r="C342" t="e">
        <f t="shared" si="5"/>
        <v>#N/A</v>
      </c>
      <c r="D342" t="s">
        <v>530</v>
      </c>
      <c r="E342" t="s">
        <v>2817</v>
      </c>
    </row>
    <row r="343" spans="3:5">
      <c r="C343" t="e">
        <f t="shared" si="5"/>
        <v>#N/A</v>
      </c>
      <c r="D343" t="s">
        <v>531</v>
      </c>
      <c r="E343" t="s">
        <v>2817</v>
      </c>
    </row>
    <row r="344" spans="3:5">
      <c r="C344" t="e">
        <f t="shared" si="5"/>
        <v>#N/A</v>
      </c>
      <c r="D344" t="s">
        <v>532</v>
      </c>
      <c r="E344" t="s">
        <v>2817</v>
      </c>
    </row>
    <row r="345" spans="3:5">
      <c r="C345" t="e">
        <f t="shared" si="5"/>
        <v>#N/A</v>
      </c>
      <c r="D345" t="s">
        <v>533</v>
      </c>
      <c r="E345" t="s">
        <v>2817</v>
      </c>
    </row>
    <row r="346" spans="3:5">
      <c r="C346" t="e">
        <f t="shared" si="5"/>
        <v>#N/A</v>
      </c>
      <c r="D346" t="s">
        <v>534</v>
      </c>
      <c r="E346" t="s">
        <v>2817</v>
      </c>
    </row>
    <row r="347" spans="3:5">
      <c r="C347" t="e">
        <f t="shared" si="5"/>
        <v>#N/A</v>
      </c>
      <c r="D347" t="s">
        <v>535</v>
      </c>
      <c r="E347" t="s">
        <v>2817</v>
      </c>
    </row>
    <row r="348" spans="3:5">
      <c r="C348" t="e">
        <f t="shared" si="5"/>
        <v>#N/A</v>
      </c>
      <c r="D348" t="s">
        <v>536</v>
      </c>
      <c r="E348" t="s">
        <v>2817</v>
      </c>
    </row>
    <row r="349" spans="3:5">
      <c r="C349" t="e">
        <f t="shared" si="5"/>
        <v>#N/A</v>
      </c>
      <c r="D349" t="s">
        <v>537</v>
      </c>
      <c r="E349" t="s">
        <v>2817</v>
      </c>
    </row>
    <row r="350" spans="3:5">
      <c r="C350" t="e">
        <f t="shared" si="5"/>
        <v>#N/A</v>
      </c>
      <c r="D350" t="s">
        <v>538</v>
      </c>
      <c r="E350" t="s">
        <v>2817</v>
      </c>
    </row>
    <row r="351" spans="3:5">
      <c r="C351" t="e">
        <f t="shared" si="5"/>
        <v>#N/A</v>
      </c>
      <c r="D351" t="s">
        <v>539</v>
      </c>
      <c r="E351" t="s">
        <v>2817</v>
      </c>
    </row>
    <row r="352" spans="3:5">
      <c r="C352" t="e">
        <f t="shared" si="5"/>
        <v>#N/A</v>
      </c>
      <c r="D352" t="s">
        <v>540</v>
      </c>
      <c r="E352" t="s">
        <v>2817</v>
      </c>
    </row>
    <row r="353" spans="3:5">
      <c r="C353" t="e">
        <f t="shared" si="5"/>
        <v>#N/A</v>
      </c>
      <c r="D353" t="s">
        <v>541</v>
      </c>
      <c r="E353" t="s">
        <v>2817</v>
      </c>
    </row>
    <row r="354" spans="3:5">
      <c r="C354" t="e">
        <f t="shared" si="5"/>
        <v>#N/A</v>
      </c>
      <c r="D354" t="s">
        <v>542</v>
      </c>
      <c r="E354" t="s">
        <v>2817</v>
      </c>
    </row>
    <row r="355" spans="3:5">
      <c r="C355" t="e">
        <f t="shared" si="5"/>
        <v>#N/A</v>
      </c>
      <c r="D355" t="s">
        <v>543</v>
      </c>
      <c r="E355" t="s">
        <v>2817</v>
      </c>
    </row>
    <row r="356" spans="3:5">
      <c r="C356" t="e">
        <f t="shared" si="5"/>
        <v>#N/A</v>
      </c>
      <c r="D356" t="s">
        <v>544</v>
      </c>
      <c r="E356" t="s">
        <v>2817</v>
      </c>
    </row>
    <row r="357" spans="3:5">
      <c r="C357" t="e">
        <f t="shared" si="5"/>
        <v>#N/A</v>
      </c>
      <c r="D357" t="s">
        <v>545</v>
      </c>
      <c r="E357" t="s">
        <v>2817</v>
      </c>
    </row>
    <row r="358" spans="3:5">
      <c r="C358" t="e">
        <f t="shared" si="5"/>
        <v>#N/A</v>
      </c>
      <c r="D358" t="s">
        <v>546</v>
      </c>
      <c r="E358" t="s">
        <v>2817</v>
      </c>
    </row>
    <row r="359" spans="3:5">
      <c r="C359" t="e">
        <f t="shared" si="5"/>
        <v>#N/A</v>
      </c>
      <c r="D359" t="s">
        <v>547</v>
      </c>
      <c r="E359" t="s">
        <v>2817</v>
      </c>
    </row>
    <row r="360" spans="3:5">
      <c r="C360" t="e">
        <f t="shared" si="5"/>
        <v>#N/A</v>
      </c>
      <c r="D360" t="s">
        <v>548</v>
      </c>
      <c r="E360" t="s">
        <v>2817</v>
      </c>
    </row>
    <row r="361" spans="3:5">
      <c r="C361" t="e">
        <f t="shared" si="5"/>
        <v>#N/A</v>
      </c>
      <c r="D361" t="s">
        <v>549</v>
      </c>
      <c r="E361" t="s">
        <v>2817</v>
      </c>
    </row>
    <row r="362" spans="3:5">
      <c r="C362" t="e">
        <f t="shared" si="5"/>
        <v>#N/A</v>
      </c>
      <c r="D362" t="s">
        <v>550</v>
      </c>
      <c r="E362" t="s">
        <v>2817</v>
      </c>
    </row>
    <row r="363" spans="3:5">
      <c r="C363" t="e">
        <f t="shared" si="5"/>
        <v>#N/A</v>
      </c>
      <c r="D363" t="s">
        <v>551</v>
      </c>
      <c r="E363" t="s">
        <v>2817</v>
      </c>
    </row>
    <row r="364" spans="3:5">
      <c r="C364" t="e">
        <f t="shared" si="5"/>
        <v>#N/A</v>
      </c>
      <c r="D364" t="s">
        <v>552</v>
      </c>
      <c r="E364" t="s">
        <v>2817</v>
      </c>
    </row>
    <row r="365" spans="3:5">
      <c r="C365" t="e">
        <f t="shared" si="5"/>
        <v>#N/A</v>
      </c>
      <c r="D365" t="s">
        <v>553</v>
      </c>
      <c r="E365" t="s">
        <v>2817</v>
      </c>
    </row>
    <row r="366" spans="3:5">
      <c r="C366" t="e">
        <f t="shared" si="5"/>
        <v>#N/A</v>
      </c>
      <c r="D366" t="s">
        <v>554</v>
      </c>
      <c r="E366" t="s">
        <v>2817</v>
      </c>
    </row>
    <row r="367" spans="3:5">
      <c r="C367" t="e">
        <f t="shared" si="5"/>
        <v>#N/A</v>
      </c>
      <c r="D367" t="s">
        <v>555</v>
      </c>
      <c r="E367" t="s">
        <v>2817</v>
      </c>
    </row>
    <row r="368" spans="3:5">
      <c r="C368" t="e">
        <f t="shared" si="5"/>
        <v>#N/A</v>
      </c>
      <c r="D368" t="s">
        <v>556</v>
      </c>
      <c r="E368" t="s">
        <v>2817</v>
      </c>
    </row>
    <row r="369" spans="3:5">
      <c r="C369" t="e">
        <f t="shared" si="5"/>
        <v>#N/A</v>
      </c>
      <c r="D369" t="s">
        <v>557</v>
      </c>
      <c r="E369" t="s">
        <v>2817</v>
      </c>
    </row>
    <row r="370" spans="3:5">
      <c r="C370" t="e">
        <f t="shared" si="5"/>
        <v>#N/A</v>
      </c>
      <c r="D370" t="s">
        <v>558</v>
      </c>
      <c r="E370" t="s">
        <v>2817</v>
      </c>
    </row>
    <row r="371" spans="3:5">
      <c r="C371" t="e">
        <f t="shared" si="5"/>
        <v>#N/A</v>
      </c>
      <c r="D371" t="s">
        <v>559</v>
      </c>
      <c r="E371" t="s">
        <v>2817</v>
      </c>
    </row>
    <row r="372" spans="3:5">
      <c r="C372" t="e">
        <f t="shared" si="5"/>
        <v>#N/A</v>
      </c>
      <c r="D372" t="s">
        <v>560</v>
      </c>
      <c r="E372" t="s">
        <v>2817</v>
      </c>
    </row>
    <row r="373" spans="3:5">
      <c r="C373" t="e">
        <f t="shared" si="5"/>
        <v>#N/A</v>
      </c>
      <c r="D373" t="s">
        <v>561</v>
      </c>
      <c r="E373" t="s">
        <v>2817</v>
      </c>
    </row>
    <row r="374" spans="3:5">
      <c r="C374" t="e">
        <f t="shared" si="5"/>
        <v>#N/A</v>
      </c>
      <c r="D374" t="s">
        <v>562</v>
      </c>
      <c r="E374" t="s">
        <v>2817</v>
      </c>
    </row>
    <row r="375" spans="3:5">
      <c r="C375" t="e">
        <f t="shared" si="5"/>
        <v>#N/A</v>
      </c>
      <c r="D375" t="s">
        <v>563</v>
      </c>
      <c r="E375" t="s">
        <v>2817</v>
      </c>
    </row>
    <row r="376" spans="3:5">
      <c r="C376" t="e">
        <f t="shared" si="5"/>
        <v>#N/A</v>
      </c>
      <c r="D376" t="s">
        <v>564</v>
      </c>
      <c r="E376" t="s">
        <v>2817</v>
      </c>
    </row>
    <row r="377" spans="3:5">
      <c r="C377" t="e">
        <f t="shared" si="5"/>
        <v>#N/A</v>
      </c>
      <c r="D377" t="s">
        <v>565</v>
      </c>
      <c r="E377" t="s">
        <v>2817</v>
      </c>
    </row>
    <row r="378" spans="3:5">
      <c r="C378" t="e">
        <f t="shared" si="5"/>
        <v>#N/A</v>
      </c>
      <c r="D378" t="s">
        <v>566</v>
      </c>
      <c r="E378" t="s">
        <v>2817</v>
      </c>
    </row>
    <row r="379" spans="3:5">
      <c r="C379" t="e">
        <f t="shared" si="5"/>
        <v>#N/A</v>
      </c>
      <c r="D379" t="s">
        <v>567</v>
      </c>
      <c r="E379" t="s">
        <v>2817</v>
      </c>
    </row>
    <row r="380" spans="3:5">
      <c r="C380" t="e">
        <f t="shared" si="5"/>
        <v>#N/A</v>
      </c>
      <c r="D380" t="s">
        <v>568</v>
      </c>
      <c r="E380" t="s">
        <v>2817</v>
      </c>
    </row>
    <row r="381" spans="3:5">
      <c r="C381" t="e">
        <f t="shared" si="5"/>
        <v>#N/A</v>
      </c>
      <c r="D381" t="s">
        <v>569</v>
      </c>
      <c r="E381" t="s">
        <v>2817</v>
      </c>
    </row>
    <row r="382" spans="3:5">
      <c r="C382" t="e">
        <f t="shared" si="5"/>
        <v>#N/A</v>
      </c>
      <c r="D382" t="s">
        <v>570</v>
      </c>
      <c r="E382" t="s">
        <v>2817</v>
      </c>
    </row>
    <row r="383" spans="3:5">
      <c r="C383" t="e">
        <f t="shared" si="5"/>
        <v>#N/A</v>
      </c>
      <c r="D383" t="s">
        <v>571</v>
      </c>
      <c r="E383" t="s">
        <v>2817</v>
      </c>
    </row>
    <row r="384" spans="3:5">
      <c r="C384" t="e">
        <f t="shared" si="5"/>
        <v>#N/A</v>
      </c>
      <c r="D384" t="s">
        <v>572</v>
      </c>
      <c r="E384" t="s">
        <v>2817</v>
      </c>
    </row>
    <row r="385" spans="3:5">
      <c r="C385" t="e">
        <f t="shared" si="5"/>
        <v>#N/A</v>
      </c>
      <c r="D385" t="s">
        <v>573</v>
      </c>
      <c r="E385" t="s">
        <v>2817</v>
      </c>
    </row>
    <row r="386" spans="3:5">
      <c r="C386" t="e">
        <f t="shared" si="5"/>
        <v>#N/A</v>
      </c>
      <c r="D386" t="s">
        <v>574</v>
      </c>
      <c r="E386" t="s">
        <v>2817</v>
      </c>
    </row>
    <row r="387" spans="3:5">
      <c r="C387" t="e">
        <f t="shared" ref="C387:C450" si="6">VLOOKUP(B387,D:E,2,0)</f>
        <v>#N/A</v>
      </c>
      <c r="D387" t="s">
        <v>575</v>
      </c>
      <c r="E387" t="s">
        <v>2817</v>
      </c>
    </row>
    <row r="388" spans="3:5">
      <c r="C388" t="e">
        <f t="shared" si="6"/>
        <v>#N/A</v>
      </c>
      <c r="D388" t="s">
        <v>576</v>
      </c>
      <c r="E388" t="s">
        <v>2817</v>
      </c>
    </row>
    <row r="389" spans="3:5">
      <c r="C389" t="e">
        <f t="shared" si="6"/>
        <v>#N/A</v>
      </c>
      <c r="D389" t="s">
        <v>577</v>
      </c>
      <c r="E389" t="s">
        <v>2817</v>
      </c>
    </row>
    <row r="390" spans="3:5">
      <c r="C390" t="e">
        <f t="shared" si="6"/>
        <v>#N/A</v>
      </c>
      <c r="D390" t="s">
        <v>578</v>
      </c>
      <c r="E390" t="s">
        <v>2817</v>
      </c>
    </row>
    <row r="391" spans="3:5">
      <c r="C391" t="e">
        <f t="shared" si="6"/>
        <v>#N/A</v>
      </c>
      <c r="D391" t="s">
        <v>579</v>
      </c>
      <c r="E391" t="s">
        <v>2817</v>
      </c>
    </row>
    <row r="392" spans="3:5">
      <c r="C392" t="e">
        <f t="shared" si="6"/>
        <v>#N/A</v>
      </c>
      <c r="D392" t="s">
        <v>580</v>
      </c>
      <c r="E392" t="s">
        <v>2817</v>
      </c>
    </row>
    <row r="393" spans="3:5">
      <c r="C393" t="e">
        <f t="shared" si="6"/>
        <v>#N/A</v>
      </c>
      <c r="D393" t="s">
        <v>581</v>
      </c>
      <c r="E393" t="s">
        <v>2817</v>
      </c>
    </row>
    <row r="394" spans="3:5">
      <c r="C394" t="e">
        <f t="shared" si="6"/>
        <v>#N/A</v>
      </c>
      <c r="D394" t="s">
        <v>582</v>
      </c>
      <c r="E394" t="s">
        <v>2817</v>
      </c>
    </row>
    <row r="395" spans="3:5">
      <c r="C395" t="e">
        <f t="shared" si="6"/>
        <v>#N/A</v>
      </c>
      <c r="D395" t="s">
        <v>583</v>
      </c>
      <c r="E395" t="s">
        <v>2817</v>
      </c>
    </row>
    <row r="396" spans="3:5">
      <c r="C396" t="e">
        <f t="shared" si="6"/>
        <v>#N/A</v>
      </c>
      <c r="D396" t="s">
        <v>584</v>
      </c>
      <c r="E396" t="s">
        <v>2817</v>
      </c>
    </row>
    <row r="397" spans="3:5">
      <c r="C397" t="e">
        <f t="shared" si="6"/>
        <v>#N/A</v>
      </c>
      <c r="D397" t="s">
        <v>585</v>
      </c>
      <c r="E397" t="s">
        <v>2817</v>
      </c>
    </row>
    <row r="398" spans="3:5">
      <c r="C398" t="e">
        <f t="shared" si="6"/>
        <v>#N/A</v>
      </c>
      <c r="D398" t="s">
        <v>586</v>
      </c>
      <c r="E398" t="s">
        <v>2817</v>
      </c>
    </row>
    <row r="399" spans="3:5">
      <c r="C399" t="e">
        <f t="shared" si="6"/>
        <v>#N/A</v>
      </c>
      <c r="D399" t="s">
        <v>587</v>
      </c>
      <c r="E399" t="s">
        <v>2817</v>
      </c>
    </row>
    <row r="400" spans="3:5">
      <c r="C400" t="e">
        <f t="shared" si="6"/>
        <v>#N/A</v>
      </c>
      <c r="D400" t="s">
        <v>588</v>
      </c>
      <c r="E400" t="s">
        <v>2817</v>
      </c>
    </row>
    <row r="401" spans="3:5">
      <c r="C401" t="e">
        <f t="shared" si="6"/>
        <v>#N/A</v>
      </c>
      <c r="D401" t="s">
        <v>589</v>
      </c>
      <c r="E401" t="s">
        <v>2817</v>
      </c>
    </row>
    <row r="402" spans="3:5">
      <c r="C402" t="e">
        <f t="shared" si="6"/>
        <v>#N/A</v>
      </c>
      <c r="D402" t="s">
        <v>590</v>
      </c>
      <c r="E402" t="s">
        <v>2817</v>
      </c>
    </row>
    <row r="403" spans="3:5">
      <c r="C403" t="e">
        <f t="shared" si="6"/>
        <v>#N/A</v>
      </c>
      <c r="D403" t="s">
        <v>591</v>
      </c>
      <c r="E403" t="s">
        <v>2817</v>
      </c>
    </row>
    <row r="404" spans="3:5">
      <c r="C404" t="e">
        <f t="shared" si="6"/>
        <v>#N/A</v>
      </c>
      <c r="D404" t="s">
        <v>592</v>
      </c>
      <c r="E404" t="s">
        <v>2817</v>
      </c>
    </row>
    <row r="405" spans="3:5">
      <c r="C405" t="e">
        <f t="shared" si="6"/>
        <v>#N/A</v>
      </c>
      <c r="D405" t="s">
        <v>593</v>
      </c>
      <c r="E405" t="s">
        <v>2817</v>
      </c>
    </row>
    <row r="406" spans="3:5">
      <c r="C406" t="e">
        <f t="shared" si="6"/>
        <v>#N/A</v>
      </c>
      <c r="D406" t="s">
        <v>594</v>
      </c>
      <c r="E406" t="s">
        <v>2817</v>
      </c>
    </row>
    <row r="407" spans="3:5">
      <c r="C407" t="e">
        <f t="shared" si="6"/>
        <v>#N/A</v>
      </c>
      <c r="D407" t="s">
        <v>595</v>
      </c>
      <c r="E407" t="s">
        <v>2817</v>
      </c>
    </row>
    <row r="408" spans="3:5">
      <c r="C408" t="e">
        <f t="shared" si="6"/>
        <v>#N/A</v>
      </c>
      <c r="D408" t="s">
        <v>596</v>
      </c>
      <c r="E408" t="s">
        <v>2817</v>
      </c>
    </row>
    <row r="409" spans="3:5">
      <c r="C409" t="e">
        <f t="shared" si="6"/>
        <v>#N/A</v>
      </c>
      <c r="D409" t="s">
        <v>597</v>
      </c>
      <c r="E409" t="s">
        <v>2817</v>
      </c>
    </row>
    <row r="410" spans="3:5">
      <c r="C410" t="e">
        <f t="shared" si="6"/>
        <v>#N/A</v>
      </c>
      <c r="D410" t="s">
        <v>598</v>
      </c>
      <c r="E410" t="s">
        <v>2817</v>
      </c>
    </row>
    <row r="411" spans="3:5">
      <c r="C411" t="e">
        <f t="shared" si="6"/>
        <v>#N/A</v>
      </c>
      <c r="D411" t="s">
        <v>599</v>
      </c>
      <c r="E411" t="s">
        <v>2817</v>
      </c>
    </row>
    <row r="412" spans="3:5">
      <c r="C412" t="e">
        <f t="shared" si="6"/>
        <v>#N/A</v>
      </c>
      <c r="D412" t="s">
        <v>600</v>
      </c>
      <c r="E412" t="s">
        <v>2817</v>
      </c>
    </row>
    <row r="413" spans="3:5">
      <c r="C413" t="e">
        <f t="shared" si="6"/>
        <v>#N/A</v>
      </c>
      <c r="D413" t="s">
        <v>601</v>
      </c>
      <c r="E413" t="s">
        <v>2817</v>
      </c>
    </row>
    <row r="414" spans="3:5">
      <c r="C414" t="e">
        <f t="shared" si="6"/>
        <v>#N/A</v>
      </c>
      <c r="D414" t="s">
        <v>602</v>
      </c>
      <c r="E414" t="s">
        <v>2817</v>
      </c>
    </row>
    <row r="415" spans="3:5">
      <c r="C415" t="e">
        <f t="shared" si="6"/>
        <v>#N/A</v>
      </c>
      <c r="D415" t="s">
        <v>603</v>
      </c>
      <c r="E415" t="s">
        <v>2817</v>
      </c>
    </row>
    <row r="416" spans="3:5">
      <c r="C416" t="e">
        <f t="shared" si="6"/>
        <v>#N/A</v>
      </c>
      <c r="D416" t="s">
        <v>604</v>
      </c>
      <c r="E416" t="s">
        <v>2817</v>
      </c>
    </row>
    <row r="417" spans="3:5">
      <c r="C417" t="e">
        <f t="shared" si="6"/>
        <v>#N/A</v>
      </c>
      <c r="D417" t="s">
        <v>605</v>
      </c>
      <c r="E417" t="s">
        <v>2817</v>
      </c>
    </row>
    <row r="418" spans="3:5">
      <c r="C418" t="e">
        <f t="shared" si="6"/>
        <v>#N/A</v>
      </c>
      <c r="D418" t="s">
        <v>606</v>
      </c>
      <c r="E418" t="s">
        <v>2817</v>
      </c>
    </row>
    <row r="419" spans="3:5">
      <c r="C419" t="e">
        <f t="shared" si="6"/>
        <v>#N/A</v>
      </c>
      <c r="D419" t="s">
        <v>607</v>
      </c>
      <c r="E419" t="s">
        <v>2817</v>
      </c>
    </row>
    <row r="420" spans="3:5">
      <c r="C420" t="e">
        <f t="shared" si="6"/>
        <v>#N/A</v>
      </c>
      <c r="D420" t="s">
        <v>608</v>
      </c>
      <c r="E420" t="s">
        <v>2817</v>
      </c>
    </row>
    <row r="421" spans="3:5">
      <c r="C421" t="e">
        <f t="shared" si="6"/>
        <v>#N/A</v>
      </c>
      <c r="D421" t="s">
        <v>609</v>
      </c>
      <c r="E421" t="s">
        <v>2817</v>
      </c>
    </row>
    <row r="422" spans="3:5">
      <c r="C422" t="e">
        <f t="shared" si="6"/>
        <v>#N/A</v>
      </c>
      <c r="D422" t="s">
        <v>610</v>
      </c>
      <c r="E422" t="s">
        <v>2817</v>
      </c>
    </row>
    <row r="423" spans="3:5">
      <c r="C423" t="e">
        <f t="shared" si="6"/>
        <v>#N/A</v>
      </c>
      <c r="D423" t="s">
        <v>611</v>
      </c>
      <c r="E423" t="s">
        <v>2817</v>
      </c>
    </row>
    <row r="424" spans="3:5">
      <c r="C424" t="e">
        <f t="shared" si="6"/>
        <v>#N/A</v>
      </c>
      <c r="D424" t="s">
        <v>612</v>
      </c>
      <c r="E424" t="s">
        <v>2817</v>
      </c>
    </row>
    <row r="425" spans="3:5">
      <c r="C425" t="e">
        <f t="shared" si="6"/>
        <v>#N/A</v>
      </c>
      <c r="D425" t="s">
        <v>613</v>
      </c>
      <c r="E425" t="s">
        <v>2817</v>
      </c>
    </row>
    <row r="426" spans="3:5">
      <c r="C426" t="e">
        <f t="shared" si="6"/>
        <v>#N/A</v>
      </c>
      <c r="D426" t="s">
        <v>614</v>
      </c>
      <c r="E426" t="s">
        <v>2817</v>
      </c>
    </row>
    <row r="427" spans="3:5">
      <c r="C427" t="e">
        <f t="shared" si="6"/>
        <v>#N/A</v>
      </c>
      <c r="D427" t="s">
        <v>615</v>
      </c>
      <c r="E427" t="s">
        <v>2817</v>
      </c>
    </row>
    <row r="428" spans="3:5">
      <c r="C428" t="e">
        <f t="shared" si="6"/>
        <v>#N/A</v>
      </c>
      <c r="D428" t="s">
        <v>616</v>
      </c>
      <c r="E428" t="s">
        <v>2817</v>
      </c>
    </row>
    <row r="429" spans="3:5">
      <c r="C429" t="e">
        <f t="shared" si="6"/>
        <v>#N/A</v>
      </c>
      <c r="D429" t="s">
        <v>617</v>
      </c>
      <c r="E429" t="s">
        <v>2817</v>
      </c>
    </row>
    <row r="430" spans="3:5">
      <c r="C430" t="e">
        <f t="shared" si="6"/>
        <v>#N/A</v>
      </c>
      <c r="D430" t="s">
        <v>618</v>
      </c>
      <c r="E430" t="s">
        <v>2817</v>
      </c>
    </row>
    <row r="431" spans="3:5">
      <c r="C431" t="e">
        <f t="shared" si="6"/>
        <v>#N/A</v>
      </c>
      <c r="D431" t="s">
        <v>619</v>
      </c>
      <c r="E431" t="s">
        <v>2817</v>
      </c>
    </row>
    <row r="432" spans="3:5">
      <c r="C432" t="e">
        <f t="shared" si="6"/>
        <v>#N/A</v>
      </c>
      <c r="D432" t="s">
        <v>620</v>
      </c>
      <c r="E432" t="s">
        <v>2817</v>
      </c>
    </row>
    <row r="433" spans="3:5">
      <c r="C433" t="e">
        <f t="shared" si="6"/>
        <v>#N/A</v>
      </c>
      <c r="D433" t="s">
        <v>621</v>
      </c>
      <c r="E433" t="s">
        <v>2817</v>
      </c>
    </row>
    <row r="434" spans="3:5">
      <c r="C434" t="e">
        <f t="shared" si="6"/>
        <v>#N/A</v>
      </c>
      <c r="D434" t="s">
        <v>622</v>
      </c>
      <c r="E434" t="s">
        <v>2817</v>
      </c>
    </row>
    <row r="435" spans="3:5">
      <c r="C435" t="e">
        <f t="shared" si="6"/>
        <v>#N/A</v>
      </c>
      <c r="D435" t="s">
        <v>623</v>
      </c>
      <c r="E435" t="s">
        <v>2817</v>
      </c>
    </row>
    <row r="436" spans="3:5">
      <c r="C436" t="e">
        <f t="shared" si="6"/>
        <v>#N/A</v>
      </c>
      <c r="D436" t="s">
        <v>624</v>
      </c>
      <c r="E436" t="s">
        <v>2817</v>
      </c>
    </row>
    <row r="437" spans="3:5">
      <c r="C437" t="e">
        <f t="shared" si="6"/>
        <v>#N/A</v>
      </c>
      <c r="D437" t="s">
        <v>625</v>
      </c>
      <c r="E437" t="s">
        <v>2817</v>
      </c>
    </row>
    <row r="438" spans="3:5">
      <c r="C438" t="e">
        <f t="shared" si="6"/>
        <v>#N/A</v>
      </c>
      <c r="D438" t="s">
        <v>626</v>
      </c>
      <c r="E438" t="s">
        <v>2817</v>
      </c>
    </row>
    <row r="439" spans="3:5">
      <c r="C439" t="e">
        <f t="shared" si="6"/>
        <v>#N/A</v>
      </c>
      <c r="D439" t="s">
        <v>627</v>
      </c>
      <c r="E439" t="s">
        <v>2817</v>
      </c>
    </row>
    <row r="440" spans="3:5">
      <c r="C440" t="e">
        <f t="shared" si="6"/>
        <v>#N/A</v>
      </c>
      <c r="D440" t="s">
        <v>628</v>
      </c>
      <c r="E440" t="s">
        <v>2817</v>
      </c>
    </row>
    <row r="441" spans="3:5">
      <c r="C441" t="e">
        <f t="shared" si="6"/>
        <v>#N/A</v>
      </c>
      <c r="D441" t="s">
        <v>629</v>
      </c>
      <c r="E441" t="s">
        <v>2817</v>
      </c>
    </row>
    <row r="442" spans="3:5">
      <c r="C442" t="e">
        <f t="shared" si="6"/>
        <v>#N/A</v>
      </c>
      <c r="D442" t="s">
        <v>630</v>
      </c>
      <c r="E442" t="s">
        <v>2817</v>
      </c>
    </row>
    <row r="443" spans="3:5">
      <c r="C443" t="e">
        <f t="shared" si="6"/>
        <v>#N/A</v>
      </c>
      <c r="D443" t="s">
        <v>631</v>
      </c>
      <c r="E443" t="s">
        <v>2817</v>
      </c>
    </row>
    <row r="444" spans="3:5">
      <c r="C444" t="e">
        <f t="shared" si="6"/>
        <v>#N/A</v>
      </c>
      <c r="D444" t="s">
        <v>632</v>
      </c>
      <c r="E444" t="s">
        <v>2817</v>
      </c>
    </row>
    <row r="445" spans="3:5">
      <c r="C445" t="e">
        <f t="shared" si="6"/>
        <v>#N/A</v>
      </c>
      <c r="D445" t="s">
        <v>633</v>
      </c>
      <c r="E445" t="s">
        <v>2817</v>
      </c>
    </row>
    <row r="446" spans="3:5">
      <c r="C446" t="e">
        <f t="shared" si="6"/>
        <v>#N/A</v>
      </c>
      <c r="D446" t="s">
        <v>634</v>
      </c>
      <c r="E446" t="s">
        <v>2817</v>
      </c>
    </row>
    <row r="447" spans="3:5">
      <c r="C447" t="e">
        <f t="shared" si="6"/>
        <v>#N/A</v>
      </c>
      <c r="D447" t="s">
        <v>635</v>
      </c>
      <c r="E447" t="s">
        <v>2817</v>
      </c>
    </row>
    <row r="448" spans="3:5">
      <c r="C448" t="e">
        <f t="shared" si="6"/>
        <v>#N/A</v>
      </c>
      <c r="D448" t="s">
        <v>636</v>
      </c>
      <c r="E448" t="s">
        <v>2817</v>
      </c>
    </row>
    <row r="449" spans="3:5">
      <c r="C449" t="e">
        <f t="shared" si="6"/>
        <v>#N/A</v>
      </c>
      <c r="D449" t="s">
        <v>637</v>
      </c>
      <c r="E449" t="s">
        <v>2817</v>
      </c>
    </row>
    <row r="450" spans="3:5">
      <c r="C450" t="e">
        <f t="shared" si="6"/>
        <v>#N/A</v>
      </c>
      <c r="D450" t="s">
        <v>638</v>
      </c>
      <c r="E450" t="s">
        <v>2817</v>
      </c>
    </row>
    <row r="451" spans="3:5">
      <c r="C451" t="e">
        <f t="shared" ref="C451:C514" si="7">VLOOKUP(B451,D:E,2,0)</f>
        <v>#N/A</v>
      </c>
      <c r="D451" t="s">
        <v>639</v>
      </c>
      <c r="E451" t="s">
        <v>2817</v>
      </c>
    </row>
    <row r="452" spans="3:5">
      <c r="C452" t="e">
        <f t="shared" si="7"/>
        <v>#N/A</v>
      </c>
      <c r="D452" t="s">
        <v>640</v>
      </c>
      <c r="E452" t="s">
        <v>2817</v>
      </c>
    </row>
    <row r="453" spans="3:5">
      <c r="C453" t="e">
        <f t="shared" si="7"/>
        <v>#N/A</v>
      </c>
      <c r="D453" t="s">
        <v>641</v>
      </c>
      <c r="E453" t="s">
        <v>2817</v>
      </c>
    </row>
    <row r="454" spans="3:5">
      <c r="C454" t="e">
        <f t="shared" si="7"/>
        <v>#N/A</v>
      </c>
      <c r="D454" t="s">
        <v>642</v>
      </c>
      <c r="E454" t="s">
        <v>2817</v>
      </c>
    </row>
    <row r="455" spans="3:5">
      <c r="C455" t="e">
        <f t="shared" si="7"/>
        <v>#N/A</v>
      </c>
      <c r="D455" t="s">
        <v>643</v>
      </c>
      <c r="E455" t="s">
        <v>2817</v>
      </c>
    </row>
    <row r="456" spans="3:5">
      <c r="C456" t="e">
        <f t="shared" si="7"/>
        <v>#N/A</v>
      </c>
      <c r="D456" t="s">
        <v>644</v>
      </c>
      <c r="E456" t="s">
        <v>2817</v>
      </c>
    </row>
    <row r="457" spans="3:5">
      <c r="C457" t="e">
        <f t="shared" si="7"/>
        <v>#N/A</v>
      </c>
      <c r="D457" t="s">
        <v>645</v>
      </c>
      <c r="E457" t="s">
        <v>2817</v>
      </c>
    </row>
    <row r="458" spans="3:5">
      <c r="C458" t="e">
        <f t="shared" si="7"/>
        <v>#N/A</v>
      </c>
      <c r="D458" t="s">
        <v>646</v>
      </c>
      <c r="E458" t="s">
        <v>2817</v>
      </c>
    </row>
    <row r="459" spans="3:5">
      <c r="C459" t="e">
        <f t="shared" si="7"/>
        <v>#N/A</v>
      </c>
      <c r="D459" t="s">
        <v>647</v>
      </c>
      <c r="E459" t="s">
        <v>2817</v>
      </c>
    </row>
    <row r="460" spans="3:5">
      <c r="C460" t="e">
        <f t="shared" si="7"/>
        <v>#N/A</v>
      </c>
      <c r="D460" t="s">
        <v>648</v>
      </c>
      <c r="E460" t="s">
        <v>2817</v>
      </c>
    </row>
    <row r="461" spans="3:5">
      <c r="C461" t="e">
        <f t="shared" si="7"/>
        <v>#N/A</v>
      </c>
      <c r="D461" t="s">
        <v>649</v>
      </c>
      <c r="E461" t="s">
        <v>2817</v>
      </c>
    </row>
    <row r="462" spans="3:5">
      <c r="C462" t="e">
        <f t="shared" si="7"/>
        <v>#N/A</v>
      </c>
      <c r="D462" t="s">
        <v>650</v>
      </c>
      <c r="E462" t="s">
        <v>2817</v>
      </c>
    </row>
    <row r="463" spans="3:5">
      <c r="C463" t="e">
        <f t="shared" si="7"/>
        <v>#N/A</v>
      </c>
      <c r="D463" t="s">
        <v>651</v>
      </c>
      <c r="E463" t="s">
        <v>2817</v>
      </c>
    </row>
    <row r="464" spans="3:5">
      <c r="C464" t="e">
        <f t="shared" si="7"/>
        <v>#N/A</v>
      </c>
      <c r="D464" t="s">
        <v>652</v>
      </c>
      <c r="E464" t="s">
        <v>2817</v>
      </c>
    </row>
    <row r="465" spans="3:5">
      <c r="C465" t="e">
        <f t="shared" si="7"/>
        <v>#N/A</v>
      </c>
      <c r="D465" t="s">
        <v>653</v>
      </c>
      <c r="E465" t="s">
        <v>2817</v>
      </c>
    </row>
    <row r="466" spans="3:5">
      <c r="C466" t="e">
        <f t="shared" si="7"/>
        <v>#N/A</v>
      </c>
      <c r="D466" t="s">
        <v>654</v>
      </c>
      <c r="E466" t="s">
        <v>2817</v>
      </c>
    </row>
    <row r="467" spans="3:5">
      <c r="C467" t="e">
        <f t="shared" si="7"/>
        <v>#N/A</v>
      </c>
      <c r="D467" t="s">
        <v>655</v>
      </c>
      <c r="E467" t="s">
        <v>2817</v>
      </c>
    </row>
    <row r="468" spans="3:5">
      <c r="C468" t="e">
        <f t="shared" si="7"/>
        <v>#N/A</v>
      </c>
      <c r="D468" t="s">
        <v>656</v>
      </c>
      <c r="E468" t="s">
        <v>2817</v>
      </c>
    </row>
    <row r="469" spans="3:5">
      <c r="C469" t="e">
        <f t="shared" si="7"/>
        <v>#N/A</v>
      </c>
      <c r="D469" t="s">
        <v>657</v>
      </c>
      <c r="E469" t="s">
        <v>2817</v>
      </c>
    </row>
    <row r="470" spans="3:5">
      <c r="C470" t="e">
        <f t="shared" si="7"/>
        <v>#N/A</v>
      </c>
      <c r="D470" t="s">
        <v>658</v>
      </c>
      <c r="E470" t="s">
        <v>2817</v>
      </c>
    </row>
    <row r="471" spans="3:5">
      <c r="C471" t="e">
        <f t="shared" si="7"/>
        <v>#N/A</v>
      </c>
      <c r="D471" t="s">
        <v>659</v>
      </c>
      <c r="E471" t="s">
        <v>2817</v>
      </c>
    </row>
    <row r="472" spans="3:5">
      <c r="C472" t="e">
        <f t="shared" si="7"/>
        <v>#N/A</v>
      </c>
      <c r="D472" t="s">
        <v>660</v>
      </c>
      <c r="E472" t="s">
        <v>2817</v>
      </c>
    </row>
    <row r="473" spans="3:5">
      <c r="C473" t="e">
        <f t="shared" si="7"/>
        <v>#N/A</v>
      </c>
      <c r="D473" t="s">
        <v>661</v>
      </c>
      <c r="E473" t="s">
        <v>2817</v>
      </c>
    </row>
    <row r="474" spans="3:5">
      <c r="C474" t="e">
        <f t="shared" si="7"/>
        <v>#N/A</v>
      </c>
      <c r="D474" t="s">
        <v>662</v>
      </c>
      <c r="E474" t="s">
        <v>2817</v>
      </c>
    </row>
    <row r="475" spans="3:5">
      <c r="C475" t="e">
        <f t="shared" si="7"/>
        <v>#N/A</v>
      </c>
      <c r="D475" t="s">
        <v>663</v>
      </c>
      <c r="E475" t="s">
        <v>2817</v>
      </c>
    </row>
    <row r="476" spans="3:5">
      <c r="C476" t="e">
        <f t="shared" si="7"/>
        <v>#N/A</v>
      </c>
      <c r="D476" t="s">
        <v>664</v>
      </c>
      <c r="E476" t="s">
        <v>2817</v>
      </c>
    </row>
    <row r="477" spans="3:5">
      <c r="C477" t="e">
        <f t="shared" si="7"/>
        <v>#N/A</v>
      </c>
      <c r="D477" t="s">
        <v>665</v>
      </c>
      <c r="E477" t="s">
        <v>2817</v>
      </c>
    </row>
    <row r="478" spans="3:5">
      <c r="C478" t="e">
        <f t="shared" si="7"/>
        <v>#N/A</v>
      </c>
      <c r="D478" t="s">
        <v>666</v>
      </c>
      <c r="E478" t="s">
        <v>2817</v>
      </c>
    </row>
    <row r="479" spans="3:5">
      <c r="C479" t="e">
        <f t="shared" si="7"/>
        <v>#N/A</v>
      </c>
      <c r="D479" t="s">
        <v>667</v>
      </c>
      <c r="E479" t="s">
        <v>2817</v>
      </c>
    </row>
    <row r="480" spans="3:5">
      <c r="C480" t="e">
        <f t="shared" si="7"/>
        <v>#N/A</v>
      </c>
      <c r="D480" t="s">
        <v>668</v>
      </c>
      <c r="E480" t="s">
        <v>2817</v>
      </c>
    </row>
    <row r="481" spans="3:5">
      <c r="C481" t="e">
        <f t="shared" si="7"/>
        <v>#N/A</v>
      </c>
      <c r="D481" t="s">
        <v>669</v>
      </c>
      <c r="E481" t="s">
        <v>2817</v>
      </c>
    </row>
    <row r="482" spans="3:5">
      <c r="C482" t="e">
        <f t="shared" si="7"/>
        <v>#N/A</v>
      </c>
      <c r="D482" t="s">
        <v>670</v>
      </c>
      <c r="E482" t="s">
        <v>2817</v>
      </c>
    </row>
    <row r="483" spans="3:5">
      <c r="C483" t="e">
        <f t="shared" si="7"/>
        <v>#N/A</v>
      </c>
      <c r="D483" t="s">
        <v>671</v>
      </c>
      <c r="E483" t="s">
        <v>2817</v>
      </c>
    </row>
    <row r="484" spans="3:5">
      <c r="C484" t="e">
        <f t="shared" si="7"/>
        <v>#N/A</v>
      </c>
      <c r="D484" t="s">
        <v>672</v>
      </c>
      <c r="E484" t="s">
        <v>2817</v>
      </c>
    </row>
    <row r="485" spans="3:5">
      <c r="C485" t="e">
        <f t="shared" si="7"/>
        <v>#N/A</v>
      </c>
      <c r="D485" t="s">
        <v>673</v>
      </c>
      <c r="E485" t="s">
        <v>2817</v>
      </c>
    </row>
    <row r="486" spans="3:5">
      <c r="C486" t="e">
        <f t="shared" si="7"/>
        <v>#N/A</v>
      </c>
      <c r="D486" t="s">
        <v>674</v>
      </c>
      <c r="E486" t="s">
        <v>2817</v>
      </c>
    </row>
    <row r="487" spans="3:5">
      <c r="C487" t="e">
        <f t="shared" si="7"/>
        <v>#N/A</v>
      </c>
      <c r="D487" t="s">
        <v>675</v>
      </c>
      <c r="E487" t="s">
        <v>2817</v>
      </c>
    </row>
    <row r="488" spans="3:5">
      <c r="C488" t="e">
        <f t="shared" si="7"/>
        <v>#N/A</v>
      </c>
      <c r="D488" t="s">
        <v>676</v>
      </c>
      <c r="E488" t="s">
        <v>2817</v>
      </c>
    </row>
    <row r="489" spans="3:5">
      <c r="C489" t="e">
        <f t="shared" si="7"/>
        <v>#N/A</v>
      </c>
      <c r="D489" t="s">
        <v>677</v>
      </c>
      <c r="E489" t="s">
        <v>2817</v>
      </c>
    </row>
    <row r="490" spans="3:5">
      <c r="C490" t="e">
        <f t="shared" si="7"/>
        <v>#N/A</v>
      </c>
      <c r="D490" t="s">
        <v>678</v>
      </c>
      <c r="E490" t="s">
        <v>2817</v>
      </c>
    </row>
    <row r="491" spans="3:5">
      <c r="C491" t="e">
        <f t="shared" si="7"/>
        <v>#N/A</v>
      </c>
      <c r="D491" t="s">
        <v>679</v>
      </c>
      <c r="E491" t="s">
        <v>2817</v>
      </c>
    </row>
    <row r="492" spans="3:5">
      <c r="C492" t="e">
        <f t="shared" si="7"/>
        <v>#N/A</v>
      </c>
      <c r="D492" t="s">
        <v>680</v>
      </c>
      <c r="E492" t="s">
        <v>2817</v>
      </c>
    </row>
    <row r="493" spans="3:5">
      <c r="C493" t="e">
        <f t="shared" si="7"/>
        <v>#N/A</v>
      </c>
      <c r="D493" t="s">
        <v>681</v>
      </c>
      <c r="E493" t="s">
        <v>2817</v>
      </c>
    </row>
    <row r="494" spans="3:5">
      <c r="C494" t="e">
        <f t="shared" si="7"/>
        <v>#N/A</v>
      </c>
      <c r="D494" t="s">
        <v>682</v>
      </c>
      <c r="E494" t="s">
        <v>2817</v>
      </c>
    </row>
    <row r="495" spans="3:5">
      <c r="C495" t="e">
        <f t="shared" si="7"/>
        <v>#N/A</v>
      </c>
      <c r="D495" t="s">
        <v>683</v>
      </c>
      <c r="E495" t="s">
        <v>2817</v>
      </c>
    </row>
    <row r="496" spans="3:5">
      <c r="C496" t="e">
        <f t="shared" si="7"/>
        <v>#N/A</v>
      </c>
      <c r="D496" t="s">
        <v>684</v>
      </c>
      <c r="E496" t="s">
        <v>2817</v>
      </c>
    </row>
    <row r="497" spans="3:5">
      <c r="C497" t="e">
        <f t="shared" si="7"/>
        <v>#N/A</v>
      </c>
      <c r="D497" t="s">
        <v>685</v>
      </c>
      <c r="E497" t="s">
        <v>2817</v>
      </c>
    </row>
    <row r="498" spans="3:5">
      <c r="C498" t="e">
        <f t="shared" si="7"/>
        <v>#N/A</v>
      </c>
      <c r="D498" t="s">
        <v>686</v>
      </c>
      <c r="E498" t="s">
        <v>2817</v>
      </c>
    </row>
    <row r="499" spans="3:5">
      <c r="C499" t="e">
        <f t="shared" si="7"/>
        <v>#N/A</v>
      </c>
      <c r="D499" t="s">
        <v>687</v>
      </c>
      <c r="E499" t="s">
        <v>2817</v>
      </c>
    </row>
    <row r="500" spans="3:5">
      <c r="C500" t="e">
        <f t="shared" si="7"/>
        <v>#N/A</v>
      </c>
      <c r="D500" t="s">
        <v>688</v>
      </c>
      <c r="E500" t="s">
        <v>2817</v>
      </c>
    </row>
    <row r="501" spans="3:5">
      <c r="C501" t="e">
        <f t="shared" si="7"/>
        <v>#N/A</v>
      </c>
      <c r="D501" t="s">
        <v>689</v>
      </c>
      <c r="E501" t="s">
        <v>2817</v>
      </c>
    </row>
    <row r="502" spans="3:5">
      <c r="C502" t="e">
        <f t="shared" si="7"/>
        <v>#N/A</v>
      </c>
      <c r="D502" t="s">
        <v>690</v>
      </c>
      <c r="E502" t="s">
        <v>2817</v>
      </c>
    </row>
    <row r="503" spans="3:5">
      <c r="C503" t="e">
        <f t="shared" si="7"/>
        <v>#N/A</v>
      </c>
      <c r="D503" t="s">
        <v>691</v>
      </c>
      <c r="E503" t="s">
        <v>2817</v>
      </c>
    </row>
    <row r="504" spans="3:5">
      <c r="C504" t="e">
        <f t="shared" si="7"/>
        <v>#N/A</v>
      </c>
      <c r="D504" t="s">
        <v>692</v>
      </c>
      <c r="E504" t="s">
        <v>2817</v>
      </c>
    </row>
    <row r="505" spans="3:5">
      <c r="C505" t="e">
        <f t="shared" si="7"/>
        <v>#N/A</v>
      </c>
      <c r="D505" t="s">
        <v>693</v>
      </c>
      <c r="E505" t="s">
        <v>2817</v>
      </c>
    </row>
    <row r="506" spans="3:5">
      <c r="C506" t="e">
        <f t="shared" si="7"/>
        <v>#N/A</v>
      </c>
      <c r="D506" t="s">
        <v>694</v>
      </c>
      <c r="E506" t="s">
        <v>2817</v>
      </c>
    </row>
    <row r="507" spans="3:5">
      <c r="C507" t="e">
        <f t="shared" si="7"/>
        <v>#N/A</v>
      </c>
      <c r="D507" t="s">
        <v>695</v>
      </c>
      <c r="E507" t="s">
        <v>2817</v>
      </c>
    </row>
    <row r="508" spans="3:5">
      <c r="C508" t="e">
        <f t="shared" si="7"/>
        <v>#N/A</v>
      </c>
      <c r="D508" t="s">
        <v>696</v>
      </c>
      <c r="E508" t="s">
        <v>2817</v>
      </c>
    </row>
    <row r="509" spans="3:5">
      <c r="C509" t="e">
        <f t="shared" si="7"/>
        <v>#N/A</v>
      </c>
      <c r="D509" t="s">
        <v>697</v>
      </c>
      <c r="E509" t="s">
        <v>2817</v>
      </c>
    </row>
    <row r="510" spans="3:5">
      <c r="C510" t="e">
        <f t="shared" si="7"/>
        <v>#N/A</v>
      </c>
      <c r="D510" t="s">
        <v>698</v>
      </c>
      <c r="E510" t="s">
        <v>2817</v>
      </c>
    </row>
    <row r="511" spans="3:5">
      <c r="C511" t="e">
        <f t="shared" si="7"/>
        <v>#N/A</v>
      </c>
      <c r="D511" t="s">
        <v>699</v>
      </c>
      <c r="E511" t="s">
        <v>2817</v>
      </c>
    </row>
    <row r="512" spans="3:5">
      <c r="C512" t="e">
        <f t="shared" si="7"/>
        <v>#N/A</v>
      </c>
      <c r="D512" t="s">
        <v>700</v>
      </c>
      <c r="E512" t="s">
        <v>2817</v>
      </c>
    </row>
    <row r="513" spans="3:5">
      <c r="C513" t="e">
        <f t="shared" si="7"/>
        <v>#N/A</v>
      </c>
      <c r="D513" t="s">
        <v>701</v>
      </c>
      <c r="E513" t="s">
        <v>2817</v>
      </c>
    </row>
    <row r="514" spans="3:5">
      <c r="C514" t="e">
        <f t="shared" si="7"/>
        <v>#N/A</v>
      </c>
      <c r="D514" t="s">
        <v>702</v>
      </c>
      <c r="E514" t="s">
        <v>2817</v>
      </c>
    </row>
    <row r="515" spans="3:5">
      <c r="C515" t="e">
        <f t="shared" ref="C515:C578" si="8">VLOOKUP(B515,D:E,2,0)</f>
        <v>#N/A</v>
      </c>
      <c r="D515" t="s">
        <v>703</v>
      </c>
      <c r="E515" t="s">
        <v>2817</v>
      </c>
    </row>
    <row r="516" spans="3:5">
      <c r="C516" t="e">
        <f t="shared" si="8"/>
        <v>#N/A</v>
      </c>
      <c r="D516" t="s">
        <v>704</v>
      </c>
      <c r="E516" t="s">
        <v>2817</v>
      </c>
    </row>
    <row r="517" spans="3:5">
      <c r="C517" t="e">
        <f t="shared" si="8"/>
        <v>#N/A</v>
      </c>
      <c r="D517" t="s">
        <v>705</v>
      </c>
      <c r="E517" t="s">
        <v>2817</v>
      </c>
    </row>
    <row r="518" spans="3:5">
      <c r="C518" t="e">
        <f t="shared" si="8"/>
        <v>#N/A</v>
      </c>
      <c r="D518" t="s">
        <v>706</v>
      </c>
      <c r="E518" t="s">
        <v>2817</v>
      </c>
    </row>
    <row r="519" spans="3:5">
      <c r="C519" t="e">
        <f t="shared" si="8"/>
        <v>#N/A</v>
      </c>
      <c r="D519" t="s">
        <v>707</v>
      </c>
      <c r="E519" t="s">
        <v>2817</v>
      </c>
    </row>
    <row r="520" spans="3:5">
      <c r="C520" t="e">
        <f t="shared" si="8"/>
        <v>#N/A</v>
      </c>
      <c r="D520" t="s">
        <v>708</v>
      </c>
      <c r="E520" t="s">
        <v>2817</v>
      </c>
    </row>
    <row r="521" spans="3:5">
      <c r="C521" t="e">
        <f t="shared" si="8"/>
        <v>#N/A</v>
      </c>
      <c r="D521" t="s">
        <v>709</v>
      </c>
      <c r="E521" t="s">
        <v>2817</v>
      </c>
    </row>
    <row r="522" spans="3:5">
      <c r="C522" t="e">
        <f t="shared" si="8"/>
        <v>#N/A</v>
      </c>
      <c r="D522" t="s">
        <v>710</v>
      </c>
      <c r="E522" t="s">
        <v>2817</v>
      </c>
    </row>
    <row r="523" spans="3:5">
      <c r="C523" t="e">
        <f t="shared" si="8"/>
        <v>#N/A</v>
      </c>
      <c r="D523" t="s">
        <v>711</v>
      </c>
      <c r="E523" t="s">
        <v>2817</v>
      </c>
    </row>
    <row r="524" spans="3:5">
      <c r="C524" t="e">
        <f t="shared" si="8"/>
        <v>#N/A</v>
      </c>
      <c r="D524" t="s">
        <v>712</v>
      </c>
      <c r="E524" t="s">
        <v>2817</v>
      </c>
    </row>
    <row r="525" spans="3:5">
      <c r="C525" t="e">
        <f t="shared" si="8"/>
        <v>#N/A</v>
      </c>
      <c r="D525" t="s">
        <v>713</v>
      </c>
      <c r="E525" t="s">
        <v>2817</v>
      </c>
    </row>
    <row r="526" spans="3:5">
      <c r="C526" t="e">
        <f t="shared" si="8"/>
        <v>#N/A</v>
      </c>
      <c r="D526" t="s">
        <v>714</v>
      </c>
      <c r="E526" t="s">
        <v>2817</v>
      </c>
    </row>
    <row r="527" spans="3:5">
      <c r="C527" t="e">
        <f t="shared" si="8"/>
        <v>#N/A</v>
      </c>
      <c r="D527" t="s">
        <v>715</v>
      </c>
      <c r="E527" t="s">
        <v>2817</v>
      </c>
    </row>
    <row r="528" spans="3:5">
      <c r="C528" t="e">
        <f t="shared" si="8"/>
        <v>#N/A</v>
      </c>
      <c r="D528" t="s">
        <v>716</v>
      </c>
      <c r="E528" t="s">
        <v>2817</v>
      </c>
    </row>
    <row r="529" spans="3:5">
      <c r="C529" t="e">
        <f t="shared" si="8"/>
        <v>#N/A</v>
      </c>
      <c r="D529" t="s">
        <v>717</v>
      </c>
      <c r="E529" t="s">
        <v>2817</v>
      </c>
    </row>
    <row r="530" spans="3:5">
      <c r="C530" t="e">
        <f t="shared" si="8"/>
        <v>#N/A</v>
      </c>
      <c r="D530" t="s">
        <v>718</v>
      </c>
      <c r="E530" t="s">
        <v>2817</v>
      </c>
    </row>
    <row r="531" spans="3:5">
      <c r="C531" t="e">
        <f t="shared" si="8"/>
        <v>#N/A</v>
      </c>
      <c r="D531" t="s">
        <v>719</v>
      </c>
      <c r="E531" t="s">
        <v>2817</v>
      </c>
    </row>
    <row r="532" spans="3:5">
      <c r="C532" t="e">
        <f t="shared" si="8"/>
        <v>#N/A</v>
      </c>
      <c r="D532" t="s">
        <v>720</v>
      </c>
      <c r="E532" t="s">
        <v>2817</v>
      </c>
    </row>
    <row r="533" spans="3:5">
      <c r="C533" t="e">
        <f t="shared" si="8"/>
        <v>#N/A</v>
      </c>
      <c r="D533" t="s">
        <v>721</v>
      </c>
      <c r="E533" t="s">
        <v>2817</v>
      </c>
    </row>
    <row r="534" spans="3:5">
      <c r="C534" t="e">
        <f t="shared" si="8"/>
        <v>#N/A</v>
      </c>
      <c r="D534" t="s">
        <v>722</v>
      </c>
      <c r="E534" t="s">
        <v>2817</v>
      </c>
    </row>
    <row r="535" spans="3:5">
      <c r="C535" t="e">
        <f t="shared" si="8"/>
        <v>#N/A</v>
      </c>
      <c r="D535" t="s">
        <v>723</v>
      </c>
      <c r="E535" t="s">
        <v>2817</v>
      </c>
    </row>
    <row r="536" spans="3:5">
      <c r="C536" t="e">
        <f t="shared" si="8"/>
        <v>#N/A</v>
      </c>
      <c r="D536" t="s">
        <v>724</v>
      </c>
      <c r="E536" t="s">
        <v>2817</v>
      </c>
    </row>
    <row r="537" spans="3:5">
      <c r="C537" t="e">
        <f t="shared" si="8"/>
        <v>#N/A</v>
      </c>
      <c r="D537" t="s">
        <v>725</v>
      </c>
      <c r="E537" t="s">
        <v>2817</v>
      </c>
    </row>
    <row r="538" spans="3:5">
      <c r="C538" t="e">
        <f t="shared" si="8"/>
        <v>#N/A</v>
      </c>
      <c r="D538" t="s">
        <v>726</v>
      </c>
      <c r="E538" t="s">
        <v>2817</v>
      </c>
    </row>
    <row r="539" spans="3:5">
      <c r="C539" t="e">
        <f t="shared" si="8"/>
        <v>#N/A</v>
      </c>
      <c r="D539" t="s">
        <v>727</v>
      </c>
      <c r="E539" t="s">
        <v>2817</v>
      </c>
    </row>
    <row r="540" spans="3:5">
      <c r="C540" t="e">
        <f t="shared" si="8"/>
        <v>#N/A</v>
      </c>
      <c r="D540" t="s">
        <v>728</v>
      </c>
      <c r="E540" t="s">
        <v>2817</v>
      </c>
    </row>
    <row r="541" spans="3:5">
      <c r="C541" t="e">
        <f t="shared" si="8"/>
        <v>#N/A</v>
      </c>
      <c r="D541" t="s">
        <v>729</v>
      </c>
      <c r="E541" t="s">
        <v>2817</v>
      </c>
    </row>
    <row r="542" spans="3:5">
      <c r="C542" t="e">
        <f t="shared" si="8"/>
        <v>#N/A</v>
      </c>
      <c r="D542" t="s">
        <v>730</v>
      </c>
      <c r="E542" t="s">
        <v>2817</v>
      </c>
    </row>
    <row r="543" spans="3:5">
      <c r="C543" t="e">
        <f t="shared" si="8"/>
        <v>#N/A</v>
      </c>
      <c r="D543" t="s">
        <v>731</v>
      </c>
      <c r="E543" t="s">
        <v>2817</v>
      </c>
    </row>
    <row r="544" spans="3:5">
      <c r="C544" t="e">
        <f t="shared" si="8"/>
        <v>#N/A</v>
      </c>
      <c r="D544" t="s">
        <v>732</v>
      </c>
      <c r="E544" t="s">
        <v>2817</v>
      </c>
    </row>
    <row r="545" spans="3:5">
      <c r="C545" t="e">
        <f t="shared" si="8"/>
        <v>#N/A</v>
      </c>
      <c r="D545" t="s">
        <v>733</v>
      </c>
      <c r="E545" t="s">
        <v>2817</v>
      </c>
    </row>
    <row r="546" spans="3:5">
      <c r="C546" t="e">
        <f t="shared" si="8"/>
        <v>#N/A</v>
      </c>
      <c r="D546" t="s">
        <v>734</v>
      </c>
      <c r="E546" t="s">
        <v>2817</v>
      </c>
    </row>
    <row r="547" spans="3:5">
      <c r="C547" t="e">
        <f t="shared" si="8"/>
        <v>#N/A</v>
      </c>
      <c r="D547" t="s">
        <v>735</v>
      </c>
      <c r="E547" t="s">
        <v>2817</v>
      </c>
    </row>
    <row r="548" spans="3:5">
      <c r="C548" t="e">
        <f t="shared" si="8"/>
        <v>#N/A</v>
      </c>
      <c r="D548" t="s">
        <v>736</v>
      </c>
      <c r="E548" t="s">
        <v>2817</v>
      </c>
    </row>
    <row r="549" spans="3:5">
      <c r="C549" t="e">
        <f t="shared" si="8"/>
        <v>#N/A</v>
      </c>
      <c r="D549" t="s">
        <v>737</v>
      </c>
      <c r="E549" t="s">
        <v>2817</v>
      </c>
    </row>
    <row r="550" spans="3:5">
      <c r="C550" t="e">
        <f t="shared" si="8"/>
        <v>#N/A</v>
      </c>
      <c r="D550" t="s">
        <v>738</v>
      </c>
      <c r="E550" t="s">
        <v>2817</v>
      </c>
    </row>
    <row r="551" spans="3:5">
      <c r="C551" t="e">
        <f t="shared" si="8"/>
        <v>#N/A</v>
      </c>
      <c r="D551" t="s">
        <v>739</v>
      </c>
      <c r="E551" t="s">
        <v>2817</v>
      </c>
    </row>
    <row r="552" spans="3:5">
      <c r="C552" t="e">
        <f t="shared" si="8"/>
        <v>#N/A</v>
      </c>
      <c r="D552" t="s">
        <v>740</v>
      </c>
      <c r="E552" t="s">
        <v>2817</v>
      </c>
    </row>
    <row r="553" spans="3:5">
      <c r="C553" t="e">
        <f t="shared" si="8"/>
        <v>#N/A</v>
      </c>
      <c r="D553" t="s">
        <v>741</v>
      </c>
      <c r="E553" t="s">
        <v>2817</v>
      </c>
    </row>
    <row r="554" spans="3:5">
      <c r="C554" t="e">
        <f t="shared" si="8"/>
        <v>#N/A</v>
      </c>
      <c r="D554" t="s">
        <v>742</v>
      </c>
      <c r="E554" t="s">
        <v>2817</v>
      </c>
    </row>
    <row r="555" spans="3:5">
      <c r="C555" t="e">
        <f t="shared" si="8"/>
        <v>#N/A</v>
      </c>
      <c r="D555" t="s">
        <v>743</v>
      </c>
      <c r="E555" t="s">
        <v>2817</v>
      </c>
    </row>
    <row r="556" spans="3:5">
      <c r="C556" t="e">
        <f t="shared" si="8"/>
        <v>#N/A</v>
      </c>
      <c r="D556" t="s">
        <v>744</v>
      </c>
      <c r="E556" t="s">
        <v>2817</v>
      </c>
    </row>
    <row r="557" spans="3:5">
      <c r="C557" t="e">
        <f t="shared" si="8"/>
        <v>#N/A</v>
      </c>
      <c r="D557" t="s">
        <v>745</v>
      </c>
      <c r="E557" t="s">
        <v>2817</v>
      </c>
    </row>
    <row r="558" spans="3:5">
      <c r="C558" t="e">
        <f t="shared" si="8"/>
        <v>#N/A</v>
      </c>
      <c r="D558" t="s">
        <v>746</v>
      </c>
      <c r="E558" t="s">
        <v>2817</v>
      </c>
    </row>
    <row r="559" spans="3:5">
      <c r="C559" t="e">
        <f t="shared" si="8"/>
        <v>#N/A</v>
      </c>
      <c r="D559" t="s">
        <v>747</v>
      </c>
      <c r="E559" t="s">
        <v>2817</v>
      </c>
    </row>
    <row r="560" spans="3:5">
      <c r="C560" t="e">
        <f t="shared" si="8"/>
        <v>#N/A</v>
      </c>
      <c r="D560" t="s">
        <v>748</v>
      </c>
      <c r="E560" t="s">
        <v>2817</v>
      </c>
    </row>
    <row r="561" spans="3:5">
      <c r="C561" t="e">
        <f t="shared" si="8"/>
        <v>#N/A</v>
      </c>
      <c r="D561" t="s">
        <v>749</v>
      </c>
      <c r="E561" t="s">
        <v>2817</v>
      </c>
    </row>
    <row r="562" spans="3:5">
      <c r="C562" t="e">
        <f t="shared" si="8"/>
        <v>#N/A</v>
      </c>
      <c r="D562" t="s">
        <v>750</v>
      </c>
      <c r="E562" t="s">
        <v>2817</v>
      </c>
    </row>
    <row r="563" spans="3:5">
      <c r="C563" t="e">
        <f t="shared" si="8"/>
        <v>#N/A</v>
      </c>
      <c r="D563" t="s">
        <v>751</v>
      </c>
      <c r="E563" t="s">
        <v>2817</v>
      </c>
    </row>
    <row r="564" spans="3:5">
      <c r="C564" t="e">
        <f t="shared" si="8"/>
        <v>#N/A</v>
      </c>
      <c r="D564" t="s">
        <v>752</v>
      </c>
      <c r="E564" t="s">
        <v>2817</v>
      </c>
    </row>
    <row r="565" spans="3:5">
      <c r="C565" t="e">
        <f t="shared" si="8"/>
        <v>#N/A</v>
      </c>
      <c r="D565" t="s">
        <v>753</v>
      </c>
      <c r="E565" t="s">
        <v>2817</v>
      </c>
    </row>
    <row r="566" spans="3:5">
      <c r="C566" t="e">
        <f t="shared" si="8"/>
        <v>#N/A</v>
      </c>
      <c r="D566" t="s">
        <v>754</v>
      </c>
      <c r="E566" t="s">
        <v>2817</v>
      </c>
    </row>
    <row r="567" spans="3:5">
      <c r="C567" t="e">
        <f t="shared" si="8"/>
        <v>#N/A</v>
      </c>
      <c r="D567" t="s">
        <v>755</v>
      </c>
      <c r="E567" t="s">
        <v>2817</v>
      </c>
    </row>
    <row r="568" spans="3:5">
      <c r="C568" t="e">
        <f t="shared" si="8"/>
        <v>#N/A</v>
      </c>
      <c r="D568" t="s">
        <v>756</v>
      </c>
      <c r="E568" t="s">
        <v>2817</v>
      </c>
    </row>
    <row r="569" spans="3:5">
      <c r="C569" t="e">
        <f t="shared" si="8"/>
        <v>#N/A</v>
      </c>
      <c r="D569" t="s">
        <v>757</v>
      </c>
      <c r="E569" t="s">
        <v>2817</v>
      </c>
    </row>
    <row r="570" spans="3:5">
      <c r="C570" t="e">
        <f t="shared" si="8"/>
        <v>#N/A</v>
      </c>
      <c r="D570" t="s">
        <v>758</v>
      </c>
      <c r="E570" t="s">
        <v>2817</v>
      </c>
    </row>
    <row r="571" spans="3:5">
      <c r="C571" t="e">
        <f t="shared" si="8"/>
        <v>#N/A</v>
      </c>
      <c r="D571" t="s">
        <v>759</v>
      </c>
      <c r="E571" t="s">
        <v>2817</v>
      </c>
    </row>
    <row r="572" spans="3:5">
      <c r="C572" t="e">
        <f t="shared" si="8"/>
        <v>#N/A</v>
      </c>
      <c r="D572" t="s">
        <v>760</v>
      </c>
      <c r="E572" t="s">
        <v>2817</v>
      </c>
    </row>
    <row r="573" spans="3:5">
      <c r="C573" t="e">
        <f t="shared" si="8"/>
        <v>#N/A</v>
      </c>
      <c r="D573" t="s">
        <v>761</v>
      </c>
      <c r="E573" t="s">
        <v>2817</v>
      </c>
    </row>
    <row r="574" spans="3:5">
      <c r="C574" t="e">
        <f t="shared" si="8"/>
        <v>#N/A</v>
      </c>
      <c r="D574" t="s">
        <v>762</v>
      </c>
      <c r="E574" t="s">
        <v>2817</v>
      </c>
    </row>
    <row r="575" spans="3:5">
      <c r="C575" t="e">
        <f t="shared" si="8"/>
        <v>#N/A</v>
      </c>
      <c r="D575" t="s">
        <v>763</v>
      </c>
      <c r="E575" t="s">
        <v>2817</v>
      </c>
    </row>
    <row r="576" spans="3:5">
      <c r="C576" t="e">
        <f t="shared" si="8"/>
        <v>#N/A</v>
      </c>
      <c r="D576" t="s">
        <v>764</v>
      </c>
      <c r="E576" t="s">
        <v>2817</v>
      </c>
    </row>
    <row r="577" spans="3:5">
      <c r="C577" t="e">
        <f t="shared" si="8"/>
        <v>#N/A</v>
      </c>
      <c r="D577" t="s">
        <v>765</v>
      </c>
      <c r="E577" t="s">
        <v>2817</v>
      </c>
    </row>
    <row r="578" spans="3:5">
      <c r="C578" t="e">
        <f t="shared" si="8"/>
        <v>#N/A</v>
      </c>
      <c r="D578" t="s">
        <v>766</v>
      </c>
      <c r="E578" t="s">
        <v>2817</v>
      </c>
    </row>
    <row r="579" spans="3:5">
      <c r="C579" t="e">
        <f t="shared" ref="C579:C642" si="9">VLOOKUP(B579,D:E,2,0)</f>
        <v>#N/A</v>
      </c>
      <c r="D579" t="s">
        <v>767</v>
      </c>
      <c r="E579" t="s">
        <v>2817</v>
      </c>
    </row>
    <row r="580" spans="3:5">
      <c r="C580" t="e">
        <f t="shared" si="9"/>
        <v>#N/A</v>
      </c>
      <c r="D580" t="s">
        <v>768</v>
      </c>
      <c r="E580" t="s">
        <v>2817</v>
      </c>
    </row>
    <row r="581" spans="3:5">
      <c r="C581" t="e">
        <f t="shared" si="9"/>
        <v>#N/A</v>
      </c>
      <c r="D581" t="s">
        <v>769</v>
      </c>
      <c r="E581" t="s">
        <v>2817</v>
      </c>
    </row>
    <row r="582" spans="3:5">
      <c r="C582" t="e">
        <f t="shared" si="9"/>
        <v>#N/A</v>
      </c>
      <c r="D582" t="s">
        <v>770</v>
      </c>
      <c r="E582" t="s">
        <v>2817</v>
      </c>
    </row>
    <row r="583" spans="3:5">
      <c r="C583" t="e">
        <f t="shared" si="9"/>
        <v>#N/A</v>
      </c>
      <c r="D583" t="s">
        <v>771</v>
      </c>
      <c r="E583" t="s">
        <v>2817</v>
      </c>
    </row>
    <row r="584" spans="3:5">
      <c r="C584" t="e">
        <f t="shared" si="9"/>
        <v>#N/A</v>
      </c>
      <c r="D584" t="s">
        <v>772</v>
      </c>
      <c r="E584" t="s">
        <v>2817</v>
      </c>
    </row>
    <row r="585" spans="3:5">
      <c r="C585" t="e">
        <f t="shared" si="9"/>
        <v>#N/A</v>
      </c>
      <c r="D585" t="s">
        <v>773</v>
      </c>
      <c r="E585" t="s">
        <v>2817</v>
      </c>
    </row>
    <row r="586" spans="3:5">
      <c r="C586" t="e">
        <f t="shared" si="9"/>
        <v>#N/A</v>
      </c>
      <c r="D586" t="s">
        <v>774</v>
      </c>
      <c r="E586" t="s">
        <v>2817</v>
      </c>
    </row>
    <row r="587" spans="3:5">
      <c r="C587" t="e">
        <f t="shared" si="9"/>
        <v>#N/A</v>
      </c>
      <c r="D587" t="s">
        <v>775</v>
      </c>
      <c r="E587" t="s">
        <v>2817</v>
      </c>
    </row>
    <row r="588" spans="3:5">
      <c r="C588" t="e">
        <f t="shared" si="9"/>
        <v>#N/A</v>
      </c>
      <c r="D588" t="s">
        <v>776</v>
      </c>
      <c r="E588" t="s">
        <v>2817</v>
      </c>
    </row>
    <row r="589" spans="3:5">
      <c r="C589" t="e">
        <f t="shared" si="9"/>
        <v>#N/A</v>
      </c>
      <c r="D589" t="s">
        <v>777</v>
      </c>
      <c r="E589" t="s">
        <v>2817</v>
      </c>
    </row>
    <row r="590" spans="3:5">
      <c r="C590" t="e">
        <f t="shared" si="9"/>
        <v>#N/A</v>
      </c>
      <c r="D590" t="s">
        <v>778</v>
      </c>
      <c r="E590" t="s">
        <v>2817</v>
      </c>
    </row>
    <row r="591" spans="3:5">
      <c r="C591" t="e">
        <f t="shared" si="9"/>
        <v>#N/A</v>
      </c>
      <c r="D591" t="s">
        <v>779</v>
      </c>
      <c r="E591" t="s">
        <v>2817</v>
      </c>
    </row>
    <row r="592" spans="3:5">
      <c r="C592" t="e">
        <f t="shared" si="9"/>
        <v>#N/A</v>
      </c>
      <c r="D592" t="s">
        <v>780</v>
      </c>
      <c r="E592" t="s">
        <v>2817</v>
      </c>
    </row>
    <row r="593" spans="3:5">
      <c r="C593" t="e">
        <f t="shared" si="9"/>
        <v>#N/A</v>
      </c>
      <c r="D593" t="s">
        <v>781</v>
      </c>
      <c r="E593" t="s">
        <v>2817</v>
      </c>
    </row>
    <row r="594" spans="3:5">
      <c r="C594" t="e">
        <f t="shared" si="9"/>
        <v>#N/A</v>
      </c>
      <c r="D594" t="s">
        <v>782</v>
      </c>
      <c r="E594" t="s">
        <v>2817</v>
      </c>
    </row>
    <row r="595" spans="3:5">
      <c r="C595" t="e">
        <f t="shared" si="9"/>
        <v>#N/A</v>
      </c>
      <c r="D595" t="s">
        <v>783</v>
      </c>
      <c r="E595" t="s">
        <v>2817</v>
      </c>
    </row>
    <row r="596" spans="3:5">
      <c r="C596" t="e">
        <f t="shared" si="9"/>
        <v>#N/A</v>
      </c>
      <c r="D596" t="s">
        <v>784</v>
      </c>
      <c r="E596" t="s">
        <v>2817</v>
      </c>
    </row>
    <row r="597" spans="3:5">
      <c r="C597" t="e">
        <f t="shared" si="9"/>
        <v>#N/A</v>
      </c>
      <c r="D597" t="s">
        <v>785</v>
      </c>
      <c r="E597" t="s">
        <v>2817</v>
      </c>
    </row>
    <row r="598" spans="3:5">
      <c r="C598" t="e">
        <f t="shared" si="9"/>
        <v>#N/A</v>
      </c>
      <c r="D598" t="s">
        <v>786</v>
      </c>
      <c r="E598" t="s">
        <v>2817</v>
      </c>
    </row>
    <row r="599" spans="3:5">
      <c r="C599" t="e">
        <f t="shared" si="9"/>
        <v>#N/A</v>
      </c>
      <c r="D599" t="s">
        <v>787</v>
      </c>
      <c r="E599" t="s">
        <v>2817</v>
      </c>
    </row>
    <row r="600" spans="3:5">
      <c r="C600" t="e">
        <f t="shared" si="9"/>
        <v>#N/A</v>
      </c>
      <c r="D600" t="s">
        <v>788</v>
      </c>
      <c r="E600" t="s">
        <v>2817</v>
      </c>
    </row>
    <row r="601" spans="3:5">
      <c r="C601" t="e">
        <f t="shared" si="9"/>
        <v>#N/A</v>
      </c>
      <c r="D601" t="s">
        <v>789</v>
      </c>
      <c r="E601" t="s">
        <v>2817</v>
      </c>
    </row>
    <row r="602" spans="3:5">
      <c r="C602" t="e">
        <f t="shared" si="9"/>
        <v>#N/A</v>
      </c>
      <c r="D602" t="s">
        <v>790</v>
      </c>
      <c r="E602" t="s">
        <v>2817</v>
      </c>
    </row>
    <row r="603" spans="3:5">
      <c r="C603" t="e">
        <f t="shared" si="9"/>
        <v>#N/A</v>
      </c>
      <c r="D603" t="s">
        <v>791</v>
      </c>
      <c r="E603" t="s">
        <v>2817</v>
      </c>
    </row>
    <row r="604" spans="3:5">
      <c r="C604" t="e">
        <f t="shared" si="9"/>
        <v>#N/A</v>
      </c>
      <c r="D604" t="s">
        <v>792</v>
      </c>
      <c r="E604" t="s">
        <v>2817</v>
      </c>
    </row>
    <row r="605" spans="3:5">
      <c r="C605" t="e">
        <f t="shared" si="9"/>
        <v>#N/A</v>
      </c>
      <c r="D605" t="s">
        <v>793</v>
      </c>
      <c r="E605" t="s">
        <v>2817</v>
      </c>
    </row>
    <row r="606" spans="3:5">
      <c r="C606" t="e">
        <f t="shared" si="9"/>
        <v>#N/A</v>
      </c>
      <c r="D606" t="s">
        <v>794</v>
      </c>
      <c r="E606" t="s">
        <v>2817</v>
      </c>
    </row>
    <row r="607" spans="3:5">
      <c r="C607" t="e">
        <f t="shared" si="9"/>
        <v>#N/A</v>
      </c>
      <c r="D607" t="s">
        <v>795</v>
      </c>
      <c r="E607" t="s">
        <v>2817</v>
      </c>
    </row>
    <row r="608" spans="3:5">
      <c r="C608" t="e">
        <f t="shared" si="9"/>
        <v>#N/A</v>
      </c>
      <c r="D608" t="s">
        <v>796</v>
      </c>
      <c r="E608" t="s">
        <v>2817</v>
      </c>
    </row>
    <row r="609" spans="3:5">
      <c r="C609" t="e">
        <f t="shared" si="9"/>
        <v>#N/A</v>
      </c>
      <c r="D609" t="s">
        <v>797</v>
      </c>
      <c r="E609" t="s">
        <v>2817</v>
      </c>
    </row>
    <row r="610" spans="3:5">
      <c r="C610" t="e">
        <f t="shared" si="9"/>
        <v>#N/A</v>
      </c>
      <c r="D610" t="s">
        <v>798</v>
      </c>
      <c r="E610" t="s">
        <v>2817</v>
      </c>
    </row>
    <row r="611" spans="3:5">
      <c r="C611" t="e">
        <f t="shared" si="9"/>
        <v>#N/A</v>
      </c>
      <c r="D611" t="s">
        <v>799</v>
      </c>
      <c r="E611" t="s">
        <v>2817</v>
      </c>
    </row>
    <row r="612" spans="3:5">
      <c r="C612" t="e">
        <f t="shared" si="9"/>
        <v>#N/A</v>
      </c>
      <c r="D612" t="s">
        <v>800</v>
      </c>
      <c r="E612" t="s">
        <v>2817</v>
      </c>
    </row>
    <row r="613" spans="3:5">
      <c r="C613" t="e">
        <f t="shared" si="9"/>
        <v>#N/A</v>
      </c>
      <c r="D613" t="s">
        <v>801</v>
      </c>
      <c r="E613" t="s">
        <v>2817</v>
      </c>
    </row>
    <row r="614" spans="3:5">
      <c r="C614" t="e">
        <f t="shared" si="9"/>
        <v>#N/A</v>
      </c>
      <c r="D614" t="s">
        <v>802</v>
      </c>
      <c r="E614" t="s">
        <v>2817</v>
      </c>
    </row>
    <row r="615" spans="3:5">
      <c r="C615" t="e">
        <f t="shared" si="9"/>
        <v>#N/A</v>
      </c>
      <c r="D615" t="s">
        <v>803</v>
      </c>
      <c r="E615" t="s">
        <v>2817</v>
      </c>
    </row>
    <row r="616" spans="3:5">
      <c r="C616" t="e">
        <f t="shared" si="9"/>
        <v>#N/A</v>
      </c>
      <c r="D616" t="s">
        <v>804</v>
      </c>
      <c r="E616" t="s">
        <v>2817</v>
      </c>
    </row>
    <row r="617" spans="3:5">
      <c r="C617" t="e">
        <f t="shared" si="9"/>
        <v>#N/A</v>
      </c>
      <c r="D617" t="s">
        <v>805</v>
      </c>
      <c r="E617" t="s">
        <v>2817</v>
      </c>
    </row>
    <row r="618" spans="3:5">
      <c r="C618" t="e">
        <f t="shared" si="9"/>
        <v>#N/A</v>
      </c>
      <c r="D618" t="s">
        <v>806</v>
      </c>
      <c r="E618" t="s">
        <v>2817</v>
      </c>
    </row>
    <row r="619" spans="3:5">
      <c r="C619" t="e">
        <f t="shared" si="9"/>
        <v>#N/A</v>
      </c>
      <c r="D619" t="s">
        <v>807</v>
      </c>
      <c r="E619" t="s">
        <v>2817</v>
      </c>
    </row>
    <row r="620" spans="3:5">
      <c r="C620" t="e">
        <f t="shared" si="9"/>
        <v>#N/A</v>
      </c>
      <c r="D620" t="s">
        <v>808</v>
      </c>
      <c r="E620" t="s">
        <v>2817</v>
      </c>
    </row>
    <row r="621" spans="3:5">
      <c r="C621" t="e">
        <f t="shared" si="9"/>
        <v>#N/A</v>
      </c>
      <c r="D621" t="s">
        <v>809</v>
      </c>
      <c r="E621" t="s">
        <v>2817</v>
      </c>
    </row>
    <row r="622" spans="3:5">
      <c r="C622" t="e">
        <f t="shared" si="9"/>
        <v>#N/A</v>
      </c>
      <c r="D622" t="s">
        <v>810</v>
      </c>
      <c r="E622" t="s">
        <v>2817</v>
      </c>
    </row>
    <row r="623" spans="3:5">
      <c r="C623" t="e">
        <f t="shared" si="9"/>
        <v>#N/A</v>
      </c>
      <c r="D623" t="s">
        <v>811</v>
      </c>
      <c r="E623" t="s">
        <v>2817</v>
      </c>
    </row>
    <row r="624" spans="3:5">
      <c r="C624" t="e">
        <f t="shared" si="9"/>
        <v>#N/A</v>
      </c>
      <c r="D624" t="s">
        <v>812</v>
      </c>
      <c r="E624" t="s">
        <v>2817</v>
      </c>
    </row>
    <row r="625" spans="3:5">
      <c r="C625" t="e">
        <f t="shared" si="9"/>
        <v>#N/A</v>
      </c>
      <c r="D625" t="s">
        <v>813</v>
      </c>
      <c r="E625" t="s">
        <v>2817</v>
      </c>
    </row>
    <row r="626" spans="3:5">
      <c r="C626" t="e">
        <f t="shared" si="9"/>
        <v>#N/A</v>
      </c>
      <c r="D626" t="s">
        <v>814</v>
      </c>
      <c r="E626" t="s">
        <v>2817</v>
      </c>
    </row>
    <row r="627" spans="3:5">
      <c r="C627" t="e">
        <f t="shared" si="9"/>
        <v>#N/A</v>
      </c>
      <c r="D627" t="s">
        <v>815</v>
      </c>
      <c r="E627" t="s">
        <v>2817</v>
      </c>
    </row>
    <row r="628" spans="3:5">
      <c r="C628" t="e">
        <f t="shared" si="9"/>
        <v>#N/A</v>
      </c>
      <c r="D628" t="s">
        <v>816</v>
      </c>
      <c r="E628" t="s">
        <v>2817</v>
      </c>
    </row>
    <row r="629" spans="3:5">
      <c r="C629" t="e">
        <f t="shared" si="9"/>
        <v>#N/A</v>
      </c>
      <c r="D629" t="s">
        <v>817</v>
      </c>
      <c r="E629" t="s">
        <v>2817</v>
      </c>
    </row>
    <row r="630" spans="3:5">
      <c r="C630" t="e">
        <f t="shared" si="9"/>
        <v>#N/A</v>
      </c>
      <c r="D630" t="s">
        <v>818</v>
      </c>
      <c r="E630" t="s">
        <v>2817</v>
      </c>
    </row>
    <row r="631" spans="3:5">
      <c r="C631" t="e">
        <f t="shared" si="9"/>
        <v>#N/A</v>
      </c>
      <c r="D631" t="s">
        <v>819</v>
      </c>
      <c r="E631" t="s">
        <v>2817</v>
      </c>
    </row>
    <row r="632" spans="3:5">
      <c r="C632" t="e">
        <f t="shared" si="9"/>
        <v>#N/A</v>
      </c>
      <c r="D632" t="s">
        <v>820</v>
      </c>
      <c r="E632" t="s">
        <v>2817</v>
      </c>
    </row>
    <row r="633" spans="3:5">
      <c r="C633" t="e">
        <f t="shared" si="9"/>
        <v>#N/A</v>
      </c>
      <c r="D633" t="s">
        <v>821</v>
      </c>
      <c r="E633" t="s">
        <v>2817</v>
      </c>
    </row>
    <row r="634" spans="3:5">
      <c r="C634" t="e">
        <f t="shared" si="9"/>
        <v>#N/A</v>
      </c>
      <c r="D634" t="s">
        <v>822</v>
      </c>
      <c r="E634" t="s">
        <v>2817</v>
      </c>
    </row>
    <row r="635" spans="3:5">
      <c r="C635" t="e">
        <f t="shared" si="9"/>
        <v>#N/A</v>
      </c>
      <c r="D635" t="s">
        <v>823</v>
      </c>
      <c r="E635" t="s">
        <v>2817</v>
      </c>
    </row>
    <row r="636" spans="3:5">
      <c r="C636" t="e">
        <f t="shared" si="9"/>
        <v>#N/A</v>
      </c>
      <c r="D636" t="s">
        <v>824</v>
      </c>
      <c r="E636" t="s">
        <v>2817</v>
      </c>
    </row>
    <row r="637" spans="3:5">
      <c r="C637" t="e">
        <f t="shared" si="9"/>
        <v>#N/A</v>
      </c>
      <c r="D637" t="s">
        <v>825</v>
      </c>
      <c r="E637" t="s">
        <v>2817</v>
      </c>
    </row>
    <row r="638" spans="3:5">
      <c r="C638" t="e">
        <f t="shared" si="9"/>
        <v>#N/A</v>
      </c>
      <c r="D638" t="s">
        <v>826</v>
      </c>
      <c r="E638" t="s">
        <v>2817</v>
      </c>
    </row>
    <row r="639" spans="3:5">
      <c r="C639" t="e">
        <f t="shared" si="9"/>
        <v>#N/A</v>
      </c>
      <c r="D639" t="s">
        <v>827</v>
      </c>
      <c r="E639" t="s">
        <v>2817</v>
      </c>
    </row>
    <row r="640" spans="3:5">
      <c r="C640" t="e">
        <f t="shared" si="9"/>
        <v>#N/A</v>
      </c>
      <c r="D640" t="s">
        <v>828</v>
      </c>
      <c r="E640" t="s">
        <v>2817</v>
      </c>
    </row>
    <row r="641" spans="3:5">
      <c r="C641" t="e">
        <f t="shared" si="9"/>
        <v>#N/A</v>
      </c>
      <c r="D641" t="s">
        <v>829</v>
      </c>
      <c r="E641" t="s">
        <v>2817</v>
      </c>
    </row>
    <row r="642" spans="3:5">
      <c r="C642" t="e">
        <f t="shared" si="9"/>
        <v>#N/A</v>
      </c>
      <c r="D642" t="s">
        <v>830</v>
      </c>
      <c r="E642" t="s">
        <v>2817</v>
      </c>
    </row>
    <row r="643" spans="3:5">
      <c r="C643" t="e">
        <f t="shared" ref="C643:C706" si="10">VLOOKUP(B643,D:E,2,0)</f>
        <v>#N/A</v>
      </c>
      <c r="D643" t="s">
        <v>831</v>
      </c>
      <c r="E643" t="s">
        <v>2817</v>
      </c>
    </row>
    <row r="644" spans="3:5">
      <c r="C644" t="e">
        <f t="shared" si="10"/>
        <v>#N/A</v>
      </c>
      <c r="D644" t="s">
        <v>832</v>
      </c>
      <c r="E644" t="s">
        <v>2817</v>
      </c>
    </row>
    <row r="645" spans="3:5">
      <c r="C645" t="e">
        <f t="shared" si="10"/>
        <v>#N/A</v>
      </c>
      <c r="D645" t="s">
        <v>833</v>
      </c>
      <c r="E645" t="s">
        <v>2817</v>
      </c>
    </row>
    <row r="646" spans="3:5">
      <c r="C646" t="e">
        <f t="shared" si="10"/>
        <v>#N/A</v>
      </c>
      <c r="D646" t="s">
        <v>834</v>
      </c>
      <c r="E646" t="s">
        <v>2817</v>
      </c>
    </row>
    <row r="647" spans="3:5">
      <c r="C647" t="e">
        <f t="shared" si="10"/>
        <v>#N/A</v>
      </c>
      <c r="D647" t="s">
        <v>835</v>
      </c>
      <c r="E647" t="s">
        <v>2817</v>
      </c>
    </row>
    <row r="648" spans="3:5">
      <c r="C648" t="e">
        <f t="shared" si="10"/>
        <v>#N/A</v>
      </c>
      <c r="D648" t="s">
        <v>836</v>
      </c>
      <c r="E648" t="s">
        <v>2817</v>
      </c>
    </row>
    <row r="649" spans="3:5">
      <c r="C649" t="e">
        <f t="shared" si="10"/>
        <v>#N/A</v>
      </c>
      <c r="D649" t="s">
        <v>837</v>
      </c>
      <c r="E649" t="s">
        <v>2817</v>
      </c>
    </row>
    <row r="650" spans="3:5">
      <c r="C650" t="e">
        <f t="shared" si="10"/>
        <v>#N/A</v>
      </c>
      <c r="D650" t="s">
        <v>838</v>
      </c>
      <c r="E650" t="s">
        <v>2817</v>
      </c>
    </row>
    <row r="651" spans="3:5">
      <c r="C651" t="e">
        <f t="shared" si="10"/>
        <v>#N/A</v>
      </c>
      <c r="D651" t="s">
        <v>839</v>
      </c>
      <c r="E651" t="s">
        <v>2817</v>
      </c>
    </row>
    <row r="652" spans="3:5">
      <c r="C652" t="e">
        <f t="shared" si="10"/>
        <v>#N/A</v>
      </c>
      <c r="D652" t="s">
        <v>840</v>
      </c>
      <c r="E652" t="s">
        <v>2817</v>
      </c>
    </row>
    <row r="653" spans="3:5">
      <c r="C653" t="e">
        <f t="shared" si="10"/>
        <v>#N/A</v>
      </c>
      <c r="D653" t="s">
        <v>841</v>
      </c>
      <c r="E653" t="s">
        <v>2817</v>
      </c>
    </row>
    <row r="654" spans="3:5">
      <c r="C654" t="e">
        <f t="shared" si="10"/>
        <v>#N/A</v>
      </c>
      <c r="D654" t="s">
        <v>842</v>
      </c>
      <c r="E654" t="s">
        <v>2817</v>
      </c>
    </row>
    <row r="655" spans="3:5">
      <c r="C655" t="e">
        <f t="shared" si="10"/>
        <v>#N/A</v>
      </c>
      <c r="D655" t="s">
        <v>843</v>
      </c>
      <c r="E655" t="s">
        <v>2817</v>
      </c>
    </row>
    <row r="656" spans="3:5">
      <c r="C656" t="e">
        <f t="shared" si="10"/>
        <v>#N/A</v>
      </c>
      <c r="D656" t="s">
        <v>844</v>
      </c>
      <c r="E656" t="s">
        <v>2817</v>
      </c>
    </row>
    <row r="657" spans="3:5">
      <c r="C657" t="e">
        <f t="shared" si="10"/>
        <v>#N/A</v>
      </c>
      <c r="D657" t="s">
        <v>845</v>
      </c>
      <c r="E657" t="s">
        <v>2817</v>
      </c>
    </row>
    <row r="658" spans="3:5">
      <c r="C658" t="e">
        <f t="shared" si="10"/>
        <v>#N/A</v>
      </c>
      <c r="D658" t="s">
        <v>846</v>
      </c>
      <c r="E658" t="s">
        <v>2817</v>
      </c>
    </row>
    <row r="659" spans="3:5">
      <c r="C659" t="e">
        <f t="shared" si="10"/>
        <v>#N/A</v>
      </c>
      <c r="D659" t="s">
        <v>847</v>
      </c>
      <c r="E659" t="s">
        <v>2817</v>
      </c>
    </row>
    <row r="660" spans="3:5">
      <c r="C660" t="e">
        <f t="shared" si="10"/>
        <v>#N/A</v>
      </c>
      <c r="D660" t="s">
        <v>848</v>
      </c>
      <c r="E660" t="s">
        <v>2817</v>
      </c>
    </row>
    <row r="661" spans="3:5">
      <c r="C661" t="e">
        <f t="shared" si="10"/>
        <v>#N/A</v>
      </c>
      <c r="D661" t="s">
        <v>849</v>
      </c>
      <c r="E661" t="s">
        <v>2817</v>
      </c>
    </row>
    <row r="662" spans="3:5">
      <c r="C662" t="e">
        <f t="shared" si="10"/>
        <v>#N/A</v>
      </c>
      <c r="D662" t="s">
        <v>850</v>
      </c>
      <c r="E662" t="s">
        <v>2817</v>
      </c>
    </row>
    <row r="663" spans="3:5">
      <c r="C663" t="e">
        <f t="shared" si="10"/>
        <v>#N/A</v>
      </c>
      <c r="D663" t="s">
        <v>851</v>
      </c>
      <c r="E663" t="s">
        <v>2817</v>
      </c>
    </row>
    <row r="664" spans="3:5">
      <c r="C664" t="e">
        <f t="shared" si="10"/>
        <v>#N/A</v>
      </c>
      <c r="D664" t="s">
        <v>852</v>
      </c>
      <c r="E664" t="s">
        <v>2817</v>
      </c>
    </row>
    <row r="665" spans="3:5">
      <c r="C665" t="e">
        <f t="shared" si="10"/>
        <v>#N/A</v>
      </c>
      <c r="D665" t="s">
        <v>853</v>
      </c>
      <c r="E665" t="s">
        <v>2817</v>
      </c>
    </row>
    <row r="666" spans="3:5">
      <c r="C666" t="e">
        <f t="shared" si="10"/>
        <v>#N/A</v>
      </c>
      <c r="D666" t="s">
        <v>854</v>
      </c>
      <c r="E666" t="s">
        <v>2817</v>
      </c>
    </row>
    <row r="667" spans="3:5">
      <c r="C667" t="e">
        <f t="shared" si="10"/>
        <v>#N/A</v>
      </c>
      <c r="D667" t="s">
        <v>855</v>
      </c>
      <c r="E667" t="s">
        <v>2817</v>
      </c>
    </row>
    <row r="668" spans="3:5">
      <c r="C668" t="e">
        <f t="shared" si="10"/>
        <v>#N/A</v>
      </c>
      <c r="D668" t="s">
        <v>856</v>
      </c>
      <c r="E668" t="s">
        <v>2817</v>
      </c>
    </row>
    <row r="669" spans="3:5">
      <c r="C669" t="e">
        <f t="shared" si="10"/>
        <v>#N/A</v>
      </c>
      <c r="D669" t="s">
        <v>857</v>
      </c>
      <c r="E669" t="s">
        <v>2817</v>
      </c>
    </row>
    <row r="670" spans="3:5">
      <c r="C670" t="e">
        <f t="shared" si="10"/>
        <v>#N/A</v>
      </c>
      <c r="D670" t="s">
        <v>858</v>
      </c>
      <c r="E670" t="s">
        <v>2817</v>
      </c>
    </row>
    <row r="671" spans="3:5">
      <c r="C671" t="e">
        <f t="shared" si="10"/>
        <v>#N/A</v>
      </c>
      <c r="D671" t="s">
        <v>859</v>
      </c>
      <c r="E671" t="s">
        <v>2817</v>
      </c>
    </row>
    <row r="672" spans="3:5">
      <c r="C672" t="e">
        <f t="shared" si="10"/>
        <v>#N/A</v>
      </c>
      <c r="D672" t="s">
        <v>860</v>
      </c>
      <c r="E672" t="s">
        <v>2817</v>
      </c>
    </row>
    <row r="673" spans="3:5">
      <c r="C673" t="e">
        <f t="shared" si="10"/>
        <v>#N/A</v>
      </c>
      <c r="D673" t="s">
        <v>861</v>
      </c>
      <c r="E673" t="s">
        <v>2817</v>
      </c>
    </row>
    <row r="674" spans="3:5">
      <c r="C674" t="e">
        <f t="shared" si="10"/>
        <v>#N/A</v>
      </c>
      <c r="D674" t="s">
        <v>862</v>
      </c>
      <c r="E674" t="s">
        <v>2817</v>
      </c>
    </row>
    <row r="675" spans="3:5">
      <c r="C675" t="e">
        <f t="shared" si="10"/>
        <v>#N/A</v>
      </c>
      <c r="D675" t="s">
        <v>863</v>
      </c>
      <c r="E675" t="s">
        <v>2817</v>
      </c>
    </row>
    <row r="676" spans="3:5">
      <c r="C676" t="e">
        <f t="shared" si="10"/>
        <v>#N/A</v>
      </c>
      <c r="D676" t="s">
        <v>864</v>
      </c>
      <c r="E676" t="s">
        <v>2817</v>
      </c>
    </row>
    <row r="677" spans="3:5">
      <c r="C677" t="e">
        <f t="shared" si="10"/>
        <v>#N/A</v>
      </c>
      <c r="D677" t="s">
        <v>865</v>
      </c>
      <c r="E677" t="s">
        <v>2817</v>
      </c>
    </row>
    <row r="678" spans="3:5">
      <c r="C678" t="e">
        <f t="shared" si="10"/>
        <v>#N/A</v>
      </c>
      <c r="D678" t="s">
        <v>866</v>
      </c>
      <c r="E678" t="s">
        <v>2817</v>
      </c>
    </row>
    <row r="679" spans="3:5">
      <c r="C679" t="e">
        <f t="shared" si="10"/>
        <v>#N/A</v>
      </c>
      <c r="D679" t="s">
        <v>867</v>
      </c>
      <c r="E679" t="s">
        <v>2817</v>
      </c>
    </row>
    <row r="680" spans="3:5">
      <c r="C680" t="e">
        <f t="shared" si="10"/>
        <v>#N/A</v>
      </c>
      <c r="D680" t="s">
        <v>868</v>
      </c>
      <c r="E680" t="s">
        <v>2817</v>
      </c>
    </row>
    <row r="681" spans="3:5">
      <c r="C681" t="e">
        <f t="shared" si="10"/>
        <v>#N/A</v>
      </c>
      <c r="D681" t="s">
        <v>869</v>
      </c>
      <c r="E681" t="s">
        <v>2817</v>
      </c>
    </row>
    <row r="682" spans="3:5">
      <c r="C682" t="e">
        <f t="shared" si="10"/>
        <v>#N/A</v>
      </c>
      <c r="D682" t="s">
        <v>870</v>
      </c>
      <c r="E682" t="s">
        <v>2817</v>
      </c>
    </row>
    <row r="683" spans="3:5">
      <c r="C683" t="e">
        <f t="shared" si="10"/>
        <v>#N/A</v>
      </c>
      <c r="D683" t="s">
        <v>871</v>
      </c>
      <c r="E683" t="s">
        <v>2817</v>
      </c>
    </row>
    <row r="684" spans="3:5">
      <c r="C684" t="e">
        <f t="shared" si="10"/>
        <v>#N/A</v>
      </c>
      <c r="D684" t="s">
        <v>872</v>
      </c>
      <c r="E684" t="s">
        <v>2817</v>
      </c>
    </row>
    <row r="685" spans="3:5">
      <c r="C685" t="e">
        <f t="shared" si="10"/>
        <v>#N/A</v>
      </c>
      <c r="D685" t="s">
        <v>873</v>
      </c>
      <c r="E685" t="s">
        <v>2817</v>
      </c>
    </row>
    <row r="686" spans="3:5">
      <c r="C686" t="e">
        <f t="shared" si="10"/>
        <v>#N/A</v>
      </c>
      <c r="D686" t="s">
        <v>874</v>
      </c>
      <c r="E686" t="s">
        <v>2817</v>
      </c>
    </row>
    <row r="687" spans="3:5">
      <c r="C687" t="e">
        <f t="shared" si="10"/>
        <v>#N/A</v>
      </c>
      <c r="D687" t="s">
        <v>875</v>
      </c>
      <c r="E687" t="s">
        <v>2817</v>
      </c>
    </row>
    <row r="688" spans="3:5">
      <c r="C688" t="e">
        <f t="shared" si="10"/>
        <v>#N/A</v>
      </c>
      <c r="D688" t="s">
        <v>876</v>
      </c>
      <c r="E688" t="s">
        <v>2817</v>
      </c>
    </row>
    <row r="689" spans="3:5">
      <c r="C689" t="e">
        <f t="shared" si="10"/>
        <v>#N/A</v>
      </c>
      <c r="D689" t="s">
        <v>877</v>
      </c>
      <c r="E689" t="s">
        <v>2817</v>
      </c>
    </row>
    <row r="690" spans="3:5">
      <c r="C690" t="e">
        <f t="shared" si="10"/>
        <v>#N/A</v>
      </c>
      <c r="D690" t="s">
        <v>878</v>
      </c>
      <c r="E690" t="s">
        <v>2817</v>
      </c>
    </row>
    <row r="691" spans="3:5">
      <c r="C691" t="e">
        <f t="shared" si="10"/>
        <v>#N/A</v>
      </c>
      <c r="D691" t="s">
        <v>879</v>
      </c>
      <c r="E691" t="s">
        <v>2817</v>
      </c>
    </row>
    <row r="692" spans="3:5">
      <c r="C692" t="e">
        <f t="shared" si="10"/>
        <v>#N/A</v>
      </c>
      <c r="D692" t="s">
        <v>880</v>
      </c>
      <c r="E692" t="s">
        <v>2817</v>
      </c>
    </row>
    <row r="693" spans="3:5">
      <c r="C693" t="e">
        <f t="shared" si="10"/>
        <v>#N/A</v>
      </c>
      <c r="D693" t="s">
        <v>881</v>
      </c>
      <c r="E693" t="s">
        <v>2817</v>
      </c>
    </row>
    <row r="694" spans="3:5">
      <c r="C694" t="e">
        <f t="shared" si="10"/>
        <v>#N/A</v>
      </c>
      <c r="D694" t="s">
        <v>882</v>
      </c>
      <c r="E694" t="s">
        <v>2817</v>
      </c>
    </row>
    <row r="695" spans="3:5">
      <c r="C695" t="e">
        <f t="shared" si="10"/>
        <v>#N/A</v>
      </c>
      <c r="D695" t="s">
        <v>883</v>
      </c>
      <c r="E695" t="s">
        <v>2817</v>
      </c>
    </row>
    <row r="696" spans="3:5">
      <c r="C696" t="e">
        <f t="shared" si="10"/>
        <v>#N/A</v>
      </c>
      <c r="D696" t="s">
        <v>884</v>
      </c>
      <c r="E696" t="s">
        <v>2817</v>
      </c>
    </row>
    <row r="697" spans="3:5">
      <c r="C697" t="e">
        <f t="shared" si="10"/>
        <v>#N/A</v>
      </c>
      <c r="D697" t="s">
        <v>885</v>
      </c>
      <c r="E697" t="s">
        <v>2817</v>
      </c>
    </row>
    <row r="698" spans="3:5">
      <c r="C698" t="e">
        <f t="shared" si="10"/>
        <v>#N/A</v>
      </c>
      <c r="D698" t="s">
        <v>886</v>
      </c>
      <c r="E698" t="s">
        <v>2817</v>
      </c>
    </row>
    <row r="699" spans="3:5">
      <c r="C699" t="e">
        <f t="shared" si="10"/>
        <v>#N/A</v>
      </c>
      <c r="D699" t="s">
        <v>887</v>
      </c>
      <c r="E699" t="s">
        <v>2817</v>
      </c>
    </row>
    <row r="700" spans="3:5">
      <c r="C700" t="e">
        <f t="shared" si="10"/>
        <v>#N/A</v>
      </c>
      <c r="D700" t="s">
        <v>888</v>
      </c>
      <c r="E700" t="s">
        <v>2817</v>
      </c>
    </row>
    <row r="701" spans="3:5">
      <c r="C701" t="e">
        <f t="shared" si="10"/>
        <v>#N/A</v>
      </c>
      <c r="D701" t="s">
        <v>889</v>
      </c>
      <c r="E701" t="s">
        <v>2817</v>
      </c>
    </row>
    <row r="702" spans="3:5">
      <c r="C702" t="e">
        <f t="shared" si="10"/>
        <v>#N/A</v>
      </c>
      <c r="D702" t="s">
        <v>890</v>
      </c>
      <c r="E702" t="s">
        <v>2817</v>
      </c>
    </row>
    <row r="703" spans="3:5">
      <c r="C703" t="e">
        <f t="shared" si="10"/>
        <v>#N/A</v>
      </c>
      <c r="D703" t="s">
        <v>891</v>
      </c>
      <c r="E703" t="s">
        <v>2817</v>
      </c>
    </row>
    <row r="704" spans="3:5">
      <c r="C704" t="e">
        <f t="shared" si="10"/>
        <v>#N/A</v>
      </c>
      <c r="D704" t="s">
        <v>892</v>
      </c>
      <c r="E704" t="s">
        <v>2817</v>
      </c>
    </row>
    <row r="705" spans="3:5">
      <c r="C705" t="e">
        <f t="shared" si="10"/>
        <v>#N/A</v>
      </c>
      <c r="D705" t="s">
        <v>893</v>
      </c>
      <c r="E705" t="s">
        <v>2817</v>
      </c>
    </row>
    <row r="706" spans="3:5">
      <c r="C706" t="e">
        <f t="shared" si="10"/>
        <v>#N/A</v>
      </c>
      <c r="D706" t="s">
        <v>894</v>
      </c>
      <c r="E706" t="s">
        <v>2817</v>
      </c>
    </row>
    <row r="707" spans="3:5">
      <c r="C707" t="e">
        <f t="shared" ref="C707:C770" si="11">VLOOKUP(B707,D:E,2,0)</f>
        <v>#N/A</v>
      </c>
      <c r="D707" t="s">
        <v>895</v>
      </c>
      <c r="E707" t="s">
        <v>2817</v>
      </c>
    </row>
    <row r="708" spans="3:5">
      <c r="C708" t="e">
        <f t="shared" si="11"/>
        <v>#N/A</v>
      </c>
      <c r="D708" t="s">
        <v>896</v>
      </c>
      <c r="E708" t="s">
        <v>2817</v>
      </c>
    </row>
    <row r="709" spans="3:5">
      <c r="C709" t="e">
        <f t="shared" si="11"/>
        <v>#N/A</v>
      </c>
      <c r="D709" t="s">
        <v>897</v>
      </c>
      <c r="E709" t="s">
        <v>2817</v>
      </c>
    </row>
    <row r="710" spans="3:5">
      <c r="C710" t="e">
        <f t="shared" si="11"/>
        <v>#N/A</v>
      </c>
      <c r="D710" t="s">
        <v>898</v>
      </c>
      <c r="E710" t="s">
        <v>2817</v>
      </c>
    </row>
    <row r="711" spans="3:5">
      <c r="C711" t="e">
        <f t="shared" si="11"/>
        <v>#N/A</v>
      </c>
      <c r="D711" t="s">
        <v>899</v>
      </c>
      <c r="E711" t="s">
        <v>2817</v>
      </c>
    </row>
    <row r="712" spans="3:5">
      <c r="C712" t="e">
        <f t="shared" si="11"/>
        <v>#N/A</v>
      </c>
      <c r="D712" t="s">
        <v>900</v>
      </c>
      <c r="E712" t="s">
        <v>2817</v>
      </c>
    </row>
    <row r="713" spans="3:5">
      <c r="C713" t="e">
        <f t="shared" si="11"/>
        <v>#N/A</v>
      </c>
      <c r="D713" t="s">
        <v>901</v>
      </c>
      <c r="E713" t="s">
        <v>2817</v>
      </c>
    </row>
    <row r="714" spans="3:5">
      <c r="C714" t="e">
        <f t="shared" si="11"/>
        <v>#N/A</v>
      </c>
      <c r="D714" t="s">
        <v>902</v>
      </c>
      <c r="E714" t="s">
        <v>2817</v>
      </c>
    </row>
    <row r="715" spans="3:5">
      <c r="C715" t="e">
        <f t="shared" si="11"/>
        <v>#N/A</v>
      </c>
      <c r="D715" t="s">
        <v>903</v>
      </c>
      <c r="E715" t="s">
        <v>2817</v>
      </c>
    </row>
    <row r="716" spans="3:5">
      <c r="C716" t="e">
        <f t="shared" si="11"/>
        <v>#N/A</v>
      </c>
      <c r="D716" t="s">
        <v>904</v>
      </c>
      <c r="E716" t="s">
        <v>2817</v>
      </c>
    </row>
    <row r="717" spans="3:5">
      <c r="C717" t="e">
        <f t="shared" si="11"/>
        <v>#N/A</v>
      </c>
      <c r="D717" t="s">
        <v>905</v>
      </c>
      <c r="E717" t="s">
        <v>2817</v>
      </c>
    </row>
    <row r="718" spans="3:5">
      <c r="C718" t="e">
        <f t="shared" si="11"/>
        <v>#N/A</v>
      </c>
      <c r="D718" t="s">
        <v>906</v>
      </c>
      <c r="E718" t="s">
        <v>2817</v>
      </c>
    </row>
    <row r="719" spans="3:5">
      <c r="C719" t="e">
        <f t="shared" si="11"/>
        <v>#N/A</v>
      </c>
      <c r="D719" t="s">
        <v>907</v>
      </c>
      <c r="E719" t="s">
        <v>2817</v>
      </c>
    </row>
    <row r="720" spans="3:5">
      <c r="C720" t="e">
        <f t="shared" si="11"/>
        <v>#N/A</v>
      </c>
      <c r="D720" t="s">
        <v>908</v>
      </c>
      <c r="E720" t="s">
        <v>2817</v>
      </c>
    </row>
    <row r="721" spans="3:5">
      <c r="C721" t="e">
        <f t="shared" si="11"/>
        <v>#N/A</v>
      </c>
      <c r="D721" t="s">
        <v>909</v>
      </c>
      <c r="E721" t="s">
        <v>2817</v>
      </c>
    </row>
    <row r="722" spans="3:5">
      <c r="C722" t="e">
        <f t="shared" si="11"/>
        <v>#N/A</v>
      </c>
      <c r="D722" t="s">
        <v>910</v>
      </c>
      <c r="E722" t="s">
        <v>2817</v>
      </c>
    </row>
    <row r="723" spans="3:5">
      <c r="C723" t="e">
        <f t="shared" si="11"/>
        <v>#N/A</v>
      </c>
      <c r="D723" t="s">
        <v>911</v>
      </c>
      <c r="E723" t="s">
        <v>2817</v>
      </c>
    </row>
    <row r="724" spans="3:5">
      <c r="C724" t="e">
        <f t="shared" si="11"/>
        <v>#N/A</v>
      </c>
      <c r="D724" t="s">
        <v>912</v>
      </c>
      <c r="E724" t="s">
        <v>2817</v>
      </c>
    </row>
    <row r="725" spans="3:5">
      <c r="C725" t="e">
        <f t="shared" si="11"/>
        <v>#N/A</v>
      </c>
      <c r="D725" t="s">
        <v>913</v>
      </c>
      <c r="E725" t="s">
        <v>2817</v>
      </c>
    </row>
    <row r="726" spans="3:5">
      <c r="C726" t="e">
        <f t="shared" si="11"/>
        <v>#N/A</v>
      </c>
      <c r="D726" t="s">
        <v>914</v>
      </c>
      <c r="E726" t="s">
        <v>2817</v>
      </c>
    </row>
    <row r="727" spans="3:5">
      <c r="C727" t="e">
        <f t="shared" si="11"/>
        <v>#N/A</v>
      </c>
      <c r="D727" t="s">
        <v>915</v>
      </c>
      <c r="E727" t="s">
        <v>2817</v>
      </c>
    </row>
    <row r="728" spans="3:5">
      <c r="C728" t="e">
        <f t="shared" si="11"/>
        <v>#N/A</v>
      </c>
      <c r="D728" t="s">
        <v>916</v>
      </c>
      <c r="E728" t="s">
        <v>2817</v>
      </c>
    </row>
    <row r="729" spans="3:5">
      <c r="C729" t="e">
        <f t="shared" si="11"/>
        <v>#N/A</v>
      </c>
      <c r="D729" t="s">
        <v>917</v>
      </c>
      <c r="E729" t="s">
        <v>2817</v>
      </c>
    </row>
    <row r="730" spans="3:5">
      <c r="C730" t="e">
        <f t="shared" si="11"/>
        <v>#N/A</v>
      </c>
      <c r="D730" t="s">
        <v>918</v>
      </c>
      <c r="E730" t="s">
        <v>2817</v>
      </c>
    </row>
    <row r="731" spans="3:5">
      <c r="C731" t="e">
        <f t="shared" si="11"/>
        <v>#N/A</v>
      </c>
      <c r="D731" t="s">
        <v>919</v>
      </c>
      <c r="E731" t="s">
        <v>2817</v>
      </c>
    </row>
    <row r="732" spans="3:5">
      <c r="C732" t="e">
        <f t="shared" si="11"/>
        <v>#N/A</v>
      </c>
      <c r="D732" t="s">
        <v>920</v>
      </c>
      <c r="E732" t="s">
        <v>2817</v>
      </c>
    </row>
    <row r="733" spans="3:5">
      <c r="C733" t="e">
        <f t="shared" si="11"/>
        <v>#N/A</v>
      </c>
      <c r="D733" t="s">
        <v>921</v>
      </c>
      <c r="E733" t="s">
        <v>2817</v>
      </c>
    </row>
    <row r="734" spans="3:5">
      <c r="C734" t="e">
        <f t="shared" si="11"/>
        <v>#N/A</v>
      </c>
      <c r="D734" t="s">
        <v>922</v>
      </c>
      <c r="E734" t="s">
        <v>2817</v>
      </c>
    </row>
    <row r="735" spans="3:5">
      <c r="C735" t="e">
        <f t="shared" si="11"/>
        <v>#N/A</v>
      </c>
      <c r="D735" t="s">
        <v>923</v>
      </c>
      <c r="E735" t="s">
        <v>2817</v>
      </c>
    </row>
    <row r="736" spans="3:5">
      <c r="C736" t="e">
        <f t="shared" si="11"/>
        <v>#N/A</v>
      </c>
      <c r="D736" t="s">
        <v>924</v>
      </c>
      <c r="E736" t="s">
        <v>2817</v>
      </c>
    </row>
    <row r="737" spans="3:5">
      <c r="C737" t="e">
        <f t="shared" si="11"/>
        <v>#N/A</v>
      </c>
      <c r="D737" t="s">
        <v>925</v>
      </c>
      <c r="E737" t="s">
        <v>2817</v>
      </c>
    </row>
    <row r="738" spans="3:5">
      <c r="C738" t="e">
        <f t="shared" si="11"/>
        <v>#N/A</v>
      </c>
      <c r="D738" t="s">
        <v>926</v>
      </c>
      <c r="E738" t="s">
        <v>2817</v>
      </c>
    </row>
    <row r="739" spans="3:5">
      <c r="C739" t="e">
        <f t="shared" si="11"/>
        <v>#N/A</v>
      </c>
      <c r="D739" t="s">
        <v>927</v>
      </c>
      <c r="E739" t="s">
        <v>2817</v>
      </c>
    </row>
    <row r="740" spans="3:5">
      <c r="C740" t="e">
        <f t="shared" si="11"/>
        <v>#N/A</v>
      </c>
      <c r="D740" t="s">
        <v>928</v>
      </c>
      <c r="E740" t="s">
        <v>2817</v>
      </c>
    </row>
    <row r="741" spans="3:5">
      <c r="C741" t="e">
        <f t="shared" si="11"/>
        <v>#N/A</v>
      </c>
      <c r="D741" t="s">
        <v>929</v>
      </c>
      <c r="E741" t="s">
        <v>2817</v>
      </c>
    </row>
    <row r="742" spans="3:5">
      <c r="C742" t="e">
        <f t="shared" si="11"/>
        <v>#N/A</v>
      </c>
      <c r="D742" t="s">
        <v>930</v>
      </c>
      <c r="E742" t="s">
        <v>2817</v>
      </c>
    </row>
    <row r="743" spans="3:5">
      <c r="C743" t="e">
        <f t="shared" si="11"/>
        <v>#N/A</v>
      </c>
      <c r="D743" t="s">
        <v>931</v>
      </c>
      <c r="E743" t="s">
        <v>2817</v>
      </c>
    </row>
    <row r="744" spans="3:5">
      <c r="C744" t="e">
        <f t="shared" si="11"/>
        <v>#N/A</v>
      </c>
      <c r="D744" t="s">
        <v>932</v>
      </c>
      <c r="E744" t="s">
        <v>2817</v>
      </c>
    </row>
    <row r="745" spans="3:5">
      <c r="C745" t="e">
        <f t="shared" si="11"/>
        <v>#N/A</v>
      </c>
      <c r="D745" t="s">
        <v>933</v>
      </c>
      <c r="E745" t="s">
        <v>2817</v>
      </c>
    </row>
    <row r="746" spans="3:5">
      <c r="C746" t="e">
        <f t="shared" si="11"/>
        <v>#N/A</v>
      </c>
      <c r="D746" t="s">
        <v>934</v>
      </c>
      <c r="E746" t="s">
        <v>2817</v>
      </c>
    </row>
    <row r="747" spans="3:5">
      <c r="C747" t="e">
        <f t="shared" si="11"/>
        <v>#N/A</v>
      </c>
      <c r="D747" t="s">
        <v>935</v>
      </c>
      <c r="E747" t="s">
        <v>2817</v>
      </c>
    </row>
    <row r="748" spans="3:5">
      <c r="C748" t="e">
        <f t="shared" si="11"/>
        <v>#N/A</v>
      </c>
      <c r="D748" t="s">
        <v>936</v>
      </c>
      <c r="E748" t="s">
        <v>2817</v>
      </c>
    </row>
    <row r="749" spans="3:5">
      <c r="C749" t="e">
        <f t="shared" si="11"/>
        <v>#N/A</v>
      </c>
      <c r="D749" t="s">
        <v>937</v>
      </c>
      <c r="E749" t="s">
        <v>2817</v>
      </c>
    </row>
    <row r="750" spans="3:5">
      <c r="C750" t="e">
        <f t="shared" si="11"/>
        <v>#N/A</v>
      </c>
      <c r="D750" t="s">
        <v>938</v>
      </c>
      <c r="E750" t="s">
        <v>2817</v>
      </c>
    </row>
    <row r="751" spans="3:5">
      <c r="C751" t="e">
        <f t="shared" si="11"/>
        <v>#N/A</v>
      </c>
      <c r="D751" t="s">
        <v>939</v>
      </c>
      <c r="E751" t="s">
        <v>2817</v>
      </c>
    </row>
    <row r="752" spans="3:5">
      <c r="C752" t="e">
        <f t="shared" si="11"/>
        <v>#N/A</v>
      </c>
      <c r="D752" t="s">
        <v>940</v>
      </c>
      <c r="E752" t="s">
        <v>2817</v>
      </c>
    </row>
    <row r="753" spans="3:5">
      <c r="C753" t="e">
        <f t="shared" si="11"/>
        <v>#N/A</v>
      </c>
      <c r="D753" t="s">
        <v>941</v>
      </c>
      <c r="E753" t="s">
        <v>2817</v>
      </c>
    </row>
    <row r="754" spans="3:5">
      <c r="C754" t="e">
        <f t="shared" si="11"/>
        <v>#N/A</v>
      </c>
      <c r="D754" t="s">
        <v>942</v>
      </c>
      <c r="E754" t="s">
        <v>2817</v>
      </c>
    </row>
    <row r="755" spans="3:5">
      <c r="C755" t="e">
        <f t="shared" si="11"/>
        <v>#N/A</v>
      </c>
      <c r="D755" t="s">
        <v>943</v>
      </c>
      <c r="E755" t="s">
        <v>2817</v>
      </c>
    </row>
    <row r="756" spans="3:5">
      <c r="C756" t="e">
        <f t="shared" si="11"/>
        <v>#N/A</v>
      </c>
      <c r="D756" t="s">
        <v>944</v>
      </c>
      <c r="E756" t="s">
        <v>2817</v>
      </c>
    </row>
    <row r="757" spans="3:5">
      <c r="C757" t="e">
        <f t="shared" si="11"/>
        <v>#N/A</v>
      </c>
      <c r="D757" t="s">
        <v>945</v>
      </c>
      <c r="E757" t="s">
        <v>2817</v>
      </c>
    </row>
    <row r="758" spans="3:5">
      <c r="C758" t="e">
        <f t="shared" si="11"/>
        <v>#N/A</v>
      </c>
      <c r="D758" t="s">
        <v>946</v>
      </c>
      <c r="E758" t="s">
        <v>2817</v>
      </c>
    </row>
    <row r="759" spans="3:5">
      <c r="C759" t="e">
        <f t="shared" si="11"/>
        <v>#N/A</v>
      </c>
      <c r="D759" t="s">
        <v>947</v>
      </c>
      <c r="E759" t="s">
        <v>2817</v>
      </c>
    </row>
    <row r="760" spans="3:5">
      <c r="C760" t="e">
        <f t="shared" si="11"/>
        <v>#N/A</v>
      </c>
      <c r="D760" t="s">
        <v>948</v>
      </c>
      <c r="E760" t="s">
        <v>2817</v>
      </c>
    </row>
    <row r="761" spans="3:5">
      <c r="C761" t="e">
        <f t="shared" si="11"/>
        <v>#N/A</v>
      </c>
      <c r="D761" t="s">
        <v>949</v>
      </c>
      <c r="E761" t="s">
        <v>2817</v>
      </c>
    </row>
    <row r="762" spans="3:5">
      <c r="C762" t="e">
        <f t="shared" si="11"/>
        <v>#N/A</v>
      </c>
      <c r="D762" t="s">
        <v>950</v>
      </c>
      <c r="E762" t="s">
        <v>2817</v>
      </c>
    </row>
    <row r="763" spans="3:5">
      <c r="C763" t="e">
        <f t="shared" si="11"/>
        <v>#N/A</v>
      </c>
      <c r="D763" t="s">
        <v>951</v>
      </c>
      <c r="E763" t="s">
        <v>2817</v>
      </c>
    </row>
    <row r="764" spans="3:5">
      <c r="C764" t="e">
        <f t="shared" si="11"/>
        <v>#N/A</v>
      </c>
      <c r="D764" t="s">
        <v>952</v>
      </c>
      <c r="E764" t="s">
        <v>2817</v>
      </c>
    </row>
    <row r="765" spans="3:5">
      <c r="C765" t="e">
        <f t="shared" si="11"/>
        <v>#N/A</v>
      </c>
      <c r="D765" t="s">
        <v>953</v>
      </c>
      <c r="E765" t="s">
        <v>2817</v>
      </c>
    </row>
    <row r="766" spans="3:5">
      <c r="C766" t="e">
        <f t="shared" si="11"/>
        <v>#N/A</v>
      </c>
      <c r="D766" t="s">
        <v>954</v>
      </c>
      <c r="E766" t="s">
        <v>2817</v>
      </c>
    </row>
    <row r="767" spans="3:5">
      <c r="C767" t="e">
        <f t="shared" si="11"/>
        <v>#N/A</v>
      </c>
      <c r="D767" t="s">
        <v>955</v>
      </c>
      <c r="E767" t="s">
        <v>2817</v>
      </c>
    </row>
    <row r="768" spans="3:5">
      <c r="C768" t="e">
        <f t="shared" si="11"/>
        <v>#N/A</v>
      </c>
      <c r="D768" t="s">
        <v>956</v>
      </c>
      <c r="E768" t="s">
        <v>2817</v>
      </c>
    </row>
    <row r="769" spans="3:5">
      <c r="C769" t="e">
        <f t="shared" si="11"/>
        <v>#N/A</v>
      </c>
      <c r="D769" t="s">
        <v>957</v>
      </c>
      <c r="E769" t="s">
        <v>2817</v>
      </c>
    </row>
    <row r="770" spans="3:5">
      <c r="C770" t="e">
        <f t="shared" si="11"/>
        <v>#N/A</v>
      </c>
      <c r="D770" t="s">
        <v>958</v>
      </c>
      <c r="E770" t="s">
        <v>2817</v>
      </c>
    </row>
    <row r="771" spans="3:5">
      <c r="C771" t="e">
        <f t="shared" ref="C771:C834" si="12">VLOOKUP(B771,D:E,2,0)</f>
        <v>#N/A</v>
      </c>
      <c r="D771" t="s">
        <v>959</v>
      </c>
      <c r="E771" t="s">
        <v>2817</v>
      </c>
    </row>
    <row r="772" spans="3:5">
      <c r="C772" t="e">
        <f t="shared" si="12"/>
        <v>#N/A</v>
      </c>
      <c r="D772" t="s">
        <v>960</v>
      </c>
      <c r="E772" t="s">
        <v>2817</v>
      </c>
    </row>
    <row r="773" spans="3:5">
      <c r="C773" t="e">
        <f t="shared" si="12"/>
        <v>#N/A</v>
      </c>
      <c r="D773" t="s">
        <v>961</v>
      </c>
      <c r="E773" t="s">
        <v>2817</v>
      </c>
    </row>
    <row r="774" spans="3:5">
      <c r="C774" t="e">
        <f t="shared" si="12"/>
        <v>#N/A</v>
      </c>
      <c r="D774" t="s">
        <v>962</v>
      </c>
      <c r="E774" t="s">
        <v>2817</v>
      </c>
    </row>
    <row r="775" spans="3:5">
      <c r="C775" t="e">
        <f t="shared" si="12"/>
        <v>#N/A</v>
      </c>
      <c r="D775" t="s">
        <v>963</v>
      </c>
      <c r="E775" t="s">
        <v>2817</v>
      </c>
    </row>
    <row r="776" spans="3:5">
      <c r="C776" t="e">
        <f t="shared" si="12"/>
        <v>#N/A</v>
      </c>
      <c r="D776" t="s">
        <v>964</v>
      </c>
      <c r="E776" t="s">
        <v>2817</v>
      </c>
    </row>
    <row r="777" spans="3:5">
      <c r="C777" t="e">
        <f t="shared" si="12"/>
        <v>#N/A</v>
      </c>
      <c r="D777" t="s">
        <v>965</v>
      </c>
      <c r="E777" t="s">
        <v>2817</v>
      </c>
    </row>
    <row r="778" spans="3:5">
      <c r="C778" t="e">
        <f t="shared" si="12"/>
        <v>#N/A</v>
      </c>
      <c r="D778" t="s">
        <v>966</v>
      </c>
      <c r="E778" t="s">
        <v>2817</v>
      </c>
    </row>
    <row r="779" spans="3:5">
      <c r="C779" t="e">
        <f t="shared" si="12"/>
        <v>#N/A</v>
      </c>
      <c r="D779" t="s">
        <v>967</v>
      </c>
      <c r="E779" t="s">
        <v>2817</v>
      </c>
    </row>
    <row r="780" spans="3:5">
      <c r="C780" t="e">
        <f t="shared" si="12"/>
        <v>#N/A</v>
      </c>
      <c r="D780" t="s">
        <v>968</v>
      </c>
      <c r="E780" t="s">
        <v>2817</v>
      </c>
    </row>
    <row r="781" spans="3:5">
      <c r="C781" t="e">
        <f t="shared" si="12"/>
        <v>#N/A</v>
      </c>
      <c r="D781" t="s">
        <v>969</v>
      </c>
      <c r="E781" t="s">
        <v>2817</v>
      </c>
    </row>
    <row r="782" spans="3:5">
      <c r="C782" t="e">
        <f t="shared" si="12"/>
        <v>#N/A</v>
      </c>
      <c r="D782" t="s">
        <v>970</v>
      </c>
      <c r="E782" t="s">
        <v>2817</v>
      </c>
    </row>
    <row r="783" spans="3:5">
      <c r="C783" t="e">
        <f t="shared" si="12"/>
        <v>#N/A</v>
      </c>
      <c r="D783" t="s">
        <v>971</v>
      </c>
      <c r="E783" t="s">
        <v>2817</v>
      </c>
    </row>
    <row r="784" spans="3:5">
      <c r="C784" t="e">
        <f t="shared" si="12"/>
        <v>#N/A</v>
      </c>
      <c r="D784" t="s">
        <v>972</v>
      </c>
      <c r="E784" t="s">
        <v>2817</v>
      </c>
    </row>
    <row r="785" spans="3:5">
      <c r="C785" t="e">
        <f t="shared" si="12"/>
        <v>#N/A</v>
      </c>
      <c r="D785" t="s">
        <v>973</v>
      </c>
      <c r="E785" t="s">
        <v>2817</v>
      </c>
    </row>
    <row r="786" spans="3:5">
      <c r="C786" t="e">
        <f t="shared" si="12"/>
        <v>#N/A</v>
      </c>
      <c r="D786" t="s">
        <v>974</v>
      </c>
      <c r="E786" t="s">
        <v>2817</v>
      </c>
    </row>
    <row r="787" spans="3:5">
      <c r="C787" t="e">
        <f t="shared" si="12"/>
        <v>#N/A</v>
      </c>
      <c r="D787" t="s">
        <v>975</v>
      </c>
      <c r="E787" t="s">
        <v>2817</v>
      </c>
    </row>
    <row r="788" spans="3:5">
      <c r="C788" t="e">
        <f t="shared" si="12"/>
        <v>#N/A</v>
      </c>
      <c r="D788" t="s">
        <v>976</v>
      </c>
      <c r="E788" t="s">
        <v>2817</v>
      </c>
    </row>
    <row r="789" spans="3:5">
      <c r="C789" t="e">
        <f t="shared" si="12"/>
        <v>#N/A</v>
      </c>
      <c r="D789" t="s">
        <v>977</v>
      </c>
      <c r="E789" t="s">
        <v>2817</v>
      </c>
    </row>
    <row r="790" spans="3:5">
      <c r="C790" t="e">
        <f t="shared" si="12"/>
        <v>#N/A</v>
      </c>
      <c r="D790" t="s">
        <v>978</v>
      </c>
      <c r="E790" t="s">
        <v>2817</v>
      </c>
    </row>
    <row r="791" spans="3:5">
      <c r="C791" t="e">
        <f t="shared" si="12"/>
        <v>#N/A</v>
      </c>
      <c r="D791" t="s">
        <v>979</v>
      </c>
      <c r="E791" t="s">
        <v>2817</v>
      </c>
    </row>
    <row r="792" spans="3:5">
      <c r="C792" t="e">
        <f t="shared" si="12"/>
        <v>#N/A</v>
      </c>
      <c r="D792" t="s">
        <v>980</v>
      </c>
      <c r="E792" t="s">
        <v>2817</v>
      </c>
    </row>
    <row r="793" spans="3:5">
      <c r="C793" t="e">
        <f t="shared" si="12"/>
        <v>#N/A</v>
      </c>
      <c r="D793" t="s">
        <v>981</v>
      </c>
      <c r="E793" t="s">
        <v>2817</v>
      </c>
    </row>
    <row r="794" spans="3:5">
      <c r="C794" t="e">
        <f t="shared" si="12"/>
        <v>#N/A</v>
      </c>
      <c r="D794" t="s">
        <v>982</v>
      </c>
      <c r="E794" t="s">
        <v>2817</v>
      </c>
    </row>
    <row r="795" spans="3:5">
      <c r="C795" t="e">
        <f t="shared" si="12"/>
        <v>#N/A</v>
      </c>
      <c r="D795" t="s">
        <v>983</v>
      </c>
      <c r="E795" t="s">
        <v>2817</v>
      </c>
    </row>
    <row r="796" spans="3:5">
      <c r="C796" t="e">
        <f t="shared" si="12"/>
        <v>#N/A</v>
      </c>
      <c r="D796" t="s">
        <v>984</v>
      </c>
      <c r="E796" t="s">
        <v>2817</v>
      </c>
    </row>
    <row r="797" spans="3:5">
      <c r="C797" t="e">
        <f t="shared" si="12"/>
        <v>#N/A</v>
      </c>
      <c r="D797" t="s">
        <v>985</v>
      </c>
      <c r="E797" t="s">
        <v>2817</v>
      </c>
    </row>
    <row r="798" spans="3:5">
      <c r="C798" t="e">
        <f t="shared" si="12"/>
        <v>#N/A</v>
      </c>
      <c r="D798" t="s">
        <v>986</v>
      </c>
      <c r="E798" t="s">
        <v>2817</v>
      </c>
    </row>
    <row r="799" spans="3:5">
      <c r="C799" t="e">
        <f t="shared" si="12"/>
        <v>#N/A</v>
      </c>
      <c r="D799" t="s">
        <v>987</v>
      </c>
      <c r="E799" t="s">
        <v>2817</v>
      </c>
    </row>
    <row r="800" spans="3:5">
      <c r="C800" t="e">
        <f t="shared" si="12"/>
        <v>#N/A</v>
      </c>
      <c r="D800" t="s">
        <v>988</v>
      </c>
      <c r="E800" t="s">
        <v>2817</v>
      </c>
    </row>
    <row r="801" spans="3:5">
      <c r="C801" t="e">
        <f t="shared" si="12"/>
        <v>#N/A</v>
      </c>
      <c r="D801" t="s">
        <v>989</v>
      </c>
      <c r="E801" t="s">
        <v>2817</v>
      </c>
    </row>
    <row r="802" spans="3:5">
      <c r="C802" t="e">
        <f t="shared" si="12"/>
        <v>#N/A</v>
      </c>
      <c r="D802" t="s">
        <v>990</v>
      </c>
      <c r="E802" t="s">
        <v>2817</v>
      </c>
    </row>
    <row r="803" spans="3:5">
      <c r="C803" t="e">
        <f t="shared" si="12"/>
        <v>#N/A</v>
      </c>
      <c r="D803" t="s">
        <v>991</v>
      </c>
      <c r="E803" t="s">
        <v>2817</v>
      </c>
    </row>
    <row r="804" spans="3:5">
      <c r="C804" t="e">
        <f t="shared" si="12"/>
        <v>#N/A</v>
      </c>
      <c r="D804" t="s">
        <v>992</v>
      </c>
      <c r="E804" t="s">
        <v>2817</v>
      </c>
    </row>
    <row r="805" spans="3:5">
      <c r="C805" t="e">
        <f t="shared" si="12"/>
        <v>#N/A</v>
      </c>
      <c r="D805" t="s">
        <v>993</v>
      </c>
      <c r="E805" t="s">
        <v>2817</v>
      </c>
    </row>
    <row r="806" spans="3:5">
      <c r="C806" t="e">
        <f t="shared" si="12"/>
        <v>#N/A</v>
      </c>
      <c r="D806" t="s">
        <v>994</v>
      </c>
      <c r="E806" t="s">
        <v>2817</v>
      </c>
    </row>
    <row r="807" spans="3:5">
      <c r="C807" t="e">
        <f t="shared" si="12"/>
        <v>#N/A</v>
      </c>
      <c r="D807" t="s">
        <v>995</v>
      </c>
      <c r="E807" t="s">
        <v>2817</v>
      </c>
    </row>
    <row r="808" spans="3:5">
      <c r="C808" t="e">
        <f t="shared" si="12"/>
        <v>#N/A</v>
      </c>
      <c r="D808" t="s">
        <v>996</v>
      </c>
      <c r="E808" t="s">
        <v>2817</v>
      </c>
    </row>
    <row r="809" spans="3:5">
      <c r="C809" t="e">
        <f t="shared" si="12"/>
        <v>#N/A</v>
      </c>
      <c r="D809" t="s">
        <v>997</v>
      </c>
      <c r="E809" t="s">
        <v>2817</v>
      </c>
    </row>
    <row r="810" spans="3:5">
      <c r="C810" t="e">
        <f t="shared" si="12"/>
        <v>#N/A</v>
      </c>
      <c r="D810" t="s">
        <v>998</v>
      </c>
      <c r="E810" t="s">
        <v>2817</v>
      </c>
    </row>
    <row r="811" spans="3:5">
      <c r="C811" t="e">
        <f t="shared" si="12"/>
        <v>#N/A</v>
      </c>
      <c r="D811" t="s">
        <v>999</v>
      </c>
      <c r="E811" t="s">
        <v>2817</v>
      </c>
    </row>
    <row r="812" spans="3:5">
      <c r="C812" t="e">
        <f t="shared" si="12"/>
        <v>#N/A</v>
      </c>
      <c r="D812" t="s">
        <v>1000</v>
      </c>
      <c r="E812" t="s">
        <v>2817</v>
      </c>
    </row>
    <row r="813" spans="3:5">
      <c r="C813" t="e">
        <f t="shared" si="12"/>
        <v>#N/A</v>
      </c>
      <c r="D813" t="s">
        <v>1001</v>
      </c>
      <c r="E813" t="s">
        <v>2817</v>
      </c>
    </row>
    <row r="814" spans="3:5">
      <c r="C814" t="e">
        <f t="shared" si="12"/>
        <v>#N/A</v>
      </c>
      <c r="D814" t="s">
        <v>1002</v>
      </c>
      <c r="E814" t="s">
        <v>2817</v>
      </c>
    </row>
    <row r="815" spans="3:5">
      <c r="C815" t="e">
        <f t="shared" si="12"/>
        <v>#N/A</v>
      </c>
      <c r="D815" t="s">
        <v>1003</v>
      </c>
      <c r="E815" t="s">
        <v>2817</v>
      </c>
    </row>
    <row r="816" spans="3:5">
      <c r="C816" t="e">
        <f t="shared" si="12"/>
        <v>#N/A</v>
      </c>
      <c r="D816" t="s">
        <v>1004</v>
      </c>
      <c r="E816" t="s">
        <v>2817</v>
      </c>
    </row>
    <row r="817" spans="3:5">
      <c r="C817" t="e">
        <f t="shared" si="12"/>
        <v>#N/A</v>
      </c>
      <c r="D817" t="s">
        <v>1005</v>
      </c>
      <c r="E817" t="s">
        <v>2817</v>
      </c>
    </row>
    <row r="818" spans="3:5">
      <c r="C818" t="e">
        <f t="shared" si="12"/>
        <v>#N/A</v>
      </c>
      <c r="D818" t="s">
        <v>1006</v>
      </c>
      <c r="E818" t="s">
        <v>2817</v>
      </c>
    </row>
    <row r="819" spans="3:5">
      <c r="C819" t="e">
        <f t="shared" si="12"/>
        <v>#N/A</v>
      </c>
      <c r="D819" t="s">
        <v>1007</v>
      </c>
      <c r="E819" t="s">
        <v>2817</v>
      </c>
    </row>
    <row r="820" spans="3:5">
      <c r="C820" t="e">
        <f t="shared" si="12"/>
        <v>#N/A</v>
      </c>
      <c r="D820" t="s">
        <v>1008</v>
      </c>
      <c r="E820" t="s">
        <v>2817</v>
      </c>
    </row>
    <row r="821" spans="3:5">
      <c r="C821" t="e">
        <f t="shared" si="12"/>
        <v>#N/A</v>
      </c>
      <c r="D821" t="s">
        <v>1009</v>
      </c>
      <c r="E821" t="s">
        <v>2817</v>
      </c>
    </row>
    <row r="822" spans="3:5">
      <c r="C822" t="e">
        <f t="shared" si="12"/>
        <v>#N/A</v>
      </c>
      <c r="D822" t="s">
        <v>1010</v>
      </c>
      <c r="E822" t="s">
        <v>2817</v>
      </c>
    </row>
    <row r="823" spans="3:5">
      <c r="C823" t="e">
        <f t="shared" si="12"/>
        <v>#N/A</v>
      </c>
      <c r="D823" t="s">
        <v>1011</v>
      </c>
      <c r="E823" t="s">
        <v>2817</v>
      </c>
    </row>
    <row r="824" spans="3:5">
      <c r="C824" t="e">
        <f t="shared" si="12"/>
        <v>#N/A</v>
      </c>
      <c r="D824" t="s">
        <v>1012</v>
      </c>
      <c r="E824" t="s">
        <v>2817</v>
      </c>
    </row>
    <row r="825" spans="3:5">
      <c r="C825" t="e">
        <f t="shared" si="12"/>
        <v>#N/A</v>
      </c>
      <c r="D825" t="s">
        <v>1013</v>
      </c>
      <c r="E825" t="s">
        <v>2817</v>
      </c>
    </row>
    <row r="826" spans="3:5">
      <c r="C826" t="e">
        <f t="shared" si="12"/>
        <v>#N/A</v>
      </c>
      <c r="D826" t="s">
        <v>1014</v>
      </c>
      <c r="E826" t="s">
        <v>2817</v>
      </c>
    </row>
    <row r="827" spans="3:5">
      <c r="C827" t="e">
        <f t="shared" si="12"/>
        <v>#N/A</v>
      </c>
      <c r="D827" t="s">
        <v>1015</v>
      </c>
      <c r="E827" t="s">
        <v>2817</v>
      </c>
    </row>
    <row r="828" spans="3:5">
      <c r="C828" t="e">
        <f t="shared" si="12"/>
        <v>#N/A</v>
      </c>
      <c r="D828" t="s">
        <v>1016</v>
      </c>
      <c r="E828" t="s">
        <v>2817</v>
      </c>
    </row>
    <row r="829" spans="3:5">
      <c r="C829" t="e">
        <f t="shared" si="12"/>
        <v>#N/A</v>
      </c>
      <c r="D829" t="s">
        <v>1017</v>
      </c>
      <c r="E829" t="s">
        <v>2817</v>
      </c>
    </row>
    <row r="830" spans="3:5">
      <c r="C830" t="e">
        <f t="shared" si="12"/>
        <v>#N/A</v>
      </c>
      <c r="D830" t="s">
        <v>1018</v>
      </c>
      <c r="E830" t="s">
        <v>2817</v>
      </c>
    </row>
    <row r="831" spans="3:5">
      <c r="C831" t="e">
        <f t="shared" si="12"/>
        <v>#N/A</v>
      </c>
      <c r="D831" t="s">
        <v>1019</v>
      </c>
      <c r="E831" t="s">
        <v>2817</v>
      </c>
    </row>
    <row r="832" spans="3:5">
      <c r="C832" t="e">
        <f t="shared" si="12"/>
        <v>#N/A</v>
      </c>
      <c r="D832" t="s">
        <v>1020</v>
      </c>
      <c r="E832" t="s">
        <v>2817</v>
      </c>
    </row>
    <row r="833" spans="3:5">
      <c r="C833" t="e">
        <f t="shared" si="12"/>
        <v>#N/A</v>
      </c>
      <c r="D833" t="s">
        <v>1021</v>
      </c>
      <c r="E833" t="s">
        <v>2817</v>
      </c>
    </row>
    <row r="834" spans="3:5">
      <c r="C834" t="e">
        <f t="shared" si="12"/>
        <v>#N/A</v>
      </c>
      <c r="D834" t="s">
        <v>1022</v>
      </c>
      <c r="E834" t="s">
        <v>2817</v>
      </c>
    </row>
    <row r="835" spans="3:5">
      <c r="C835" t="e">
        <f t="shared" ref="C835:C898" si="13">VLOOKUP(B835,D:E,2,0)</f>
        <v>#N/A</v>
      </c>
      <c r="D835" t="s">
        <v>1023</v>
      </c>
      <c r="E835" t="s">
        <v>2817</v>
      </c>
    </row>
    <row r="836" spans="3:5">
      <c r="C836" t="e">
        <f t="shared" si="13"/>
        <v>#N/A</v>
      </c>
      <c r="D836" t="s">
        <v>1024</v>
      </c>
      <c r="E836" t="s">
        <v>2817</v>
      </c>
    </row>
    <row r="837" spans="3:5">
      <c r="C837" t="e">
        <f t="shared" si="13"/>
        <v>#N/A</v>
      </c>
      <c r="D837" t="s">
        <v>1025</v>
      </c>
      <c r="E837" t="s">
        <v>2817</v>
      </c>
    </row>
    <row r="838" spans="3:5">
      <c r="C838" t="e">
        <f t="shared" si="13"/>
        <v>#N/A</v>
      </c>
      <c r="D838" t="s">
        <v>1026</v>
      </c>
      <c r="E838" t="s">
        <v>2817</v>
      </c>
    </row>
    <row r="839" spans="3:5">
      <c r="C839" t="e">
        <f t="shared" si="13"/>
        <v>#N/A</v>
      </c>
      <c r="D839" t="s">
        <v>1027</v>
      </c>
      <c r="E839" t="s">
        <v>2817</v>
      </c>
    </row>
    <row r="840" spans="3:5">
      <c r="C840" t="e">
        <f t="shared" si="13"/>
        <v>#N/A</v>
      </c>
      <c r="D840" t="s">
        <v>1028</v>
      </c>
      <c r="E840" t="s">
        <v>2817</v>
      </c>
    </row>
    <row r="841" spans="3:5">
      <c r="C841" t="e">
        <f t="shared" si="13"/>
        <v>#N/A</v>
      </c>
      <c r="D841" t="s">
        <v>1029</v>
      </c>
      <c r="E841" t="s">
        <v>2817</v>
      </c>
    </row>
    <row r="842" spans="3:5">
      <c r="C842" t="e">
        <f t="shared" si="13"/>
        <v>#N/A</v>
      </c>
      <c r="D842" t="s">
        <v>1030</v>
      </c>
      <c r="E842" t="s">
        <v>2817</v>
      </c>
    </row>
    <row r="843" spans="3:5">
      <c r="C843" t="e">
        <f t="shared" si="13"/>
        <v>#N/A</v>
      </c>
      <c r="D843" t="s">
        <v>1031</v>
      </c>
      <c r="E843" t="s">
        <v>2817</v>
      </c>
    </row>
    <row r="844" spans="3:5">
      <c r="C844" t="e">
        <f t="shared" si="13"/>
        <v>#N/A</v>
      </c>
      <c r="D844" t="s">
        <v>1032</v>
      </c>
      <c r="E844" t="s">
        <v>2817</v>
      </c>
    </row>
    <row r="845" spans="3:5">
      <c r="C845" t="e">
        <f t="shared" si="13"/>
        <v>#N/A</v>
      </c>
      <c r="D845" t="s">
        <v>1033</v>
      </c>
      <c r="E845" t="s">
        <v>2817</v>
      </c>
    </row>
    <row r="846" spans="3:5">
      <c r="C846" t="e">
        <f t="shared" si="13"/>
        <v>#N/A</v>
      </c>
      <c r="D846" t="s">
        <v>1034</v>
      </c>
      <c r="E846" t="s">
        <v>2817</v>
      </c>
    </row>
    <row r="847" spans="3:5">
      <c r="C847" t="e">
        <f t="shared" si="13"/>
        <v>#N/A</v>
      </c>
      <c r="D847" t="s">
        <v>1035</v>
      </c>
      <c r="E847" t="s">
        <v>2817</v>
      </c>
    </row>
    <row r="848" spans="3:5">
      <c r="C848" t="e">
        <f t="shared" si="13"/>
        <v>#N/A</v>
      </c>
      <c r="D848" t="s">
        <v>1036</v>
      </c>
      <c r="E848" t="s">
        <v>2817</v>
      </c>
    </row>
    <row r="849" spans="3:5">
      <c r="C849" t="e">
        <f t="shared" si="13"/>
        <v>#N/A</v>
      </c>
      <c r="D849" t="s">
        <v>1037</v>
      </c>
      <c r="E849" t="s">
        <v>2817</v>
      </c>
    </row>
    <row r="850" spans="3:5">
      <c r="C850" t="e">
        <f t="shared" si="13"/>
        <v>#N/A</v>
      </c>
      <c r="D850" t="s">
        <v>1038</v>
      </c>
      <c r="E850" t="s">
        <v>2817</v>
      </c>
    </row>
    <row r="851" spans="3:5">
      <c r="C851" t="e">
        <f t="shared" si="13"/>
        <v>#N/A</v>
      </c>
      <c r="D851" t="s">
        <v>1039</v>
      </c>
      <c r="E851" t="s">
        <v>2817</v>
      </c>
    </row>
    <row r="852" spans="3:5">
      <c r="C852" t="e">
        <f t="shared" si="13"/>
        <v>#N/A</v>
      </c>
      <c r="D852" t="s">
        <v>1040</v>
      </c>
      <c r="E852" t="s">
        <v>2817</v>
      </c>
    </row>
    <row r="853" spans="3:5">
      <c r="C853" t="e">
        <f t="shared" si="13"/>
        <v>#N/A</v>
      </c>
      <c r="D853" t="s">
        <v>1041</v>
      </c>
      <c r="E853" t="s">
        <v>2817</v>
      </c>
    </row>
    <row r="854" spans="3:5">
      <c r="C854" t="e">
        <f t="shared" si="13"/>
        <v>#N/A</v>
      </c>
      <c r="D854" t="s">
        <v>1042</v>
      </c>
      <c r="E854" t="s">
        <v>2817</v>
      </c>
    </row>
    <row r="855" spans="3:5">
      <c r="C855" t="e">
        <f t="shared" si="13"/>
        <v>#N/A</v>
      </c>
      <c r="D855" t="s">
        <v>1043</v>
      </c>
      <c r="E855" t="s">
        <v>2817</v>
      </c>
    </row>
    <row r="856" spans="3:5">
      <c r="C856" t="e">
        <f t="shared" si="13"/>
        <v>#N/A</v>
      </c>
      <c r="D856" t="s">
        <v>1044</v>
      </c>
      <c r="E856" t="s">
        <v>2817</v>
      </c>
    </row>
    <row r="857" spans="3:5">
      <c r="C857" t="e">
        <f t="shared" si="13"/>
        <v>#N/A</v>
      </c>
      <c r="D857" t="s">
        <v>1045</v>
      </c>
      <c r="E857" t="s">
        <v>2817</v>
      </c>
    </row>
    <row r="858" spans="3:5">
      <c r="C858" t="e">
        <f t="shared" si="13"/>
        <v>#N/A</v>
      </c>
      <c r="D858" t="s">
        <v>1046</v>
      </c>
      <c r="E858" t="s">
        <v>2817</v>
      </c>
    </row>
    <row r="859" spans="3:5">
      <c r="C859" t="e">
        <f t="shared" si="13"/>
        <v>#N/A</v>
      </c>
      <c r="D859" t="s">
        <v>1047</v>
      </c>
      <c r="E859" t="s">
        <v>2817</v>
      </c>
    </row>
    <row r="860" spans="3:5">
      <c r="C860" t="e">
        <f t="shared" si="13"/>
        <v>#N/A</v>
      </c>
      <c r="D860" t="s">
        <v>1048</v>
      </c>
      <c r="E860" t="s">
        <v>2817</v>
      </c>
    </row>
    <row r="861" spans="3:5">
      <c r="C861" t="e">
        <f t="shared" si="13"/>
        <v>#N/A</v>
      </c>
      <c r="D861" t="s">
        <v>1049</v>
      </c>
      <c r="E861" t="s">
        <v>2817</v>
      </c>
    </row>
    <row r="862" spans="3:5">
      <c r="C862" t="e">
        <f t="shared" si="13"/>
        <v>#N/A</v>
      </c>
      <c r="D862" t="s">
        <v>1050</v>
      </c>
      <c r="E862" t="s">
        <v>2817</v>
      </c>
    </row>
    <row r="863" spans="3:5">
      <c r="C863" t="e">
        <f t="shared" si="13"/>
        <v>#N/A</v>
      </c>
      <c r="D863" t="s">
        <v>1051</v>
      </c>
      <c r="E863" t="s">
        <v>2817</v>
      </c>
    </row>
    <row r="864" spans="3:5">
      <c r="C864" t="e">
        <f t="shared" si="13"/>
        <v>#N/A</v>
      </c>
      <c r="D864" t="s">
        <v>1052</v>
      </c>
      <c r="E864" t="s">
        <v>2817</v>
      </c>
    </row>
    <row r="865" spans="3:5">
      <c r="C865" t="e">
        <f t="shared" si="13"/>
        <v>#N/A</v>
      </c>
      <c r="D865" t="s">
        <v>1053</v>
      </c>
      <c r="E865" t="s">
        <v>2817</v>
      </c>
    </row>
    <row r="866" spans="3:5">
      <c r="C866" t="e">
        <f t="shared" si="13"/>
        <v>#N/A</v>
      </c>
      <c r="D866" t="s">
        <v>1054</v>
      </c>
      <c r="E866" t="s">
        <v>2817</v>
      </c>
    </row>
    <row r="867" spans="3:5">
      <c r="C867" t="e">
        <f t="shared" si="13"/>
        <v>#N/A</v>
      </c>
      <c r="D867" t="s">
        <v>1055</v>
      </c>
      <c r="E867" t="s">
        <v>2817</v>
      </c>
    </row>
    <row r="868" spans="3:5">
      <c r="C868" t="e">
        <f t="shared" si="13"/>
        <v>#N/A</v>
      </c>
      <c r="D868" t="s">
        <v>1056</v>
      </c>
      <c r="E868" t="s">
        <v>2817</v>
      </c>
    </row>
    <row r="869" spans="3:5">
      <c r="C869" t="e">
        <f t="shared" si="13"/>
        <v>#N/A</v>
      </c>
      <c r="D869" t="s">
        <v>1057</v>
      </c>
      <c r="E869" t="s">
        <v>2817</v>
      </c>
    </row>
    <row r="870" spans="3:5">
      <c r="C870" t="e">
        <f t="shared" si="13"/>
        <v>#N/A</v>
      </c>
      <c r="D870" t="s">
        <v>1058</v>
      </c>
      <c r="E870" t="s">
        <v>2817</v>
      </c>
    </row>
    <row r="871" spans="3:5">
      <c r="C871" t="e">
        <f t="shared" si="13"/>
        <v>#N/A</v>
      </c>
      <c r="D871" t="s">
        <v>1059</v>
      </c>
      <c r="E871" t="s">
        <v>2817</v>
      </c>
    </row>
    <row r="872" spans="3:5">
      <c r="C872" t="e">
        <f t="shared" si="13"/>
        <v>#N/A</v>
      </c>
      <c r="D872" t="s">
        <v>1060</v>
      </c>
      <c r="E872" t="s">
        <v>2817</v>
      </c>
    </row>
    <row r="873" spans="3:5">
      <c r="C873" t="e">
        <f t="shared" si="13"/>
        <v>#N/A</v>
      </c>
      <c r="D873" t="s">
        <v>1061</v>
      </c>
      <c r="E873" t="s">
        <v>2817</v>
      </c>
    </row>
    <row r="874" spans="3:5">
      <c r="C874" t="e">
        <f t="shared" si="13"/>
        <v>#N/A</v>
      </c>
      <c r="D874" t="s">
        <v>1062</v>
      </c>
      <c r="E874" t="s">
        <v>2817</v>
      </c>
    </row>
    <row r="875" spans="3:5">
      <c r="C875" t="e">
        <f t="shared" si="13"/>
        <v>#N/A</v>
      </c>
      <c r="D875" t="s">
        <v>1063</v>
      </c>
      <c r="E875" t="s">
        <v>2817</v>
      </c>
    </row>
    <row r="876" spans="3:5">
      <c r="C876" t="e">
        <f t="shared" si="13"/>
        <v>#N/A</v>
      </c>
      <c r="D876" t="s">
        <v>1064</v>
      </c>
      <c r="E876" t="s">
        <v>2817</v>
      </c>
    </row>
    <row r="877" spans="3:5">
      <c r="C877" t="e">
        <f t="shared" si="13"/>
        <v>#N/A</v>
      </c>
      <c r="D877" t="s">
        <v>1065</v>
      </c>
      <c r="E877" t="s">
        <v>2817</v>
      </c>
    </row>
    <row r="878" spans="3:5">
      <c r="C878" t="e">
        <f t="shared" si="13"/>
        <v>#N/A</v>
      </c>
      <c r="D878" t="s">
        <v>1066</v>
      </c>
      <c r="E878" t="s">
        <v>2817</v>
      </c>
    </row>
    <row r="879" spans="3:5">
      <c r="C879" t="e">
        <f t="shared" si="13"/>
        <v>#N/A</v>
      </c>
      <c r="D879" t="s">
        <v>1067</v>
      </c>
      <c r="E879" t="s">
        <v>2817</v>
      </c>
    </row>
    <row r="880" spans="3:5">
      <c r="C880" t="e">
        <f t="shared" si="13"/>
        <v>#N/A</v>
      </c>
      <c r="D880" t="s">
        <v>1068</v>
      </c>
      <c r="E880" t="s">
        <v>2817</v>
      </c>
    </row>
    <row r="881" spans="3:5">
      <c r="C881" t="e">
        <f t="shared" si="13"/>
        <v>#N/A</v>
      </c>
      <c r="D881" t="s">
        <v>1069</v>
      </c>
      <c r="E881" t="s">
        <v>2817</v>
      </c>
    </row>
    <row r="882" spans="3:5">
      <c r="C882" t="e">
        <f t="shared" si="13"/>
        <v>#N/A</v>
      </c>
      <c r="D882" t="s">
        <v>1070</v>
      </c>
      <c r="E882" t="s">
        <v>2817</v>
      </c>
    </row>
    <row r="883" spans="3:5">
      <c r="C883" t="e">
        <f t="shared" si="13"/>
        <v>#N/A</v>
      </c>
      <c r="D883" t="s">
        <v>1071</v>
      </c>
      <c r="E883" t="s">
        <v>2817</v>
      </c>
    </row>
    <row r="884" spans="3:5">
      <c r="C884" t="e">
        <f t="shared" si="13"/>
        <v>#N/A</v>
      </c>
      <c r="D884" t="s">
        <v>1072</v>
      </c>
      <c r="E884" t="s">
        <v>2817</v>
      </c>
    </row>
    <row r="885" spans="3:5">
      <c r="C885" t="e">
        <f t="shared" si="13"/>
        <v>#N/A</v>
      </c>
      <c r="D885" t="s">
        <v>1073</v>
      </c>
      <c r="E885" t="s">
        <v>2817</v>
      </c>
    </row>
    <row r="886" spans="3:5">
      <c r="C886" t="e">
        <f t="shared" si="13"/>
        <v>#N/A</v>
      </c>
      <c r="D886" t="s">
        <v>1074</v>
      </c>
      <c r="E886" t="s">
        <v>2817</v>
      </c>
    </row>
    <row r="887" spans="3:5">
      <c r="C887" t="e">
        <f t="shared" si="13"/>
        <v>#N/A</v>
      </c>
      <c r="D887" t="s">
        <v>1075</v>
      </c>
      <c r="E887" t="s">
        <v>2817</v>
      </c>
    </row>
    <row r="888" spans="3:5">
      <c r="C888" t="e">
        <f t="shared" si="13"/>
        <v>#N/A</v>
      </c>
      <c r="D888" t="s">
        <v>1076</v>
      </c>
      <c r="E888" t="s">
        <v>2817</v>
      </c>
    </row>
    <row r="889" spans="3:5">
      <c r="C889" t="e">
        <f t="shared" si="13"/>
        <v>#N/A</v>
      </c>
      <c r="D889" t="s">
        <v>1077</v>
      </c>
      <c r="E889" t="s">
        <v>2817</v>
      </c>
    </row>
    <row r="890" spans="3:5">
      <c r="C890" t="e">
        <f t="shared" si="13"/>
        <v>#N/A</v>
      </c>
      <c r="D890" t="s">
        <v>1078</v>
      </c>
      <c r="E890" t="s">
        <v>2817</v>
      </c>
    </row>
    <row r="891" spans="3:5">
      <c r="C891" t="e">
        <f t="shared" si="13"/>
        <v>#N/A</v>
      </c>
      <c r="D891" t="s">
        <v>1079</v>
      </c>
      <c r="E891" t="s">
        <v>2817</v>
      </c>
    </row>
    <row r="892" spans="3:5">
      <c r="C892" t="e">
        <f t="shared" si="13"/>
        <v>#N/A</v>
      </c>
      <c r="D892" t="s">
        <v>1080</v>
      </c>
      <c r="E892" t="s">
        <v>2817</v>
      </c>
    </row>
    <row r="893" spans="3:5">
      <c r="C893" t="e">
        <f t="shared" si="13"/>
        <v>#N/A</v>
      </c>
      <c r="D893" t="s">
        <v>1081</v>
      </c>
      <c r="E893" t="s">
        <v>2817</v>
      </c>
    </row>
    <row r="894" spans="3:5">
      <c r="C894" t="e">
        <f t="shared" si="13"/>
        <v>#N/A</v>
      </c>
      <c r="D894" t="s">
        <v>1082</v>
      </c>
      <c r="E894" t="s">
        <v>2817</v>
      </c>
    </row>
    <row r="895" spans="3:5">
      <c r="C895" t="e">
        <f t="shared" si="13"/>
        <v>#N/A</v>
      </c>
      <c r="D895" t="s">
        <v>1083</v>
      </c>
      <c r="E895" t="s">
        <v>2817</v>
      </c>
    </row>
    <row r="896" spans="3:5">
      <c r="C896" t="e">
        <f t="shared" si="13"/>
        <v>#N/A</v>
      </c>
      <c r="D896" t="s">
        <v>1084</v>
      </c>
      <c r="E896" t="s">
        <v>2817</v>
      </c>
    </row>
    <row r="897" spans="3:5">
      <c r="C897" t="e">
        <f t="shared" si="13"/>
        <v>#N/A</v>
      </c>
      <c r="D897" t="s">
        <v>1085</v>
      </c>
      <c r="E897" t="s">
        <v>2817</v>
      </c>
    </row>
    <row r="898" spans="3:5">
      <c r="C898" t="e">
        <f t="shared" si="13"/>
        <v>#N/A</v>
      </c>
      <c r="D898" t="s">
        <v>1086</v>
      </c>
      <c r="E898" t="s">
        <v>2817</v>
      </c>
    </row>
    <row r="899" spans="3:5">
      <c r="C899" t="e">
        <f t="shared" ref="C899:C962" si="14">VLOOKUP(B899,D:E,2,0)</f>
        <v>#N/A</v>
      </c>
      <c r="D899" t="s">
        <v>1087</v>
      </c>
      <c r="E899" t="s">
        <v>2817</v>
      </c>
    </row>
    <row r="900" spans="3:5">
      <c r="C900" t="e">
        <f t="shared" si="14"/>
        <v>#N/A</v>
      </c>
      <c r="D900" t="s">
        <v>1088</v>
      </c>
      <c r="E900" t="s">
        <v>2817</v>
      </c>
    </row>
    <row r="901" spans="3:5">
      <c r="C901" t="e">
        <f t="shared" si="14"/>
        <v>#N/A</v>
      </c>
      <c r="D901" t="s">
        <v>1089</v>
      </c>
      <c r="E901" t="s">
        <v>2817</v>
      </c>
    </row>
    <row r="902" spans="3:5">
      <c r="C902" t="e">
        <f t="shared" si="14"/>
        <v>#N/A</v>
      </c>
      <c r="D902" t="s">
        <v>1090</v>
      </c>
      <c r="E902" t="s">
        <v>2817</v>
      </c>
    </row>
    <row r="903" spans="3:5">
      <c r="C903" t="e">
        <f t="shared" si="14"/>
        <v>#N/A</v>
      </c>
      <c r="D903" t="s">
        <v>1091</v>
      </c>
      <c r="E903" t="s">
        <v>2817</v>
      </c>
    </row>
    <row r="904" spans="3:5">
      <c r="C904" t="e">
        <f t="shared" si="14"/>
        <v>#N/A</v>
      </c>
      <c r="D904" t="s">
        <v>1092</v>
      </c>
      <c r="E904" t="s">
        <v>2817</v>
      </c>
    </row>
    <row r="905" spans="3:5">
      <c r="C905" t="e">
        <f t="shared" si="14"/>
        <v>#N/A</v>
      </c>
      <c r="D905" t="s">
        <v>1093</v>
      </c>
      <c r="E905" t="s">
        <v>2817</v>
      </c>
    </row>
    <row r="906" spans="3:5">
      <c r="C906" t="e">
        <f t="shared" si="14"/>
        <v>#N/A</v>
      </c>
      <c r="D906" t="s">
        <v>1094</v>
      </c>
      <c r="E906" t="s">
        <v>2817</v>
      </c>
    </row>
    <row r="907" spans="3:5">
      <c r="C907" t="e">
        <f t="shared" si="14"/>
        <v>#N/A</v>
      </c>
      <c r="D907" t="s">
        <v>1095</v>
      </c>
      <c r="E907" t="s">
        <v>2817</v>
      </c>
    </row>
    <row r="908" spans="3:5">
      <c r="C908" t="e">
        <f t="shared" si="14"/>
        <v>#N/A</v>
      </c>
      <c r="D908" t="s">
        <v>1096</v>
      </c>
      <c r="E908" t="s">
        <v>2817</v>
      </c>
    </row>
    <row r="909" spans="3:5">
      <c r="C909" t="e">
        <f t="shared" si="14"/>
        <v>#N/A</v>
      </c>
      <c r="D909" t="s">
        <v>1097</v>
      </c>
      <c r="E909" t="s">
        <v>2817</v>
      </c>
    </row>
    <row r="910" spans="3:5">
      <c r="C910" t="e">
        <f t="shared" si="14"/>
        <v>#N/A</v>
      </c>
      <c r="D910" t="s">
        <v>1098</v>
      </c>
      <c r="E910" t="s">
        <v>2817</v>
      </c>
    </row>
    <row r="911" spans="3:5">
      <c r="C911" t="e">
        <f t="shared" si="14"/>
        <v>#N/A</v>
      </c>
      <c r="D911" t="s">
        <v>1099</v>
      </c>
      <c r="E911" t="s">
        <v>2817</v>
      </c>
    </row>
    <row r="912" spans="3:5">
      <c r="C912" t="e">
        <f t="shared" si="14"/>
        <v>#N/A</v>
      </c>
      <c r="D912" t="s">
        <v>1100</v>
      </c>
      <c r="E912" t="s">
        <v>2817</v>
      </c>
    </row>
    <row r="913" spans="3:5">
      <c r="C913" t="e">
        <f t="shared" si="14"/>
        <v>#N/A</v>
      </c>
      <c r="D913" t="s">
        <v>1101</v>
      </c>
      <c r="E913" t="s">
        <v>2817</v>
      </c>
    </row>
    <row r="914" spans="3:5">
      <c r="C914" t="e">
        <f t="shared" si="14"/>
        <v>#N/A</v>
      </c>
      <c r="D914" t="s">
        <v>1102</v>
      </c>
      <c r="E914" t="s">
        <v>2817</v>
      </c>
    </row>
    <row r="915" spans="3:5">
      <c r="C915" t="e">
        <f t="shared" si="14"/>
        <v>#N/A</v>
      </c>
      <c r="D915" t="s">
        <v>1103</v>
      </c>
      <c r="E915" t="s">
        <v>2817</v>
      </c>
    </row>
    <row r="916" spans="3:5">
      <c r="C916" t="e">
        <f t="shared" si="14"/>
        <v>#N/A</v>
      </c>
      <c r="D916" t="s">
        <v>1104</v>
      </c>
      <c r="E916" t="s">
        <v>2817</v>
      </c>
    </row>
    <row r="917" spans="3:5">
      <c r="C917" t="e">
        <f t="shared" si="14"/>
        <v>#N/A</v>
      </c>
      <c r="D917" t="s">
        <v>1105</v>
      </c>
      <c r="E917" t="s">
        <v>2817</v>
      </c>
    </row>
    <row r="918" spans="3:5">
      <c r="C918" t="e">
        <f t="shared" si="14"/>
        <v>#N/A</v>
      </c>
      <c r="D918" t="s">
        <v>1106</v>
      </c>
      <c r="E918" t="s">
        <v>2817</v>
      </c>
    </row>
    <row r="919" spans="3:5">
      <c r="C919" t="e">
        <f t="shared" si="14"/>
        <v>#N/A</v>
      </c>
      <c r="D919" t="s">
        <v>1107</v>
      </c>
      <c r="E919" t="s">
        <v>2817</v>
      </c>
    </row>
    <row r="920" spans="3:5">
      <c r="C920" t="e">
        <f t="shared" si="14"/>
        <v>#N/A</v>
      </c>
      <c r="D920" t="s">
        <v>1108</v>
      </c>
      <c r="E920" t="s">
        <v>2817</v>
      </c>
    </row>
    <row r="921" spans="3:5">
      <c r="C921" t="e">
        <f t="shared" si="14"/>
        <v>#N/A</v>
      </c>
      <c r="D921" t="s">
        <v>1109</v>
      </c>
      <c r="E921" t="s">
        <v>2817</v>
      </c>
    </row>
    <row r="922" spans="3:5">
      <c r="C922" t="e">
        <f t="shared" si="14"/>
        <v>#N/A</v>
      </c>
      <c r="D922" t="s">
        <v>1110</v>
      </c>
      <c r="E922" t="s">
        <v>2817</v>
      </c>
    </row>
    <row r="923" spans="3:5">
      <c r="C923" t="e">
        <f t="shared" si="14"/>
        <v>#N/A</v>
      </c>
      <c r="D923" t="s">
        <v>1111</v>
      </c>
      <c r="E923" t="s">
        <v>2817</v>
      </c>
    </row>
    <row r="924" spans="3:5">
      <c r="C924" t="e">
        <f t="shared" si="14"/>
        <v>#N/A</v>
      </c>
      <c r="D924" t="s">
        <v>1112</v>
      </c>
      <c r="E924" t="s">
        <v>2817</v>
      </c>
    </row>
    <row r="925" spans="3:5">
      <c r="C925" t="e">
        <f t="shared" si="14"/>
        <v>#N/A</v>
      </c>
      <c r="D925" t="s">
        <v>1113</v>
      </c>
      <c r="E925" t="s">
        <v>2817</v>
      </c>
    </row>
    <row r="926" spans="3:5">
      <c r="C926" t="e">
        <f t="shared" si="14"/>
        <v>#N/A</v>
      </c>
      <c r="D926" t="s">
        <v>1114</v>
      </c>
      <c r="E926" t="s">
        <v>2817</v>
      </c>
    </row>
    <row r="927" spans="3:5">
      <c r="C927" t="e">
        <f t="shared" si="14"/>
        <v>#N/A</v>
      </c>
      <c r="D927" t="s">
        <v>1115</v>
      </c>
      <c r="E927" t="s">
        <v>2817</v>
      </c>
    </row>
    <row r="928" spans="3:5">
      <c r="C928" t="e">
        <f t="shared" si="14"/>
        <v>#N/A</v>
      </c>
      <c r="D928" t="s">
        <v>1116</v>
      </c>
      <c r="E928" t="s">
        <v>2817</v>
      </c>
    </row>
    <row r="929" spans="3:5">
      <c r="C929" t="e">
        <f t="shared" si="14"/>
        <v>#N/A</v>
      </c>
      <c r="D929" t="s">
        <v>1117</v>
      </c>
      <c r="E929" t="s">
        <v>2817</v>
      </c>
    </row>
    <row r="930" spans="3:5">
      <c r="C930" t="e">
        <f t="shared" si="14"/>
        <v>#N/A</v>
      </c>
      <c r="D930" t="s">
        <v>1118</v>
      </c>
      <c r="E930" t="s">
        <v>2817</v>
      </c>
    </row>
    <row r="931" spans="3:5">
      <c r="C931" t="e">
        <f t="shared" si="14"/>
        <v>#N/A</v>
      </c>
      <c r="D931" t="s">
        <v>1119</v>
      </c>
      <c r="E931" t="s">
        <v>2817</v>
      </c>
    </row>
    <row r="932" spans="3:5">
      <c r="C932" t="e">
        <f t="shared" si="14"/>
        <v>#N/A</v>
      </c>
      <c r="D932" t="s">
        <v>1120</v>
      </c>
      <c r="E932" t="s">
        <v>2817</v>
      </c>
    </row>
    <row r="933" spans="3:5">
      <c r="C933" t="e">
        <f t="shared" si="14"/>
        <v>#N/A</v>
      </c>
      <c r="D933" t="s">
        <v>1121</v>
      </c>
      <c r="E933" t="s">
        <v>2817</v>
      </c>
    </row>
    <row r="934" spans="3:5">
      <c r="C934" t="e">
        <f t="shared" si="14"/>
        <v>#N/A</v>
      </c>
      <c r="D934" t="s">
        <v>1122</v>
      </c>
      <c r="E934" t="s">
        <v>2817</v>
      </c>
    </row>
    <row r="935" spans="3:5">
      <c r="C935" t="e">
        <f t="shared" si="14"/>
        <v>#N/A</v>
      </c>
      <c r="D935" t="s">
        <v>1123</v>
      </c>
      <c r="E935" t="s">
        <v>2817</v>
      </c>
    </row>
    <row r="936" spans="3:5">
      <c r="C936" t="e">
        <f t="shared" si="14"/>
        <v>#N/A</v>
      </c>
      <c r="D936" t="s">
        <v>1124</v>
      </c>
      <c r="E936" t="s">
        <v>2817</v>
      </c>
    </row>
    <row r="937" spans="3:5">
      <c r="C937" t="e">
        <f t="shared" si="14"/>
        <v>#N/A</v>
      </c>
      <c r="D937" t="s">
        <v>1125</v>
      </c>
      <c r="E937" t="s">
        <v>2817</v>
      </c>
    </row>
    <row r="938" spans="3:5">
      <c r="C938" t="e">
        <f t="shared" si="14"/>
        <v>#N/A</v>
      </c>
      <c r="D938" t="s">
        <v>1126</v>
      </c>
      <c r="E938" t="s">
        <v>2817</v>
      </c>
    </row>
    <row r="939" spans="3:5">
      <c r="C939" t="e">
        <f t="shared" si="14"/>
        <v>#N/A</v>
      </c>
      <c r="D939" t="s">
        <v>1127</v>
      </c>
      <c r="E939" t="s">
        <v>2817</v>
      </c>
    </row>
    <row r="940" spans="3:5">
      <c r="C940" t="e">
        <f t="shared" si="14"/>
        <v>#N/A</v>
      </c>
      <c r="D940" t="s">
        <v>1128</v>
      </c>
      <c r="E940" t="s">
        <v>2817</v>
      </c>
    </row>
    <row r="941" spans="3:5">
      <c r="C941" t="e">
        <f t="shared" si="14"/>
        <v>#N/A</v>
      </c>
      <c r="D941" t="s">
        <v>1129</v>
      </c>
      <c r="E941" t="s">
        <v>2817</v>
      </c>
    </row>
    <row r="942" spans="3:5">
      <c r="C942" t="e">
        <f t="shared" si="14"/>
        <v>#N/A</v>
      </c>
      <c r="D942" t="s">
        <v>1130</v>
      </c>
      <c r="E942" t="s">
        <v>2817</v>
      </c>
    </row>
    <row r="943" spans="3:5">
      <c r="C943" t="e">
        <f t="shared" si="14"/>
        <v>#N/A</v>
      </c>
      <c r="D943" t="s">
        <v>1131</v>
      </c>
      <c r="E943" t="s">
        <v>2817</v>
      </c>
    </row>
    <row r="944" spans="3:5">
      <c r="C944" t="e">
        <f t="shared" si="14"/>
        <v>#N/A</v>
      </c>
      <c r="D944" t="s">
        <v>1132</v>
      </c>
      <c r="E944" t="s">
        <v>2817</v>
      </c>
    </row>
    <row r="945" spans="3:5">
      <c r="C945" t="e">
        <f t="shared" si="14"/>
        <v>#N/A</v>
      </c>
      <c r="D945" t="s">
        <v>1133</v>
      </c>
      <c r="E945" t="s">
        <v>2817</v>
      </c>
    </row>
    <row r="946" spans="3:5">
      <c r="C946" t="e">
        <f t="shared" si="14"/>
        <v>#N/A</v>
      </c>
      <c r="D946" t="s">
        <v>1134</v>
      </c>
      <c r="E946" t="s">
        <v>2817</v>
      </c>
    </row>
    <row r="947" spans="3:5">
      <c r="C947" t="e">
        <f t="shared" si="14"/>
        <v>#N/A</v>
      </c>
      <c r="D947" t="s">
        <v>1135</v>
      </c>
      <c r="E947" t="s">
        <v>2817</v>
      </c>
    </row>
    <row r="948" spans="3:5">
      <c r="C948" t="e">
        <f t="shared" si="14"/>
        <v>#N/A</v>
      </c>
      <c r="D948" t="s">
        <v>1136</v>
      </c>
      <c r="E948" t="s">
        <v>2817</v>
      </c>
    </row>
    <row r="949" spans="3:5">
      <c r="C949" t="e">
        <f t="shared" si="14"/>
        <v>#N/A</v>
      </c>
      <c r="D949" t="s">
        <v>1137</v>
      </c>
      <c r="E949" t="s">
        <v>2817</v>
      </c>
    </row>
    <row r="950" spans="3:5">
      <c r="C950" t="e">
        <f t="shared" si="14"/>
        <v>#N/A</v>
      </c>
      <c r="D950" t="s">
        <v>1138</v>
      </c>
      <c r="E950" t="s">
        <v>2817</v>
      </c>
    </row>
    <row r="951" spans="3:5">
      <c r="C951" t="e">
        <f t="shared" si="14"/>
        <v>#N/A</v>
      </c>
      <c r="D951" t="s">
        <v>1139</v>
      </c>
      <c r="E951" t="s">
        <v>2817</v>
      </c>
    </row>
    <row r="952" spans="3:5">
      <c r="C952" t="e">
        <f t="shared" si="14"/>
        <v>#N/A</v>
      </c>
      <c r="D952" t="s">
        <v>1140</v>
      </c>
      <c r="E952" t="s">
        <v>2817</v>
      </c>
    </row>
    <row r="953" spans="3:5">
      <c r="C953" t="e">
        <f t="shared" si="14"/>
        <v>#N/A</v>
      </c>
      <c r="D953" t="s">
        <v>1141</v>
      </c>
      <c r="E953" t="s">
        <v>2817</v>
      </c>
    </row>
    <row r="954" spans="3:5">
      <c r="C954" t="e">
        <f t="shared" si="14"/>
        <v>#N/A</v>
      </c>
      <c r="D954" t="s">
        <v>1142</v>
      </c>
      <c r="E954" t="s">
        <v>2817</v>
      </c>
    </row>
    <row r="955" spans="3:5">
      <c r="C955" t="e">
        <f t="shared" si="14"/>
        <v>#N/A</v>
      </c>
      <c r="D955" t="s">
        <v>1143</v>
      </c>
      <c r="E955" t="s">
        <v>2817</v>
      </c>
    </row>
    <row r="956" spans="3:5">
      <c r="C956" t="e">
        <f t="shared" si="14"/>
        <v>#N/A</v>
      </c>
      <c r="D956" t="s">
        <v>1144</v>
      </c>
      <c r="E956" t="s">
        <v>2817</v>
      </c>
    </row>
    <row r="957" spans="3:5">
      <c r="C957" t="e">
        <f t="shared" si="14"/>
        <v>#N/A</v>
      </c>
      <c r="D957" t="s">
        <v>1145</v>
      </c>
      <c r="E957" t="s">
        <v>2817</v>
      </c>
    </row>
    <row r="958" spans="3:5">
      <c r="C958" t="e">
        <f t="shared" si="14"/>
        <v>#N/A</v>
      </c>
      <c r="D958" t="s">
        <v>1146</v>
      </c>
      <c r="E958" t="s">
        <v>2817</v>
      </c>
    </row>
    <row r="959" spans="3:5">
      <c r="C959" t="e">
        <f t="shared" si="14"/>
        <v>#N/A</v>
      </c>
      <c r="D959" t="s">
        <v>1147</v>
      </c>
      <c r="E959" t="s">
        <v>2817</v>
      </c>
    </row>
    <row r="960" spans="3:5">
      <c r="C960" t="e">
        <f t="shared" si="14"/>
        <v>#N/A</v>
      </c>
      <c r="D960" t="s">
        <v>1148</v>
      </c>
      <c r="E960" t="s">
        <v>2817</v>
      </c>
    </row>
    <row r="961" spans="3:5">
      <c r="C961" t="e">
        <f t="shared" si="14"/>
        <v>#N/A</v>
      </c>
      <c r="D961" t="s">
        <v>1149</v>
      </c>
      <c r="E961" t="s">
        <v>2817</v>
      </c>
    </row>
    <row r="962" spans="3:5">
      <c r="C962" t="e">
        <f t="shared" si="14"/>
        <v>#N/A</v>
      </c>
      <c r="D962" t="s">
        <v>1150</v>
      </c>
      <c r="E962" t="s">
        <v>2817</v>
      </c>
    </row>
    <row r="963" spans="3:5">
      <c r="C963" t="e">
        <f t="shared" ref="C963:C1026" si="15">VLOOKUP(B963,D:E,2,0)</f>
        <v>#N/A</v>
      </c>
      <c r="D963" t="s">
        <v>1151</v>
      </c>
      <c r="E963" t="s">
        <v>2817</v>
      </c>
    </row>
    <row r="964" spans="3:5">
      <c r="C964" t="e">
        <f t="shared" si="15"/>
        <v>#N/A</v>
      </c>
      <c r="D964" t="s">
        <v>1152</v>
      </c>
      <c r="E964" t="s">
        <v>2817</v>
      </c>
    </row>
    <row r="965" spans="3:5">
      <c r="C965" t="e">
        <f t="shared" si="15"/>
        <v>#N/A</v>
      </c>
      <c r="D965" t="s">
        <v>1153</v>
      </c>
      <c r="E965" t="s">
        <v>2817</v>
      </c>
    </row>
    <row r="966" spans="3:5">
      <c r="C966" t="e">
        <f t="shared" si="15"/>
        <v>#N/A</v>
      </c>
      <c r="D966" t="s">
        <v>1154</v>
      </c>
      <c r="E966" t="s">
        <v>2817</v>
      </c>
    </row>
    <row r="967" spans="3:5">
      <c r="C967" t="e">
        <f t="shared" si="15"/>
        <v>#N/A</v>
      </c>
      <c r="D967" t="s">
        <v>1155</v>
      </c>
      <c r="E967" t="s">
        <v>2817</v>
      </c>
    </row>
    <row r="968" spans="3:5">
      <c r="C968" t="e">
        <f t="shared" si="15"/>
        <v>#N/A</v>
      </c>
      <c r="D968" t="s">
        <v>1156</v>
      </c>
      <c r="E968" t="s">
        <v>2817</v>
      </c>
    </row>
    <row r="969" spans="3:5">
      <c r="C969" t="e">
        <f t="shared" si="15"/>
        <v>#N/A</v>
      </c>
      <c r="D969" t="s">
        <v>1157</v>
      </c>
      <c r="E969" t="s">
        <v>2817</v>
      </c>
    </row>
    <row r="970" spans="3:5">
      <c r="C970" t="e">
        <f t="shared" si="15"/>
        <v>#N/A</v>
      </c>
      <c r="D970" t="s">
        <v>1158</v>
      </c>
      <c r="E970" t="s">
        <v>2817</v>
      </c>
    </row>
    <row r="971" spans="3:5">
      <c r="C971" t="e">
        <f t="shared" si="15"/>
        <v>#N/A</v>
      </c>
      <c r="D971" t="s">
        <v>1159</v>
      </c>
      <c r="E971" t="s">
        <v>2817</v>
      </c>
    </row>
    <row r="972" spans="3:5">
      <c r="C972" t="e">
        <f t="shared" si="15"/>
        <v>#N/A</v>
      </c>
      <c r="D972" t="s">
        <v>1160</v>
      </c>
      <c r="E972" t="s">
        <v>2817</v>
      </c>
    </row>
    <row r="973" spans="3:5">
      <c r="C973" t="e">
        <f t="shared" si="15"/>
        <v>#N/A</v>
      </c>
      <c r="D973" t="s">
        <v>1161</v>
      </c>
      <c r="E973" t="s">
        <v>2817</v>
      </c>
    </row>
    <row r="974" spans="3:5">
      <c r="C974" t="e">
        <f t="shared" si="15"/>
        <v>#N/A</v>
      </c>
      <c r="D974" t="s">
        <v>1162</v>
      </c>
      <c r="E974" t="s">
        <v>2817</v>
      </c>
    </row>
    <row r="975" spans="3:5">
      <c r="C975" t="e">
        <f t="shared" si="15"/>
        <v>#N/A</v>
      </c>
      <c r="D975" t="s">
        <v>1163</v>
      </c>
      <c r="E975" t="s">
        <v>2817</v>
      </c>
    </row>
    <row r="976" spans="3:5">
      <c r="C976" t="e">
        <f t="shared" si="15"/>
        <v>#N/A</v>
      </c>
      <c r="D976" t="s">
        <v>1164</v>
      </c>
      <c r="E976" t="s">
        <v>2817</v>
      </c>
    </row>
    <row r="977" spans="3:5">
      <c r="C977" t="e">
        <f t="shared" si="15"/>
        <v>#N/A</v>
      </c>
      <c r="D977" t="s">
        <v>1165</v>
      </c>
      <c r="E977" t="s">
        <v>2817</v>
      </c>
    </row>
    <row r="978" spans="3:5">
      <c r="C978" t="e">
        <f t="shared" si="15"/>
        <v>#N/A</v>
      </c>
      <c r="D978" t="s">
        <v>1166</v>
      </c>
      <c r="E978" t="s">
        <v>2817</v>
      </c>
    </row>
    <row r="979" spans="3:5">
      <c r="C979" t="e">
        <f t="shared" si="15"/>
        <v>#N/A</v>
      </c>
      <c r="D979" t="s">
        <v>1167</v>
      </c>
      <c r="E979" t="s">
        <v>2817</v>
      </c>
    </row>
    <row r="980" spans="3:5">
      <c r="C980" t="e">
        <f t="shared" si="15"/>
        <v>#N/A</v>
      </c>
      <c r="D980" t="s">
        <v>1168</v>
      </c>
      <c r="E980" t="s">
        <v>2817</v>
      </c>
    </row>
    <row r="981" spans="3:5">
      <c r="C981" t="e">
        <f t="shared" si="15"/>
        <v>#N/A</v>
      </c>
      <c r="D981" t="s">
        <v>1169</v>
      </c>
      <c r="E981" t="s">
        <v>2817</v>
      </c>
    </row>
    <row r="982" spans="3:5">
      <c r="C982" t="e">
        <f t="shared" si="15"/>
        <v>#N/A</v>
      </c>
      <c r="D982" t="s">
        <v>1170</v>
      </c>
      <c r="E982" t="s">
        <v>2817</v>
      </c>
    </row>
    <row r="983" spans="3:5">
      <c r="C983" t="e">
        <f t="shared" si="15"/>
        <v>#N/A</v>
      </c>
      <c r="D983" t="s">
        <v>1171</v>
      </c>
      <c r="E983" t="s">
        <v>2817</v>
      </c>
    </row>
    <row r="984" spans="3:5">
      <c r="C984" t="e">
        <f t="shared" si="15"/>
        <v>#N/A</v>
      </c>
      <c r="D984" t="s">
        <v>1172</v>
      </c>
      <c r="E984" t="s">
        <v>2817</v>
      </c>
    </row>
    <row r="985" spans="3:5">
      <c r="C985" t="e">
        <f t="shared" si="15"/>
        <v>#N/A</v>
      </c>
      <c r="D985" t="s">
        <v>1173</v>
      </c>
      <c r="E985" t="s">
        <v>2817</v>
      </c>
    </row>
    <row r="986" spans="3:5">
      <c r="C986" t="e">
        <f t="shared" si="15"/>
        <v>#N/A</v>
      </c>
      <c r="D986" t="s">
        <v>1174</v>
      </c>
      <c r="E986" t="s">
        <v>2817</v>
      </c>
    </row>
    <row r="987" spans="3:5">
      <c r="C987" t="e">
        <f t="shared" si="15"/>
        <v>#N/A</v>
      </c>
      <c r="D987" t="s">
        <v>1175</v>
      </c>
      <c r="E987" t="s">
        <v>2817</v>
      </c>
    </row>
    <row r="988" spans="3:5">
      <c r="C988" t="e">
        <f t="shared" si="15"/>
        <v>#N/A</v>
      </c>
      <c r="D988" t="s">
        <v>1176</v>
      </c>
      <c r="E988" t="s">
        <v>2817</v>
      </c>
    </row>
    <row r="989" spans="3:5">
      <c r="C989" t="e">
        <f t="shared" si="15"/>
        <v>#N/A</v>
      </c>
      <c r="D989" t="s">
        <v>1177</v>
      </c>
      <c r="E989" t="s">
        <v>2817</v>
      </c>
    </row>
    <row r="990" spans="3:5">
      <c r="C990" t="e">
        <f t="shared" si="15"/>
        <v>#N/A</v>
      </c>
      <c r="D990" t="s">
        <v>1178</v>
      </c>
      <c r="E990" t="s">
        <v>2817</v>
      </c>
    </row>
    <row r="991" spans="3:5">
      <c r="C991" t="e">
        <f t="shared" si="15"/>
        <v>#N/A</v>
      </c>
      <c r="D991" t="s">
        <v>1179</v>
      </c>
      <c r="E991" t="s">
        <v>2817</v>
      </c>
    </row>
    <row r="992" spans="3:5">
      <c r="C992" t="e">
        <f t="shared" si="15"/>
        <v>#N/A</v>
      </c>
      <c r="D992" t="s">
        <v>1180</v>
      </c>
      <c r="E992" t="s">
        <v>2817</v>
      </c>
    </row>
    <row r="993" spans="3:5">
      <c r="C993" t="e">
        <f t="shared" si="15"/>
        <v>#N/A</v>
      </c>
      <c r="D993" t="s">
        <v>1181</v>
      </c>
      <c r="E993" t="s">
        <v>2817</v>
      </c>
    </row>
    <row r="994" spans="3:5">
      <c r="C994" t="e">
        <f t="shared" si="15"/>
        <v>#N/A</v>
      </c>
      <c r="D994" t="s">
        <v>1182</v>
      </c>
      <c r="E994" t="s">
        <v>2817</v>
      </c>
    </row>
    <row r="995" spans="3:5">
      <c r="C995" t="e">
        <f t="shared" si="15"/>
        <v>#N/A</v>
      </c>
      <c r="D995" t="s">
        <v>1183</v>
      </c>
      <c r="E995" t="s">
        <v>2817</v>
      </c>
    </row>
    <row r="996" spans="3:5">
      <c r="C996" t="e">
        <f t="shared" si="15"/>
        <v>#N/A</v>
      </c>
      <c r="D996" t="s">
        <v>1184</v>
      </c>
      <c r="E996" t="s">
        <v>2817</v>
      </c>
    </row>
    <row r="997" spans="3:5">
      <c r="C997" t="e">
        <f t="shared" si="15"/>
        <v>#N/A</v>
      </c>
      <c r="D997" t="s">
        <v>1185</v>
      </c>
      <c r="E997" t="s">
        <v>2817</v>
      </c>
    </row>
    <row r="998" spans="3:5">
      <c r="C998" t="e">
        <f t="shared" si="15"/>
        <v>#N/A</v>
      </c>
      <c r="D998" t="s">
        <v>1186</v>
      </c>
      <c r="E998" t="s">
        <v>2817</v>
      </c>
    </row>
    <row r="999" spans="3:5">
      <c r="C999" t="e">
        <f t="shared" si="15"/>
        <v>#N/A</v>
      </c>
      <c r="D999" t="s">
        <v>1187</v>
      </c>
      <c r="E999" t="s">
        <v>2817</v>
      </c>
    </row>
    <row r="1000" spans="3:5">
      <c r="C1000" t="e">
        <f t="shared" si="15"/>
        <v>#N/A</v>
      </c>
      <c r="D1000" t="s">
        <v>1188</v>
      </c>
      <c r="E1000" t="s">
        <v>2817</v>
      </c>
    </row>
    <row r="1001" spans="3:5">
      <c r="C1001" t="e">
        <f t="shared" si="15"/>
        <v>#N/A</v>
      </c>
      <c r="D1001" t="s">
        <v>1189</v>
      </c>
      <c r="E1001" t="s">
        <v>2817</v>
      </c>
    </row>
    <row r="1002" spans="3:5">
      <c r="C1002" t="e">
        <f t="shared" si="15"/>
        <v>#N/A</v>
      </c>
      <c r="D1002" t="s">
        <v>1190</v>
      </c>
      <c r="E1002" t="s">
        <v>2817</v>
      </c>
    </row>
    <row r="1003" spans="3:5">
      <c r="C1003" t="e">
        <f t="shared" si="15"/>
        <v>#N/A</v>
      </c>
      <c r="D1003" t="s">
        <v>1191</v>
      </c>
      <c r="E1003" t="s">
        <v>2817</v>
      </c>
    </row>
    <row r="1004" spans="3:5">
      <c r="C1004" t="e">
        <f t="shared" si="15"/>
        <v>#N/A</v>
      </c>
      <c r="D1004" t="s">
        <v>1192</v>
      </c>
      <c r="E1004" t="s">
        <v>2817</v>
      </c>
    </row>
    <row r="1005" spans="3:5">
      <c r="C1005" t="e">
        <f t="shared" si="15"/>
        <v>#N/A</v>
      </c>
      <c r="D1005" t="s">
        <v>1193</v>
      </c>
      <c r="E1005" t="s">
        <v>2817</v>
      </c>
    </row>
    <row r="1006" spans="3:5">
      <c r="C1006" t="e">
        <f t="shared" si="15"/>
        <v>#N/A</v>
      </c>
      <c r="D1006" t="s">
        <v>1194</v>
      </c>
      <c r="E1006" t="s">
        <v>2817</v>
      </c>
    </row>
    <row r="1007" spans="3:5">
      <c r="C1007" t="e">
        <f t="shared" si="15"/>
        <v>#N/A</v>
      </c>
      <c r="D1007" t="s">
        <v>1195</v>
      </c>
      <c r="E1007" t="s">
        <v>2817</v>
      </c>
    </row>
    <row r="1008" spans="3:5">
      <c r="C1008" t="e">
        <f t="shared" si="15"/>
        <v>#N/A</v>
      </c>
      <c r="D1008" t="s">
        <v>1196</v>
      </c>
      <c r="E1008" t="s">
        <v>2817</v>
      </c>
    </row>
    <row r="1009" spans="3:5">
      <c r="C1009" t="e">
        <f t="shared" si="15"/>
        <v>#N/A</v>
      </c>
      <c r="D1009" t="s">
        <v>1197</v>
      </c>
      <c r="E1009" t="s">
        <v>2817</v>
      </c>
    </row>
    <row r="1010" spans="3:5">
      <c r="C1010" t="e">
        <f t="shared" si="15"/>
        <v>#N/A</v>
      </c>
      <c r="D1010" t="s">
        <v>1198</v>
      </c>
      <c r="E1010" t="s">
        <v>2817</v>
      </c>
    </row>
    <row r="1011" spans="3:5">
      <c r="C1011" t="e">
        <f t="shared" si="15"/>
        <v>#N/A</v>
      </c>
      <c r="D1011" t="s">
        <v>1199</v>
      </c>
      <c r="E1011" t="s">
        <v>2817</v>
      </c>
    </row>
    <row r="1012" spans="3:5">
      <c r="C1012" t="e">
        <f t="shared" si="15"/>
        <v>#N/A</v>
      </c>
      <c r="D1012" t="s">
        <v>1200</v>
      </c>
      <c r="E1012" t="s">
        <v>2817</v>
      </c>
    </row>
    <row r="1013" spans="3:5">
      <c r="C1013" t="e">
        <f t="shared" si="15"/>
        <v>#N/A</v>
      </c>
      <c r="D1013" t="s">
        <v>1201</v>
      </c>
      <c r="E1013" t="s">
        <v>2817</v>
      </c>
    </row>
    <row r="1014" spans="3:5">
      <c r="C1014" t="e">
        <f t="shared" si="15"/>
        <v>#N/A</v>
      </c>
      <c r="D1014" t="s">
        <v>1202</v>
      </c>
      <c r="E1014" t="s">
        <v>2817</v>
      </c>
    </row>
    <row r="1015" spans="3:5">
      <c r="C1015" t="e">
        <f t="shared" si="15"/>
        <v>#N/A</v>
      </c>
      <c r="D1015" t="s">
        <v>1203</v>
      </c>
      <c r="E1015" t="s">
        <v>2817</v>
      </c>
    </row>
    <row r="1016" spans="3:5">
      <c r="C1016" t="e">
        <f t="shared" si="15"/>
        <v>#N/A</v>
      </c>
      <c r="D1016" t="s">
        <v>1204</v>
      </c>
      <c r="E1016" t="s">
        <v>2817</v>
      </c>
    </row>
    <row r="1017" spans="3:5">
      <c r="C1017" t="e">
        <f t="shared" si="15"/>
        <v>#N/A</v>
      </c>
      <c r="D1017" t="s">
        <v>1205</v>
      </c>
      <c r="E1017" t="s">
        <v>2817</v>
      </c>
    </row>
    <row r="1018" spans="3:5">
      <c r="C1018" t="e">
        <f t="shared" si="15"/>
        <v>#N/A</v>
      </c>
      <c r="D1018" t="s">
        <v>1206</v>
      </c>
      <c r="E1018" t="s">
        <v>2817</v>
      </c>
    </row>
    <row r="1019" spans="3:5">
      <c r="C1019" t="e">
        <f t="shared" si="15"/>
        <v>#N/A</v>
      </c>
      <c r="D1019" t="s">
        <v>1207</v>
      </c>
      <c r="E1019" t="s">
        <v>2817</v>
      </c>
    </row>
    <row r="1020" spans="3:5">
      <c r="C1020" t="e">
        <f t="shared" si="15"/>
        <v>#N/A</v>
      </c>
      <c r="D1020" t="s">
        <v>1208</v>
      </c>
      <c r="E1020" t="s">
        <v>2817</v>
      </c>
    </row>
    <row r="1021" spans="3:5">
      <c r="C1021" t="e">
        <f t="shared" si="15"/>
        <v>#N/A</v>
      </c>
      <c r="D1021" t="s">
        <v>1209</v>
      </c>
      <c r="E1021" t="s">
        <v>2817</v>
      </c>
    </row>
    <row r="1022" spans="3:5">
      <c r="C1022" t="e">
        <f t="shared" si="15"/>
        <v>#N/A</v>
      </c>
      <c r="D1022" t="s">
        <v>1210</v>
      </c>
      <c r="E1022" t="s">
        <v>2817</v>
      </c>
    </row>
    <row r="1023" spans="3:5">
      <c r="C1023" t="e">
        <f t="shared" si="15"/>
        <v>#N/A</v>
      </c>
      <c r="D1023" t="s">
        <v>1211</v>
      </c>
      <c r="E1023" t="s">
        <v>2817</v>
      </c>
    </row>
    <row r="1024" spans="3:5">
      <c r="C1024" t="e">
        <f t="shared" si="15"/>
        <v>#N/A</v>
      </c>
      <c r="D1024" t="s">
        <v>1212</v>
      </c>
      <c r="E1024" t="s">
        <v>2817</v>
      </c>
    </row>
    <row r="1025" spans="3:5">
      <c r="C1025" t="e">
        <f t="shared" si="15"/>
        <v>#N/A</v>
      </c>
      <c r="D1025" t="s">
        <v>1213</v>
      </c>
      <c r="E1025" t="s">
        <v>2817</v>
      </c>
    </row>
    <row r="1026" spans="3:5">
      <c r="C1026" t="e">
        <f t="shared" si="15"/>
        <v>#N/A</v>
      </c>
      <c r="D1026" t="s">
        <v>1214</v>
      </c>
      <c r="E1026" t="s">
        <v>2817</v>
      </c>
    </row>
    <row r="1027" spans="3:5">
      <c r="C1027" t="e">
        <f t="shared" ref="C1027:C1090" si="16">VLOOKUP(B1027,D:E,2,0)</f>
        <v>#N/A</v>
      </c>
      <c r="D1027" t="s">
        <v>1215</v>
      </c>
      <c r="E1027" t="s">
        <v>2817</v>
      </c>
    </row>
    <row r="1028" spans="3:5">
      <c r="C1028" t="e">
        <f t="shared" si="16"/>
        <v>#N/A</v>
      </c>
      <c r="D1028" t="s">
        <v>1216</v>
      </c>
      <c r="E1028" t="s">
        <v>2817</v>
      </c>
    </row>
    <row r="1029" spans="3:5">
      <c r="C1029" t="e">
        <f t="shared" si="16"/>
        <v>#N/A</v>
      </c>
      <c r="D1029" t="s">
        <v>1217</v>
      </c>
      <c r="E1029" t="s">
        <v>2817</v>
      </c>
    </row>
    <row r="1030" spans="3:5">
      <c r="C1030" t="e">
        <f t="shared" si="16"/>
        <v>#N/A</v>
      </c>
      <c r="D1030" t="s">
        <v>1218</v>
      </c>
      <c r="E1030" t="s">
        <v>2817</v>
      </c>
    </row>
    <row r="1031" spans="3:5">
      <c r="C1031" t="e">
        <f t="shared" si="16"/>
        <v>#N/A</v>
      </c>
      <c r="D1031" t="s">
        <v>1219</v>
      </c>
      <c r="E1031" t="s">
        <v>2817</v>
      </c>
    </row>
    <row r="1032" spans="3:5">
      <c r="C1032" t="e">
        <f t="shared" si="16"/>
        <v>#N/A</v>
      </c>
      <c r="D1032" t="s">
        <v>1220</v>
      </c>
      <c r="E1032" t="s">
        <v>2817</v>
      </c>
    </row>
    <row r="1033" spans="3:5">
      <c r="C1033" t="e">
        <f t="shared" si="16"/>
        <v>#N/A</v>
      </c>
      <c r="D1033" t="s">
        <v>1221</v>
      </c>
      <c r="E1033" t="s">
        <v>2817</v>
      </c>
    </row>
    <row r="1034" spans="3:5">
      <c r="C1034" t="e">
        <f t="shared" si="16"/>
        <v>#N/A</v>
      </c>
      <c r="D1034" t="s">
        <v>1222</v>
      </c>
      <c r="E1034" t="s">
        <v>2817</v>
      </c>
    </row>
    <row r="1035" spans="3:5">
      <c r="C1035" t="e">
        <f t="shared" si="16"/>
        <v>#N/A</v>
      </c>
      <c r="D1035" t="s">
        <v>1223</v>
      </c>
      <c r="E1035" t="s">
        <v>2817</v>
      </c>
    </row>
    <row r="1036" spans="3:5">
      <c r="C1036" t="e">
        <f t="shared" si="16"/>
        <v>#N/A</v>
      </c>
      <c r="D1036" t="s">
        <v>1224</v>
      </c>
      <c r="E1036" t="s">
        <v>2817</v>
      </c>
    </row>
    <row r="1037" spans="3:5">
      <c r="C1037" t="e">
        <f t="shared" si="16"/>
        <v>#N/A</v>
      </c>
      <c r="D1037" t="s">
        <v>1225</v>
      </c>
      <c r="E1037" t="s">
        <v>2817</v>
      </c>
    </row>
    <row r="1038" spans="3:5">
      <c r="C1038" t="e">
        <f t="shared" si="16"/>
        <v>#N/A</v>
      </c>
      <c r="D1038" t="s">
        <v>1226</v>
      </c>
      <c r="E1038" t="s">
        <v>2817</v>
      </c>
    </row>
    <row r="1039" spans="3:5">
      <c r="C1039" t="e">
        <f t="shared" si="16"/>
        <v>#N/A</v>
      </c>
      <c r="D1039" t="s">
        <v>1227</v>
      </c>
      <c r="E1039" t="s">
        <v>2817</v>
      </c>
    </row>
    <row r="1040" spans="3:5">
      <c r="C1040" t="e">
        <f t="shared" si="16"/>
        <v>#N/A</v>
      </c>
      <c r="D1040" t="s">
        <v>1228</v>
      </c>
      <c r="E1040" t="s">
        <v>2817</v>
      </c>
    </row>
    <row r="1041" spans="3:5">
      <c r="C1041" t="e">
        <f t="shared" si="16"/>
        <v>#N/A</v>
      </c>
      <c r="D1041" t="s">
        <v>1229</v>
      </c>
      <c r="E1041" t="s">
        <v>2817</v>
      </c>
    </row>
    <row r="1042" spans="3:5">
      <c r="C1042" t="e">
        <f t="shared" si="16"/>
        <v>#N/A</v>
      </c>
      <c r="D1042" t="s">
        <v>1230</v>
      </c>
      <c r="E1042" t="s">
        <v>2817</v>
      </c>
    </row>
    <row r="1043" spans="3:5">
      <c r="C1043" t="e">
        <f t="shared" si="16"/>
        <v>#N/A</v>
      </c>
      <c r="D1043" t="s">
        <v>1231</v>
      </c>
      <c r="E1043" t="s">
        <v>2817</v>
      </c>
    </row>
    <row r="1044" spans="3:5">
      <c r="C1044" t="e">
        <f t="shared" si="16"/>
        <v>#N/A</v>
      </c>
      <c r="D1044" t="s">
        <v>1232</v>
      </c>
      <c r="E1044" t="s">
        <v>2817</v>
      </c>
    </row>
    <row r="1045" spans="3:5">
      <c r="C1045" t="e">
        <f t="shared" si="16"/>
        <v>#N/A</v>
      </c>
      <c r="D1045" t="s">
        <v>1233</v>
      </c>
      <c r="E1045" t="s">
        <v>2817</v>
      </c>
    </row>
    <row r="1046" spans="3:5">
      <c r="C1046" t="e">
        <f t="shared" si="16"/>
        <v>#N/A</v>
      </c>
      <c r="D1046" t="s">
        <v>1234</v>
      </c>
      <c r="E1046" t="s">
        <v>2817</v>
      </c>
    </row>
    <row r="1047" spans="3:5">
      <c r="C1047" t="e">
        <f t="shared" si="16"/>
        <v>#N/A</v>
      </c>
      <c r="D1047" t="s">
        <v>1235</v>
      </c>
      <c r="E1047" t="s">
        <v>2817</v>
      </c>
    </row>
    <row r="1048" spans="3:5">
      <c r="C1048" t="e">
        <f t="shared" si="16"/>
        <v>#N/A</v>
      </c>
      <c r="D1048" t="s">
        <v>1236</v>
      </c>
      <c r="E1048" t="s">
        <v>2817</v>
      </c>
    </row>
    <row r="1049" spans="3:5">
      <c r="C1049" t="e">
        <f t="shared" si="16"/>
        <v>#N/A</v>
      </c>
      <c r="D1049" t="s">
        <v>1237</v>
      </c>
      <c r="E1049" t="s">
        <v>2817</v>
      </c>
    </row>
    <row r="1050" spans="3:5">
      <c r="C1050" t="e">
        <f t="shared" si="16"/>
        <v>#N/A</v>
      </c>
      <c r="D1050" t="s">
        <v>1238</v>
      </c>
      <c r="E1050" t="s">
        <v>2817</v>
      </c>
    </row>
    <row r="1051" spans="3:5">
      <c r="C1051" t="e">
        <f t="shared" si="16"/>
        <v>#N/A</v>
      </c>
      <c r="D1051" t="s">
        <v>1239</v>
      </c>
      <c r="E1051" t="s">
        <v>2817</v>
      </c>
    </row>
    <row r="1052" spans="3:5">
      <c r="C1052" t="e">
        <f t="shared" si="16"/>
        <v>#N/A</v>
      </c>
      <c r="D1052" t="s">
        <v>1240</v>
      </c>
      <c r="E1052" t="s">
        <v>2817</v>
      </c>
    </row>
    <row r="1053" spans="3:5">
      <c r="C1053" t="e">
        <f t="shared" si="16"/>
        <v>#N/A</v>
      </c>
      <c r="D1053" t="s">
        <v>1241</v>
      </c>
      <c r="E1053" t="s">
        <v>2817</v>
      </c>
    </row>
    <row r="1054" spans="3:5">
      <c r="C1054" t="e">
        <f t="shared" si="16"/>
        <v>#N/A</v>
      </c>
      <c r="D1054" t="s">
        <v>1242</v>
      </c>
      <c r="E1054" t="s">
        <v>2817</v>
      </c>
    </row>
    <row r="1055" spans="3:5">
      <c r="C1055" t="e">
        <f t="shared" si="16"/>
        <v>#N/A</v>
      </c>
      <c r="D1055" t="s">
        <v>1243</v>
      </c>
      <c r="E1055" t="s">
        <v>2817</v>
      </c>
    </row>
    <row r="1056" spans="3:5">
      <c r="C1056" t="e">
        <f t="shared" si="16"/>
        <v>#N/A</v>
      </c>
      <c r="D1056" t="s">
        <v>1244</v>
      </c>
      <c r="E1056" t="s">
        <v>2817</v>
      </c>
    </row>
    <row r="1057" spans="3:5">
      <c r="C1057" t="e">
        <f t="shared" si="16"/>
        <v>#N/A</v>
      </c>
      <c r="D1057" t="s">
        <v>1245</v>
      </c>
      <c r="E1057" t="s">
        <v>2817</v>
      </c>
    </row>
    <row r="1058" spans="3:5">
      <c r="C1058" t="e">
        <f t="shared" si="16"/>
        <v>#N/A</v>
      </c>
      <c r="D1058" t="s">
        <v>1246</v>
      </c>
      <c r="E1058" t="s">
        <v>2817</v>
      </c>
    </row>
    <row r="1059" spans="3:5">
      <c r="C1059" t="e">
        <f t="shared" si="16"/>
        <v>#N/A</v>
      </c>
      <c r="D1059" t="s">
        <v>1247</v>
      </c>
      <c r="E1059" t="s">
        <v>2817</v>
      </c>
    </row>
    <row r="1060" spans="3:5">
      <c r="C1060" t="e">
        <f t="shared" si="16"/>
        <v>#N/A</v>
      </c>
      <c r="D1060" t="s">
        <v>1248</v>
      </c>
      <c r="E1060" t="s">
        <v>2817</v>
      </c>
    </row>
    <row r="1061" spans="3:5">
      <c r="C1061" t="e">
        <f t="shared" si="16"/>
        <v>#N/A</v>
      </c>
      <c r="D1061" t="s">
        <v>1249</v>
      </c>
      <c r="E1061" t="s">
        <v>2817</v>
      </c>
    </row>
    <row r="1062" spans="3:5">
      <c r="C1062" t="e">
        <f t="shared" si="16"/>
        <v>#N/A</v>
      </c>
      <c r="D1062" t="s">
        <v>1250</v>
      </c>
      <c r="E1062" t="s">
        <v>2817</v>
      </c>
    </row>
    <row r="1063" spans="3:5">
      <c r="C1063" t="e">
        <f t="shared" si="16"/>
        <v>#N/A</v>
      </c>
      <c r="D1063" t="s">
        <v>1251</v>
      </c>
      <c r="E1063" t="s">
        <v>2817</v>
      </c>
    </row>
    <row r="1064" spans="3:5">
      <c r="C1064" t="e">
        <f t="shared" si="16"/>
        <v>#N/A</v>
      </c>
      <c r="D1064" t="s">
        <v>1252</v>
      </c>
      <c r="E1064" t="s">
        <v>2817</v>
      </c>
    </row>
    <row r="1065" spans="3:5">
      <c r="C1065" t="e">
        <f t="shared" si="16"/>
        <v>#N/A</v>
      </c>
      <c r="D1065" t="s">
        <v>1253</v>
      </c>
      <c r="E1065" t="s">
        <v>2817</v>
      </c>
    </row>
    <row r="1066" spans="3:5">
      <c r="C1066" t="e">
        <f t="shared" si="16"/>
        <v>#N/A</v>
      </c>
      <c r="D1066" t="s">
        <v>1254</v>
      </c>
      <c r="E1066" t="s">
        <v>2817</v>
      </c>
    </row>
    <row r="1067" spans="3:5">
      <c r="C1067" t="e">
        <f t="shared" si="16"/>
        <v>#N/A</v>
      </c>
      <c r="D1067" t="s">
        <v>1255</v>
      </c>
      <c r="E1067" t="s">
        <v>2817</v>
      </c>
    </row>
    <row r="1068" spans="3:5">
      <c r="C1068" t="e">
        <f t="shared" si="16"/>
        <v>#N/A</v>
      </c>
      <c r="D1068" t="s">
        <v>1256</v>
      </c>
      <c r="E1068" t="s">
        <v>2817</v>
      </c>
    </row>
    <row r="1069" spans="3:5">
      <c r="C1069" t="e">
        <f t="shared" si="16"/>
        <v>#N/A</v>
      </c>
      <c r="D1069" t="s">
        <v>1257</v>
      </c>
      <c r="E1069" t="s">
        <v>2817</v>
      </c>
    </row>
    <row r="1070" spans="3:5">
      <c r="C1070" t="e">
        <f t="shared" si="16"/>
        <v>#N/A</v>
      </c>
      <c r="D1070" t="s">
        <v>1258</v>
      </c>
      <c r="E1070" t="s">
        <v>2817</v>
      </c>
    </row>
    <row r="1071" spans="3:5">
      <c r="C1071" t="e">
        <f t="shared" si="16"/>
        <v>#N/A</v>
      </c>
      <c r="D1071" t="s">
        <v>1259</v>
      </c>
      <c r="E1071" t="s">
        <v>2817</v>
      </c>
    </row>
    <row r="1072" spans="3:5">
      <c r="C1072" t="e">
        <f t="shared" si="16"/>
        <v>#N/A</v>
      </c>
      <c r="D1072" t="s">
        <v>1260</v>
      </c>
      <c r="E1072" t="s">
        <v>2817</v>
      </c>
    </row>
    <row r="1073" spans="3:5">
      <c r="C1073" t="e">
        <f t="shared" si="16"/>
        <v>#N/A</v>
      </c>
      <c r="D1073" t="s">
        <v>1261</v>
      </c>
      <c r="E1073" t="s">
        <v>2817</v>
      </c>
    </row>
    <row r="1074" spans="3:5">
      <c r="C1074" t="e">
        <f t="shared" si="16"/>
        <v>#N/A</v>
      </c>
      <c r="D1074" t="s">
        <v>1262</v>
      </c>
      <c r="E1074" t="s">
        <v>2817</v>
      </c>
    </row>
    <row r="1075" spans="3:5">
      <c r="C1075" t="e">
        <f t="shared" si="16"/>
        <v>#N/A</v>
      </c>
      <c r="D1075" t="s">
        <v>1263</v>
      </c>
      <c r="E1075" t="s">
        <v>2817</v>
      </c>
    </row>
    <row r="1076" spans="3:5">
      <c r="C1076" t="e">
        <f t="shared" si="16"/>
        <v>#N/A</v>
      </c>
      <c r="D1076" t="s">
        <v>1264</v>
      </c>
      <c r="E1076" t="s">
        <v>2817</v>
      </c>
    </row>
    <row r="1077" spans="3:5">
      <c r="C1077" t="e">
        <f t="shared" si="16"/>
        <v>#N/A</v>
      </c>
      <c r="D1077" t="s">
        <v>1265</v>
      </c>
      <c r="E1077" t="s">
        <v>2817</v>
      </c>
    </row>
    <row r="1078" spans="3:5">
      <c r="C1078" t="e">
        <f t="shared" si="16"/>
        <v>#N/A</v>
      </c>
      <c r="D1078" t="s">
        <v>1266</v>
      </c>
      <c r="E1078" t="s">
        <v>2817</v>
      </c>
    </row>
    <row r="1079" spans="3:5">
      <c r="C1079" t="e">
        <f t="shared" si="16"/>
        <v>#N/A</v>
      </c>
      <c r="D1079" t="s">
        <v>1267</v>
      </c>
      <c r="E1079" t="s">
        <v>2817</v>
      </c>
    </row>
    <row r="1080" spans="3:5">
      <c r="C1080" t="e">
        <f t="shared" si="16"/>
        <v>#N/A</v>
      </c>
      <c r="D1080" t="s">
        <v>1268</v>
      </c>
      <c r="E1080" t="s">
        <v>2817</v>
      </c>
    </row>
    <row r="1081" spans="3:5">
      <c r="C1081" t="e">
        <f t="shared" si="16"/>
        <v>#N/A</v>
      </c>
      <c r="D1081" t="s">
        <v>1269</v>
      </c>
      <c r="E1081" t="s">
        <v>2817</v>
      </c>
    </row>
    <row r="1082" spans="3:5">
      <c r="C1082" t="e">
        <f t="shared" si="16"/>
        <v>#N/A</v>
      </c>
      <c r="D1082" t="s">
        <v>1270</v>
      </c>
      <c r="E1082" t="s">
        <v>2817</v>
      </c>
    </row>
    <row r="1083" spans="3:5">
      <c r="C1083" t="e">
        <f t="shared" si="16"/>
        <v>#N/A</v>
      </c>
      <c r="D1083" t="s">
        <v>1271</v>
      </c>
      <c r="E1083" t="s">
        <v>2817</v>
      </c>
    </row>
    <row r="1084" spans="3:5">
      <c r="C1084" t="e">
        <f t="shared" si="16"/>
        <v>#N/A</v>
      </c>
      <c r="D1084" t="s">
        <v>1272</v>
      </c>
      <c r="E1084" t="s">
        <v>2817</v>
      </c>
    </row>
    <row r="1085" spans="3:5">
      <c r="C1085" t="e">
        <f t="shared" si="16"/>
        <v>#N/A</v>
      </c>
      <c r="D1085" t="s">
        <v>1273</v>
      </c>
      <c r="E1085" t="s">
        <v>2817</v>
      </c>
    </row>
    <row r="1086" spans="3:5">
      <c r="C1086" t="e">
        <f t="shared" si="16"/>
        <v>#N/A</v>
      </c>
      <c r="D1086" t="s">
        <v>1274</v>
      </c>
      <c r="E1086" t="s">
        <v>2817</v>
      </c>
    </row>
    <row r="1087" spans="3:5">
      <c r="C1087" t="e">
        <f t="shared" si="16"/>
        <v>#N/A</v>
      </c>
      <c r="D1087" t="s">
        <v>1275</v>
      </c>
      <c r="E1087" t="s">
        <v>2817</v>
      </c>
    </row>
    <row r="1088" spans="3:5">
      <c r="C1088" t="e">
        <f t="shared" si="16"/>
        <v>#N/A</v>
      </c>
      <c r="D1088" t="s">
        <v>1276</v>
      </c>
      <c r="E1088" t="s">
        <v>2817</v>
      </c>
    </row>
    <row r="1089" spans="3:5">
      <c r="C1089" t="e">
        <f t="shared" si="16"/>
        <v>#N/A</v>
      </c>
      <c r="D1089" t="s">
        <v>1277</v>
      </c>
      <c r="E1089" t="s">
        <v>2817</v>
      </c>
    </row>
    <row r="1090" spans="3:5">
      <c r="C1090" t="e">
        <f t="shared" si="16"/>
        <v>#N/A</v>
      </c>
      <c r="D1090" t="s">
        <v>1278</v>
      </c>
      <c r="E1090" t="s">
        <v>2817</v>
      </c>
    </row>
    <row r="1091" spans="3:5">
      <c r="C1091" t="e">
        <f t="shared" ref="C1091:C1154" si="17">VLOOKUP(B1091,D:E,2,0)</f>
        <v>#N/A</v>
      </c>
      <c r="D1091" t="s">
        <v>1279</v>
      </c>
      <c r="E1091" t="s">
        <v>2817</v>
      </c>
    </row>
    <row r="1092" spans="3:5">
      <c r="C1092" t="e">
        <f t="shared" si="17"/>
        <v>#N/A</v>
      </c>
      <c r="D1092" t="s">
        <v>1280</v>
      </c>
      <c r="E1092" t="s">
        <v>2817</v>
      </c>
    </row>
    <row r="1093" spans="3:5">
      <c r="C1093" t="e">
        <f t="shared" si="17"/>
        <v>#N/A</v>
      </c>
      <c r="D1093" t="s">
        <v>1281</v>
      </c>
      <c r="E1093" t="s">
        <v>2817</v>
      </c>
    </row>
    <row r="1094" spans="3:5">
      <c r="C1094" t="e">
        <f t="shared" si="17"/>
        <v>#N/A</v>
      </c>
      <c r="D1094" t="s">
        <v>1282</v>
      </c>
      <c r="E1094" t="s">
        <v>2817</v>
      </c>
    </row>
    <row r="1095" spans="3:5">
      <c r="C1095" t="e">
        <f t="shared" si="17"/>
        <v>#N/A</v>
      </c>
      <c r="D1095" t="s">
        <v>1283</v>
      </c>
      <c r="E1095" t="s">
        <v>2817</v>
      </c>
    </row>
    <row r="1096" spans="3:5">
      <c r="C1096" t="e">
        <f t="shared" si="17"/>
        <v>#N/A</v>
      </c>
      <c r="D1096" t="s">
        <v>1284</v>
      </c>
      <c r="E1096" t="s">
        <v>2817</v>
      </c>
    </row>
    <row r="1097" spans="3:5">
      <c r="C1097" t="e">
        <f t="shared" si="17"/>
        <v>#N/A</v>
      </c>
      <c r="D1097" t="s">
        <v>1285</v>
      </c>
      <c r="E1097" t="s">
        <v>2817</v>
      </c>
    </row>
    <row r="1098" spans="3:5">
      <c r="C1098" t="e">
        <f t="shared" si="17"/>
        <v>#N/A</v>
      </c>
      <c r="D1098" t="s">
        <v>1286</v>
      </c>
      <c r="E1098" t="s">
        <v>2817</v>
      </c>
    </row>
    <row r="1099" spans="3:5">
      <c r="C1099" t="e">
        <f t="shared" si="17"/>
        <v>#N/A</v>
      </c>
      <c r="D1099" t="s">
        <v>1287</v>
      </c>
      <c r="E1099" t="s">
        <v>2817</v>
      </c>
    </row>
    <row r="1100" spans="3:5">
      <c r="C1100" t="e">
        <f t="shared" si="17"/>
        <v>#N/A</v>
      </c>
      <c r="D1100" t="s">
        <v>1288</v>
      </c>
      <c r="E1100" t="s">
        <v>2817</v>
      </c>
    </row>
    <row r="1101" spans="3:5">
      <c r="C1101" t="e">
        <f t="shared" si="17"/>
        <v>#N/A</v>
      </c>
      <c r="D1101" t="s">
        <v>1289</v>
      </c>
      <c r="E1101" t="s">
        <v>2817</v>
      </c>
    </row>
    <row r="1102" spans="3:5">
      <c r="C1102" t="e">
        <f t="shared" si="17"/>
        <v>#N/A</v>
      </c>
      <c r="D1102" t="s">
        <v>1290</v>
      </c>
      <c r="E1102" t="s">
        <v>2817</v>
      </c>
    </row>
    <row r="1103" spans="3:5">
      <c r="C1103" t="e">
        <f t="shared" si="17"/>
        <v>#N/A</v>
      </c>
      <c r="D1103" t="s">
        <v>1291</v>
      </c>
      <c r="E1103" t="s">
        <v>2817</v>
      </c>
    </row>
    <row r="1104" spans="3:5">
      <c r="C1104" t="e">
        <f t="shared" si="17"/>
        <v>#N/A</v>
      </c>
      <c r="D1104" t="s">
        <v>1292</v>
      </c>
      <c r="E1104" t="s">
        <v>2817</v>
      </c>
    </row>
    <row r="1105" spans="3:5">
      <c r="C1105" t="e">
        <f t="shared" si="17"/>
        <v>#N/A</v>
      </c>
      <c r="D1105" t="s">
        <v>1293</v>
      </c>
      <c r="E1105" t="s">
        <v>2817</v>
      </c>
    </row>
    <row r="1106" spans="3:5">
      <c r="C1106" t="e">
        <f t="shared" si="17"/>
        <v>#N/A</v>
      </c>
      <c r="D1106" t="s">
        <v>1294</v>
      </c>
      <c r="E1106" t="s">
        <v>2817</v>
      </c>
    </row>
    <row r="1107" spans="3:5">
      <c r="C1107" t="e">
        <f t="shared" si="17"/>
        <v>#N/A</v>
      </c>
      <c r="D1107" t="s">
        <v>1295</v>
      </c>
      <c r="E1107" t="s">
        <v>2817</v>
      </c>
    </row>
    <row r="1108" spans="3:5">
      <c r="C1108" t="e">
        <f t="shared" si="17"/>
        <v>#N/A</v>
      </c>
      <c r="D1108" t="s">
        <v>1296</v>
      </c>
      <c r="E1108" t="s">
        <v>2817</v>
      </c>
    </row>
    <row r="1109" spans="3:5">
      <c r="C1109" t="e">
        <f t="shared" si="17"/>
        <v>#N/A</v>
      </c>
      <c r="D1109" t="s">
        <v>1297</v>
      </c>
      <c r="E1109" t="s">
        <v>2817</v>
      </c>
    </row>
    <row r="1110" spans="3:5">
      <c r="C1110" t="e">
        <f t="shared" si="17"/>
        <v>#N/A</v>
      </c>
      <c r="D1110" t="s">
        <v>1298</v>
      </c>
      <c r="E1110" t="s">
        <v>2817</v>
      </c>
    </row>
    <row r="1111" spans="3:5">
      <c r="C1111" t="e">
        <f t="shared" si="17"/>
        <v>#N/A</v>
      </c>
      <c r="D1111" t="s">
        <v>1299</v>
      </c>
      <c r="E1111" t="s">
        <v>2817</v>
      </c>
    </row>
    <row r="1112" spans="3:5">
      <c r="C1112" t="e">
        <f t="shared" si="17"/>
        <v>#N/A</v>
      </c>
      <c r="D1112" t="s">
        <v>1300</v>
      </c>
      <c r="E1112" t="s">
        <v>2817</v>
      </c>
    </row>
    <row r="1113" spans="3:5">
      <c r="C1113" t="e">
        <f t="shared" si="17"/>
        <v>#N/A</v>
      </c>
      <c r="D1113" t="s">
        <v>1301</v>
      </c>
      <c r="E1113" t="s">
        <v>2817</v>
      </c>
    </row>
    <row r="1114" spans="3:5">
      <c r="C1114" t="e">
        <f t="shared" si="17"/>
        <v>#N/A</v>
      </c>
      <c r="D1114" t="s">
        <v>1302</v>
      </c>
      <c r="E1114" t="s">
        <v>2817</v>
      </c>
    </row>
    <row r="1115" spans="3:5">
      <c r="C1115" t="e">
        <f t="shared" si="17"/>
        <v>#N/A</v>
      </c>
      <c r="D1115" t="s">
        <v>1303</v>
      </c>
      <c r="E1115" t="s">
        <v>2817</v>
      </c>
    </row>
    <row r="1116" spans="3:5">
      <c r="C1116" t="e">
        <f t="shared" si="17"/>
        <v>#N/A</v>
      </c>
      <c r="D1116" t="s">
        <v>1304</v>
      </c>
      <c r="E1116" t="s">
        <v>2817</v>
      </c>
    </row>
    <row r="1117" spans="3:5">
      <c r="C1117" t="e">
        <f t="shared" si="17"/>
        <v>#N/A</v>
      </c>
      <c r="D1117" t="s">
        <v>1305</v>
      </c>
      <c r="E1117" t="s">
        <v>2817</v>
      </c>
    </row>
    <row r="1118" spans="3:5">
      <c r="C1118" t="e">
        <f t="shared" si="17"/>
        <v>#N/A</v>
      </c>
      <c r="D1118" t="s">
        <v>1306</v>
      </c>
      <c r="E1118" t="s">
        <v>2817</v>
      </c>
    </row>
    <row r="1119" spans="3:5">
      <c r="C1119" t="e">
        <f t="shared" si="17"/>
        <v>#N/A</v>
      </c>
      <c r="D1119" t="s">
        <v>1307</v>
      </c>
      <c r="E1119" t="s">
        <v>2817</v>
      </c>
    </row>
    <row r="1120" spans="3:5">
      <c r="C1120" t="e">
        <f t="shared" si="17"/>
        <v>#N/A</v>
      </c>
      <c r="D1120" t="s">
        <v>1308</v>
      </c>
      <c r="E1120" t="s">
        <v>2817</v>
      </c>
    </row>
    <row r="1121" spans="3:5">
      <c r="C1121" t="e">
        <f t="shared" si="17"/>
        <v>#N/A</v>
      </c>
      <c r="D1121" t="s">
        <v>1309</v>
      </c>
      <c r="E1121" t="s">
        <v>2817</v>
      </c>
    </row>
    <row r="1122" spans="3:5">
      <c r="C1122" t="e">
        <f t="shared" si="17"/>
        <v>#N/A</v>
      </c>
      <c r="D1122" t="s">
        <v>1310</v>
      </c>
      <c r="E1122" t="s">
        <v>2817</v>
      </c>
    </row>
    <row r="1123" spans="3:5">
      <c r="C1123" t="e">
        <f t="shared" si="17"/>
        <v>#N/A</v>
      </c>
      <c r="D1123" t="s">
        <v>1311</v>
      </c>
      <c r="E1123" t="s">
        <v>2817</v>
      </c>
    </row>
    <row r="1124" spans="3:5">
      <c r="C1124" t="e">
        <f t="shared" si="17"/>
        <v>#N/A</v>
      </c>
      <c r="D1124" t="s">
        <v>1312</v>
      </c>
      <c r="E1124" t="s">
        <v>2817</v>
      </c>
    </row>
    <row r="1125" spans="3:5">
      <c r="C1125" t="e">
        <f t="shared" si="17"/>
        <v>#N/A</v>
      </c>
      <c r="D1125" t="s">
        <v>1313</v>
      </c>
      <c r="E1125" t="s">
        <v>2817</v>
      </c>
    </row>
    <row r="1126" spans="3:5">
      <c r="C1126" t="e">
        <f t="shared" si="17"/>
        <v>#N/A</v>
      </c>
      <c r="D1126" t="s">
        <v>1314</v>
      </c>
      <c r="E1126" t="s">
        <v>2817</v>
      </c>
    </row>
    <row r="1127" spans="3:5">
      <c r="C1127" t="e">
        <f t="shared" si="17"/>
        <v>#N/A</v>
      </c>
      <c r="D1127" t="s">
        <v>1315</v>
      </c>
      <c r="E1127" t="s">
        <v>2817</v>
      </c>
    </row>
    <row r="1128" spans="3:5">
      <c r="C1128" t="e">
        <f t="shared" si="17"/>
        <v>#N/A</v>
      </c>
      <c r="D1128" t="s">
        <v>1316</v>
      </c>
      <c r="E1128" t="s">
        <v>2817</v>
      </c>
    </row>
    <row r="1129" spans="3:5">
      <c r="C1129" t="e">
        <f t="shared" si="17"/>
        <v>#N/A</v>
      </c>
      <c r="D1129" t="s">
        <v>1317</v>
      </c>
      <c r="E1129" t="s">
        <v>2817</v>
      </c>
    </row>
    <row r="1130" spans="3:5">
      <c r="C1130" t="e">
        <f t="shared" si="17"/>
        <v>#N/A</v>
      </c>
      <c r="D1130" t="s">
        <v>1318</v>
      </c>
      <c r="E1130" t="s">
        <v>2817</v>
      </c>
    </row>
    <row r="1131" spans="3:5">
      <c r="C1131" t="e">
        <f t="shared" si="17"/>
        <v>#N/A</v>
      </c>
      <c r="D1131" t="s">
        <v>1319</v>
      </c>
      <c r="E1131" t="s">
        <v>2817</v>
      </c>
    </row>
    <row r="1132" spans="3:5">
      <c r="C1132" t="e">
        <f t="shared" si="17"/>
        <v>#N/A</v>
      </c>
      <c r="D1132" t="s">
        <v>1320</v>
      </c>
      <c r="E1132" t="s">
        <v>2817</v>
      </c>
    </row>
    <row r="1133" spans="3:5">
      <c r="C1133" t="e">
        <f t="shared" si="17"/>
        <v>#N/A</v>
      </c>
      <c r="D1133" t="s">
        <v>1321</v>
      </c>
      <c r="E1133" t="s">
        <v>2817</v>
      </c>
    </row>
    <row r="1134" spans="3:5">
      <c r="C1134" t="e">
        <f t="shared" si="17"/>
        <v>#N/A</v>
      </c>
      <c r="D1134" t="s">
        <v>1322</v>
      </c>
      <c r="E1134" t="s">
        <v>2817</v>
      </c>
    </row>
    <row r="1135" spans="3:5">
      <c r="C1135" t="e">
        <f t="shared" si="17"/>
        <v>#N/A</v>
      </c>
      <c r="D1135" t="s">
        <v>1323</v>
      </c>
      <c r="E1135" t="s">
        <v>2817</v>
      </c>
    </row>
    <row r="1136" spans="3:5">
      <c r="C1136" t="e">
        <f t="shared" si="17"/>
        <v>#N/A</v>
      </c>
      <c r="D1136" t="s">
        <v>1324</v>
      </c>
      <c r="E1136" t="s">
        <v>2817</v>
      </c>
    </row>
    <row r="1137" spans="3:5">
      <c r="C1137" t="e">
        <f t="shared" si="17"/>
        <v>#N/A</v>
      </c>
      <c r="D1137" t="s">
        <v>1325</v>
      </c>
      <c r="E1137" t="s">
        <v>2817</v>
      </c>
    </row>
    <row r="1138" spans="3:5">
      <c r="C1138" t="e">
        <f t="shared" si="17"/>
        <v>#N/A</v>
      </c>
      <c r="D1138" t="s">
        <v>1326</v>
      </c>
      <c r="E1138" t="s">
        <v>2817</v>
      </c>
    </row>
    <row r="1139" spans="3:5">
      <c r="C1139" t="e">
        <f t="shared" si="17"/>
        <v>#N/A</v>
      </c>
      <c r="D1139" t="s">
        <v>1327</v>
      </c>
      <c r="E1139" t="s">
        <v>2817</v>
      </c>
    </row>
    <row r="1140" spans="3:5">
      <c r="C1140" t="e">
        <f t="shared" si="17"/>
        <v>#N/A</v>
      </c>
      <c r="D1140" t="s">
        <v>1328</v>
      </c>
      <c r="E1140" t="s">
        <v>2817</v>
      </c>
    </row>
    <row r="1141" spans="3:5">
      <c r="C1141" t="e">
        <f t="shared" si="17"/>
        <v>#N/A</v>
      </c>
      <c r="D1141" t="s">
        <v>1329</v>
      </c>
      <c r="E1141" t="s">
        <v>2817</v>
      </c>
    </row>
    <row r="1142" spans="3:5">
      <c r="C1142" t="e">
        <f t="shared" si="17"/>
        <v>#N/A</v>
      </c>
      <c r="D1142" t="s">
        <v>1330</v>
      </c>
      <c r="E1142" t="s">
        <v>2817</v>
      </c>
    </row>
    <row r="1143" spans="3:5">
      <c r="C1143" t="e">
        <f t="shared" si="17"/>
        <v>#N/A</v>
      </c>
      <c r="D1143" t="s">
        <v>1331</v>
      </c>
      <c r="E1143" t="s">
        <v>2817</v>
      </c>
    </row>
    <row r="1144" spans="3:5">
      <c r="C1144" t="e">
        <f t="shared" si="17"/>
        <v>#N/A</v>
      </c>
      <c r="D1144" t="s">
        <v>1332</v>
      </c>
      <c r="E1144" t="s">
        <v>2817</v>
      </c>
    </row>
    <row r="1145" spans="3:5">
      <c r="C1145" t="e">
        <f t="shared" si="17"/>
        <v>#N/A</v>
      </c>
      <c r="D1145" t="s">
        <v>1333</v>
      </c>
      <c r="E1145" t="s">
        <v>2817</v>
      </c>
    </row>
    <row r="1146" spans="3:5">
      <c r="C1146" t="e">
        <f t="shared" si="17"/>
        <v>#N/A</v>
      </c>
      <c r="D1146" t="s">
        <v>1334</v>
      </c>
      <c r="E1146" t="s">
        <v>2817</v>
      </c>
    </row>
    <row r="1147" spans="3:5">
      <c r="C1147" t="e">
        <f t="shared" si="17"/>
        <v>#N/A</v>
      </c>
      <c r="D1147" t="s">
        <v>1335</v>
      </c>
      <c r="E1147" t="s">
        <v>2817</v>
      </c>
    </row>
    <row r="1148" spans="3:5">
      <c r="C1148" t="e">
        <f t="shared" si="17"/>
        <v>#N/A</v>
      </c>
      <c r="D1148" t="s">
        <v>1336</v>
      </c>
      <c r="E1148" t="s">
        <v>2817</v>
      </c>
    </row>
    <row r="1149" spans="3:5">
      <c r="C1149" t="e">
        <f t="shared" si="17"/>
        <v>#N/A</v>
      </c>
      <c r="D1149" t="s">
        <v>1337</v>
      </c>
      <c r="E1149" t="s">
        <v>2817</v>
      </c>
    </row>
    <row r="1150" spans="3:5">
      <c r="C1150" t="e">
        <f t="shared" si="17"/>
        <v>#N/A</v>
      </c>
      <c r="D1150" t="s">
        <v>1338</v>
      </c>
      <c r="E1150" t="s">
        <v>2817</v>
      </c>
    </row>
    <row r="1151" spans="3:5">
      <c r="C1151" t="e">
        <f t="shared" si="17"/>
        <v>#N/A</v>
      </c>
      <c r="D1151" t="s">
        <v>1339</v>
      </c>
      <c r="E1151" t="s">
        <v>2817</v>
      </c>
    </row>
    <row r="1152" spans="3:5">
      <c r="C1152" t="e">
        <f t="shared" si="17"/>
        <v>#N/A</v>
      </c>
      <c r="D1152" t="s">
        <v>1340</v>
      </c>
      <c r="E1152" t="s">
        <v>2817</v>
      </c>
    </row>
    <row r="1153" spans="3:5">
      <c r="C1153" t="e">
        <f t="shared" si="17"/>
        <v>#N/A</v>
      </c>
      <c r="D1153" t="s">
        <v>1341</v>
      </c>
      <c r="E1153" t="s">
        <v>2817</v>
      </c>
    </row>
    <row r="1154" spans="3:5">
      <c r="C1154" t="e">
        <f t="shared" si="17"/>
        <v>#N/A</v>
      </c>
      <c r="D1154" t="s">
        <v>1342</v>
      </c>
      <c r="E1154" t="s">
        <v>2817</v>
      </c>
    </row>
    <row r="1155" spans="3:5">
      <c r="C1155" t="e">
        <f t="shared" ref="C1155:C1218" si="18">VLOOKUP(B1155,D:E,2,0)</f>
        <v>#N/A</v>
      </c>
      <c r="D1155" t="s">
        <v>1343</v>
      </c>
      <c r="E1155" t="s">
        <v>2817</v>
      </c>
    </row>
    <row r="1156" spans="3:5">
      <c r="C1156" t="e">
        <f t="shared" si="18"/>
        <v>#N/A</v>
      </c>
      <c r="D1156" t="s">
        <v>1344</v>
      </c>
      <c r="E1156" t="s">
        <v>2817</v>
      </c>
    </row>
    <row r="1157" spans="3:5">
      <c r="C1157" t="e">
        <f t="shared" si="18"/>
        <v>#N/A</v>
      </c>
      <c r="D1157" t="s">
        <v>1345</v>
      </c>
      <c r="E1157" t="s">
        <v>2817</v>
      </c>
    </row>
    <row r="1158" spans="3:5">
      <c r="C1158" t="e">
        <f t="shared" si="18"/>
        <v>#N/A</v>
      </c>
      <c r="D1158" t="s">
        <v>1346</v>
      </c>
      <c r="E1158" t="s">
        <v>2817</v>
      </c>
    </row>
    <row r="1159" spans="3:5">
      <c r="C1159" t="e">
        <f t="shared" si="18"/>
        <v>#N/A</v>
      </c>
      <c r="D1159" t="s">
        <v>1347</v>
      </c>
      <c r="E1159" t="s">
        <v>2817</v>
      </c>
    </row>
    <row r="1160" spans="3:5">
      <c r="C1160" t="e">
        <f t="shared" si="18"/>
        <v>#N/A</v>
      </c>
      <c r="D1160" t="s">
        <v>1348</v>
      </c>
      <c r="E1160" t="s">
        <v>2817</v>
      </c>
    </row>
    <row r="1161" spans="3:5">
      <c r="C1161" t="e">
        <f t="shared" si="18"/>
        <v>#N/A</v>
      </c>
      <c r="D1161" t="s">
        <v>1349</v>
      </c>
      <c r="E1161" t="s">
        <v>2817</v>
      </c>
    </row>
    <row r="1162" spans="3:5">
      <c r="C1162" t="e">
        <f t="shared" si="18"/>
        <v>#N/A</v>
      </c>
      <c r="D1162" t="s">
        <v>1350</v>
      </c>
      <c r="E1162" t="s">
        <v>2817</v>
      </c>
    </row>
    <row r="1163" spans="3:5">
      <c r="C1163" t="e">
        <f t="shared" si="18"/>
        <v>#N/A</v>
      </c>
      <c r="D1163" t="s">
        <v>1351</v>
      </c>
      <c r="E1163" t="s">
        <v>2817</v>
      </c>
    </row>
    <row r="1164" spans="3:5">
      <c r="C1164" t="e">
        <f t="shared" si="18"/>
        <v>#N/A</v>
      </c>
      <c r="D1164" t="s">
        <v>1352</v>
      </c>
      <c r="E1164" t="s">
        <v>2817</v>
      </c>
    </row>
    <row r="1165" spans="3:5">
      <c r="C1165" t="e">
        <f t="shared" si="18"/>
        <v>#N/A</v>
      </c>
      <c r="D1165" t="s">
        <v>1353</v>
      </c>
      <c r="E1165" t="s">
        <v>2817</v>
      </c>
    </row>
    <row r="1166" spans="3:5">
      <c r="C1166" t="e">
        <f t="shared" si="18"/>
        <v>#N/A</v>
      </c>
      <c r="D1166" t="s">
        <v>1354</v>
      </c>
      <c r="E1166" t="s">
        <v>2817</v>
      </c>
    </row>
    <row r="1167" spans="3:5">
      <c r="C1167" t="e">
        <f t="shared" si="18"/>
        <v>#N/A</v>
      </c>
      <c r="D1167" t="s">
        <v>1355</v>
      </c>
      <c r="E1167" t="s">
        <v>2817</v>
      </c>
    </row>
    <row r="1168" spans="3:5">
      <c r="C1168" t="e">
        <f t="shared" si="18"/>
        <v>#N/A</v>
      </c>
      <c r="D1168" t="s">
        <v>1356</v>
      </c>
      <c r="E1168" t="s">
        <v>2817</v>
      </c>
    </row>
    <row r="1169" spans="3:5">
      <c r="C1169" t="e">
        <f t="shared" si="18"/>
        <v>#N/A</v>
      </c>
      <c r="D1169" t="s">
        <v>1357</v>
      </c>
      <c r="E1169" t="s">
        <v>2817</v>
      </c>
    </row>
    <row r="1170" spans="3:5">
      <c r="C1170" t="e">
        <f t="shared" si="18"/>
        <v>#N/A</v>
      </c>
      <c r="D1170" t="s">
        <v>1358</v>
      </c>
      <c r="E1170" t="s">
        <v>2817</v>
      </c>
    </row>
    <row r="1171" spans="3:5">
      <c r="C1171" t="e">
        <f t="shared" si="18"/>
        <v>#N/A</v>
      </c>
      <c r="D1171" t="s">
        <v>1359</v>
      </c>
      <c r="E1171" t="s">
        <v>2817</v>
      </c>
    </row>
    <row r="1172" spans="3:5">
      <c r="C1172" t="e">
        <f t="shared" si="18"/>
        <v>#N/A</v>
      </c>
      <c r="D1172" t="s">
        <v>1360</v>
      </c>
      <c r="E1172" t="s">
        <v>2817</v>
      </c>
    </row>
    <row r="1173" spans="3:5">
      <c r="C1173" t="e">
        <f t="shared" si="18"/>
        <v>#N/A</v>
      </c>
      <c r="D1173" t="s">
        <v>1361</v>
      </c>
      <c r="E1173" t="s">
        <v>2817</v>
      </c>
    </row>
    <row r="1174" spans="3:5">
      <c r="C1174" t="e">
        <f t="shared" si="18"/>
        <v>#N/A</v>
      </c>
      <c r="D1174" t="s">
        <v>1362</v>
      </c>
      <c r="E1174" t="s">
        <v>2817</v>
      </c>
    </row>
    <row r="1175" spans="3:5">
      <c r="C1175" t="e">
        <f t="shared" si="18"/>
        <v>#N/A</v>
      </c>
      <c r="D1175" t="s">
        <v>1363</v>
      </c>
      <c r="E1175" t="s">
        <v>2817</v>
      </c>
    </row>
    <row r="1176" spans="3:5">
      <c r="C1176" t="e">
        <f t="shared" si="18"/>
        <v>#N/A</v>
      </c>
      <c r="D1176" t="s">
        <v>1364</v>
      </c>
      <c r="E1176" t="s">
        <v>2817</v>
      </c>
    </row>
    <row r="1177" spans="3:5">
      <c r="C1177" t="e">
        <f t="shared" si="18"/>
        <v>#N/A</v>
      </c>
      <c r="D1177" t="s">
        <v>1365</v>
      </c>
      <c r="E1177" t="s">
        <v>2817</v>
      </c>
    </row>
    <row r="1178" spans="3:5">
      <c r="C1178" t="e">
        <f t="shared" si="18"/>
        <v>#N/A</v>
      </c>
      <c r="D1178" t="s">
        <v>1366</v>
      </c>
      <c r="E1178" t="s">
        <v>2817</v>
      </c>
    </row>
    <row r="1179" spans="3:5">
      <c r="C1179" t="e">
        <f t="shared" si="18"/>
        <v>#N/A</v>
      </c>
      <c r="D1179" t="s">
        <v>1367</v>
      </c>
      <c r="E1179" t="s">
        <v>2817</v>
      </c>
    </row>
    <row r="1180" spans="3:5">
      <c r="C1180" t="e">
        <f t="shared" si="18"/>
        <v>#N/A</v>
      </c>
      <c r="D1180" t="s">
        <v>1368</v>
      </c>
      <c r="E1180" t="s">
        <v>2817</v>
      </c>
    </row>
    <row r="1181" spans="3:5">
      <c r="C1181" t="e">
        <f t="shared" si="18"/>
        <v>#N/A</v>
      </c>
      <c r="D1181" t="s">
        <v>1369</v>
      </c>
      <c r="E1181" t="s">
        <v>2817</v>
      </c>
    </row>
    <row r="1182" spans="3:5">
      <c r="C1182" t="e">
        <f t="shared" si="18"/>
        <v>#N/A</v>
      </c>
      <c r="D1182" t="s">
        <v>1370</v>
      </c>
      <c r="E1182" t="s">
        <v>2817</v>
      </c>
    </row>
    <row r="1183" spans="3:5">
      <c r="C1183" t="e">
        <f t="shared" si="18"/>
        <v>#N/A</v>
      </c>
      <c r="D1183" t="s">
        <v>1371</v>
      </c>
      <c r="E1183" t="s">
        <v>2817</v>
      </c>
    </row>
    <row r="1184" spans="3:5">
      <c r="C1184" t="e">
        <f t="shared" si="18"/>
        <v>#N/A</v>
      </c>
      <c r="D1184" t="s">
        <v>1372</v>
      </c>
      <c r="E1184" t="s">
        <v>2817</v>
      </c>
    </row>
    <row r="1185" spans="3:5">
      <c r="C1185" t="e">
        <f t="shared" si="18"/>
        <v>#N/A</v>
      </c>
      <c r="D1185" t="s">
        <v>1373</v>
      </c>
      <c r="E1185" t="s">
        <v>2817</v>
      </c>
    </row>
    <row r="1186" spans="3:5">
      <c r="C1186" t="e">
        <f t="shared" si="18"/>
        <v>#N/A</v>
      </c>
      <c r="D1186" t="s">
        <v>1374</v>
      </c>
      <c r="E1186" t="s">
        <v>2817</v>
      </c>
    </row>
    <row r="1187" spans="3:5">
      <c r="C1187" t="e">
        <f t="shared" si="18"/>
        <v>#N/A</v>
      </c>
      <c r="D1187" t="s">
        <v>1375</v>
      </c>
      <c r="E1187" t="s">
        <v>2817</v>
      </c>
    </row>
    <row r="1188" spans="3:5">
      <c r="C1188" t="e">
        <f t="shared" si="18"/>
        <v>#N/A</v>
      </c>
      <c r="D1188" t="s">
        <v>1376</v>
      </c>
      <c r="E1188" t="s">
        <v>2817</v>
      </c>
    </row>
    <row r="1189" spans="3:5">
      <c r="C1189" t="e">
        <f t="shared" si="18"/>
        <v>#N/A</v>
      </c>
      <c r="D1189" t="s">
        <v>1377</v>
      </c>
      <c r="E1189" t="s">
        <v>2817</v>
      </c>
    </row>
    <row r="1190" spans="3:5">
      <c r="C1190" t="e">
        <f t="shared" si="18"/>
        <v>#N/A</v>
      </c>
      <c r="D1190" t="s">
        <v>1378</v>
      </c>
      <c r="E1190" t="s">
        <v>2817</v>
      </c>
    </row>
    <row r="1191" spans="3:5">
      <c r="C1191" t="e">
        <f t="shared" si="18"/>
        <v>#N/A</v>
      </c>
      <c r="D1191" t="s">
        <v>1379</v>
      </c>
      <c r="E1191" t="s">
        <v>2817</v>
      </c>
    </row>
    <row r="1192" spans="3:5">
      <c r="C1192" t="e">
        <f t="shared" si="18"/>
        <v>#N/A</v>
      </c>
      <c r="D1192" t="s">
        <v>1380</v>
      </c>
      <c r="E1192" t="s">
        <v>2817</v>
      </c>
    </row>
    <row r="1193" spans="3:5">
      <c r="C1193" t="e">
        <f t="shared" si="18"/>
        <v>#N/A</v>
      </c>
      <c r="D1193" t="s">
        <v>1381</v>
      </c>
      <c r="E1193" t="s">
        <v>2817</v>
      </c>
    </row>
    <row r="1194" spans="3:5">
      <c r="C1194" t="e">
        <f t="shared" si="18"/>
        <v>#N/A</v>
      </c>
      <c r="D1194" t="s">
        <v>1382</v>
      </c>
      <c r="E1194" t="s">
        <v>2817</v>
      </c>
    </row>
    <row r="1195" spans="3:5">
      <c r="C1195" t="e">
        <f t="shared" si="18"/>
        <v>#N/A</v>
      </c>
      <c r="D1195" t="s">
        <v>1383</v>
      </c>
      <c r="E1195" t="s">
        <v>2817</v>
      </c>
    </row>
    <row r="1196" spans="3:5">
      <c r="C1196" t="e">
        <f t="shared" si="18"/>
        <v>#N/A</v>
      </c>
      <c r="D1196" t="s">
        <v>1384</v>
      </c>
      <c r="E1196" t="s">
        <v>2817</v>
      </c>
    </row>
    <row r="1197" spans="3:5">
      <c r="C1197" t="e">
        <f t="shared" si="18"/>
        <v>#N/A</v>
      </c>
      <c r="D1197" t="s">
        <v>1385</v>
      </c>
      <c r="E1197" t="s">
        <v>2817</v>
      </c>
    </row>
    <row r="1198" spans="3:5">
      <c r="C1198" t="e">
        <f t="shared" si="18"/>
        <v>#N/A</v>
      </c>
      <c r="D1198" t="s">
        <v>1386</v>
      </c>
      <c r="E1198" t="s">
        <v>2817</v>
      </c>
    </row>
    <row r="1199" spans="3:5">
      <c r="C1199" t="e">
        <f t="shared" si="18"/>
        <v>#N/A</v>
      </c>
      <c r="D1199" t="s">
        <v>1387</v>
      </c>
      <c r="E1199" t="s">
        <v>2817</v>
      </c>
    </row>
    <row r="1200" spans="3:5">
      <c r="C1200" t="e">
        <f t="shared" si="18"/>
        <v>#N/A</v>
      </c>
      <c r="D1200" t="s">
        <v>1388</v>
      </c>
      <c r="E1200" t="s">
        <v>2817</v>
      </c>
    </row>
    <row r="1201" spans="3:5">
      <c r="C1201" t="e">
        <f t="shared" si="18"/>
        <v>#N/A</v>
      </c>
      <c r="D1201" t="s">
        <v>1389</v>
      </c>
      <c r="E1201" t="s">
        <v>2817</v>
      </c>
    </row>
    <row r="1202" spans="3:5">
      <c r="C1202" t="e">
        <f t="shared" si="18"/>
        <v>#N/A</v>
      </c>
      <c r="D1202" t="s">
        <v>1390</v>
      </c>
      <c r="E1202" t="s">
        <v>2817</v>
      </c>
    </row>
    <row r="1203" spans="3:5">
      <c r="C1203" t="e">
        <f t="shared" si="18"/>
        <v>#N/A</v>
      </c>
      <c r="D1203" t="s">
        <v>1391</v>
      </c>
      <c r="E1203" t="s">
        <v>2817</v>
      </c>
    </row>
    <row r="1204" spans="3:5">
      <c r="C1204" t="e">
        <f t="shared" si="18"/>
        <v>#N/A</v>
      </c>
      <c r="D1204" t="s">
        <v>1392</v>
      </c>
      <c r="E1204" t="s">
        <v>2817</v>
      </c>
    </row>
    <row r="1205" spans="3:5">
      <c r="C1205" t="e">
        <f t="shared" si="18"/>
        <v>#N/A</v>
      </c>
      <c r="D1205" t="s">
        <v>1393</v>
      </c>
      <c r="E1205" t="s">
        <v>2817</v>
      </c>
    </row>
    <row r="1206" spans="3:5">
      <c r="C1206" t="e">
        <f t="shared" si="18"/>
        <v>#N/A</v>
      </c>
      <c r="D1206" t="s">
        <v>1394</v>
      </c>
      <c r="E1206" t="s">
        <v>2817</v>
      </c>
    </row>
    <row r="1207" spans="3:5">
      <c r="C1207" t="e">
        <f t="shared" si="18"/>
        <v>#N/A</v>
      </c>
      <c r="D1207" t="s">
        <v>1395</v>
      </c>
      <c r="E1207" t="s">
        <v>2817</v>
      </c>
    </row>
    <row r="1208" spans="3:5">
      <c r="C1208" t="e">
        <f t="shared" si="18"/>
        <v>#N/A</v>
      </c>
      <c r="D1208" t="s">
        <v>1396</v>
      </c>
      <c r="E1208" t="s">
        <v>2817</v>
      </c>
    </row>
    <row r="1209" spans="3:5">
      <c r="C1209" t="e">
        <f t="shared" si="18"/>
        <v>#N/A</v>
      </c>
      <c r="D1209" t="s">
        <v>1397</v>
      </c>
      <c r="E1209" t="s">
        <v>2817</v>
      </c>
    </row>
    <row r="1210" spans="3:5">
      <c r="C1210" t="e">
        <f t="shared" si="18"/>
        <v>#N/A</v>
      </c>
      <c r="D1210" t="s">
        <v>1398</v>
      </c>
      <c r="E1210" t="s">
        <v>2817</v>
      </c>
    </row>
    <row r="1211" spans="3:5">
      <c r="C1211" t="e">
        <f t="shared" si="18"/>
        <v>#N/A</v>
      </c>
      <c r="D1211" t="s">
        <v>1399</v>
      </c>
      <c r="E1211" t="s">
        <v>2817</v>
      </c>
    </row>
    <row r="1212" spans="3:5">
      <c r="C1212" t="e">
        <f t="shared" si="18"/>
        <v>#N/A</v>
      </c>
      <c r="D1212" t="s">
        <v>1400</v>
      </c>
      <c r="E1212" t="s">
        <v>2817</v>
      </c>
    </row>
    <row r="1213" spans="3:5">
      <c r="C1213" t="e">
        <f t="shared" si="18"/>
        <v>#N/A</v>
      </c>
      <c r="D1213" t="s">
        <v>1401</v>
      </c>
      <c r="E1213" t="s">
        <v>2817</v>
      </c>
    </row>
    <row r="1214" spans="3:5">
      <c r="C1214" t="e">
        <f t="shared" si="18"/>
        <v>#N/A</v>
      </c>
      <c r="D1214" t="s">
        <v>1402</v>
      </c>
      <c r="E1214" t="s">
        <v>2817</v>
      </c>
    </row>
    <row r="1215" spans="3:5">
      <c r="C1215" t="e">
        <f t="shared" si="18"/>
        <v>#N/A</v>
      </c>
      <c r="D1215" t="s">
        <v>1403</v>
      </c>
      <c r="E1215" t="s">
        <v>2817</v>
      </c>
    </row>
    <row r="1216" spans="3:5">
      <c r="C1216" t="e">
        <f t="shared" si="18"/>
        <v>#N/A</v>
      </c>
      <c r="D1216" t="s">
        <v>1404</v>
      </c>
      <c r="E1216" t="s">
        <v>2817</v>
      </c>
    </row>
    <row r="1217" spans="3:5">
      <c r="C1217" t="e">
        <f t="shared" si="18"/>
        <v>#N/A</v>
      </c>
      <c r="D1217" t="s">
        <v>1405</v>
      </c>
      <c r="E1217" t="s">
        <v>2817</v>
      </c>
    </row>
    <row r="1218" spans="3:5">
      <c r="C1218" t="e">
        <f t="shared" si="18"/>
        <v>#N/A</v>
      </c>
      <c r="D1218" t="s">
        <v>1406</v>
      </c>
      <c r="E1218" t="s">
        <v>2817</v>
      </c>
    </row>
    <row r="1219" spans="3:5">
      <c r="C1219" t="e">
        <f t="shared" ref="C1219:C1282" si="19">VLOOKUP(B1219,D:E,2,0)</f>
        <v>#N/A</v>
      </c>
      <c r="D1219" t="s">
        <v>1407</v>
      </c>
      <c r="E1219" t="s">
        <v>2817</v>
      </c>
    </row>
    <row r="1220" spans="3:5">
      <c r="C1220" t="e">
        <f t="shared" si="19"/>
        <v>#N/A</v>
      </c>
      <c r="D1220" t="s">
        <v>1408</v>
      </c>
      <c r="E1220" t="s">
        <v>2817</v>
      </c>
    </row>
    <row r="1221" spans="3:5">
      <c r="C1221" t="e">
        <f t="shared" si="19"/>
        <v>#N/A</v>
      </c>
      <c r="D1221" t="s">
        <v>1409</v>
      </c>
      <c r="E1221" t="s">
        <v>2817</v>
      </c>
    </row>
    <row r="1222" spans="3:5">
      <c r="C1222" t="e">
        <f t="shared" si="19"/>
        <v>#N/A</v>
      </c>
      <c r="D1222" t="s">
        <v>1410</v>
      </c>
      <c r="E1222" t="s">
        <v>2817</v>
      </c>
    </row>
    <row r="1223" spans="3:5">
      <c r="C1223" t="e">
        <f t="shared" si="19"/>
        <v>#N/A</v>
      </c>
      <c r="D1223" t="s">
        <v>1411</v>
      </c>
      <c r="E1223" t="s">
        <v>2817</v>
      </c>
    </row>
    <row r="1224" spans="3:5">
      <c r="C1224" t="e">
        <f t="shared" si="19"/>
        <v>#N/A</v>
      </c>
      <c r="D1224" t="s">
        <v>1412</v>
      </c>
      <c r="E1224" t="s">
        <v>2817</v>
      </c>
    </row>
    <row r="1225" spans="3:5">
      <c r="C1225" t="e">
        <f t="shared" si="19"/>
        <v>#N/A</v>
      </c>
      <c r="D1225" t="s">
        <v>1413</v>
      </c>
      <c r="E1225" t="s">
        <v>2817</v>
      </c>
    </row>
    <row r="1226" spans="3:5">
      <c r="C1226" t="e">
        <f t="shared" si="19"/>
        <v>#N/A</v>
      </c>
      <c r="D1226" t="s">
        <v>1414</v>
      </c>
      <c r="E1226" t="s">
        <v>2817</v>
      </c>
    </row>
    <row r="1227" spans="3:5">
      <c r="C1227" t="e">
        <f t="shared" si="19"/>
        <v>#N/A</v>
      </c>
      <c r="D1227" t="s">
        <v>1415</v>
      </c>
      <c r="E1227" t="s">
        <v>2817</v>
      </c>
    </row>
    <row r="1228" spans="3:5">
      <c r="C1228" t="e">
        <f t="shared" si="19"/>
        <v>#N/A</v>
      </c>
      <c r="D1228" t="s">
        <v>1416</v>
      </c>
      <c r="E1228" t="s">
        <v>2817</v>
      </c>
    </row>
    <row r="1229" spans="3:5">
      <c r="C1229" t="e">
        <f t="shared" si="19"/>
        <v>#N/A</v>
      </c>
      <c r="D1229" t="s">
        <v>1417</v>
      </c>
      <c r="E1229" t="s">
        <v>2817</v>
      </c>
    </row>
    <row r="1230" spans="3:5">
      <c r="C1230" t="e">
        <f t="shared" si="19"/>
        <v>#N/A</v>
      </c>
      <c r="D1230" t="s">
        <v>1418</v>
      </c>
      <c r="E1230" t="s">
        <v>2817</v>
      </c>
    </row>
    <row r="1231" spans="3:5">
      <c r="C1231" t="e">
        <f t="shared" si="19"/>
        <v>#N/A</v>
      </c>
      <c r="D1231" t="s">
        <v>1419</v>
      </c>
      <c r="E1231" t="s">
        <v>2817</v>
      </c>
    </row>
    <row r="1232" spans="3:5">
      <c r="C1232" t="e">
        <f t="shared" si="19"/>
        <v>#N/A</v>
      </c>
      <c r="D1232" t="s">
        <v>1420</v>
      </c>
      <c r="E1232" t="s">
        <v>2817</v>
      </c>
    </row>
    <row r="1233" spans="3:5">
      <c r="C1233" t="e">
        <f t="shared" si="19"/>
        <v>#N/A</v>
      </c>
      <c r="D1233" t="s">
        <v>1421</v>
      </c>
      <c r="E1233" t="s">
        <v>2817</v>
      </c>
    </row>
    <row r="1234" spans="3:5">
      <c r="C1234" t="e">
        <f t="shared" si="19"/>
        <v>#N/A</v>
      </c>
      <c r="D1234" t="s">
        <v>1422</v>
      </c>
      <c r="E1234" t="s">
        <v>2817</v>
      </c>
    </row>
    <row r="1235" spans="3:5">
      <c r="C1235" t="e">
        <f t="shared" si="19"/>
        <v>#N/A</v>
      </c>
      <c r="D1235" t="s">
        <v>1423</v>
      </c>
      <c r="E1235" t="s">
        <v>2817</v>
      </c>
    </row>
    <row r="1236" spans="3:5">
      <c r="C1236" t="e">
        <f t="shared" si="19"/>
        <v>#N/A</v>
      </c>
      <c r="D1236" t="s">
        <v>1424</v>
      </c>
      <c r="E1236" t="s">
        <v>2817</v>
      </c>
    </row>
    <row r="1237" spans="3:5">
      <c r="C1237" t="e">
        <f t="shared" si="19"/>
        <v>#N/A</v>
      </c>
      <c r="D1237" t="s">
        <v>1425</v>
      </c>
      <c r="E1237" t="s">
        <v>2817</v>
      </c>
    </row>
    <row r="1238" spans="3:5">
      <c r="C1238" t="e">
        <f t="shared" si="19"/>
        <v>#N/A</v>
      </c>
      <c r="D1238" t="s">
        <v>1426</v>
      </c>
      <c r="E1238" t="s">
        <v>2817</v>
      </c>
    </row>
    <row r="1239" spans="3:5">
      <c r="C1239" t="e">
        <f t="shared" si="19"/>
        <v>#N/A</v>
      </c>
      <c r="D1239" t="s">
        <v>1427</v>
      </c>
      <c r="E1239" t="s">
        <v>2817</v>
      </c>
    </row>
    <row r="1240" spans="3:5">
      <c r="C1240" t="e">
        <f t="shared" si="19"/>
        <v>#N/A</v>
      </c>
      <c r="D1240" t="s">
        <v>1428</v>
      </c>
      <c r="E1240" t="s">
        <v>2817</v>
      </c>
    </row>
    <row r="1241" spans="3:5">
      <c r="C1241" t="e">
        <f t="shared" si="19"/>
        <v>#N/A</v>
      </c>
      <c r="D1241" t="s">
        <v>1429</v>
      </c>
      <c r="E1241" t="s">
        <v>2817</v>
      </c>
    </row>
    <row r="1242" spans="3:5">
      <c r="C1242" t="e">
        <f t="shared" si="19"/>
        <v>#N/A</v>
      </c>
      <c r="D1242" t="s">
        <v>1430</v>
      </c>
      <c r="E1242" t="s">
        <v>2817</v>
      </c>
    </row>
    <row r="1243" spans="3:5">
      <c r="C1243" t="e">
        <f t="shared" si="19"/>
        <v>#N/A</v>
      </c>
      <c r="D1243" t="s">
        <v>1431</v>
      </c>
      <c r="E1243" t="s">
        <v>2817</v>
      </c>
    </row>
    <row r="1244" spans="3:5">
      <c r="C1244" t="e">
        <f t="shared" si="19"/>
        <v>#N/A</v>
      </c>
      <c r="D1244" t="s">
        <v>1432</v>
      </c>
      <c r="E1244" t="s">
        <v>2817</v>
      </c>
    </row>
    <row r="1245" spans="3:5">
      <c r="C1245" t="e">
        <f t="shared" si="19"/>
        <v>#N/A</v>
      </c>
      <c r="D1245" t="s">
        <v>1433</v>
      </c>
      <c r="E1245" t="s">
        <v>2817</v>
      </c>
    </row>
    <row r="1246" spans="3:5">
      <c r="C1246" t="e">
        <f t="shared" si="19"/>
        <v>#N/A</v>
      </c>
      <c r="D1246" t="s">
        <v>1434</v>
      </c>
      <c r="E1246" t="s">
        <v>2817</v>
      </c>
    </row>
    <row r="1247" spans="3:5">
      <c r="C1247" t="e">
        <f t="shared" si="19"/>
        <v>#N/A</v>
      </c>
      <c r="D1247" t="s">
        <v>1435</v>
      </c>
      <c r="E1247" t="s">
        <v>2817</v>
      </c>
    </row>
    <row r="1248" spans="3:5">
      <c r="C1248" t="e">
        <f t="shared" si="19"/>
        <v>#N/A</v>
      </c>
      <c r="D1248" t="s">
        <v>1436</v>
      </c>
      <c r="E1248" t="s">
        <v>2817</v>
      </c>
    </row>
    <row r="1249" spans="3:5">
      <c r="C1249" t="e">
        <f t="shared" si="19"/>
        <v>#N/A</v>
      </c>
      <c r="D1249" t="s">
        <v>1437</v>
      </c>
      <c r="E1249" t="s">
        <v>2817</v>
      </c>
    </row>
    <row r="1250" spans="3:5">
      <c r="C1250" t="e">
        <f t="shared" si="19"/>
        <v>#N/A</v>
      </c>
      <c r="D1250" t="s">
        <v>1438</v>
      </c>
      <c r="E1250" t="s">
        <v>2817</v>
      </c>
    </row>
    <row r="1251" spans="3:5">
      <c r="C1251" t="e">
        <f t="shared" si="19"/>
        <v>#N/A</v>
      </c>
      <c r="D1251" t="s">
        <v>1439</v>
      </c>
      <c r="E1251" t="s">
        <v>2817</v>
      </c>
    </row>
    <row r="1252" spans="3:5">
      <c r="C1252" t="e">
        <f t="shared" si="19"/>
        <v>#N/A</v>
      </c>
      <c r="D1252" t="s">
        <v>1440</v>
      </c>
      <c r="E1252" t="s">
        <v>2817</v>
      </c>
    </row>
    <row r="1253" spans="3:5">
      <c r="C1253" t="e">
        <f t="shared" si="19"/>
        <v>#N/A</v>
      </c>
      <c r="D1253" t="s">
        <v>1441</v>
      </c>
      <c r="E1253" t="s">
        <v>2817</v>
      </c>
    </row>
    <row r="1254" spans="3:5">
      <c r="C1254" t="e">
        <f t="shared" si="19"/>
        <v>#N/A</v>
      </c>
      <c r="D1254" t="s">
        <v>1442</v>
      </c>
      <c r="E1254" t="s">
        <v>2817</v>
      </c>
    </row>
    <row r="1255" spans="3:5">
      <c r="C1255" t="e">
        <f t="shared" si="19"/>
        <v>#N/A</v>
      </c>
      <c r="D1255" t="s">
        <v>1443</v>
      </c>
      <c r="E1255" t="s">
        <v>2817</v>
      </c>
    </row>
    <row r="1256" spans="3:5">
      <c r="C1256" t="e">
        <f t="shared" si="19"/>
        <v>#N/A</v>
      </c>
      <c r="D1256" t="s">
        <v>1444</v>
      </c>
      <c r="E1256" t="s">
        <v>2817</v>
      </c>
    </row>
    <row r="1257" spans="3:5">
      <c r="C1257" t="e">
        <f t="shared" si="19"/>
        <v>#N/A</v>
      </c>
      <c r="D1257" t="s">
        <v>1445</v>
      </c>
      <c r="E1257" t="s">
        <v>2817</v>
      </c>
    </row>
    <row r="1258" spans="3:5">
      <c r="C1258" t="e">
        <f t="shared" si="19"/>
        <v>#N/A</v>
      </c>
      <c r="D1258" t="s">
        <v>1446</v>
      </c>
      <c r="E1258" t="s">
        <v>2817</v>
      </c>
    </row>
    <row r="1259" spans="3:5">
      <c r="C1259" t="e">
        <f t="shared" si="19"/>
        <v>#N/A</v>
      </c>
      <c r="D1259" t="s">
        <v>1447</v>
      </c>
      <c r="E1259" t="s">
        <v>2817</v>
      </c>
    </row>
    <row r="1260" spans="3:5">
      <c r="C1260" t="e">
        <f t="shared" si="19"/>
        <v>#N/A</v>
      </c>
      <c r="D1260" t="s">
        <v>1448</v>
      </c>
      <c r="E1260" t="s">
        <v>2817</v>
      </c>
    </row>
    <row r="1261" spans="3:5">
      <c r="C1261" t="e">
        <f t="shared" si="19"/>
        <v>#N/A</v>
      </c>
      <c r="D1261" t="s">
        <v>1449</v>
      </c>
      <c r="E1261" t="s">
        <v>2817</v>
      </c>
    </row>
    <row r="1262" spans="3:5">
      <c r="C1262" t="e">
        <f t="shared" si="19"/>
        <v>#N/A</v>
      </c>
      <c r="D1262" t="s">
        <v>1450</v>
      </c>
      <c r="E1262" t="s">
        <v>2817</v>
      </c>
    </row>
    <row r="1263" spans="3:5">
      <c r="C1263" t="e">
        <f t="shared" si="19"/>
        <v>#N/A</v>
      </c>
      <c r="D1263" t="s">
        <v>1451</v>
      </c>
      <c r="E1263" t="s">
        <v>2817</v>
      </c>
    </row>
    <row r="1264" spans="3:5">
      <c r="C1264" t="e">
        <f t="shared" si="19"/>
        <v>#N/A</v>
      </c>
      <c r="D1264" t="s">
        <v>1452</v>
      </c>
      <c r="E1264" t="s">
        <v>2817</v>
      </c>
    </row>
    <row r="1265" spans="3:5">
      <c r="C1265" t="e">
        <f t="shared" si="19"/>
        <v>#N/A</v>
      </c>
      <c r="D1265" t="s">
        <v>1453</v>
      </c>
      <c r="E1265" t="s">
        <v>2817</v>
      </c>
    </row>
    <row r="1266" spans="3:5">
      <c r="C1266" t="e">
        <f t="shared" si="19"/>
        <v>#N/A</v>
      </c>
      <c r="D1266" t="s">
        <v>1454</v>
      </c>
      <c r="E1266" t="s">
        <v>2817</v>
      </c>
    </row>
    <row r="1267" spans="3:5">
      <c r="C1267" t="e">
        <f t="shared" si="19"/>
        <v>#N/A</v>
      </c>
      <c r="D1267" t="s">
        <v>1455</v>
      </c>
      <c r="E1267" t="s">
        <v>2817</v>
      </c>
    </row>
    <row r="1268" spans="3:5">
      <c r="C1268" t="e">
        <f t="shared" si="19"/>
        <v>#N/A</v>
      </c>
      <c r="D1268" t="s">
        <v>1456</v>
      </c>
      <c r="E1268" t="s">
        <v>2817</v>
      </c>
    </row>
    <row r="1269" spans="3:5">
      <c r="C1269" t="e">
        <f t="shared" si="19"/>
        <v>#N/A</v>
      </c>
      <c r="D1269" t="s">
        <v>1457</v>
      </c>
      <c r="E1269" t="s">
        <v>2817</v>
      </c>
    </row>
    <row r="1270" spans="3:5">
      <c r="C1270" t="e">
        <f t="shared" si="19"/>
        <v>#N/A</v>
      </c>
      <c r="D1270" t="s">
        <v>1458</v>
      </c>
      <c r="E1270" t="s">
        <v>2817</v>
      </c>
    </row>
    <row r="1271" spans="3:5">
      <c r="C1271" t="e">
        <f t="shared" si="19"/>
        <v>#N/A</v>
      </c>
      <c r="D1271" t="s">
        <v>1459</v>
      </c>
      <c r="E1271" t="s">
        <v>2817</v>
      </c>
    </row>
    <row r="1272" spans="3:5">
      <c r="C1272" t="e">
        <f t="shared" si="19"/>
        <v>#N/A</v>
      </c>
      <c r="D1272" t="s">
        <v>1460</v>
      </c>
      <c r="E1272" t="s">
        <v>2817</v>
      </c>
    </row>
    <row r="1273" spans="3:5">
      <c r="C1273" t="e">
        <f t="shared" si="19"/>
        <v>#N/A</v>
      </c>
      <c r="D1273" t="s">
        <v>1461</v>
      </c>
      <c r="E1273" t="s">
        <v>2817</v>
      </c>
    </row>
    <row r="1274" spans="3:5">
      <c r="C1274" t="e">
        <f t="shared" si="19"/>
        <v>#N/A</v>
      </c>
      <c r="D1274" t="s">
        <v>1462</v>
      </c>
      <c r="E1274" t="s">
        <v>2817</v>
      </c>
    </row>
    <row r="1275" spans="3:5">
      <c r="C1275" t="e">
        <f t="shared" si="19"/>
        <v>#N/A</v>
      </c>
      <c r="D1275" t="s">
        <v>1463</v>
      </c>
      <c r="E1275" t="s">
        <v>2817</v>
      </c>
    </row>
    <row r="1276" spans="3:5">
      <c r="C1276" t="e">
        <f t="shared" si="19"/>
        <v>#N/A</v>
      </c>
      <c r="D1276" t="s">
        <v>1464</v>
      </c>
      <c r="E1276" t="s">
        <v>2817</v>
      </c>
    </row>
    <row r="1277" spans="3:5">
      <c r="C1277" t="e">
        <f t="shared" si="19"/>
        <v>#N/A</v>
      </c>
      <c r="D1277" t="s">
        <v>1465</v>
      </c>
      <c r="E1277" t="s">
        <v>2817</v>
      </c>
    </row>
    <row r="1278" spans="3:5">
      <c r="C1278" t="e">
        <f t="shared" si="19"/>
        <v>#N/A</v>
      </c>
      <c r="D1278" t="s">
        <v>1466</v>
      </c>
      <c r="E1278" t="s">
        <v>2817</v>
      </c>
    </row>
    <row r="1279" spans="3:5">
      <c r="C1279" t="e">
        <f t="shared" si="19"/>
        <v>#N/A</v>
      </c>
      <c r="D1279" t="s">
        <v>1467</v>
      </c>
      <c r="E1279" t="s">
        <v>2817</v>
      </c>
    </row>
    <row r="1280" spans="3:5">
      <c r="C1280" t="e">
        <f t="shared" si="19"/>
        <v>#N/A</v>
      </c>
      <c r="D1280" t="s">
        <v>1468</v>
      </c>
      <c r="E1280" t="s">
        <v>2817</v>
      </c>
    </row>
    <row r="1281" spans="3:5">
      <c r="C1281" t="e">
        <f t="shared" si="19"/>
        <v>#N/A</v>
      </c>
      <c r="D1281" t="s">
        <v>1469</v>
      </c>
      <c r="E1281" t="s">
        <v>2817</v>
      </c>
    </row>
    <row r="1282" spans="3:5">
      <c r="C1282" t="e">
        <f t="shared" si="19"/>
        <v>#N/A</v>
      </c>
      <c r="D1282" t="s">
        <v>1470</v>
      </c>
      <c r="E1282" t="s">
        <v>2817</v>
      </c>
    </row>
    <row r="1283" spans="3:5">
      <c r="C1283" t="e">
        <f t="shared" ref="C1283:C1346" si="20">VLOOKUP(B1283,D:E,2,0)</f>
        <v>#N/A</v>
      </c>
      <c r="D1283" t="s">
        <v>1471</v>
      </c>
      <c r="E1283" t="s">
        <v>2817</v>
      </c>
    </row>
    <row r="1284" spans="3:5">
      <c r="C1284" t="e">
        <f t="shared" si="20"/>
        <v>#N/A</v>
      </c>
      <c r="D1284" t="s">
        <v>1472</v>
      </c>
      <c r="E1284" t="s">
        <v>2817</v>
      </c>
    </row>
    <row r="1285" spans="3:5">
      <c r="C1285" t="e">
        <f t="shared" si="20"/>
        <v>#N/A</v>
      </c>
      <c r="D1285" t="s">
        <v>1473</v>
      </c>
      <c r="E1285" t="s">
        <v>2817</v>
      </c>
    </row>
    <row r="1286" spans="3:5">
      <c r="C1286" t="e">
        <f t="shared" si="20"/>
        <v>#N/A</v>
      </c>
      <c r="D1286" t="s">
        <v>1474</v>
      </c>
      <c r="E1286" t="s">
        <v>2817</v>
      </c>
    </row>
    <row r="1287" spans="3:5">
      <c r="C1287" t="e">
        <f t="shared" si="20"/>
        <v>#N/A</v>
      </c>
      <c r="D1287" t="s">
        <v>1475</v>
      </c>
      <c r="E1287" t="s">
        <v>2817</v>
      </c>
    </row>
    <row r="1288" spans="3:5">
      <c r="C1288" t="e">
        <f t="shared" si="20"/>
        <v>#N/A</v>
      </c>
      <c r="D1288" t="s">
        <v>1476</v>
      </c>
      <c r="E1288" t="s">
        <v>2817</v>
      </c>
    </row>
    <row r="1289" spans="3:5">
      <c r="C1289" t="e">
        <f t="shared" si="20"/>
        <v>#N/A</v>
      </c>
      <c r="D1289" t="s">
        <v>1477</v>
      </c>
      <c r="E1289" t="s">
        <v>2817</v>
      </c>
    </row>
    <row r="1290" spans="3:5">
      <c r="C1290" t="e">
        <f t="shared" si="20"/>
        <v>#N/A</v>
      </c>
      <c r="D1290" t="s">
        <v>1478</v>
      </c>
      <c r="E1290" t="s">
        <v>2817</v>
      </c>
    </row>
    <row r="1291" spans="3:5">
      <c r="C1291" t="e">
        <f t="shared" si="20"/>
        <v>#N/A</v>
      </c>
      <c r="D1291" t="s">
        <v>1479</v>
      </c>
      <c r="E1291" t="s">
        <v>2817</v>
      </c>
    </row>
    <row r="1292" spans="3:5">
      <c r="C1292" t="e">
        <f t="shared" si="20"/>
        <v>#N/A</v>
      </c>
      <c r="D1292" t="s">
        <v>1480</v>
      </c>
      <c r="E1292" t="s">
        <v>2817</v>
      </c>
    </row>
    <row r="1293" spans="3:5">
      <c r="C1293" t="e">
        <f t="shared" si="20"/>
        <v>#N/A</v>
      </c>
      <c r="D1293" t="s">
        <v>1481</v>
      </c>
      <c r="E1293" t="s">
        <v>2817</v>
      </c>
    </row>
    <row r="1294" spans="3:5">
      <c r="C1294" t="e">
        <f t="shared" si="20"/>
        <v>#N/A</v>
      </c>
      <c r="D1294" t="s">
        <v>1482</v>
      </c>
      <c r="E1294" t="s">
        <v>2817</v>
      </c>
    </row>
    <row r="1295" spans="3:5">
      <c r="C1295" t="e">
        <f t="shared" si="20"/>
        <v>#N/A</v>
      </c>
      <c r="D1295" t="s">
        <v>1483</v>
      </c>
      <c r="E1295" t="s">
        <v>2817</v>
      </c>
    </row>
    <row r="1296" spans="3:5">
      <c r="C1296" t="e">
        <f t="shared" si="20"/>
        <v>#N/A</v>
      </c>
      <c r="D1296" t="s">
        <v>1484</v>
      </c>
      <c r="E1296" t="s">
        <v>2817</v>
      </c>
    </row>
    <row r="1297" spans="3:5">
      <c r="C1297" t="e">
        <f t="shared" si="20"/>
        <v>#N/A</v>
      </c>
      <c r="D1297" t="s">
        <v>1485</v>
      </c>
      <c r="E1297" t="s">
        <v>2817</v>
      </c>
    </row>
    <row r="1298" spans="3:5">
      <c r="C1298" t="e">
        <f t="shared" si="20"/>
        <v>#N/A</v>
      </c>
      <c r="D1298" t="s">
        <v>1486</v>
      </c>
      <c r="E1298" t="s">
        <v>2817</v>
      </c>
    </row>
    <row r="1299" spans="3:5">
      <c r="C1299" t="e">
        <f t="shared" si="20"/>
        <v>#N/A</v>
      </c>
      <c r="D1299" t="s">
        <v>1487</v>
      </c>
      <c r="E1299" t="s">
        <v>2817</v>
      </c>
    </row>
    <row r="1300" spans="3:5">
      <c r="C1300" t="e">
        <f t="shared" si="20"/>
        <v>#N/A</v>
      </c>
      <c r="D1300" t="s">
        <v>1488</v>
      </c>
      <c r="E1300" t="s">
        <v>2817</v>
      </c>
    </row>
    <row r="1301" spans="3:5">
      <c r="C1301" t="e">
        <f t="shared" si="20"/>
        <v>#N/A</v>
      </c>
      <c r="D1301" t="s">
        <v>1489</v>
      </c>
      <c r="E1301" t="s">
        <v>2817</v>
      </c>
    </row>
    <row r="1302" spans="3:5">
      <c r="C1302" t="e">
        <f t="shared" si="20"/>
        <v>#N/A</v>
      </c>
      <c r="D1302" t="s">
        <v>1490</v>
      </c>
      <c r="E1302" t="s">
        <v>2817</v>
      </c>
    </row>
    <row r="1303" spans="3:5">
      <c r="C1303" t="e">
        <f t="shared" si="20"/>
        <v>#N/A</v>
      </c>
      <c r="D1303" t="s">
        <v>1491</v>
      </c>
      <c r="E1303" t="s">
        <v>2817</v>
      </c>
    </row>
    <row r="1304" spans="3:5">
      <c r="C1304" t="e">
        <f t="shared" si="20"/>
        <v>#N/A</v>
      </c>
      <c r="D1304" t="s">
        <v>1492</v>
      </c>
      <c r="E1304" t="s">
        <v>2817</v>
      </c>
    </row>
    <row r="1305" spans="3:5">
      <c r="C1305" t="e">
        <f t="shared" si="20"/>
        <v>#N/A</v>
      </c>
      <c r="D1305" t="s">
        <v>1493</v>
      </c>
      <c r="E1305" t="s">
        <v>2817</v>
      </c>
    </row>
    <row r="1306" spans="3:5">
      <c r="C1306" t="e">
        <f t="shared" si="20"/>
        <v>#N/A</v>
      </c>
      <c r="D1306" t="s">
        <v>1494</v>
      </c>
      <c r="E1306" t="s">
        <v>2817</v>
      </c>
    </row>
    <row r="1307" spans="3:5">
      <c r="C1307" t="e">
        <f t="shared" si="20"/>
        <v>#N/A</v>
      </c>
      <c r="D1307" t="s">
        <v>1495</v>
      </c>
      <c r="E1307" t="s">
        <v>2817</v>
      </c>
    </row>
    <row r="1308" spans="3:5">
      <c r="C1308" t="e">
        <f t="shared" si="20"/>
        <v>#N/A</v>
      </c>
      <c r="D1308" t="s">
        <v>1496</v>
      </c>
      <c r="E1308" t="s">
        <v>2817</v>
      </c>
    </row>
    <row r="1309" spans="3:5">
      <c r="C1309" t="e">
        <f t="shared" si="20"/>
        <v>#N/A</v>
      </c>
      <c r="D1309" t="s">
        <v>1497</v>
      </c>
      <c r="E1309" t="s">
        <v>2817</v>
      </c>
    </row>
    <row r="1310" spans="3:5">
      <c r="C1310" t="e">
        <f t="shared" si="20"/>
        <v>#N/A</v>
      </c>
      <c r="D1310" t="s">
        <v>1498</v>
      </c>
      <c r="E1310" t="s">
        <v>2817</v>
      </c>
    </row>
    <row r="1311" spans="3:5">
      <c r="C1311" t="e">
        <f t="shared" si="20"/>
        <v>#N/A</v>
      </c>
      <c r="D1311" t="s">
        <v>1499</v>
      </c>
      <c r="E1311" t="s">
        <v>2817</v>
      </c>
    </row>
    <row r="1312" spans="3:5">
      <c r="C1312" t="e">
        <f t="shared" si="20"/>
        <v>#N/A</v>
      </c>
      <c r="D1312" t="s">
        <v>1500</v>
      </c>
      <c r="E1312" t="s">
        <v>2817</v>
      </c>
    </row>
    <row r="1313" spans="3:5">
      <c r="C1313" t="e">
        <f t="shared" si="20"/>
        <v>#N/A</v>
      </c>
      <c r="D1313" t="s">
        <v>1501</v>
      </c>
      <c r="E1313" t="s">
        <v>2817</v>
      </c>
    </row>
    <row r="1314" spans="3:5">
      <c r="C1314" t="e">
        <f t="shared" si="20"/>
        <v>#N/A</v>
      </c>
      <c r="D1314" t="s">
        <v>1502</v>
      </c>
      <c r="E1314" t="s">
        <v>2817</v>
      </c>
    </row>
    <row r="1315" spans="3:5">
      <c r="C1315" t="e">
        <f t="shared" si="20"/>
        <v>#N/A</v>
      </c>
      <c r="D1315" t="s">
        <v>1503</v>
      </c>
      <c r="E1315" t="s">
        <v>2817</v>
      </c>
    </row>
    <row r="1316" spans="3:5">
      <c r="C1316" t="e">
        <f t="shared" si="20"/>
        <v>#N/A</v>
      </c>
      <c r="D1316" t="s">
        <v>1504</v>
      </c>
      <c r="E1316" t="s">
        <v>2817</v>
      </c>
    </row>
    <row r="1317" spans="3:5">
      <c r="C1317" t="e">
        <f t="shared" si="20"/>
        <v>#N/A</v>
      </c>
      <c r="D1317" t="s">
        <v>1505</v>
      </c>
      <c r="E1317" t="s">
        <v>2817</v>
      </c>
    </row>
    <row r="1318" spans="3:5">
      <c r="C1318" t="e">
        <f t="shared" si="20"/>
        <v>#N/A</v>
      </c>
      <c r="D1318" t="s">
        <v>1506</v>
      </c>
      <c r="E1318" t="s">
        <v>2817</v>
      </c>
    </row>
    <row r="1319" spans="3:5">
      <c r="C1319" t="e">
        <f t="shared" si="20"/>
        <v>#N/A</v>
      </c>
      <c r="D1319" t="s">
        <v>1507</v>
      </c>
      <c r="E1319" t="s">
        <v>2817</v>
      </c>
    </row>
    <row r="1320" spans="3:5">
      <c r="C1320" t="e">
        <f t="shared" si="20"/>
        <v>#N/A</v>
      </c>
      <c r="D1320" t="s">
        <v>1508</v>
      </c>
      <c r="E1320" t="s">
        <v>2817</v>
      </c>
    </row>
    <row r="1321" spans="3:5">
      <c r="C1321" t="e">
        <f t="shared" si="20"/>
        <v>#N/A</v>
      </c>
      <c r="D1321" t="s">
        <v>1509</v>
      </c>
      <c r="E1321" t="s">
        <v>2817</v>
      </c>
    </row>
    <row r="1322" spans="3:5">
      <c r="C1322" t="e">
        <f t="shared" si="20"/>
        <v>#N/A</v>
      </c>
      <c r="D1322" t="s">
        <v>1510</v>
      </c>
      <c r="E1322" t="s">
        <v>2817</v>
      </c>
    </row>
    <row r="1323" spans="3:5">
      <c r="C1323" t="e">
        <f t="shared" si="20"/>
        <v>#N/A</v>
      </c>
      <c r="D1323" t="s">
        <v>1511</v>
      </c>
      <c r="E1323" t="s">
        <v>2817</v>
      </c>
    </row>
    <row r="1324" spans="3:5">
      <c r="C1324" t="e">
        <f t="shared" si="20"/>
        <v>#N/A</v>
      </c>
      <c r="D1324" t="s">
        <v>1512</v>
      </c>
      <c r="E1324" t="s">
        <v>2817</v>
      </c>
    </row>
    <row r="1325" spans="3:5">
      <c r="C1325" t="e">
        <f t="shared" si="20"/>
        <v>#N/A</v>
      </c>
      <c r="D1325" t="s">
        <v>1513</v>
      </c>
      <c r="E1325" t="s">
        <v>2817</v>
      </c>
    </row>
    <row r="1326" spans="3:5">
      <c r="C1326" t="e">
        <f t="shared" si="20"/>
        <v>#N/A</v>
      </c>
      <c r="D1326" t="s">
        <v>1514</v>
      </c>
      <c r="E1326" t="s">
        <v>2817</v>
      </c>
    </row>
    <row r="1327" spans="3:5">
      <c r="C1327" t="e">
        <f t="shared" si="20"/>
        <v>#N/A</v>
      </c>
      <c r="D1327" t="s">
        <v>1515</v>
      </c>
      <c r="E1327" t="s">
        <v>2817</v>
      </c>
    </row>
    <row r="1328" spans="3:5">
      <c r="C1328" t="e">
        <f t="shared" si="20"/>
        <v>#N/A</v>
      </c>
      <c r="D1328" t="s">
        <v>1516</v>
      </c>
      <c r="E1328" t="s">
        <v>2817</v>
      </c>
    </row>
    <row r="1329" spans="3:5">
      <c r="C1329" t="e">
        <f t="shared" si="20"/>
        <v>#N/A</v>
      </c>
      <c r="D1329" t="s">
        <v>1517</v>
      </c>
      <c r="E1329" t="s">
        <v>2817</v>
      </c>
    </row>
    <row r="1330" spans="3:5">
      <c r="C1330" t="e">
        <f t="shared" si="20"/>
        <v>#N/A</v>
      </c>
      <c r="D1330" t="s">
        <v>1518</v>
      </c>
      <c r="E1330" t="s">
        <v>2817</v>
      </c>
    </row>
    <row r="1331" spans="3:5">
      <c r="C1331" t="e">
        <f t="shared" si="20"/>
        <v>#N/A</v>
      </c>
      <c r="D1331" t="s">
        <v>1519</v>
      </c>
      <c r="E1331" t="s">
        <v>2817</v>
      </c>
    </row>
    <row r="1332" spans="3:5">
      <c r="C1332" t="e">
        <f t="shared" si="20"/>
        <v>#N/A</v>
      </c>
      <c r="D1332" t="s">
        <v>1520</v>
      </c>
      <c r="E1332" t="s">
        <v>2817</v>
      </c>
    </row>
    <row r="1333" spans="3:5">
      <c r="C1333" t="e">
        <f t="shared" si="20"/>
        <v>#N/A</v>
      </c>
      <c r="D1333" t="s">
        <v>1521</v>
      </c>
      <c r="E1333" t="s">
        <v>2817</v>
      </c>
    </row>
    <row r="1334" spans="3:5">
      <c r="C1334" t="e">
        <f t="shared" si="20"/>
        <v>#N/A</v>
      </c>
      <c r="D1334" t="s">
        <v>1522</v>
      </c>
      <c r="E1334" t="s">
        <v>2817</v>
      </c>
    </row>
    <row r="1335" spans="3:5">
      <c r="C1335" t="e">
        <f t="shared" si="20"/>
        <v>#N/A</v>
      </c>
      <c r="D1335" t="s">
        <v>1523</v>
      </c>
      <c r="E1335" t="s">
        <v>2817</v>
      </c>
    </row>
    <row r="1336" spans="3:5">
      <c r="C1336" t="e">
        <f t="shared" si="20"/>
        <v>#N/A</v>
      </c>
      <c r="D1336" t="s">
        <v>1524</v>
      </c>
      <c r="E1336" t="s">
        <v>2817</v>
      </c>
    </row>
    <row r="1337" spans="3:5">
      <c r="C1337" t="e">
        <f t="shared" si="20"/>
        <v>#N/A</v>
      </c>
      <c r="D1337" t="s">
        <v>1525</v>
      </c>
      <c r="E1337" t="s">
        <v>2817</v>
      </c>
    </row>
    <row r="1338" spans="3:5">
      <c r="C1338" t="e">
        <f t="shared" si="20"/>
        <v>#N/A</v>
      </c>
      <c r="D1338" t="s">
        <v>1526</v>
      </c>
      <c r="E1338" t="s">
        <v>2817</v>
      </c>
    </row>
    <row r="1339" spans="3:5">
      <c r="C1339" t="e">
        <f t="shared" si="20"/>
        <v>#N/A</v>
      </c>
      <c r="D1339" t="s">
        <v>1527</v>
      </c>
      <c r="E1339" t="s">
        <v>2817</v>
      </c>
    </row>
    <row r="1340" spans="3:5">
      <c r="C1340" t="e">
        <f t="shared" si="20"/>
        <v>#N/A</v>
      </c>
      <c r="D1340" t="s">
        <v>1528</v>
      </c>
      <c r="E1340" t="s">
        <v>2817</v>
      </c>
    </row>
    <row r="1341" spans="3:5">
      <c r="C1341" t="e">
        <f t="shared" si="20"/>
        <v>#N/A</v>
      </c>
      <c r="D1341" t="s">
        <v>1529</v>
      </c>
      <c r="E1341" t="s">
        <v>2817</v>
      </c>
    </row>
    <row r="1342" spans="3:5">
      <c r="C1342" t="e">
        <f t="shared" si="20"/>
        <v>#N/A</v>
      </c>
      <c r="D1342" t="s">
        <v>1530</v>
      </c>
      <c r="E1342" t="s">
        <v>2817</v>
      </c>
    </row>
    <row r="1343" spans="3:5">
      <c r="C1343" t="e">
        <f t="shared" si="20"/>
        <v>#N/A</v>
      </c>
      <c r="D1343" t="s">
        <v>1531</v>
      </c>
      <c r="E1343" t="s">
        <v>2817</v>
      </c>
    </row>
    <row r="1344" spans="3:5">
      <c r="C1344" t="e">
        <f t="shared" si="20"/>
        <v>#N/A</v>
      </c>
      <c r="D1344" t="s">
        <v>1532</v>
      </c>
      <c r="E1344" t="s">
        <v>2817</v>
      </c>
    </row>
    <row r="1345" spans="3:5">
      <c r="C1345" t="e">
        <f t="shared" si="20"/>
        <v>#N/A</v>
      </c>
      <c r="D1345" t="s">
        <v>1533</v>
      </c>
      <c r="E1345" t="s">
        <v>2817</v>
      </c>
    </row>
    <row r="1346" spans="3:5">
      <c r="C1346" t="e">
        <f t="shared" si="20"/>
        <v>#N/A</v>
      </c>
      <c r="D1346" t="s">
        <v>1534</v>
      </c>
      <c r="E1346" t="s">
        <v>2817</v>
      </c>
    </row>
    <row r="1347" spans="3:5">
      <c r="C1347" t="e">
        <f t="shared" ref="C1347:C1410" si="21">VLOOKUP(B1347,D:E,2,0)</f>
        <v>#N/A</v>
      </c>
      <c r="D1347" t="s">
        <v>1535</v>
      </c>
      <c r="E1347" t="s">
        <v>2817</v>
      </c>
    </row>
    <row r="1348" spans="3:5">
      <c r="C1348" t="e">
        <f t="shared" si="21"/>
        <v>#N/A</v>
      </c>
      <c r="D1348" t="s">
        <v>1536</v>
      </c>
      <c r="E1348" t="s">
        <v>2817</v>
      </c>
    </row>
    <row r="1349" spans="3:5">
      <c r="C1349" t="e">
        <f t="shared" si="21"/>
        <v>#N/A</v>
      </c>
      <c r="D1349" t="s">
        <v>1537</v>
      </c>
      <c r="E1349" t="s">
        <v>2817</v>
      </c>
    </row>
    <row r="1350" spans="3:5">
      <c r="C1350" t="e">
        <f t="shared" si="21"/>
        <v>#N/A</v>
      </c>
      <c r="D1350" t="s">
        <v>1538</v>
      </c>
      <c r="E1350" t="s">
        <v>2817</v>
      </c>
    </row>
    <row r="1351" spans="3:5">
      <c r="C1351" t="e">
        <f t="shared" si="21"/>
        <v>#N/A</v>
      </c>
      <c r="D1351" t="s">
        <v>1539</v>
      </c>
      <c r="E1351" t="s">
        <v>2817</v>
      </c>
    </row>
    <row r="1352" spans="3:5">
      <c r="C1352" t="e">
        <f t="shared" si="21"/>
        <v>#N/A</v>
      </c>
      <c r="D1352" t="s">
        <v>1540</v>
      </c>
      <c r="E1352" t="s">
        <v>2817</v>
      </c>
    </row>
    <row r="1353" spans="3:5">
      <c r="C1353" t="e">
        <f t="shared" si="21"/>
        <v>#N/A</v>
      </c>
      <c r="D1353" t="s">
        <v>1541</v>
      </c>
      <c r="E1353" t="s">
        <v>2817</v>
      </c>
    </row>
    <row r="1354" spans="3:5">
      <c r="C1354" t="e">
        <f t="shared" si="21"/>
        <v>#N/A</v>
      </c>
      <c r="D1354" t="s">
        <v>1542</v>
      </c>
      <c r="E1354" t="s">
        <v>2817</v>
      </c>
    </row>
    <row r="1355" spans="3:5">
      <c r="C1355" t="e">
        <f t="shared" si="21"/>
        <v>#N/A</v>
      </c>
      <c r="D1355" t="s">
        <v>1543</v>
      </c>
      <c r="E1355" t="s">
        <v>2817</v>
      </c>
    </row>
    <row r="1356" spans="3:5">
      <c r="C1356" t="e">
        <f t="shared" si="21"/>
        <v>#N/A</v>
      </c>
      <c r="D1356" t="s">
        <v>1544</v>
      </c>
      <c r="E1356" t="s">
        <v>2817</v>
      </c>
    </row>
    <row r="1357" spans="3:5">
      <c r="C1357" t="e">
        <f t="shared" si="21"/>
        <v>#N/A</v>
      </c>
      <c r="D1357" t="s">
        <v>1545</v>
      </c>
      <c r="E1357" t="s">
        <v>2817</v>
      </c>
    </row>
    <row r="1358" spans="3:5">
      <c r="C1358" t="e">
        <f t="shared" si="21"/>
        <v>#N/A</v>
      </c>
      <c r="D1358" t="s">
        <v>1546</v>
      </c>
      <c r="E1358" t="s">
        <v>2817</v>
      </c>
    </row>
    <row r="1359" spans="3:5">
      <c r="C1359" t="e">
        <f t="shared" si="21"/>
        <v>#N/A</v>
      </c>
      <c r="D1359" t="s">
        <v>1547</v>
      </c>
      <c r="E1359" t="s">
        <v>2817</v>
      </c>
    </row>
    <row r="1360" spans="3:5">
      <c r="C1360" t="e">
        <f t="shared" si="21"/>
        <v>#N/A</v>
      </c>
      <c r="D1360" t="s">
        <v>1548</v>
      </c>
      <c r="E1360" t="s">
        <v>2817</v>
      </c>
    </row>
    <row r="1361" spans="3:5">
      <c r="C1361" t="e">
        <f t="shared" si="21"/>
        <v>#N/A</v>
      </c>
      <c r="D1361" t="s">
        <v>1549</v>
      </c>
      <c r="E1361" t="s">
        <v>2817</v>
      </c>
    </row>
    <row r="1362" spans="3:5">
      <c r="C1362" t="e">
        <f t="shared" si="21"/>
        <v>#N/A</v>
      </c>
      <c r="D1362" t="s">
        <v>1550</v>
      </c>
      <c r="E1362" t="s">
        <v>2817</v>
      </c>
    </row>
    <row r="1363" spans="3:5">
      <c r="C1363" t="e">
        <f t="shared" si="21"/>
        <v>#N/A</v>
      </c>
      <c r="D1363" t="s">
        <v>1551</v>
      </c>
      <c r="E1363" t="s">
        <v>2817</v>
      </c>
    </row>
    <row r="1364" spans="3:5">
      <c r="C1364" t="e">
        <f t="shared" si="21"/>
        <v>#N/A</v>
      </c>
      <c r="D1364" t="s">
        <v>1552</v>
      </c>
      <c r="E1364" t="s">
        <v>2817</v>
      </c>
    </row>
    <row r="1365" spans="3:5">
      <c r="C1365" t="e">
        <f t="shared" si="21"/>
        <v>#N/A</v>
      </c>
      <c r="D1365" t="s">
        <v>1553</v>
      </c>
      <c r="E1365" t="s">
        <v>2817</v>
      </c>
    </row>
    <row r="1366" spans="3:5">
      <c r="C1366" t="e">
        <f t="shared" si="21"/>
        <v>#N/A</v>
      </c>
      <c r="D1366" t="s">
        <v>1554</v>
      </c>
      <c r="E1366" t="s">
        <v>2817</v>
      </c>
    </row>
    <row r="1367" spans="3:5">
      <c r="C1367" t="e">
        <f t="shared" si="21"/>
        <v>#N/A</v>
      </c>
      <c r="D1367" t="s">
        <v>1555</v>
      </c>
      <c r="E1367" t="s">
        <v>2817</v>
      </c>
    </row>
    <row r="1368" spans="3:5">
      <c r="C1368" t="e">
        <f t="shared" si="21"/>
        <v>#N/A</v>
      </c>
      <c r="D1368" t="s">
        <v>1556</v>
      </c>
      <c r="E1368" t="s">
        <v>2817</v>
      </c>
    </row>
    <row r="1369" spans="3:5">
      <c r="C1369" t="e">
        <f t="shared" si="21"/>
        <v>#N/A</v>
      </c>
      <c r="D1369" t="s">
        <v>1557</v>
      </c>
      <c r="E1369" t="s">
        <v>2817</v>
      </c>
    </row>
    <row r="1370" spans="3:5">
      <c r="C1370" t="e">
        <f t="shared" si="21"/>
        <v>#N/A</v>
      </c>
      <c r="D1370" t="s">
        <v>1558</v>
      </c>
      <c r="E1370" t="s">
        <v>2817</v>
      </c>
    </row>
    <row r="1371" spans="3:5">
      <c r="C1371" t="e">
        <f t="shared" si="21"/>
        <v>#N/A</v>
      </c>
      <c r="D1371" t="s">
        <v>1559</v>
      </c>
      <c r="E1371" t="s">
        <v>2817</v>
      </c>
    </row>
    <row r="1372" spans="3:5">
      <c r="C1372" t="e">
        <f t="shared" si="21"/>
        <v>#N/A</v>
      </c>
      <c r="D1372" t="s">
        <v>1560</v>
      </c>
      <c r="E1372" t="s">
        <v>2817</v>
      </c>
    </row>
    <row r="1373" spans="3:5">
      <c r="C1373" t="e">
        <f t="shared" si="21"/>
        <v>#N/A</v>
      </c>
      <c r="D1373" t="s">
        <v>1561</v>
      </c>
      <c r="E1373" t="s">
        <v>2817</v>
      </c>
    </row>
    <row r="1374" spans="3:5">
      <c r="C1374" t="e">
        <f t="shared" si="21"/>
        <v>#N/A</v>
      </c>
      <c r="D1374" t="s">
        <v>1562</v>
      </c>
      <c r="E1374" t="s">
        <v>2817</v>
      </c>
    </row>
    <row r="1375" spans="3:5">
      <c r="C1375" t="e">
        <f t="shared" si="21"/>
        <v>#N/A</v>
      </c>
      <c r="D1375" t="s">
        <v>1563</v>
      </c>
      <c r="E1375" t="s">
        <v>2817</v>
      </c>
    </row>
    <row r="1376" spans="3:5">
      <c r="C1376" t="e">
        <f t="shared" si="21"/>
        <v>#N/A</v>
      </c>
      <c r="D1376" t="s">
        <v>1564</v>
      </c>
      <c r="E1376" t="s">
        <v>2817</v>
      </c>
    </row>
    <row r="1377" spans="3:5">
      <c r="C1377" t="e">
        <f t="shared" si="21"/>
        <v>#N/A</v>
      </c>
      <c r="D1377" t="s">
        <v>1565</v>
      </c>
      <c r="E1377" t="s">
        <v>2817</v>
      </c>
    </row>
    <row r="1378" spans="3:5">
      <c r="C1378" t="e">
        <f t="shared" si="21"/>
        <v>#N/A</v>
      </c>
      <c r="D1378" t="s">
        <v>1566</v>
      </c>
      <c r="E1378" t="s">
        <v>2817</v>
      </c>
    </row>
    <row r="1379" spans="3:5">
      <c r="C1379" t="e">
        <f t="shared" si="21"/>
        <v>#N/A</v>
      </c>
      <c r="D1379" t="s">
        <v>1567</v>
      </c>
      <c r="E1379" t="s">
        <v>2817</v>
      </c>
    </row>
    <row r="1380" spans="3:5">
      <c r="C1380" t="e">
        <f t="shared" si="21"/>
        <v>#N/A</v>
      </c>
      <c r="D1380" t="s">
        <v>1568</v>
      </c>
      <c r="E1380" t="s">
        <v>2817</v>
      </c>
    </row>
    <row r="1381" spans="3:5">
      <c r="C1381" t="e">
        <f t="shared" si="21"/>
        <v>#N/A</v>
      </c>
      <c r="D1381" t="s">
        <v>1569</v>
      </c>
      <c r="E1381" t="s">
        <v>2817</v>
      </c>
    </row>
    <row r="1382" spans="3:5">
      <c r="C1382" t="e">
        <f t="shared" si="21"/>
        <v>#N/A</v>
      </c>
      <c r="D1382" t="s">
        <v>1570</v>
      </c>
      <c r="E1382" t="s">
        <v>2817</v>
      </c>
    </row>
    <row r="1383" spans="3:5">
      <c r="C1383" t="e">
        <f t="shared" si="21"/>
        <v>#N/A</v>
      </c>
      <c r="D1383" t="s">
        <v>1571</v>
      </c>
      <c r="E1383" t="s">
        <v>2817</v>
      </c>
    </row>
    <row r="1384" spans="3:5">
      <c r="C1384" t="e">
        <f t="shared" si="21"/>
        <v>#N/A</v>
      </c>
      <c r="D1384" t="s">
        <v>1572</v>
      </c>
      <c r="E1384" t="s">
        <v>2817</v>
      </c>
    </row>
    <row r="1385" spans="3:5">
      <c r="C1385" t="e">
        <f t="shared" si="21"/>
        <v>#N/A</v>
      </c>
      <c r="D1385" t="s">
        <v>1573</v>
      </c>
      <c r="E1385" t="s">
        <v>2817</v>
      </c>
    </row>
    <row r="1386" spans="3:5">
      <c r="C1386" t="e">
        <f t="shared" si="21"/>
        <v>#N/A</v>
      </c>
      <c r="D1386" t="s">
        <v>1574</v>
      </c>
      <c r="E1386" t="s">
        <v>2817</v>
      </c>
    </row>
    <row r="1387" spans="3:5">
      <c r="C1387" t="e">
        <f t="shared" si="21"/>
        <v>#N/A</v>
      </c>
      <c r="D1387" t="s">
        <v>1575</v>
      </c>
      <c r="E1387" t="s">
        <v>2817</v>
      </c>
    </row>
    <row r="1388" spans="3:5">
      <c r="C1388" t="e">
        <f t="shared" si="21"/>
        <v>#N/A</v>
      </c>
      <c r="D1388" t="s">
        <v>1576</v>
      </c>
      <c r="E1388" t="s">
        <v>2817</v>
      </c>
    </row>
    <row r="1389" spans="3:5">
      <c r="C1389" t="e">
        <f t="shared" si="21"/>
        <v>#N/A</v>
      </c>
      <c r="D1389" t="s">
        <v>1577</v>
      </c>
      <c r="E1389" t="s">
        <v>2817</v>
      </c>
    </row>
    <row r="1390" spans="3:5">
      <c r="C1390" t="e">
        <f t="shared" si="21"/>
        <v>#N/A</v>
      </c>
      <c r="D1390" t="s">
        <v>1578</v>
      </c>
      <c r="E1390" t="s">
        <v>2817</v>
      </c>
    </row>
    <row r="1391" spans="3:5">
      <c r="C1391" t="e">
        <f t="shared" si="21"/>
        <v>#N/A</v>
      </c>
      <c r="D1391" t="s">
        <v>1579</v>
      </c>
      <c r="E1391" t="s">
        <v>2817</v>
      </c>
    </row>
    <row r="1392" spans="3:5">
      <c r="C1392" t="e">
        <f t="shared" si="21"/>
        <v>#N/A</v>
      </c>
      <c r="D1392" t="s">
        <v>1580</v>
      </c>
      <c r="E1392" t="s">
        <v>2817</v>
      </c>
    </row>
    <row r="1393" spans="3:5">
      <c r="C1393" t="e">
        <f t="shared" si="21"/>
        <v>#N/A</v>
      </c>
      <c r="D1393" t="s">
        <v>1581</v>
      </c>
      <c r="E1393" t="s">
        <v>2817</v>
      </c>
    </row>
    <row r="1394" spans="3:5">
      <c r="C1394" t="e">
        <f t="shared" si="21"/>
        <v>#N/A</v>
      </c>
      <c r="D1394" t="s">
        <v>1582</v>
      </c>
      <c r="E1394" t="s">
        <v>2817</v>
      </c>
    </row>
    <row r="1395" spans="3:5">
      <c r="C1395" t="e">
        <f t="shared" si="21"/>
        <v>#N/A</v>
      </c>
      <c r="D1395" t="s">
        <v>1583</v>
      </c>
      <c r="E1395" t="s">
        <v>2817</v>
      </c>
    </row>
    <row r="1396" spans="3:5">
      <c r="C1396" t="e">
        <f t="shared" si="21"/>
        <v>#N/A</v>
      </c>
      <c r="D1396" t="s">
        <v>1584</v>
      </c>
      <c r="E1396" t="s">
        <v>2817</v>
      </c>
    </row>
    <row r="1397" spans="3:5">
      <c r="C1397" t="e">
        <f t="shared" si="21"/>
        <v>#N/A</v>
      </c>
      <c r="D1397" t="s">
        <v>1585</v>
      </c>
      <c r="E1397" t="s">
        <v>2817</v>
      </c>
    </row>
    <row r="1398" spans="3:5">
      <c r="C1398" t="e">
        <f t="shared" si="21"/>
        <v>#N/A</v>
      </c>
      <c r="D1398" t="s">
        <v>1586</v>
      </c>
      <c r="E1398" t="s">
        <v>2817</v>
      </c>
    </row>
    <row r="1399" spans="3:5">
      <c r="C1399" t="e">
        <f t="shared" si="21"/>
        <v>#N/A</v>
      </c>
      <c r="D1399" t="s">
        <v>1587</v>
      </c>
      <c r="E1399" t="s">
        <v>2817</v>
      </c>
    </row>
    <row r="1400" spans="3:5">
      <c r="C1400" t="e">
        <f t="shared" si="21"/>
        <v>#N/A</v>
      </c>
      <c r="D1400" t="s">
        <v>1588</v>
      </c>
      <c r="E1400" t="s">
        <v>2817</v>
      </c>
    </row>
    <row r="1401" spans="3:5">
      <c r="C1401" t="e">
        <f t="shared" si="21"/>
        <v>#N/A</v>
      </c>
      <c r="D1401" t="s">
        <v>1589</v>
      </c>
      <c r="E1401" t="s">
        <v>2817</v>
      </c>
    </row>
    <row r="1402" spans="3:5">
      <c r="C1402" t="e">
        <f t="shared" si="21"/>
        <v>#N/A</v>
      </c>
      <c r="D1402" t="s">
        <v>1590</v>
      </c>
      <c r="E1402" t="s">
        <v>2817</v>
      </c>
    </row>
    <row r="1403" spans="3:5">
      <c r="C1403" t="e">
        <f t="shared" si="21"/>
        <v>#N/A</v>
      </c>
      <c r="D1403" t="s">
        <v>1591</v>
      </c>
      <c r="E1403" t="s">
        <v>2817</v>
      </c>
    </row>
    <row r="1404" spans="3:5">
      <c r="C1404" t="e">
        <f t="shared" si="21"/>
        <v>#N/A</v>
      </c>
      <c r="D1404" t="s">
        <v>1592</v>
      </c>
      <c r="E1404" t="s">
        <v>2817</v>
      </c>
    </row>
    <row r="1405" spans="3:5">
      <c r="C1405" t="e">
        <f t="shared" si="21"/>
        <v>#N/A</v>
      </c>
      <c r="D1405" t="s">
        <v>1593</v>
      </c>
      <c r="E1405" t="s">
        <v>2817</v>
      </c>
    </row>
    <row r="1406" spans="3:5">
      <c r="C1406" t="e">
        <f t="shared" si="21"/>
        <v>#N/A</v>
      </c>
      <c r="D1406" t="s">
        <v>1594</v>
      </c>
      <c r="E1406" t="s">
        <v>2817</v>
      </c>
    </row>
    <row r="1407" spans="3:5">
      <c r="C1407" t="e">
        <f t="shared" si="21"/>
        <v>#N/A</v>
      </c>
      <c r="D1407" t="s">
        <v>1595</v>
      </c>
      <c r="E1407" t="s">
        <v>2817</v>
      </c>
    </row>
    <row r="1408" spans="3:5">
      <c r="C1408" t="e">
        <f t="shared" si="21"/>
        <v>#N/A</v>
      </c>
      <c r="D1408" t="s">
        <v>1596</v>
      </c>
      <c r="E1408" t="s">
        <v>2817</v>
      </c>
    </row>
    <row r="1409" spans="3:5">
      <c r="C1409" t="e">
        <f t="shared" si="21"/>
        <v>#N/A</v>
      </c>
      <c r="D1409" t="s">
        <v>1597</v>
      </c>
      <c r="E1409" t="s">
        <v>2817</v>
      </c>
    </row>
    <row r="1410" spans="3:5">
      <c r="C1410" t="e">
        <f t="shared" si="21"/>
        <v>#N/A</v>
      </c>
      <c r="D1410" t="s">
        <v>1598</v>
      </c>
      <c r="E1410" t="s">
        <v>2817</v>
      </c>
    </row>
    <row r="1411" spans="3:5">
      <c r="C1411" t="e">
        <f t="shared" ref="C1411:C1474" si="22">VLOOKUP(B1411,D:E,2,0)</f>
        <v>#N/A</v>
      </c>
      <c r="D1411" t="s">
        <v>1599</v>
      </c>
      <c r="E1411" t="s">
        <v>2817</v>
      </c>
    </row>
    <row r="1412" spans="3:5">
      <c r="C1412" t="e">
        <f t="shared" si="22"/>
        <v>#N/A</v>
      </c>
      <c r="D1412" t="s">
        <v>1600</v>
      </c>
      <c r="E1412" t="s">
        <v>2817</v>
      </c>
    </row>
    <row r="1413" spans="3:5">
      <c r="C1413" t="e">
        <f t="shared" si="22"/>
        <v>#N/A</v>
      </c>
      <c r="D1413" t="s">
        <v>1601</v>
      </c>
      <c r="E1413" t="s">
        <v>2817</v>
      </c>
    </row>
    <row r="1414" spans="3:5">
      <c r="C1414" t="e">
        <f t="shared" si="22"/>
        <v>#N/A</v>
      </c>
      <c r="D1414" t="s">
        <v>1602</v>
      </c>
      <c r="E1414" t="s">
        <v>2817</v>
      </c>
    </row>
    <row r="1415" spans="3:5">
      <c r="C1415" t="e">
        <f t="shared" si="22"/>
        <v>#N/A</v>
      </c>
      <c r="D1415" t="s">
        <v>1603</v>
      </c>
      <c r="E1415" t="s">
        <v>2817</v>
      </c>
    </row>
    <row r="1416" spans="3:5">
      <c r="C1416" t="e">
        <f t="shared" si="22"/>
        <v>#N/A</v>
      </c>
      <c r="D1416" t="s">
        <v>1604</v>
      </c>
      <c r="E1416" t="s">
        <v>2817</v>
      </c>
    </row>
    <row r="1417" spans="3:5">
      <c r="C1417" t="e">
        <f t="shared" si="22"/>
        <v>#N/A</v>
      </c>
      <c r="D1417" t="s">
        <v>1605</v>
      </c>
      <c r="E1417" t="s">
        <v>2817</v>
      </c>
    </row>
    <row r="1418" spans="3:5">
      <c r="C1418" t="e">
        <f t="shared" si="22"/>
        <v>#N/A</v>
      </c>
      <c r="D1418" t="s">
        <v>1606</v>
      </c>
      <c r="E1418" t="s">
        <v>2817</v>
      </c>
    </row>
    <row r="1419" spans="3:5">
      <c r="C1419" t="e">
        <f t="shared" si="22"/>
        <v>#N/A</v>
      </c>
      <c r="D1419" t="s">
        <v>1607</v>
      </c>
      <c r="E1419" t="s">
        <v>2817</v>
      </c>
    </row>
    <row r="1420" spans="3:5">
      <c r="C1420" t="e">
        <f t="shared" si="22"/>
        <v>#N/A</v>
      </c>
      <c r="D1420" t="s">
        <v>1608</v>
      </c>
      <c r="E1420" t="s">
        <v>2817</v>
      </c>
    </row>
    <row r="1421" spans="3:5">
      <c r="C1421" t="e">
        <f t="shared" si="22"/>
        <v>#N/A</v>
      </c>
      <c r="D1421" t="s">
        <v>1609</v>
      </c>
      <c r="E1421" t="s">
        <v>2817</v>
      </c>
    </row>
    <row r="1422" spans="3:5">
      <c r="C1422" t="e">
        <f t="shared" si="22"/>
        <v>#N/A</v>
      </c>
      <c r="D1422" t="s">
        <v>1610</v>
      </c>
      <c r="E1422" t="s">
        <v>2817</v>
      </c>
    </row>
    <row r="1423" spans="3:5">
      <c r="C1423" t="e">
        <f t="shared" si="22"/>
        <v>#N/A</v>
      </c>
      <c r="D1423" t="s">
        <v>1611</v>
      </c>
      <c r="E1423" t="s">
        <v>2817</v>
      </c>
    </row>
    <row r="1424" spans="3:5">
      <c r="C1424" t="e">
        <f t="shared" si="22"/>
        <v>#N/A</v>
      </c>
      <c r="D1424" t="s">
        <v>1612</v>
      </c>
      <c r="E1424" t="s">
        <v>2817</v>
      </c>
    </row>
    <row r="1425" spans="3:5">
      <c r="C1425" t="e">
        <f t="shared" si="22"/>
        <v>#N/A</v>
      </c>
      <c r="D1425" t="s">
        <v>1613</v>
      </c>
      <c r="E1425" t="s">
        <v>2817</v>
      </c>
    </row>
    <row r="1426" spans="3:5">
      <c r="C1426" t="e">
        <f t="shared" si="22"/>
        <v>#N/A</v>
      </c>
      <c r="D1426" t="s">
        <v>1614</v>
      </c>
      <c r="E1426" t="s">
        <v>2817</v>
      </c>
    </row>
    <row r="1427" spans="3:5">
      <c r="C1427" t="e">
        <f t="shared" si="22"/>
        <v>#N/A</v>
      </c>
      <c r="D1427" t="s">
        <v>1615</v>
      </c>
      <c r="E1427" t="s">
        <v>2817</v>
      </c>
    </row>
    <row r="1428" spans="3:5">
      <c r="C1428" t="e">
        <f t="shared" si="22"/>
        <v>#N/A</v>
      </c>
      <c r="D1428" t="s">
        <v>1616</v>
      </c>
      <c r="E1428" t="s">
        <v>2817</v>
      </c>
    </row>
    <row r="1429" spans="3:5">
      <c r="C1429" t="e">
        <f t="shared" si="22"/>
        <v>#N/A</v>
      </c>
      <c r="D1429" t="s">
        <v>1617</v>
      </c>
      <c r="E1429" t="s">
        <v>2817</v>
      </c>
    </row>
    <row r="1430" spans="3:5">
      <c r="C1430" t="e">
        <f t="shared" si="22"/>
        <v>#N/A</v>
      </c>
      <c r="D1430" t="s">
        <v>1618</v>
      </c>
      <c r="E1430" t="s">
        <v>2817</v>
      </c>
    </row>
    <row r="1431" spans="3:5">
      <c r="C1431" t="e">
        <f t="shared" si="22"/>
        <v>#N/A</v>
      </c>
      <c r="D1431" t="s">
        <v>1619</v>
      </c>
      <c r="E1431" t="s">
        <v>2817</v>
      </c>
    </row>
    <row r="1432" spans="3:5">
      <c r="C1432" t="e">
        <f t="shared" si="22"/>
        <v>#N/A</v>
      </c>
      <c r="D1432" t="s">
        <v>1620</v>
      </c>
      <c r="E1432" t="s">
        <v>2817</v>
      </c>
    </row>
    <row r="1433" spans="3:5">
      <c r="C1433" t="e">
        <f t="shared" si="22"/>
        <v>#N/A</v>
      </c>
      <c r="D1433" t="s">
        <v>1621</v>
      </c>
      <c r="E1433" t="s">
        <v>2817</v>
      </c>
    </row>
    <row r="1434" spans="3:5">
      <c r="C1434" t="e">
        <f t="shared" si="22"/>
        <v>#N/A</v>
      </c>
      <c r="D1434" t="s">
        <v>1622</v>
      </c>
      <c r="E1434" t="s">
        <v>2817</v>
      </c>
    </row>
    <row r="1435" spans="3:5">
      <c r="C1435" t="e">
        <f t="shared" si="22"/>
        <v>#N/A</v>
      </c>
      <c r="D1435" t="s">
        <v>1623</v>
      </c>
      <c r="E1435" t="s">
        <v>2817</v>
      </c>
    </row>
    <row r="1436" spans="3:5">
      <c r="C1436" t="e">
        <f t="shared" si="22"/>
        <v>#N/A</v>
      </c>
      <c r="D1436" t="s">
        <v>1624</v>
      </c>
      <c r="E1436" t="s">
        <v>2817</v>
      </c>
    </row>
    <row r="1437" spans="3:5">
      <c r="C1437" t="e">
        <f t="shared" si="22"/>
        <v>#N/A</v>
      </c>
      <c r="D1437" t="s">
        <v>1625</v>
      </c>
      <c r="E1437" t="s">
        <v>2817</v>
      </c>
    </row>
    <row r="1438" spans="3:5">
      <c r="C1438" t="e">
        <f t="shared" si="22"/>
        <v>#N/A</v>
      </c>
      <c r="D1438" t="s">
        <v>1626</v>
      </c>
      <c r="E1438" t="s">
        <v>2817</v>
      </c>
    </row>
    <row r="1439" spans="3:5">
      <c r="C1439" t="e">
        <f t="shared" si="22"/>
        <v>#N/A</v>
      </c>
      <c r="D1439" t="s">
        <v>1627</v>
      </c>
      <c r="E1439" t="s">
        <v>2817</v>
      </c>
    </row>
    <row r="1440" spans="3:5">
      <c r="C1440" t="e">
        <f t="shared" si="22"/>
        <v>#N/A</v>
      </c>
      <c r="D1440" t="s">
        <v>1628</v>
      </c>
      <c r="E1440" t="s">
        <v>2817</v>
      </c>
    </row>
    <row r="1441" spans="3:5">
      <c r="C1441" t="e">
        <f t="shared" si="22"/>
        <v>#N/A</v>
      </c>
      <c r="D1441" t="s">
        <v>1629</v>
      </c>
      <c r="E1441" t="s">
        <v>2817</v>
      </c>
    </row>
    <row r="1442" spans="3:5">
      <c r="C1442" t="e">
        <f t="shared" si="22"/>
        <v>#N/A</v>
      </c>
      <c r="D1442" t="s">
        <v>1630</v>
      </c>
      <c r="E1442" t="s">
        <v>2817</v>
      </c>
    </row>
    <row r="1443" spans="3:5">
      <c r="C1443" t="e">
        <f t="shared" si="22"/>
        <v>#N/A</v>
      </c>
      <c r="D1443" t="s">
        <v>1631</v>
      </c>
      <c r="E1443" t="s">
        <v>2817</v>
      </c>
    </row>
    <row r="1444" spans="3:5">
      <c r="C1444" t="e">
        <f t="shared" si="22"/>
        <v>#N/A</v>
      </c>
      <c r="D1444" t="s">
        <v>1632</v>
      </c>
      <c r="E1444" t="s">
        <v>2817</v>
      </c>
    </row>
    <row r="1445" spans="3:5">
      <c r="C1445" t="e">
        <f t="shared" si="22"/>
        <v>#N/A</v>
      </c>
      <c r="D1445" t="s">
        <v>1633</v>
      </c>
      <c r="E1445" t="s">
        <v>2817</v>
      </c>
    </row>
    <row r="1446" spans="3:5">
      <c r="C1446" t="e">
        <f t="shared" si="22"/>
        <v>#N/A</v>
      </c>
      <c r="D1446" t="s">
        <v>1634</v>
      </c>
      <c r="E1446" t="s">
        <v>2817</v>
      </c>
    </row>
    <row r="1447" spans="3:5">
      <c r="C1447" t="e">
        <f t="shared" si="22"/>
        <v>#N/A</v>
      </c>
      <c r="D1447" t="s">
        <v>1635</v>
      </c>
      <c r="E1447" t="s">
        <v>2817</v>
      </c>
    </row>
    <row r="1448" spans="3:5">
      <c r="C1448" t="e">
        <f t="shared" si="22"/>
        <v>#N/A</v>
      </c>
      <c r="D1448" t="s">
        <v>1636</v>
      </c>
      <c r="E1448" t="s">
        <v>2817</v>
      </c>
    </row>
    <row r="1449" spans="3:5">
      <c r="C1449" t="e">
        <f t="shared" si="22"/>
        <v>#N/A</v>
      </c>
      <c r="D1449" t="s">
        <v>1637</v>
      </c>
      <c r="E1449" t="s">
        <v>2817</v>
      </c>
    </row>
    <row r="1450" spans="3:5">
      <c r="C1450" t="e">
        <f t="shared" si="22"/>
        <v>#N/A</v>
      </c>
      <c r="D1450" t="s">
        <v>1638</v>
      </c>
      <c r="E1450" t="s">
        <v>2817</v>
      </c>
    </row>
    <row r="1451" spans="3:5">
      <c r="C1451" t="e">
        <f t="shared" si="22"/>
        <v>#N/A</v>
      </c>
      <c r="D1451" t="s">
        <v>1639</v>
      </c>
      <c r="E1451" t="s">
        <v>2817</v>
      </c>
    </row>
    <row r="1452" spans="3:5">
      <c r="C1452" t="e">
        <f t="shared" si="22"/>
        <v>#N/A</v>
      </c>
      <c r="D1452" t="s">
        <v>1640</v>
      </c>
      <c r="E1452" t="s">
        <v>2817</v>
      </c>
    </row>
    <row r="1453" spans="3:5">
      <c r="C1453" t="e">
        <f t="shared" si="22"/>
        <v>#N/A</v>
      </c>
      <c r="D1453" t="s">
        <v>1641</v>
      </c>
      <c r="E1453" t="s">
        <v>2817</v>
      </c>
    </row>
    <row r="1454" spans="3:5">
      <c r="C1454" t="e">
        <f t="shared" si="22"/>
        <v>#N/A</v>
      </c>
      <c r="D1454" t="s">
        <v>1642</v>
      </c>
      <c r="E1454" t="s">
        <v>2817</v>
      </c>
    </row>
    <row r="1455" spans="3:5">
      <c r="C1455" t="e">
        <f t="shared" si="22"/>
        <v>#N/A</v>
      </c>
      <c r="D1455" t="s">
        <v>1643</v>
      </c>
      <c r="E1455" t="s">
        <v>2817</v>
      </c>
    </row>
    <row r="1456" spans="3:5">
      <c r="C1456" t="e">
        <f t="shared" si="22"/>
        <v>#N/A</v>
      </c>
      <c r="D1456" t="s">
        <v>1644</v>
      </c>
      <c r="E1456" t="s">
        <v>2817</v>
      </c>
    </row>
    <row r="1457" spans="3:5">
      <c r="C1457" t="e">
        <f t="shared" si="22"/>
        <v>#N/A</v>
      </c>
      <c r="D1457" t="s">
        <v>1645</v>
      </c>
      <c r="E1457" t="s">
        <v>2817</v>
      </c>
    </row>
    <row r="1458" spans="3:5">
      <c r="C1458" t="e">
        <f t="shared" si="22"/>
        <v>#N/A</v>
      </c>
      <c r="D1458" t="s">
        <v>1646</v>
      </c>
      <c r="E1458" t="s">
        <v>2817</v>
      </c>
    </row>
    <row r="1459" spans="3:5">
      <c r="C1459" t="e">
        <f t="shared" si="22"/>
        <v>#N/A</v>
      </c>
      <c r="D1459" t="s">
        <v>1647</v>
      </c>
      <c r="E1459" t="s">
        <v>2817</v>
      </c>
    </row>
    <row r="1460" spans="3:5">
      <c r="C1460" t="e">
        <f t="shared" si="22"/>
        <v>#N/A</v>
      </c>
      <c r="D1460" t="s">
        <v>1648</v>
      </c>
      <c r="E1460" t="s">
        <v>2817</v>
      </c>
    </row>
    <row r="1461" spans="3:5">
      <c r="C1461" t="e">
        <f t="shared" si="22"/>
        <v>#N/A</v>
      </c>
      <c r="D1461" t="s">
        <v>1649</v>
      </c>
      <c r="E1461" t="s">
        <v>2817</v>
      </c>
    </row>
    <row r="1462" spans="3:5">
      <c r="C1462" t="e">
        <f t="shared" si="22"/>
        <v>#N/A</v>
      </c>
      <c r="D1462" t="s">
        <v>1650</v>
      </c>
      <c r="E1462" t="s">
        <v>2817</v>
      </c>
    </row>
    <row r="1463" spans="3:5">
      <c r="C1463" t="e">
        <f t="shared" si="22"/>
        <v>#N/A</v>
      </c>
      <c r="D1463" t="s">
        <v>1651</v>
      </c>
      <c r="E1463" t="s">
        <v>2817</v>
      </c>
    </row>
    <row r="1464" spans="3:5">
      <c r="C1464" t="e">
        <f t="shared" si="22"/>
        <v>#N/A</v>
      </c>
      <c r="D1464" t="s">
        <v>1652</v>
      </c>
      <c r="E1464" t="s">
        <v>2817</v>
      </c>
    </row>
    <row r="1465" spans="3:5">
      <c r="C1465" t="e">
        <f t="shared" si="22"/>
        <v>#N/A</v>
      </c>
      <c r="D1465" t="s">
        <v>1653</v>
      </c>
      <c r="E1465" t="s">
        <v>2817</v>
      </c>
    </row>
    <row r="1466" spans="3:5">
      <c r="C1466" t="e">
        <f t="shared" si="22"/>
        <v>#N/A</v>
      </c>
      <c r="D1466" t="s">
        <v>1654</v>
      </c>
      <c r="E1466" t="s">
        <v>2817</v>
      </c>
    </row>
    <row r="1467" spans="3:5">
      <c r="C1467" t="e">
        <f t="shared" si="22"/>
        <v>#N/A</v>
      </c>
      <c r="D1467" t="s">
        <v>1655</v>
      </c>
      <c r="E1467" t="s">
        <v>2817</v>
      </c>
    </row>
    <row r="1468" spans="3:5">
      <c r="C1468" t="e">
        <f t="shared" si="22"/>
        <v>#N/A</v>
      </c>
      <c r="D1468" t="s">
        <v>1656</v>
      </c>
      <c r="E1468" t="s">
        <v>2817</v>
      </c>
    </row>
    <row r="1469" spans="3:5">
      <c r="C1469" t="e">
        <f t="shared" si="22"/>
        <v>#N/A</v>
      </c>
      <c r="D1469" t="s">
        <v>1657</v>
      </c>
      <c r="E1469" t="s">
        <v>2817</v>
      </c>
    </row>
    <row r="1470" spans="3:5">
      <c r="C1470" t="e">
        <f t="shared" si="22"/>
        <v>#N/A</v>
      </c>
      <c r="D1470" t="s">
        <v>1658</v>
      </c>
      <c r="E1470" t="s">
        <v>2817</v>
      </c>
    </row>
    <row r="1471" spans="3:5">
      <c r="C1471" t="e">
        <f t="shared" si="22"/>
        <v>#N/A</v>
      </c>
      <c r="D1471" t="s">
        <v>1659</v>
      </c>
      <c r="E1471" t="s">
        <v>2817</v>
      </c>
    </row>
    <row r="1472" spans="3:5">
      <c r="C1472" t="e">
        <f t="shared" si="22"/>
        <v>#N/A</v>
      </c>
      <c r="D1472" t="s">
        <v>1660</v>
      </c>
      <c r="E1472" t="s">
        <v>2817</v>
      </c>
    </row>
    <row r="1473" spans="3:5">
      <c r="C1473" t="e">
        <f t="shared" si="22"/>
        <v>#N/A</v>
      </c>
      <c r="D1473" t="s">
        <v>1661</v>
      </c>
      <c r="E1473" t="s">
        <v>2817</v>
      </c>
    </row>
    <row r="1474" spans="3:5">
      <c r="C1474" t="e">
        <f t="shared" si="22"/>
        <v>#N/A</v>
      </c>
      <c r="D1474" t="s">
        <v>1662</v>
      </c>
      <c r="E1474" t="s">
        <v>2817</v>
      </c>
    </row>
    <row r="1475" spans="3:5">
      <c r="C1475" t="e">
        <f t="shared" ref="C1475:C1538" si="23">VLOOKUP(B1475,D:E,2,0)</f>
        <v>#N/A</v>
      </c>
      <c r="D1475" t="s">
        <v>1663</v>
      </c>
      <c r="E1475" t="s">
        <v>2817</v>
      </c>
    </row>
    <row r="1476" spans="3:5">
      <c r="C1476" t="e">
        <f t="shared" si="23"/>
        <v>#N/A</v>
      </c>
      <c r="D1476" t="s">
        <v>1664</v>
      </c>
      <c r="E1476" t="s">
        <v>2817</v>
      </c>
    </row>
    <row r="1477" spans="3:5">
      <c r="C1477" t="e">
        <f t="shared" si="23"/>
        <v>#N/A</v>
      </c>
      <c r="D1477" t="s">
        <v>1665</v>
      </c>
      <c r="E1477" t="s">
        <v>2817</v>
      </c>
    </row>
    <row r="1478" spans="3:5">
      <c r="C1478" t="e">
        <f t="shared" si="23"/>
        <v>#N/A</v>
      </c>
      <c r="D1478" t="s">
        <v>1666</v>
      </c>
      <c r="E1478" t="s">
        <v>2817</v>
      </c>
    </row>
    <row r="1479" spans="3:5">
      <c r="C1479" t="e">
        <f t="shared" si="23"/>
        <v>#N/A</v>
      </c>
      <c r="D1479" t="s">
        <v>1667</v>
      </c>
      <c r="E1479" t="s">
        <v>2817</v>
      </c>
    </row>
    <row r="1480" spans="3:5">
      <c r="C1480" t="e">
        <f t="shared" si="23"/>
        <v>#N/A</v>
      </c>
      <c r="D1480" t="s">
        <v>1668</v>
      </c>
      <c r="E1480" t="s">
        <v>2817</v>
      </c>
    </row>
    <row r="1481" spans="3:5">
      <c r="C1481" t="e">
        <f t="shared" si="23"/>
        <v>#N/A</v>
      </c>
      <c r="D1481" t="s">
        <v>1669</v>
      </c>
      <c r="E1481" t="s">
        <v>2817</v>
      </c>
    </row>
    <row r="1482" spans="3:5">
      <c r="C1482" t="e">
        <f t="shared" si="23"/>
        <v>#N/A</v>
      </c>
      <c r="D1482" t="s">
        <v>1670</v>
      </c>
      <c r="E1482" t="s">
        <v>2817</v>
      </c>
    </row>
    <row r="1483" spans="3:5">
      <c r="C1483" t="e">
        <f t="shared" si="23"/>
        <v>#N/A</v>
      </c>
      <c r="D1483" t="s">
        <v>1671</v>
      </c>
      <c r="E1483" t="s">
        <v>2817</v>
      </c>
    </row>
    <row r="1484" spans="3:5">
      <c r="C1484" t="e">
        <f t="shared" si="23"/>
        <v>#N/A</v>
      </c>
      <c r="D1484" t="s">
        <v>1672</v>
      </c>
      <c r="E1484" t="s">
        <v>2817</v>
      </c>
    </row>
    <row r="1485" spans="3:5">
      <c r="C1485" t="e">
        <f t="shared" si="23"/>
        <v>#N/A</v>
      </c>
      <c r="D1485" t="s">
        <v>1673</v>
      </c>
      <c r="E1485" t="s">
        <v>2817</v>
      </c>
    </row>
    <row r="1486" spans="3:5">
      <c r="C1486" t="e">
        <f t="shared" si="23"/>
        <v>#N/A</v>
      </c>
      <c r="D1486" t="s">
        <v>1674</v>
      </c>
      <c r="E1486" t="s">
        <v>2817</v>
      </c>
    </row>
    <row r="1487" spans="3:5">
      <c r="C1487" t="e">
        <f t="shared" si="23"/>
        <v>#N/A</v>
      </c>
      <c r="D1487" t="s">
        <v>1675</v>
      </c>
      <c r="E1487" t="s">
        <v>2817</v>
      </c>
    </row>
    <row r="1488" spans="3:5">
      <c r="C1488" t="e">
        <f t="shared" si="23"/>
        <v>#N/A</v>
      </c>
      <c r="D1488" t="s">
        <v>1676</v>
      </c>
      <c r="E1488" t="s">
        <v>2817</v>
      </c>
    </row>
    <row r="1489" spans="3:5">
      <c r="C1489" t="e">
        <f t="shared" si="23"/>
        <v>#N/A</v>
      </c>
      <c r="D1489" t="s">
        <v>1677</v>
      </c>
      <c r="E1489" t="s">
        <v>2817</v>
      </c>
    </row>
    <row r="1490" spans="3:5">
      <c r="C1490" t="e">
        <f t="shared" si="23"/>
        <v>#N/A</v>
      </c>
      <c r="D1490" t="s">
        <v>1678</v>
      </c>
      <c r="E1490" t="s">
        <v>2817</v>
      </c>
    </row>
    <row r="1491" spans="3:5">
      <c r="C1491" t="e">
        <f t="shared" si="23"/>
        <v>#N/A</v>
      </c>
      <c r="D1491" t="s">
        <v>1679</v>
      </c>
      <c r="E1491" t="s">
        <v>2817</v>
      </c>
    </row>
    <row r="1492" spans="3:5">
      <c r="C1492" t="e">
        <f t="shared" si="23"/>
        <v>#N/A</v>
      </c>
      <c r="D1492" t="s">
        <v>1680</v>
      </c>
      <c r="E1492" t="s">
        <v>2817</v>
      </c>
    </row>
    <row r="1493" spans="3:5">
      <c r="C1493" t="e">
        <f t="shared" si="23"/>
        <v>#N/A</v>
      </c>
      <c r="D1493" t="s">
        <v>1681</v>
      </c>
      <c r="E1493" t="s">
        <v>2817</v>
      </c>
    </row>
    <row r="1494" spans="3:5">
      <c r="C1494" t="e">
        <f t="shared" si="23"/>
        <v>#N/A</v>
      </c>
      <c r="D1494" t="s">
        <v>1682</v>
      </c>
      <c r="E1494" t="s">
        <v>2817</v>
      </c>
    </row>
    <row r="1495" spans="3:5">
      <c r="C1495" t="e">
        <f t="shared" si="23"/>
        <v>#N/A</v>
      </c>
      <c r="D1495" t="s">
        <v>1683</v>
      </c>
      <c r="E1495" t="s">
        <v>2817</v>
      </c>
    </row>
    <row r="1496" spans="3:5">
      <c r="C1496" t="e">
        <f t="shared" si="23"/>
        <v>#N/A</v>
      </c>
      <c r="D1496" t="s">
        <v>1684</v>
      </c>
      <c r="E1496" t="s">
        <v>2817</v>
      </c>
    </row>
    <row r="1497" spans="3:5">
      <c r="C1497" t="e">
        <f t="shared" si="23"/>
        <v>#N/A</v>
      </c>
      <c r="D1497" t="s">
        <v>1685</v>
      </c>
      <c r="E1497" t="s">
        <v>2817</v>
      </c>
    </row>
    <row r="1498" spans="3:5">
      <c r="C1498" t="e">
        <f t="shared" si="23"/>
        <v>#N/A</v>
      </c>
      <c r="D1498" t="s">
        <v>1686</v>
      </c>
      <c r="E1498" t="s">
        <v>2817</v>
      </c>
    </row>
    <row r="1499" spans="3:5">
      <c r="C1499" t="e">
        <f t="shared" si="23"/>
        <v>#N/A</v>
      </c>
      <c r="D1499" t="s">
        <v>1687</v>
      </c>
      <c r="E1499" t="s">
        <v>2817</v>
      </c>
    </row>
    <row r="1500" spans="3:5">
      <c r="C1500" t="e">
        <f t="shared" si="23"/>
        <v>#N/A</v>
      </c>
      <c r="D1500" t="s">
        <v>1688</v>
      </c>
      <c r="E1500" t="s">
        <v>2817</v>
      </c>
    </row>
    <row r="1501" spans="3:5">
      <c r="C1501" t="e">
        <f t="shared" si="23"/>
        <v>#N/A</v>
      </c>
      <c r="D1501" t="s">
        <v>1689</v>
      </c>
      <c r="E1501" t="s">
        <v>2817</v>
      </c>
    </row>
    <row r="1502" spans="3:5">
      <c r="C1502" t="e">
        <f t="shared" si="23"/>
        <v>#N/A</v>
      </c>
      <c r="D1502" t="s">
        <v>1690</v>
      </c>
      <c r="E1502" t="s">
        <v>2817</v>
      </c>
    </row>
    <row r="1503" spans="3:5">
      <c r="C1503" t="e">
        <f t="shared" si="23"/>
        <v>#N/A</v>
      </c>
      <c r="D1503" t="s">
        <v>1691</v>
      </c>
      <c r="E1503" t="s">
        <v>2817</v>
      </c>
    </row>
    <row r="1504" spans="3:5">
      <c r="C1504" t="e">
        <f t="shared" si="23"/>
        <v>#N/A</v>
      </c>
      <c r="D1504" t="s">
        <v>1692</v>
      </c>
      <c r="E1504" t="s">
        <v>2817</v>
      </c>
    </row>
    <row r="1505" spans="3:5">
      <c r="C1505" t="e">
        <f t="shared" si="23"/>
        <v>#N/A</v>
      </c>
      <c r="D1505" t="s">
        <v>1693</v>
      </c>
      <c r="E1505" t="s">
        <v>2817</v>
      </c>
    </row>
    <row r="1506" spans="3:5">
      <c r="C1506" t="e">
        <f t="shared" si="23"/>
        <v>#N/A</v>
      </c>
      <c r="D1506" t="s">
        <v>1694</v>
      </c>
      <c r="E1506" t="s">
        <v>2817</v>
      </c>
    </row>
    <row r="1507" spans="3:5">
      <c r="C1507" t="e">
        <f t="shared" si="23"/>
        <v>#N/A</v>
      </c>
      <c r="D1507" t="s">
        <v>1695</v>
      </c>
      <c r="E1507" t="s">
        <v>2817</v>
      </c>
    </row>
    <row r="1508" spans="3:5">
      <c r="C1508" t="e">
        <f t="shared" si="23"/>
        <v>#N/A</v>
      </c>
      <c r="D1508" t="s">
        <v>1696</v>
      </c>
      <c r="E1508" t="s">
        <v>2817</v>
      </c>
    </row>
    <row r="1509" spans="3:5">
      <c r="C1509" t="e">
        <f t="shared" si="23"/>
        <v>#N/A</v>
      </c>
      <c r="D1509" t="s">
        <v>1697</v>
      </c>
      <c r="E1509" t="s">
        <v>2817</v>
      </c>
    </row>
    <row r="1510" spans="3:5">
      <c r="C1510" t="e">
        <f t="shared" si="23"/>
        <v>#N/A</v>
      </c>
      <c r="D1510" t="s">
        <v>1698</v>
      </c>
      <c r="E1510" t="s">
        <v>2817</v>
      </c>
    </row>
    <row r="1511" spans="3:5">
      <c r="C1511" t="e">
        <f t="shared" si="23"/>
        <v>#N/A</v>
      </c>
      <c r="D1511" t="s">
        <v>1699</v>
      </c>
      <c r="E1511" t="s">
        <v>2817</v>
      </c>
    </row>
    <row r="1512" spans="3:5">
      <c r="C1512" t="e">
        <f t="shared" si="23"/>
        <v>#N/A</v>
      </c>
      <c r="D1512" t="s">
        <v>1700</v>
      </c>
      <c r="E1512" t="s">
        <v>2817</v>
      </c>
    </row>
    <row r="1513" spans="3:5">
      <c r="C1513" t="e">
        <f t="shared" si="23"/>
        <v>#N/A</v>
      </c>
      <c r="D1513" t="s">
        <v>1701</v>
      </c>
      <c r="E1513" t="s">
        <v>2817</v>
      </c>
    </row>
    <row r="1514" spans="3:5">
      <c r="C1514" t="e">
        <f t="shared" si="23"/>
        <v>#N/A</v>
      </c>
      <c r="D1514" t="s">
        <v>1702</v>
      </c>
      <c r="E1514" t="s">
        <v>2817</v>
      </c>
    </row>
    <row r="1515" spans="3:5">
      <c r="C1515" t="e">
        <f t="shared" si="23"/>
        <v>#N/A</v>
      </c>
      <c r="D1515" t="s">
        <v>1703</v>
      </c>
      <c r="E1515" t="s">
        <v>2817</v>
      </c>
    </row>
    <row r="1516" spans="3:5">
      <c r="C1516" t="e">
        <f t="shared" si="23"/>
        <v>#N/A</v>
      </c>
      <c r="D1516" t="s">
        <v>1704</v>
      </c>
      <c r="E1516" t="s">
        <v>2817</v>
      </c>
    </row>
    <row r="1517" spans="3:5">
      <c r="C1517" t="e">
        <f t="shared" si="23"/>
        <v>#N/A</v>
      </c>
      <c r="D1517" t="s">
        <v>1705</v>
      </c>
      <c r="E1517" t="s">
        <v>2817</v>
      </c>
    </row>
    <row r="1518" spans="3:5">
      <c r="C1518" t="e">
        <f t="shared" si="23"/>
        <v>#N/A</v>
      </c>
      <c r="D1518" t="s">
        <v>1706</v>
      </c>
      <c r="E1518" t="s">
        <v>2817</v>
      </c>
    </row>
    <row r="1519" spans="3:5">
      <c r="C1519" t="e">
        <f t="shared" si="23"/>
        <v>#N/A</v>
      </c>
      <c r="D1519" t="s">
        <v>1707</v>
      </c>
      <c r="E1519" t="s">
        <v>2817</v>
      </c>
    </row>
    <row r="1520" spans="3:5">
      <c r="C1520" t="e">
        <f t="shared" si="23"/>
        <v>#N/A</v>
      </c>
      <c r="D1520" t="s">
        <v>1708</v>
      </c>
      <c r="E1520" t="s">
        <v>2817</v>
      </c>
    </row>
    <row r="1521" spans="3:5">
      <c r="C1521" t="e">
        <f t="shared" si="23"/>
        <v>#N/A</v>
      </c>
      <c r="D1521" t="s">
        <v>1709</v>
      </c>
      <c r="E1521" t="s">
        <v>2817</v>
      </c>
    </row>
    <row r="1522" spans="3:5">
      <c r="C1522" t="e">
        <f t="shared" si="23"/>
        <v>#N/A</v>
      </c>
      <c r="D1522" t="s">
        <v>1710</v>
      </c>
      <c r="E1522" t="s">
        <v>2817</v>
      </c>
    </row>
    <row r="1523" spans="3:5">
      <c r="C1523" t="e">
        <f t="shared" si="23"/>
        <v>#N/A</v>
      </c>
      <c r="D1523" t="s">
        <v>1711</v>
      </c>
      <c r="E1523" t="s">
        <v>2817</v>
      </c>
    </row>
    <row r="1524" spans="3:5">
      <c r="C1524" t="e">
        <f t="shared" si="23"/>
        <v>#N/A</v>
      </c>
      <c r="D1524" t="s">
        <v>1712</v>
      </c>
      <c r="E1524" t="s">
        <v>2817</v>
      </c>
    </row>
    <row r="1525" spans="3:5">
      <c r="C1525" t="e">
        <f t="shared" si="23"/>
        <v>#N/A</v>
      </c>
      <c r="D1525" t="s">
        <v>1713</v>
      </c>
      <c r="E1525" t="s">
        <v>2817</v>
      </c>
    </row>
    <row r="1526" spans="3:5">
      <c r="C1526" t="e">
        <f t="shared" si="23"/>
        <v>#N/A</v>
      </c>
      <c r="D1526" t="s">
        <v>1714</v>
      </c>
      <c r="E1526" t="s">
        <v>2817</v>
      </c>
    </row>
    <row r="1527" spans="3:5">
      <c r="C1527" t="e">
        <f t="shared" si="23"/>
        <v>#N/A</v>
      </c>
      <c r="D1527" t="s">
        <v>1715</v>
      </c>
      <c r="E1527" t="s">
        <v>2817</v>
      </c>
    </row>
    <row r="1528" spans="3:5">
      <c r="C1528" t="e">
        <f t="shared" si="23"/>
        <v>#N/A</v>
      </c>
      <c r="D1528" t="s">
        <v>1716</v>
      </c>
      <c r="E1528" t="s">
        <v>2817</v>
      </c>
    </row>
    <row r="1529" spans="3:5">
      <c r="C1529" t="e">
        <f t="shared" si="23"/>
        <v>#N/A</v>
      </c>
      <c r="D1529" t="s">
        <v>1717</v>
      </c>
      <c r="E1529" t="s">
        <v>2817</v>
      </c>
    </row>
    <row r="1530" spans="3:5">
      <c r="C1530" t="e">
        <f t="shared" si="23"/>
        <v>#N/A</v>
      </c>
      <c r="D1530" t="s">
        <v>1718</v>
      </c>
      <c r="E1530" t="s">
        <v>2817</v>
      </c>
    </row>
    <row r="1531" spans="3:5">
      <c r="C1531" t="e">
        <f t="shared" si="23"/>
        <v>#N/A</v>
      </c>
      <c r="D1531" t="s">
        <v>1719</v>
      </c>
      <c r="E1531" t="s">
        <v>2817</v>
      </c>
    </row>
    <row r="1532" spans="3:5">
      <c r="C1532" t="e">
        <f t="shared" si="23"/>
        <v>#N/A</v>
      </c>
      <c r="D1532" t="s">
        <v>1720</v>
      </c>
      <c r="E1532" t="s">
        <v>2817</v>
      </c>
    </row>
    <row r="1533" spans="3:5">
      <c r="C1533" t="e">
        <f t="shared" si="23"/>
        <v>#N/A</v>
      </c>
      <c r="D1533" t="s">
        <v>1721</v>
      </c>
      <c r="E1533" t="s">
        <v>2817</v>
      </c>
    </row>
    <row r="1534" spans="3:5">
      <c r="C1534" t="e">
        <f t="shared" si="23"/>
        <v>#N/A</v>
      </c>
      <c r="D1534" t="s">
        <v>1722</v>
      </c>
      <c r="E1534" t="s">
        <v>2817</v>
      </c>
    </row>
    <row r="1535" spans="3:5">
      <c r="C1535" t="e">
        <f t="shared" si="23"/>
        <v>#N/A</v>
      </c>
      <c r="D1535" t="s">
        <v>1723</v>
      </c>
      <c r="E1535" t="s">
        <v>2817</v>
      </c>
    </row>
    <row r="1536" spans="3:5">
      <c r="C1536" t="e">
        <f t="shared" si="23"/>
        <v>#N/A</v>
      </c>
      <c r="D1536" t="s">
        <v>1724</v>
      </c>
      <c r="E1536" t="s">
        <v>2817</v>
      </c>
    </row>
    <row r="1537" spans="3:5">
      <c r="C1537" t="e">
        <f t="shared" si="23"/>
        <v>#N/A</v>
      </c>
      <c r="D1537" t="s">
        <v>1725</v>
      </c>
      <c r="E1537" t="s">
        <v>2817</v>
      </c>
    </row>
    <row r="1538" spans="3:5">
      <c r="C1538" t="e">
        <f t="shared" si="23"/>
        <v>#N/A</v>
      </c>
      <c r="D1538" t="s">
        <v>1726</v>
      </c>
      <c r="E1538" t="s">
        <v>2817</v>
      </c>
    </row>
    <row r="1539" spans="3:5">
      <c r="C1539" t="e">
        <f t="shared" ref="C1539:C1602" si="24">VLOOKUP(B1539,D:E,2,0)</f>
        <v>#N/A</v>
      </c>
      <c r="D1539" t="s">
        <v>1727</v>
      </c>
      <c r="E1539" t="s">
        <v>2817</v>
      </c>
    </row>
    <row r="1540" spans="3:5">
      <c r="C1540" t="e">
        <f t="shared" si="24"/>
        <v>#N/A</v>
      </c>
      <c r="D1540" t="s">
        <v>1728</v>
      </c>
      <c r="E1540" t="s">
        <v>2817</v>
      </c>
    </row>
    <row r="1541" spans="3:5">
      <c r="C1541" t="e">
        <f t="shared" si="24"/>
        <v>#N/A</v>
      </c>
      <c r="D1541" t="s">
        <v>1729</v>
      </c>
      <c r="E1541" t="s">
        <v>2817</v>
      </c>
    </row>
    <row r="1542" spans="3:5">
      <c r="C1542" t="e">
        <f t="shared" si="24"/>
        <v>#N/A</v>
      </c>
      <c r="D1542" t="s">
        <v>1730</v>
      </c>
      <c r="E1542" t="s">
        <v>2817</v>
      </c>
    </row>
    <row r="1543" spans="3:5">
      <c r="C1543" t="e">
        <f t="shared" si="24"/>
        <v>#N/A</v>
      </c>
      <c r="D1543" t="s">
        <v>1731</v>
      </c>
      <c r="E1543" t="s">
        <v>2817</v>
      </c>
    </row>
    <row r="1544" spans="3:5">
      <c r="C1544" t="e">
        <f t="shared" si="24"/>
        <v>#N/A</v>
      </c>
      <c r="D1544" t="s">
        <v>1732</v>
      </c>
      <c r="E1544" t="s">
        <v>2817</v>
      </c>
    </row>
    <row r="1545" spans="3:5">
      <c r="C1545" t="e">
        <f t="shared" si="24"/>
        <v>#N/A</v>
      </c>
      <c r="D1545" t="s">
        <v>1733</v>
      </c>
      <c r="E1545" t="s">
        <v>2817</v>
      </c>
    </row>
    <row r="1546" spans="3:5">
      <c r="C1546" t="e">
        <f t="shared" si="24"/>
        <v>#N/A</v>
      </c>
      <c r="D1546" t="s">
        <v>1734</v>
      </c>
      <c r="E1546" t="s">
        <v>2817</v>
      </c>
    </row>
    <row r="1547" spans="3:5">
      <c r="C1547" t="e">
        <f t="shared" si="24"/>
        <v>#N/A</v>
      </c>
      <c r="D1547" t="s">
        <v>1735</v>
      </c>
      <c r="E1547" t="s">
        <v>2817</v>
      </c>
    </row>
    <row r="1548" spans="3:5">
      <c r="C1548" t="e">
        <f t="shared" si="24"/>
        <v>#N/A</v>
      </c>
      <c r="D1548" t="s">
        <v>1736</v>
      </c>
      <c r="E1548" t="s">
        <v>2817</v>
      </c>
    </row>
    <row r="1549" spans="3:5">
      <c r="C1549" t="e">
        <f t="shared" si="24"/>
        <v>#N/A</v>
      </c>
      <c r="D1549" t="s">
        <v>1737</v>
      </c>
      <c r="E1549" t="s">
        <v>2817</v>
      </c>
    </row>
    <row r="1550" spans="3:5">
      <c r="C1550" t="e">
        <f t="shared" si="24"/>
        <v>#N/A</v>
      </c>
      <c r="D1550" t="s">
        <v>1738</v>
      </c>
      <c r="E1550" t="s">
        <v>2817</v>
      </c>
    </row>
    <row r="1551" spans="3:5">
      <c r="C1551" t="e">
        <f t="shared" si="24"/>
        <v>#N/A</v>
      </c>
      <c r="D1551" t="s">
        <v>1739</v>
      </c>
      <c r="E1551" t="s">
        <v>2817</v>
      </c>
    </row>
    <row r="1552" spans="3:5">
      <c r="C1552" t="e">
        <f t="shared" si="24"/>
        <v>#N/A</v>
      </c>
      <c r="D1552" t="s">
        <v>1740</v>
      </c>
      <c r="E1552" t="s">
        <v>2817</v>
      </c>
    </row>
    <row r="1553" spans="3:5">
      <c r="C1553" t="e">
        <f t="shared" si="24"/>
        <v>#N/A</v>
      </c>
      <c r="D1553" t="s">
        <v>1741</v>
      </c>
      <c r="E1553" t="s">
        <v>2817</v>
      </c>
    </row>
    <row r="1554" spans="3:5">
      <c r="C1554" t="e">
        <f t="shared" si="24"/>
        <v>#N/A</v>
      </c>
      <c r="D1554" t="s">
        <v>1742</v>
      </c>
      <c r="E1554" t="s">
        <v>2817</v>
      </c>
    </row>
    <row r="1555" spans="3:5">
      <c r="C1555" t="e">
        <f t="shared" si="24"/>
        <v>#N/A</v>
      </c>
      <c r="D1555" t="s">
        <v>1743</v>
      </c>
      <c r="E1555" t="s">
        <v>2817</v>
      </c>
    </row>
    <row r="1556" spans="3:5">
      <c r="C1556" t="e">
        <f t="shared" si="24"/>
        <v>#N/A</v>
      </c>
      <c r="D1556" t="s">
        <v>1744</v>
      </c>
      <c r="E1556" t="s">
        <v>2817</v>
      </c>
    </row>
    <row r="1557" spans="3:5">
      <c r="C1557" t="e">
        <f t="shared" si="24"/>
        <v>#N/A</v>
      </c>
      <c r="D1557" t="s">
        <v>1745</v>
      </c>
      <c r="E1557" t="s">
        <v>2817</v>
      </c>
    </row>
    <row r="1558" spans="3:5">
      <c r="C1558" t="e">
        <f t="shared" si="24"/>
        <v>#N/A</v>
      </c>
      <c r="D1558" t="s">
        <v>1746</v>
      </c>
      <c r="E1558" t="s">
        <v>2817</v>
      </c>
    </row>
    <row r="1559" spans="3:5">
      <c r="C1559" t="e">
        <f t="shared" si="24"/>
        <v>#N/A</v>
      </c>
      <c r="D1559" t="s">
        <v>1747</v>
      </c>
      <c r="E1559" t="s">
        <v>2817</v>
      </c>
    </row>
    <row r="1560" spans="3:5">
      <c r="C1560" t="e">
        <f t="shared" si="24"/>
        <v>#N/A</v>
      </c>
      <c r="D1560" t="s">
        <v>1748</v>
      </c>
      <c r="E1560" t="s">
        <v>2817</v>
      </c>
    </row>
    <row r="1561" spans="3:5">
      <c r="C1561" t="e">
        <f t="shared" si="24"/>
        <v>#N/A</v>
      </c>
      <c r="D1561" t="s">
        <v>1749</v>
      </c>
      <c r="E1561" t="s">
        <v>2817</v>
      </c>
    </row>
    <row r="1562" spans="3:5">
      <c r="C1562" t="e">
        <f t="shared" si="24"/>
        <v>#N/A</v>
      </c>
      <c r="D1562" t="s">
        <v>1750</v>
      </c>
      <c r="E1562" t="s">
        <v>2817</v>
      </c>
    </row>
    <row r="1563" spans="3:5">
      <c r="C1563" t="e">
        <f t="shared" si="24"/>
        <v>#N/A</v>
      </c>
      <c r="D1563" t="s">
        <v>1751</v>
      </c>
      <c r="E1563" t="s">
        <v>2817</v>
      </c>
    </row>
    <row r="1564" spans="3:5">
      <c r="C1564" t="e">
        <f t="shared" si="24"/>
        <v>#N/A</v>
      </c>
      <c r="D1564" t="s">
        <v>1752</v>
      </c>
      <c r="E1564" t="s">
        <v>2817</v>
      </c>
    </row>
    <row r="1565" spans="3:5">
      <c r="C1565" t="e">
        <f t="shared" si="24"/>
        <v>#N/A</v>
      </c>
      <c r="D1565" t="s">
        <v>1753</v>
      </c>
      <c r="E1565" t="s">
        <v>2817</v>
      </c>
    </row>
    <row r="1566" spans="3:5">
      <c r="C1566" t="e">
        <f t="shared" si="24"/>
        <v>#N/A</v>
      </c>
      <c r="D1566" t="s">
        <v>1754</v>
      </c>
      <c r="E1566" t="s">
        <v>2817</v>
      </c>
    </row>
    <row r="1567" spans="3:5">
      <c r="C1567" t="e">
        <f t="shared" si="24"/>
        <v>#N/A</v>
      </c>
      <c r="D1567" t="s">
        <v>1755</v>
      </c>
      <c r="E1567" t="s">
        <v>2817</v>
      </c>
    </row>
    <row r="1568" spans="3:5">
      <c r="C1568" t="e">
        <f t="shared" si="24"/>
        <v>#N/A</v>
      </c>
      <c r="D1568" t="s">
        <v>1756</v>
      </c>
      <c r="E1568" t="s">
        <v>2817</v>
      </c>
    </row>
    <row r="1569" spans="3:5">
      <c r="C1569" t="e">
        <f t="shared" si="24"/>
        <v>#N/A</v>
      </c>
      <c r="D1569" t="s">
        <v>1757</v>
      </c>
      <c r="E1569" t="s">
        <v>2817</v>
      </c>
    </row>
    <row r="1570" spans="3:5">
      <c r="C1570" t="e">
        <f t="shared" si="24"/>
        <v>#N/A</v>
      </c>
      <c r="D1570" t="s">
        <v>1758</v>
      </c>
      <c r="E1570" t="s">
        <v>2817</v>
      </c>
    </row>
    <row r="1571" spans="3:5">
      <c r="C1571" t="e">
        <f t="shared" si="24"/>
        <v>#N/A</v>
      </c>
      <c r="D1571" t="s">
        <v>1759</v>
      </c>
      <c r="E1571" t="s">
        <v>2817</v>
      </c>
    </row>
    <row r="1572" spans="3:5">
      <c r="C1572" t="e">
        <f t="shared" si="24"/>
        <v>#N/A</v>
      </c>
      <c r="D1572" t="s">
        <v>1760</v>
      </c>
      <c r="E1572" t="s">
        <v>2817</v>
      </c>
    </row>
    <row r="1573" spans="3:5">
      <c r="C1573" t="e">
        <f t="shared" si="24"/>
        <v>#N/A</v>
      </c>
      <c r="D1573" t="s">
        <v>1761</v>
      </c>
      <c r="E1573" t="s">
        <v>2817</v>
      </c>
    </row>
    <row r="1574" spans="3:5">
      <c r="C1574" t="e">
        <f t="shared" si="24"/>
        <v>#N/A</v>
      </c>
      <c r="D1574" t="s">
        <v>1762</v>
      </c>
      <c r="E1574" t="s">
        <v>2817</v>
      </c>
    </row>
    <row r="1575" spans="3:5">
      <c r="C1575" t="e">
        <f t="shared" si="24"/>
        <v>#N/A</v>
      </c>
      <c r="D1575" t="s">
        <v>1763</v>
      </c>
      <c r="E1575" t="s">
        <v>2817</v>
      </c>
    </row>
    <row r="1576" spans="3:5">
      <c r="C1576" t="e">
        <f t="shared" si="24"/>
        <v>#N/A</v>
      </c>
      <c r="D1576" t="s">
        <v>1764</v>
      </c>
      <c r="E1576" t="s">
        <v>2817</v>
      </c>
    </row>
    <row r="1577" spans="3:5">
      <c r="C1577" t="e">
        <f t="shared" si="24"/>
        <v>#N/A</v>
      </c>
      <c r="D1577" t="s">
        <v>1765</v>
      </c>
      <c r="E1577" t="s">
        <v>2817</v>
      </c>
    </row>
    <row r="1578" spans="3:5">
      <c r="C1578" t="e">
        <f t="shared" si="24"/>
        <v>#N/A</v>
      </c>
      <c r="D1578" t="s">
        <v>1766</v>
      </c>
      <c r="E1578" t="s">
        <v>2817</v>
      </c>
    </row>
    <row r="1579" spans="3:5">
      <c r="C1579" t="e">
        <f t="shared" si="24"/>
        <v>#N/A</v>
      </c>
      <c r="D1579" t="s">
        <v>1767</v>
      </c>
      <c r="E1579" t="s">
        <v>2817</v>
      </c>
    </row>
    <row r="1580" spans="3:5">
      <c r="C1580" t="e">
        <f t="shared" si="24"/>
        <v>#N/A</v>
      </c>
      <c r="D1580" t="s">
        <v>1768</v>
      </c>
      <c r="E1580" t="s">
        <v>2817</v>
      </c>
    </row>
    <row r="1581" spans="3:5">
      <c r="C1581" t="e">
        <f t="shared" si="24"/>
        <v>#N/A</v>
      </c>
      <c r="D1581" t="s">
        <v>1769</v>
      </c>
      <c r="E1581" t="s">
        <v>2817</v>
      </c>
    </row>
    <row r="1582" spans="3:5">
      <c r="C1582" t="e">
        <f t="shared" si="24"/>
        <v>#N/A</v>
      </c>
      <c r="D1582" t="s">
        <v>1770</v>
      </c>
      <c r="E1582" t="s">
        <v>2817</v>
      </c>
    </row>
    <row r="1583" spans="3:5">
      <c r="C1583" t="e">
        <f t="shared" si="24"/>
        <v>#N/A</v>
      </c>
      <c r="D1583" t="s">
        <v>1771</v>
      </c>
      <c r="E1583" t="s">
        <v>2817</v>
      </c>
    </row>
    <row r="1584" spans="3:5">
      <c r="C1584" t="e">
        <f t="shared" si="24"/>
        <v>#N/A</v>
      </c>
      <c r="D1584" t="s">
        <v>1772</v>
      </c>
      <c r="E1584" t="s">
        <v>2817</v>
      </c>
    </row>
    <row r="1585" spans="3:5">
      <c r="C1585" t="e">
        <f t="shared" si="24"/>
        <v>#N/A</v>
      </c>
      <c r="D1585" t="s">
        <v>1773</v>
      </c>
      <c r="E1585" t="s">
        <v>2817</v>
      </c>
    </row>
    <row r="1586" spans="3:5">
      <c r="C1586" t="e">
        <f t="shared" si="24"/>
        <v>#N/A</v>
      </c>
      <c r="D1586" t="s">
        <v>1774</v>
      </c>
      <c r="E1586" t="s">
        <v>2817</v>
      </c>
    </row>
    <row r="1587" spans="3:5">
      <c r="C1587" t="e">
        <f t="shared" si="24"/>
        <v>#N/A</v>
      </c>
      <c r="D1587" t="s">
        <v>1775</v>
      </c>
      <c r="E1587" t="s">
        <v>2817</v>
      </c>
    </row>
    <row r="1588" spans="3:5">
      <c r="C1588" t="e">
        <f t="shared" si="24"/>
        <v>#N/A</v>
      </c>
      <c r="D1588" t="s">
        <v>1776</v>
      </c>
      <c r="E1588" t="s">
        <v>2817</v>
      </c>
    </row>
    <row r="1589" spans="3:5">
      <c r="C1589" t="e">
        <f t="shared" si="24"/>
        <v>#N/A</v>
      </c>
      <c r="D1589" t="s">
        <v>1777</v>
      </c>
      <c r="E1589" t="s">
        <v>2817</v>
      </c>
    </row>
    <row r="1590" spans="3:5">
      <c r="C1590" t="e">
        <f t="shared" si="24"/>
        <v>#N/A</v>
      </c>
      <c r="D1590" t="s">
        <v>1778</v>
      </c>
      <c r="E1590" t="s">
        <v>2817</v>
      </c>
    </row>
    <row r="1591" spans="3:5">
      <c r="C1591" t="e">
        <f t="shared" si="24"/>
        <v>#N/A</v>
      </c>
      <c r="D1591" t="s">
        <v>1779</v>
      </c>
      <c r="E1591" t="s">
        <v>2817</v>
      </c>
    </row>
    <row r="1592" spans="3:5">
      <c r="C1592" t="e">
        <f t="shared" si="24"/>
        <v>#N/A</v>
      </c>
      <c r="D1592" t="s">
        <v>1780</v>
      </c>
      <c r="E1592" t="s">
        <v>2817</v>
      </c>
    </row>
    <row r="1593" spans="3:5">
      <c r="C1593" t="e">
        <f t="shared" si="24"/>
        <v>#N/A</v>
      </c>
      <c r="D1593" t="s">
        <v>1781</v>
      </c>
      <c r="E1593" t="s">
        <v>2817</v>
      </c>
    </row>
    <row r="1594" spans="3:5">
      <c r="C1594" t="e">
        <f t="shared" si="24"/>
        <v>#N/A</v>
      </c>
      <c r="D1594" t="s">
        <v>1782</v>
      </c>
      <c r="E1594" t="s">
        <v>2817</v>
      </c>
    </row>
    <row r="1595" spans="3:5">
      <c r="C1595" t="e">
        <f t="shared" si="24"/>
        <v>#N/A</v>
      </c>
      <c r="D1595" t="s">
        <v>1783</v>
      </c>
      <c r="E1595" t="s">
        <v>2817</v>
      </c>
    </row>
    <row r="1596" spans="3:5">
      <c r="C1596" t="e">
        <f t="shared" si="24"/>
        <v>#N/A</v>
      </c>
      <c r="D1596" t="s">
        <v>1784</v>
      </c>
      <c r="E1596" t="s">
        <v>2817</v>
      </c>
    </row>
    <row r="1597" spans="3:5">
      <c r="C1597" t="e">
        <f t="shared" si="24"/>
        <v>#N/A</v>
      </c>
      <c r="D1597" t="s">
        <v>1785</v>
      </c>
      <c r="E1597" t="s">
        <v>2817</v>
      </c>
    </row>
    <row r="1598" spans="3:5">
      <c r="C1598" t="e">
        <f t="shared" si="24"/>
        <v>#N/A</v>
      </c>
      <c r="D1598" t="s">
        <v>1786</v>
      </c>
      <c r="E1598" t="s">
        <v>2817</v>
      </c>
    </row>
    <row r="1599" spans="3:5">
      <c r="C1599" t="e">
        <f t="shared" si="24"/>
        <v>#N/A</v>
      </c>
      <c r="D1599" t="s">
        <v>1787</v>
      </c>
      <c r="E1599" t="s">
        <v>2817</v>
      </c>
    </row>
    <row r="1600" spans="3:5">
      <c r="C1600" t="e">
        <f t="shared" si="24"/>
        <v>#N/A</v>
      </c>
      <c r="D1600" t="s">
        <v>1788</v>
      </c>
      <c r="E1600" t="s">
        <v>2817</v>
      </c>
    </row>
    <row r="1601" spans="3:5">
      <c r="C1601" t="e">
        <f t="shared" si="24"/>
        <v>#N/A</v>
      </c>
      <c r="D1601" t="s">
        <v>1789</v>
      </c>
      <c r="E1601" t="s">
        <v>2817</v>
      </c>
    </row>
    <row r="1602" spans="3:5">
      <c r="C1602" t="e">
        <f t="shared" si="24"/>
        <v>#N/A</v>
      </c>
      <c r="D1602" t="s">
        <v>1790</v>
      </c>
      <c r="E1602" t="s">
        <v>2817</v>
      </c>
    </row>
    <row r="1603" spans="3:5">
      <c r="C1603" t="e">
        <f t="shared" ref="C1603:C1666" si="25">VLOOKUP(B1603,D:E,2,0)</f>
        <v>#N/A</v>
      </c>
      <c r="D1603" t="s">
        <v>1791</v>
      </c>
      <c r="E1603" t="s">
        <v>2817</v>
      </c>
    </row>
    <row r="1604" spans="3:5">
      <c r="C1604" t="e">
        <f t="shared" si="25"/>
        <v>#N/A</v>
      </c>
      <c r="D1604" t="s">
        <v>1792</v>
      </c>
      <c r="E1604" t="s">
        <v>2817</v>
      </c>
    </row>
    <row r="1605" spans="3:5">
      <c r="C1605" t="e">
        <f t="shared" si="25"/>
        <v>#N/A</v>
      </c>
      <c r="D1605" t="s">
        <v>1793</v>
      </c>
      <c r="E1605" t="s">
        <v>2817</v>
      </c>
    </row>
    <row r="1606" spans="3:5">
      <c r="C1606" t="e">
        <f t="shared" si="25"/>
        <v>#N/A</v>
      </c>
      <c r="D1606" t="s">
        <v>1794</v>
      </c>
      <c r="E1606" t="s">
        <v>2817</v>
      </c>
    </row>
    <row r="1607" spans="3:5">
      <c r="C1607" t="e">
        <f t="shared" si="25"/>
        <v>#N/A</v>
      </c>
      <c r="D1607" t="s">
        <v>1795</v>
      </c>
      <c r="E1607" t="s">
        <v>2817</v>
      </c>
    </row>
    <row r="1608" spans="3:5">
      <c r="C1608" t="e">
        <f t="shared" si="25"/>
        <v>#N/A</v>
      </c>
      <c r="D1608" t="s">
        <v>1796</v>
      </c>
      <c r="E1608" t="s">
        <v>2817</v>
      </c>
    </row>
    <row r="1609" spans="3:5">
      <c r="C1609" t="e">
        <f t="shared" si="25"/>
        <v>#N/A</v>
      </c>
      <c r="D1609" t="s">
        <v>1797</v>
      </c>
      <c r="E1609" t="s">
        <v>2817</v>
      </c>
    </row>
    <row r="1610" spans="3:5">
      <c r="C1610" t="e">
        <f t="shared" si="25"/>
        <v>#N/A</v>
      </c>
      <c r="D1610" t="s">
        <v>1798</v>
      </c>
      <c r="E1610" t="s">
        <v>2817</v>
      </c>
    </row>
    <row r="1611" spans="3:5">
      <c r="C1611" t="e">
        <f t="shared" si="25"/>
        <v>#N/A</v>
      </c>
      <c r="D1611" t="s">
        <v>1799</v>
      </c>
      <c r="E1611" t="s">
        <v>2817</v>
      </c>
    </row>
    <row r="1612" spans="3:5">
      <c r="C1612" t="e">
        <f t="shared" si="25"/>
        <v>#N/A</v>
      </c>
      <c r="D1612" t="s">
        <v>1800</v>
      </c>
      <c r="E1612" t="s">
        <v>2817</v>
      </c>
    </row>
    <row r="1613" spans="3:5">
      <c r="C1613" t="e">
        <f t="shared" si="25"/>
        <v>#N/A</v>
      </c>
      <c r="D1613" t="s">
        <v>1801</v>
      </c>
      <c r="E1613" t="s">
        <v>2817</v>
      </c>
    </row>
    <row r="1614" spans="3:5">
      <c r="C1614" t="e">
        <f t="shared" si="25"/>
        <v>#N/A</v>
      </c>
      <c r="D1614" t="s">
        <v>1802</v>
      </c>
      <c r="E1614" t="s">
        <v>2817</v>
      </c>
    </row>
    <row r="1615" spans="3:5">
      <c r="C1615" t="e">
        <f t="shared" si="25"/>
        <v>#N/A</v>
      </c>
      <c r="D1615" t="s">
        <v>1803</v>
      </c>
      <c r="E1615" t="s">
        <v>2817</v>
      </c>
    </row>
    <row r="1616" spans="3:5">
      <c r="C1616" t="e">
        <f t="shared" si="25"/>
        <v>#N/A</v>
      </c>
      <c r="D1616" t="s">
        <v>1804</v>
      </c>
      <c r="E1616" t="s">
        <v>2817</v>
      </c>
    </row>
    <row r="1617" spans="3:5">
      <c r="C1617" t="e">
        <f t="shared" si="25"/>
        <v>#N/A</v>
      </c>
      <c r="D1617" t="s">
        <v>1805</v>
      </c>
      <c r="E1617" t="s">
        <v>2817</v>
      </c>
    </row>
    <row r="1618" spans="3:5">
      <c r="C1618" t="e">
        <f t="shared" si="25"/>
        <v>#N/A</v>
      </c>
      <c r="D1618" t="s">
        <v>1806</v>
      </c>
      <c r="E1618" t="s">
        <v>2817</v>
      </c>
    </row>
    <row r="1619" spans="3:5">
      <c r="C1619" t="e">
        <f t="shared" si="25"/>
        <v>#N/A</v>
      </c>
      <c r="D1619" t="s">
        <v>1807</v>
      </c>
      <c r="E1619" t="s">
        <v>2817</v>
      </c>
    </row>
    <row r="1620" spans="3:5">
      <c r="C1620" t="e">
        <f t="shared" si="25"/>
        <v>#N/A</v>
      </c>
      <c r="D1620" t="s">
        <v>1808</v>
      </c>
      <c r="E1620" t="s">
        <v>2817</v>
      </c>
    </row>
    <row r="1621" spans="3:5">
      <c r="C1621" t="e">
        <f t="shared" si="25"/>
        <v>#N/A</v>
      </c>
      <c r="D1621" t="s">
        <v>1809</v>
      </c>
      <c r="E1621" t="s">
        <v>2817</v>
      </c>
    </row>
    <row r="1622" spans="3:5">
      <c r="C1622" t="e">
        <f t="shared" si="25"/>
        <v>#N/A</v>
      </c>
      <c r="D1622" t="s">
        <v>1810</v>
      </c>
      <c r="E1622" t="s">
        <v>2817</v>
      </c>
    </row>
    <row r="1623" spans="3:5">
      <c r="C1623" t="e">
        <f t="shared" si="25"/>
        <v>#N/A</v>
      </c>
      <c r="D1623" t="s">
        <v>1811</v>
      </c>
      <c r="E1623" t="s">
        <v>2817</v>
      </c>
    </row>
    <row r="1624" spans="3:5">
      <c r="C1624" t="e">
        <f t="shared" si="25"/>
        <v>#N/A</v>
      </c>
      <c r="D1624" t="s">
        <v>1812</v>
      </c>
      <c r="E1624" t="s">
        <v>2817</v>
      </c>
    </row>
    <row r="1625" spans="3:5">
      <c r="C1625" t="e">
        <f t="shared" si="25"/>
        <v>#N/A</v>
      </c>
      <c r="D1625" t="s">
        <v>1813</v>
      </c>
      <c r="E1625" t="s">
        <v>2817</v>
      </c>
    </row>
    <row r="1626" spans="3:5">
      <c r="C1626" t="e">
        <f t="shared" si="25"/>
        <v>#N/A</v>
      </c>
      <c r="D1626" t="s">
        <v>1814</v>
      </c>
      <c r="E1626" t="s">
        <v>2817</v>
      </c>
    </row>
    <row r="1627" spans="3:5">
      <c r="C1627" t="e">
        <f t="shared" si="25"/>
        <v>#N/A</v>
      </c>
      <c r="D1627" t="s">
        <v>1815</v>
      </c>
      <c r="E1627" t="s">
        <v>2817</v>
      </c>
    </row>
    <row r="1628" spans="3:5">
      <c r="C1628" t="e">
        <f t="shared" si="25"/>
        <v>#N/A</v>
      </c>
      <c r="D1628" t="s">
        <v>1816</v>
      </c>
      <c r="E1628" t="s">
        <v>2817</v>
      </c>
    </row>
    <row r="1629" spans="3:5">
      <c r="C1629" t="e">
        <f t="shared" si="25"/>
        <v>#N/A</v>
      </c>
      <c r="D1629" t="s">
        <v>1817</v>
      </c>
      <c r="E1629" t="s">
        <v>2817</v>
      </c>
    </row>
    <row r="1630" spans="3:5">
      <c r="C1630" t="e">
        <f t="shared" si="25"/>
        <v>#N/A</v>
      </c>
      <c r="D1630" t="s">
        <v>1818</v>
      </c>
      <c r="E1630" t="s">
        <v>2817</v>
      </c>
    </row>
    <row r="1631" spans="3:5">
      <c r="C1631" t="e">
        <f t="shared" si="25"/>
        <v>#N/A</v>
      </c>
      <c r="D1631" t="s">
        <v>1819</v>
      </c>
      <c r="E1631" t="s">
        <v>2817</v>
      </c>
    </row>
    <row r="1632" spans="3:5">
      <c r="C1632" t="e">
        <f t="shared" si="25"/>
        <v>#N/A</v>
      </c>
      <c r="D1632" t="s">
        <v>1820</v>
      </c>
      <c r="E1632" t="s">
        <v>2817</v>
      </c>
    </row>
    <row r="1633" spans="3:5">
      <c r="C1633" t="e">
        <f t="shared" si="25"/>
        <v>#N/A</v>
      </c>
      <c r="D1633" t="s">
        <v>1821</v>
      </c>
      <c r="E1633" t="s">
        <v>2817</v>
      </c>
    </row>
    <row r="1634" spans="3:5">
      <c r="C1634" t="e">
        <f t="shared" si="25"/>
        <v>#N/A</v>
      </c>
      <c r="D1634" t="s">
        <v>1822</v>
      </c>
      <c r="E1634" t="s">
        <v>2817</v>
      </c>
    </row>
    <row r="1635" spans="3:5">
      <c r="C1635" t="e">
        <f t="shared" si="25"/>
        <v>#N/A</v>
      </c>
      <c r="D1635" t="s">
        <v>1823</v>
      </c>
      <c r="E1635" t="s">
        <v>2817</v>
      </c>
    </row>
    <row r="1636" spans="3:5">
      <c r="C1636" t="e">
        <f t="shared" si="25"/>
        <v>#N/A</v>
      </c>
      <c r="D1636" t="s">
        <v>1824</v>
      </c>
      <c r="E1636" t="s">
        <v>2817</v>
      </c>
    </row>
    <row r="1637" spans="3:5">
      <c r="C1637" t="e">
        <f t="shared" si="25"/>
        <v>#N/A</v>
      </c>
      <c r="D1637" t="s">
        <v>1825</v>
      </c>
      <c r="E1637" t="s">
        <v>2817</v>
      </c>
    </row>
    <row r="1638" spans="3:5">
      <c r="C1638" t="e">
        <f t="shared" si="25"/>
        <v>#N/A</v>
      </c>
      <c r="D1638" t="s">
        <v>1826</v>
      </c>
      <c r="E1638" t="s">
        <v>2817</v>
      </c>
    </row>
    <row r="1639" spans="3:5">
      <c r="C1639" t="e">
        <f t="shared" si="25"/>
        <v>#N/A</v>
      </c>
      <c r="D1639" t="s">
        <v>1827</v>
      </c>
      <c r="E1639" t="s">
        <v>2817</v>
      </c>
    </row>
    <row r="1640" spans="3:5">
      <c r="C1640" t="e">
        <f t="shared" si="25"/>
        <v>#N/A</v>
      </c>
      <c r="D1640" t="s">
        <v>1828</v>
      </c>
      <c r="E1640" t="s">
        <v>2817</v>
      </c>
    </row>
    <row r="1641" spans="3:5">
      <c r="C1641" t="e">
        <f t="shared" si="25"/>
        <v>#N/A</v>
      </c>
      <c r="D1641" t="s">
        <v>1829</v>
      </c>
      <c r="E1641" t="s">
        <v>2817</v>
      </c>
    </row>
    <row r="1642" spans="3:5">
      <c r="C1642" t="e">
        <f t="shared" si="25"/>
        <v>#N/A</v>
      </c>
      <c r="D1642" t="s">
        <v>1830</v>
      </c>
      <c r="E1642" t="s">
        <v>2817</v>
      </c>
    </row>
    <row r="1643" spans="3:5">
      <c r="C1643" t="e">
        <f t="shared" si="25"/>
        <v>#N/A</v>
      </c>
      <c r="D1643" t="s">
        <v>1831</v>
      </c>
      <c r="E1643" t="s">
        <v>2817</v>
      </c>
    </row>
    <row r="1644" spans="3:5">
      <c r="C1644" t="e">
        <f t="shared" si="25"/>
        <v>#N/A</v>
      </c>
      <c r="D1644" t="s">
        <v>1832</v>
      </c>
      <c r="E1644" t="s">
        <v>2817</v>
      </c>
    </row>
    <row r="1645" spans="3:5">
      <c r="C1645" t="e">
        <f t="shared" si="25"/>
        <v>#N/A</v>
      </c>
      <c r="D1645" t="s">
        <v>1833</v>
      </c>
      <c r="E1645" t="s">
        <v>2817</v>
      </c>
    </row>
    <row r="1646" spans="3:5">
      <c r="C1646" t="e">
        <f t="shared" si="25"/>
        <v>#N/A</v>
      </c>
      <c r="D1646" t="s">
        <v>1834</v>
      </c>
      <c r="E1646" t="s">
        <v>2817</v>
      </c>
    </row>
    <row r="1647" spans="3:5">
      <c r="C1647" t="e">
        <f t="shared" si="25"/>
        <v>#N/A</v>
      </c>
      <c r="D1647" t="s">
        <v>1835</v>
      </c>
      <c r="E1647" t="s">
        <v>2817</v>
      </c>
    </row>
    <row r="1648" spans="3:5">
      <c r="C1648" t="e">
        <f t="shared" si="25"/>
        <v>#N/A</v>
      </c>
      <c r="D1648" t="s">
        <v>1836</v>
      </c>
      <c r="E1648" t="s">
        <v>2817</v>
      </c>
    </row>
    <row r="1649" spans="3:5">
      <c r="C1649" t="e">
        <f t="shared" si="25"/>
        <v>#N/A</v>
      </c>
      <c r="D1649" t="s">
        <v>1837</v>
      </c>
      <c r="E1649" t="s">
        <v>2817</v>
      </c>
    </row>
    <row r="1650" spans="3:5">
      <c r="C1650" t="e">
        <f t="shared" si="25"/>
        <v>#N/A</v>
      </c>
      <c r="D1650" t="s">
        <v>1838</v>
      </c>
      <c r="E1650" t="s">
        <v>2817</v>
      </c>
    </row>
    <row r="1651" spans="3:5">
      <c r="C1651" t="e">
        <f t="shared" si="25"/>
        <v>#N/A</v>
      </c>
      <c r="D1651" t="s">
        <v>1839</v>
      </c>
      <c r="E1651" t="s">
        <v>2817</v>
      </c>
    </row>
    <row r="1652" spans="3:5">
      <c r="C1652" t="e">
        <f t="shared" si="25"/>
        <v>#N/A</v>
      </c>
      <c r="D1652" t="s">
        <v>1840</v>
      </c>
      <c r="E1652" t="s">
        <v>2817</v>
      </c>
    </row>
    <row r="1653" spans="3:5">
      <c r="C1653" t="e">
        <f t="shared" si="25"/>
        <v>#N/A</v>
      </c>
      <c r="D1653" t="s">
        <v>1841</v>
      </c>
      <c r="E1653" t="s">
        <v>2817</v>
      </c>
    </row>
    <row r="1654" spans="3:5">
      <c r="C1654" t="e">
        <f t="shared" si="25"/>
        <v>#N/A</v>
      </c>
      <c r="D1654" t="s">
        <v>1842</v>
      </c>
      <c r="E1654" t="s">
        <v>2817</v>
      </c>
    </row>
    <row r="1655" spans="3:5">
      <c r="C1655" t="e">
        <f t="shared" si="25"/>
        <v>#N/A</v>
      </c>
      <c r="D1655" t="s">
        <v>1843</v>
      </c>
      <c r="E1655" t="s">
        <v>2817</v>
      </c>
    </row>
    <row r="1656" spans="3:5">
      <c r="C1656" t="e">
        <f t="shared" si="25"/>
        <v>#N/A</v>
      </c>
      <c r="D1656" t="s">
        <v>1844</v>
      </c>
      <c r="E1656" t="s">
        <v>2817</v>
      </c>
    </row>
    <row r="1657" spans="3:5">
      <c r="C1657" t="e">
        <f t="shared" si="25"/>
        <v>#N/A</v>
      </c>
      <c r="D1657" t="s">
        <v>1845</v>
      </c>
      <c r="E1657" t="s">
        <v>2817</v>
      </c>
    </row>
    <row r="1658" spans="3:5">
      <c r="C1658" t="e">
        <f t="shared" si="25"/>
        <v>#N/A</v>
      </c>
      <c r="D1658" t="s">
        <v>1846</v>
      </c>
      <c r="E1658" t="s">
        <v>2817</v>
      </c>
    </row>
    <row r="1659" spans="3:5">
      <c r="C1659" t="e">
        <f t="shared" si="25"/>
        <v>#N/A</v>
      </c>
      <c r="D1659" t="s">
        <v>1847</v>
      </c>
      <c r="E1659" t="s">
        <v>2817</v>
      </c>
    </row>
    <row r="1660" spans="3:5">
      <c r="C1660" t="e">
        <f t="shared" si="25"/>
        <v>#N/A</v>
      </c>
      <c r="D1660" t="s">
        <v>1848</v>
      </c>
      <c r="E1660" t="s">
        <v>2817</v>
      </c>
    </row>
    <row r="1661" spans="3:5">
      <c r="C1661" t="e">
        <f t="shared" si="25"/>
        <v>#N/A</v>
      </c>
      <c r="D1661" t="s">
        <v>1849</v>
      </c>
      <c r="E1661" t="s">
        <v>2817</v>
      </c>
    </row>
    <row r="1662" spans="3:5">
      <c r="C1662" t="e">
        <f t="shared" si="25"/>
        <v>#N/A</v>
      </c>
      <c r="D1662" t="s">
        <v>1850</v>
      </c>
      <c r="E1662" t="s">
        <v>2817</v>
      </c>
    </row>
    <row r="1663" spans="3:5">
      <c r="C1663" t="e">
        <f t="shared" si="25"/>
        <v>#N/A</v>
      </c>
      <c r="D1663" t="s">
        <v>1851</v>
      </c>
      <c r="E1663" t="s">
        <v>2817</v>
      </c>
    </row>
    <row r="1664" spans="3:5">
      <c r="C1664" t="e">
        <f t="shared" si="25"/>
        <v>#N/A</v>
      </c>
      <c r="D1664" t="s">
        <v>1852</v>
      </c>
      <c r="E1664" t="s">
        <v>2817</v>
      </c>
    </row>
    <row r="1665" spans="3:5">
      <c r="C1665" t="e">
        <f t="shared" si="25"/>
        <v>#N/A</v>
      </c>
      <c r="D1665" t="s">
        <v>1853</v>
      </c>
      <c r="E1665" t="s">
        <v>2817</v>
      </c>
    </row>
    <row r="1666" spans="3:5">
      <c r="C1666" t="e">
        <f t="shared" si="25"/>
        <v>#N/A</v>
      </c>
      <c r="D1666" t="s">
        <v>1854</v>
      </c>
      <c r="E1666" t="s">
        <v>2817</v>
      </c>
    </row>
    <row r="1667" spans="3:5">
      <c r="C1667" t="e">
        <f t="shared" ref="C1667:C1730" si="26">VLOOKUP(B1667,D:E,2,0)</f>
        <v>#N/A</v>
      </c>
      <c r="D1667" t="s">
        <v>1855</v>
      </c>
      <c r="E1667" t="s">
        <v>2817</v>
      </c>
    </row>
    <row r="1668" spans="3:5">
      <c r="C1668" t="e">
        <f t="shared" si="26"/>
        <v>#N/A</v>
      </c>
      <c r="D1668" t="s">
        <v>1856</v>
      </c>
      <c r="E1668" t="s">
        <v>2817</v>
      </c>
    </row>
    <row r="1669" spans="3:5">
      <c r="C1669" t="e">
        <f t="shared" si="26"/>
        <v>#N/A</v>
      </c>
      <c r="D1669" t="s">
        <v>1857</v>
      </c>
      <c r="E1669" t="s">
        <v>2817</v>
      </c>
    </row>
    <row r="1670" spans="3:5">
      <c r="C1670" t="e">
        <f t="shared" si="26"/>
        <v>#N/A</v>
      </c>
      <c r="D1670" t="s">
        <v>1858</v>
      </c>
      <c r="E1670" t="s">
        <v>2817</v>
      </c>
    </row>
    <row r="1671" spans="3:5">
      <c r="C1671" t="e">
        <f t="shared" si="26"/>
        <v>#N/A</v>
      </c>
      <c r="D1671" t="s">
        <v>1859</v>
      </c>
      <c r="E1671" t="s">
        <v>2817</v>
      </c>
    </row>
    <row r="1672" spans="3:5">
      <c r="C1672" t="e">
        <f t="shared" si="26"/>
        <v>#N/A</v>
      </c>
      <c r="D1672" t="s">
        <v>1860</v>
      </c>
      <c r="E1672" t="s">
        <v>2817</v>
      </c>
    </row>
    <row r="1673" spans="3:5">
      <c r="C1673" t="e">
        <f t="shared" si="26"/>
        <v>#N/A</v>
      </c>
      <c r="D1673" t="s">
        <v>1861</v>
      </c>
      <c r="E1673" t="s">
        <v>2817</v>
      </c>
    </row>
    <row r="1674" spans="3:5">
      <c r="C1674" t="e">
        <f t="shared" si="26"/>
        <v>#N/A</v>
      </c>
      <c r="D1674" t="s">
        <v>1862</v>
      </c>
      <c r="E1674" t="s">
        <v>2817</v>
      </c>
    </row>
    <row r="1675" spans="3:5">
      <c r="C1675" t="e">
        <f t="shared" si="26"/>
        <v>#N/A</v>
      </c>
      <c r="D1675" t="s">
        <v>1863</v>
      </c>
      <c r="E1675" t="s">
        <v>2817</v>
      </c>
    </row>
    <row r="1676" spans="3:5">
      <c r="C1676" t="e">
        <f t="shared" si="26"/>
        <v>#N/A</v>
      </c>
      <c r="D1676" t="s">
        <v>1864</v>
      </c>
      <c r="E1676" t="s">
        <v>2817</v>
      </c>
    </row>
    <row r="1677" spans="3:5">
      <c r="C1677" t="e">
        <f t="shared" si="26"/>
        <v>#N/A</v>
      </c>
      <c r="D1677" t="s">
        <v>1865</v>
      </c>
      <c r="E1677" t="s">
        <v>2817</v>
      </c>
    </row>
    <row r="1678" spans="3:5">
      <c r="C1678" t="e">
        <f t="shared" si="26"/>
        <v>#N/A</v>
      </c>
      <c r="D1678" t="s">
        <v>1866</v>
      </c>
      <c r="E1678" t="s">
        <v>2817</v>
      </c>
    </row>
    <row r="1679" spans="3:5">
      <c r="C1679" t="e">
        <f t="shared" si="26"/>
        <v>#N/A</v>
      </c>
      <c r="D1679" t="s">
        <v>1867</v>
      </c>
      <c r="E1679" t="s">
        <v>2817</v>
      </c>
    </row>
    <row r="1680" spans="3:5">
      <c r="C1680" t="e">
        <f t="shared" si="26"/>
        <v>#N/A</v>
      </c>
      <c r="D1680" t="s">
        <v>1868</v>
      </c>
      <c r="E1680" t="s">
        <v>2817</v>
      </c>
    </row>
    <row r="1681" spans="3:5">
      <c r="C1681" t="e">
        <f t="shared" si="26"/>
        <v>#N/A</v>
      </c>
      <c r="D1681" t="s">
        <v>1869</v>
      </c>
      <c r="E1681" t="s">
        <v>2817</v>
      </c>
    </row>
    <row r="1682" spans="3:5">
      <c r="C1682" t="e">
        <f t="shared" si="26"/>
        <v>#N/A</v>
      </c>
      <c r="D1682" t="s">
        <v>1870</v>
      </c>
      <c r="E1682" t="s">
        <v>2817</v>
      </c>
    </row>
    <row r="1683" spans="3:5">
      <c r="C1683" t="e">
        <f t="shared" si="26"/>
        <v>#N/A</v>
      </c>
      <c r="D1683" t="s">
        <v>1871</v>
      </c>
      <c r="E1683" t="s">
        <v>2817</v>
      </c>
    </row>
    <row r="1684" spans="3:5">
      <c r="C1684" t="e">
        <f t="shared" si="26"/>
        <v>#N/A</v>
      </c>
      <c r="D1684" t="s">
        <v>1872</v>
      </c>
      <c r="E1684" t="s">
        <v>2817</v>
      </c>
    </row>
    <row r="1685" spans="3:5">
      <c r="C1685" t="e">
        <f t="shared" si="26"/>
        <v>#N/A</v>
      </c>
      <c r="D1685" t="s">
        <v>1873</v>
      </c>
      <c r="E1685" t="s">
        <v>2817</v>
      </c>
    </row>
    <row r="1686" spans="3:5">
      <c r="C1686" t="e">
        <f t="shared" si="26"/>
        <v>#N/A</v>
      </c>
      <c r="D1686" t="s">
        <v>1874</v>
      </c>
      <c r="E1686" t="s">
        <v>2817</v>
      </c>
    </row>
    <row r="1687" spans="3:5">
      <c r="C1687" t="e">
        <f t="shared" si="26"/>
        <v>#N/A</v>
      </c>
      <c r="D1687" t="s">
        <v>1875</v>
      </c>
      <c r="E1687" t="s">
        <v>2817</v>
      </c>
    </row>
    <row r="1688" spans="3:5">
      <c r="C1688" t="e">
        <f t="shared" si="26"/>
        <v>#N/A</v>
      </c>
      <c r="D1688" t="s">
        <v>1876</v>
      </c>
      <c r="E1688" t="s">
        <v>2817</v>
      </c>
    </row>
    <row r="1689" spans="3:5">
      <c r="C1689" t="e">
        <f t="shared" si="26"/>
        <v>#N/A</v>
      </c>
      <c r="D1689" t="s">
        <v>1877</v>
      </c>
      <c r="E1689" t="s">
        <v>2817</v>
      </c>
    </row>
    <row r="1690" spans="3:5">
      <c r="C1690" t="e">
        <f t="shared" si="26"/>
        <v>#N/A</v>
      </c>
      <c r="D1690" t="s">
        <v>1878</v>
      </c>
      <c r="E1690" t="s">
        <v>2817</v>
      </c>
    </row>
    <row r="1691" spans="3:5">
      <c r="C1691" t="e">
        <f t="shared" si="26"/>
        <v>#N/A</v>
      </c>
      <c r="D1691" t="s">
        <v>1879</v>
      </c>
      <c r="E1691" t="s">
        <v>2817</v>
      </c>
    </row>
    <row r="1692" spans="3:5">
      <c r="C1692" t="e">
        <f t="shared" si="26"/>
        <v>#N/A</v>
      </c>
      <c r="D1692" t="s">
        <v>1880</v>
      </c>
      <c r="E1692" t="s">
        <v>2817</v>
      </c>
    </row>
    <row r="1693" spans="3:5">
      <c r="C1693" t="e">
        <f t="shared" si="26"/>
        <v>#N/A</v>
      </c>
      <c r="D1693" t="s">
        <v>1881</v>
      </c>
      <c r="E1693" t="s">
        <v>2817</v>
      </c>
    </row>
    <row r="1694" spans="3:5">
      <c r="C1694" t="e">
        <f t="shared" si="26"/>
        <v>#N/A</v>
      </c>
      <c r="D1694" t="s">
        <v>1882</v>
      </c>
      <c r="E1694" t="s">
        <v>2817</v>
      </c>
    </row>
    <row r="1695" spans="3:5">
      <c r="C1695" t="e">
        <f t="shared" si="26"/>
        <v>#N/A</v>
      </c>
      <c r="D1695" t="s">
        <v>1883</v>
      </c>
      <c r="E1695" t="s">
        <v>2817</v>
      </c>
    </row>
    <row r="1696" spans="3:5">
      <c r="C1696" t="e">
        <f t="shared" si="26"/>
        <v>#N/A</v>
      </c>
      <c r="D1696" t="s">
        <v>1884</v>
      </c>
      <c r="E1696" t="s">
        <v>2817</v>
      </c>
    </row>
    <row r="1697" spans="3:5">
      <c r="C1697" t="e">
        <f t="shared" si="26"/>
        <v>#N/A</v>
      </c>
      <c r="D1697" t="s">
        <v>1885</v>
      </c>
      <c r="E1697" t="s">
        <v>2817</v>
      </c>
    </row>
    <row r="1698" spans="3:5">
      <c r="C1698" t="e">
        <f t="shared" si="26"/>
        <v>#N/A</v>
      </c>
      <c r="D1698" t="s">
        <v>1886</v>
      </c>
      <c r="E1698" t="s">
        <v>2817</v>
      </c>
    </row>
    <row r="1699" spans="3:5">
      <c r="C1699" t="e">
        <f t="shared" si="26"/>
        <v>#N/A</v>
      </c>
      <c r="D1699" t="s">
        <v>1887</v>
      </c>
      <c r="E1699" t="s">
        <v>2817</v>
      </c>
    </row>
    <row r="1700" spans="3:5">
      <c r="C1700" t="e">
        <f t="shared" si="26"/>
        <v>#N/A</v>
      </c>
      <c r="D1700" t="s">
        <v>1888</v>
      </c>
      <c r="E1700" t="s">
        <v>2817</v>
      </c>
    </row>
    <row r="1701" spans="3:5">
      <c r="C1701" t="e">
        <f t="shared" si="26"/>
        <v>#N/A</v>
      </c>
      <c r="D1701" t="s">
        <v>1889</v>
      </c>
      <c r="E1701" t="s">
        <v>2817</v>
      </c>
    </row>
    <row r="1702" spans="3:5">
      <c r="C1702" t="e">
        <f t="shared" si="26"/>
        <v>#N/A</v>
      </c>
      <c r="D1702" t="s">
        <v>1890</v>
      </c>
      <c r="E1702" t="s">
        <v>2817</v>
      </c>
    </row>
    <row r="1703" spans="3:5">
      <c r="C1703" t="e">
        <f t="shared" si="26"/>
        <v>#N/A</v>
      </c>
      <c r="D1703" t="s">
        <v>1891</v>
      </c>
      <c r="E1703" t="s">
        <v>2817</v>
      </c>
    </row>
    <row r="1704" spans="3:5">
      <c r="C1704" t="e">
        <f t="shared" si="26"/>
        <v>#N/A</v>
      </c>
      <c r="D1704" t="s">
        <v>1892</v>
      </c>
      <c r="E1704" t="s">
        <v>2817</v>
      </c>
    </row>
    <row r="1705" spans="3:5">
      <c r="C1705" t="e">
        <f t="shared" si="26"/>
        <v>#N/A</v>
      </c>
      <c r="D1705" t="s">
        <v>1893</v>
      </c>
      <c r="E1705" t="s">
        <v>2817</v>
      </c>
    </row>
    <row r="1706" spans="3:5">
      <c r="C1706" t="e">
        <f t="shared" si="26"/>
        <v>#N/A</v>
      </c>
      <c r="D1706" t="s">
        <v>1894</v>
      </c>
      <c r="E1706" t="s">
        <v>2817</v>
      </c>
    </row>
    <row r="1707" spans="3:5">
      <c r="C1707" t="e">
        <f t="shared" si="26"/>
        <v>#N/A</v>
      </c>
      <c r="D1707" t="s">
        <v>1895</v>
      </c>
      <c r="E1707" t="s">
        <v>2817</v>
      </c>
    </row>
    <row r="1708" spans="3:5">
      <c r="C1708" t="e">
        <f t="shared" si="26"/>
        <v>#N/A</v>
      </c>
      <c r="D1708" t="s">
        <v>1896</v>
      </c>
      <c r="E1708" t="s">
        <v>2817</v>
      </c>
    </row>
    <row r="1709" spans="3:5">
      <c r="C1709" t="e">
        <f t="shared" si="26"/>
        <v>#N/A</v>
      </c>
      <c r="D1709" t="s">
        <v>1897</v>
      </c>
      <c r="E1709" t="s">
        <v>2817</v>
      </c>
    </row>
    <row r="1710" spans="3:5">
      <c r="C1710" t="e">
        <f t="shared" si="26"/>
        <v>#N/A</v>
      </c>
      <c r="D1710" t="s">
        <v>1898</v>
      </c>
      <c r="E1710" t="s">
        <v>2817</v>
      </c>
    </row>
    <row r="1711" spans="3:5">
      <c r="C1711" t="e">
        <f t="shared" si="26"/>
        <v>#N/A</v>
      </c>
      <c r="D1711" t="s">
        <v>1899</v>
      </c>
      <c r="E1711" t="s">
        <v>2817</v>
      </c>
    </row>
    <row r="1712" spans="3:5">
      <c r="C1712" t="e">
        <f t="shared" si="26"/>
        <v>#N/A</v>
      </c>
      <c r="D1712" t="s">
        <v>1900</v>
      </c>
      <c r="E1712" t="s">
        <v>2817</v>
      </c>
    </row>
    <row r="1713" spans="3:5">
      <c r="C1713" t="e">
        <f t="shared" si="26"/>
        <v>#N/A</v>
      </c>
      <c r="D1713" t="s">
        <v>1901</v>
      </c>
      <c r="E1713" t="s">
        <v>2817</v>
      </c>
    </row>
    <row r="1714" spans="3:5">
      <c r="C1714" t="e">
        <f t="shared" si="26"/>
        <v>#N/A</v>
      </c>
      <c r="D1714" t="s">
        <v>1902</v>
      </c>
      <c r="E1714" t="s">
        <v>2817</v>
      </c>
    </row>
    <row r="1715" spans="3:5">
      <c r="C1715" t="e">
        <f t="shared" si="26"/>
        <v>#N/A</v>
      </c>
      <c r="D1715" t="s">
        <v>1903</v>
      </c>
      <c r="E1715" t="s">
        <v>2817</v>
      </c>
    </row>
    <row r="1716" spans="3:5">
      <c r="C1716" t="e">
        <f t="shared" si="26"/>
        <v>#N/A</v>
      </c>
      <c r="D1716" t="s">
        <v>1904</v>
      </c>
      <c r="E1716" t="s">
        <v>2817</v>
      </c>
    </row>
    <row r="1717" spans="3:5">
      <c r="C1717" t="e">
        <f t="shared" si="26"/>
        <v>#N/A</v>
      </c>
      <c r="D1717" t="s">
        <v>1905</v>
      </c>
      <c r="E1717" t="s">
        <v>2817</v>
      </c>
    </row>
    <row r="1718" spans="3:5">
      <c r="C1718" t="e">
        <f t="shared" si="26"/>
        <v>#N/A</v>
      </c>
      <c r="D1718" t="s">
        <v>1906</v>
      </c>
      <c r="E1718" t="s">
        <v>2817</v>
      </c>
    </row>
    <row r="1719" spans="3:5">
      <c r="C1719" t="e">
        <f t="shared" si="26"/>
        <v>#N/A</v>
      </c>
      <c r="D1719" t="s">
        <v>1907</v>
      </c>
      <c r="E1719" t="s">
        <v>2817</v>
      </c>
    </row>
    <row r="1720" spans="3:5">
      <c r="C1720" t="e">
        <f t="shared" si="26"/>
        <v>#N/A</v>
      </c>
      <c r="D1720" t="s">
        <v>1908</v>
      </c>
      <c r="E1720" t="s">
        <v>2817</v>
      </c>
    </row>
    <row r="1721" spans="3:5">
      <c r="C1721" t="e">
        <f t="shared" si="26"/>
        <v>#N/A</v>
      </c>
      <c r="D1721" t="s">
        <v>1909</v>
      </c>
      <c r="E1721" t="s">
        <v>2817</v>
      </c>
    </row>
    <row r="1722" spans="3:5">
      <c r="C1722" t="e">
        <f t="shared" si="26"/>
        <v>#N/A</v>
      </c>
      <c r="D1722" t="s">
        <v>1910</v>
      </c>
      <c r="E1722" t="s">
        <v>2817</v>
      </c>
    </row>
    <row r="1723" spans="3:5">
      <c r="C1723" t="e">
        <f t="shared" si="26"/>
        <v>#N/A</v>
      </c>
      <c r="D1723" t="s">
        <v>1911</v>
      </c>
      <c r="E1723" t="s">
        <v>2817</v>
      </c>
    </row>
    <row r="1724" spans="3:5">
      <c r="C1724" t="e">
        <f t="shared" si="26"/>
        <v>#N/A</v>
      </c>
      <c r="D1724" t="s">
        <v>1912</v>
      </c>
      <c r="E1724" t="s">
        <v>2817</v>
      </c>
    </row>
    <row r="1725" spans="3:5">
      <c r="C1725" t="e">
        <f t="shared" si="26"/>
        <v>#N/A</v>
      </c>
      <c r="D1725" t="s">
        <v>1913</v>
      </c>
      <c r="E1725" t="s">
        <v>2817</v>
      </c>
    </row>
    <row r="1726" spans="3:5">
      <c r="C1726" t="e">
        <f t="shared" si="26"/>
        <v>#N/A</v>
      </c>
      <c r="D1726" t="s">
        <v>1914</v>
      </c>
      <c r="E1726" t="s">
        <v>2817</v>
      </c>
    </row>
    <row r="1727" spans="3:5">
      <c r="C1727" t="e">
        <f t="shared" si="26"/>
        <v>#N/A</v>
      </c>
      <c r="D1727" t="s">
        <v>1915</v>
      </c>
      <c r="E1727" t="s">
        <v>2817</v>
      </c>
    </row>
    <row r="1728" spans="3:5">
      <c r="C1728" t="e">
        <f t="shared" si="26"/>
        <v>#N/A</v>
      </c>
      <c r="D1728" t="s">
        <v>1916</v>
      </c>
      <c r="E1728" t="s">
        <v>2817</v>
      </c>
    </row>
    <row r="1729" spans="3:5">
      <c r="C1729" t="e">
        <f t="shared" si="26"/>
        <v>#N/A</v>
      </c>
      <c r="D1729" t="s">
        <v>1917</v>
      </c>
      <c r="E1729" t="s">
        <v>2817</v>
      </c>
    </row>
    <row r="1730" spans="3:5">
      <c r="C1730" t="e">
        <f t="shared" si="26"/>
        <v>#N/A</v>
      </c>
      <c r="D1730" t="s">
        <v>1918</v>
      </c>
      <c r="E1730" t="s">
        <v>2817</v>
      </c>
    </row>
    <row r="1731" spans="3:5">
      <c r="C1731" t="e">
        <f t="shared" ref="C1731:C1794" si="27">VLOOKUP(B1731,D:E,2,0)</f>
        <v>#N/A</v>
      </c>
      <c r="D1731" t="s">
        <v>1919</v>
      </c>
      <c r="E1731" t="s">
        <v>2817</v>
      </c>
    </row>
    <row r="1732" spans="3:5">
      <c r="C1732" t="e">
        <f t="shared" si="27"/>
        <v>#N/A</v>
      </c>
      <c r="D1732" t="s">
        <v>1920</v>
      </c>
      <c r="E1732" t="s">
        <v>2817</v>
      </c>
    </row>
    <row r="1733" spans="3:5">
      <c r="C1733" t="e">
        <f t="shared" si="27"/>
        <v>#N/A</v>
      </c>
      <c r="D1733" t="s">
        <v>1921</v>
      </c>
      <c r="E1733" t="s">
        <v>2817</v>
      </c>
    </row>
    <row r="1734" spans="3:5">
      <c r="C1734" t="e">
        <f t="shared" si="27"/>
        <v>#N/A</v>
      </c>
      <c r="D1734" t="s">
        <v>1922</v>
      </c>
      <c r="E1734" t="s">
        <v>2817</v>
      </c>
    </row>
    <row r="1735" spans="3:5">
      <c r="C1735" t="e">
        <f t="shared" si="27"/>
        <v>#N/A</v>
      </c>
      <c r="D1735" t="s">
        <v>1923</v>
      </c>
      <c r="E1735" t="s">
        <v>2817</v>
      </c>
    </row>
    <row r="1736" spans="3:5">
      <c r="C1736" t="e">
        <f t="shared" si="27"/>
        <v>#N/A</v>
      </c>
      <c r="D1736" t="s">
        <v>1924</v>
      </c>
      <c r="E1736" t="s">
        <v>2817</v>
      </c>
    </row>
    <row r="1737" spans="3:5">
      <c r="C1737" t="e">
        <f t="shared" si="27"/>
        <v>#N/A</v>
      </c>
      <c r="D1737" t="s">
        <v>1925</v>
      </c>
      <c r="E1737" t="s">
        <v>2817</v>
      </c>
    </row>
    <row r="1738" spans="3:5">
      <c r="C1738" t="e">
        <f t="shared" si="27"/>
        <v>#N/A</v>
      </c>
      <c r="D1738" t="s">
        <v>1926</v>
      </c>
      <c r="E1738" t="s">
        <v>2817</v>
      </c>
    </row>
    <row r="1739" spans="3:5">
      <c r="C1739" t="e">
        <f t="shared" si="27"/>
        <v>#N/A</v>
      </c>
      <c r="D1739" t="s">
        <v>1927</v>
      </c>
      <c r="E1739" t="s">
        <v>2817</v>
      </c>
    </row>
    <row r="1740" spans="3:5">
      <c r="C1740" t="e">
        <f t="shared" si="27"/>
        <v>#N/A</v>
      </c>
      <c r="D1740" t="s">
        <v>1928</v>
      </c>
      <c r="E1740" t="s">
        <v>2817</v>
      </c>
    </row>
    <row r="1741" spans="3:5">
      <c r="C1741" t="e">
        <f t="shared" si="27"/>
        <v>#N/A</v>
      </c>
      <c r="D1741" t="s">
        <v>1929</v>
      </c>
      <c r="E1741" t="s">
        <v>2817</v>
      </c>
    </row>
    <row r="1742" spans="3:5">
      <c r="C1742" t="e">
        <f t="shared" si="27"/>
        <v>#N/A</v>
      </c>
      <c r="D1742" t="s">
        <v>1930</v>
      </c>
      <c r="E1742" t="s">
        <v>2817</v>
      </c>
    </row>
    <row r="1743" spans="3:5">
      <c r="C1743" t="e">
        <f t="shared" si="27"/>
        <v>#N/A</v>
      </c>
      <c r="D1743" t="s">
        <v>1931</v>
      </c>
      <c r="E1743" t="s">
        <v>2817</v>
      </c>
    </row>
    <row r="1744" spans="3:5">
      <c r="C1744" t="e">
        <f t="shared" si="27"/>
        <v>#N/A</v>
      </c>
      <c r="D1744" t="s">
        <v>1932</v>
      </c>
      <c r="E1744" t="s">
        <v>2817</v>
      </c>
    </row>
    <row r="1745" spans="3:5">
      <c r="C1745" t="e">
        <f t="shared" si="27"/>
        <v>#N/A</v>
      </c>
      <c r="D1745" t="s">
        <v>1933</v>
      </c>
      <c r="E1745" t="s">
        <v>2817</v>
      </c>
    </row>
    <row r="1746" spans="3:5">
      <c r="C1746" t="e">
        <f t="shared" si="27"/>
        <v>#N/A</v>
      </c>
      <c r="D1746" t="s">
        <v>1934</v>
      </c>
      <c r="E1746" t="s">
        <v>2817</v>
      </c>
    </row>
    <row r="1747" spans="3:5">
      <c r="C1747" t="e">
        <f t="shared" si="27"/>
        <v>#N/A</v>
      </c>
      <c r="D1747" t="s">
        <v>1935</v>
      </c>
      <c r="E1747" t="s">
        <v>2817</v>
      </c>
    </row>
    <row r="1748" spans="3:5">
      <c r="C1748" t="e">
        <f t="shared" si="27"/>
        <v>#N/A</v>
      </c>
      <c r="D1748" t="s">
        <v>1936</v>
      </c>
      <c r="E1748" t="s">
        <v>2817</v>
      </c>
    </row>
    <row r="1749" spans="3:5">
      <c r="C1749" t="e">
        <f t="shared" si="27"/>
        <v>#N/A</v>
      </c>
      <c r="D1749" t="s">
        <v>1937</v>
      </c>
      <c r="E1749" t="s">
        <v>2817</v>
      </c>
    </row>
    <row r="1750" spans="3:5">
      <c r="C1750" t="e">
        <f t="shared" si="27"/>
        <v>#N/A</v>
      </c>
      <c r="D1750" t="s">
        <v>1938</v>
      </c>
      <c r="E1750" t="s">
        <v>2817</v>
      </c>
    </row>
    <row r="1751" spans="3:5">
      <c r="C1751" t="e">
        <f t="shared" si="27"/>
        <v>#N/A</v>
      </c>
      <c r="D1751" t="s">
        <v>1939</v>
      </c>
      <c r="E1751" t="s">
        <v>2817</v>
      </c>
    </row>
    <row r="1752" spans="3:5">
      <c r="C1752" t="e">
        <f t="shared" si="27"/>
        <v>#N/A</v>
      </c>
      <c r="D1752" t="s">
        <v>1940</v>
      </c>
      <c r="E1752" t="s">
        <v>2817</v>
      </c>
    </row>
    <row r="1753" spans="3:5">
      <c r="C1753" t="e">
        <f t="shared" si="27"/>
        <v>#N/A</v>
      </c>
      <c r="D1753" t="s">
        <v>1941</v>
      </c>
      <c r="E1753" t="s">
        <v>2817</v>
      </c>
    </row>
    <row r="1754" spans="3:5">
      <c r="C1754" t="e">
        <f t="shared" si="27"/>
        <v>#N/A</v>
      </c>
      <c r="D1754" t="s">
        <v>1942</v>
      </c>
      <c r="E1754" t="s">
        <v>2817</v>
      </c>
    </row>
    <row r="1755" spans="3:5">
      <c r="C1755" t="e">
        <f t="shared" si="27"/>
        <v>#N/A</v>
      </c>
      <c r="D1755" t="s">
        <v>1943</v>
      </c>
      <c r="E1755" t="s">
        <v>2817</v>
      </c>
    </row>
    <row r="1756" spans="3:5">
      <c r="C1756" t="e">
        <f t="shared" si="27"/>
        <v>#N/A</v>
      </c>
      <c r="D1756" t="s">
        <v>1944</v>
      </c>
      <c r="E1756" t="s">
        <v>2817</v>
      </c>
    </row>
    <row r="1757" spans="3:5">
      <c r="C1757" t="e">
        <f t="shared" si="27"/>
        <v>#N/A</v>
      </c>
      <c r="D1757" t="s">
        <v>1945</v>
      </c>
      <c r="E1757" t="s">
        <v>2817</v>
      </c>
    </row>
    <row r="1758" spans="3:5">
      <c r="C1758" t="e">
        <f t="shared" si="27"/>
        <v>#N/A</v>
      </c>
      <c r="D1758" t="s">
        <v>1946</v>
      </c>
      <c r="E1758" t="s">
        <v>2817</v>
      </c>
    </row>
    <row r="1759" spans="3:5">
      <c r="C1759" t="e">
        <f t="shared" si="27"/>
        <v>#N/A</v>
      </c>
      <c r="D1759" t="s">
        <v>1947</v>
      </c>
      <c r="E1759" t="s">
        <v>2817</v>
      </c>
    </row>
    <row r="1760" spans="3:5">
      <c r="C1760" t="e">
        <f t="shared" si="27"/>
        <v>#N/A</v>
      </c>
      <c r="D1760" t="s">
        <v>1948</v>
      </c>
      <c r="E1760" t="s">
        <v>2817</v>
      </c>
    </row>
    <row r="1761" spans="3:5">
      <c r="C1761" t="e">
        <f t="shared" si="27"/>
        <v>#N/A</v>
      </c>
      <c r="D1761" t="s">
        <v>1949</v>
      </c>
      <c r="E1761" t="s">
        <v>2817</v>
      </c>
    </row>
    <row r="1762" spans="3:5">
      <c r="C1762" t="e">
        <f t="shared" si="27"/>
        <v>#N/A</v>
      </c>
      <c r="D1762" t="s">
        <v>1950</v>
      </c>
      <c r="E1762" t="s">
        <v>2817</v>
      </c>
    </row>
    <row r="1763" spans="3:5">
      <c r="C1763" t="e">
        <f t="shared" si="27"/>
        <v>#N/A</v>
      </c>
      <c r="D1763" t="s">
        <v>1951</v>
      </c>
      <c r="E1763" t="s">
        <v>2817</v>
      </c>
    </row>
    <row r="1764" spans="3:5">
      <c r="C1764" t="e">
        <f t="shared" si="27"/>
        <v>#N/A</v>
      </c>
      <c r="D1764" t="s">
        <v>1952</v>
      </c>
      <c r="E1764" t="s">
        <v>2817</v>
      </c>
    </row>
    <row r="1765" spans="3:5">
      <c r="C1765" t="e">
        <f t="shared" si="27"/>
        <v>#N/A</v>
      </c>
      <c r="D1765" t="s">
        <v>1953</v>
      </c>
      <c r="E1765" t="s">
        <v>2817</v>
      </c>
    </row>
    <row r="1766" spans="3:5">
      <c r="C1766" t="e">
        <f t="shared" si="27"/>
        <v>#N/A</v>
      </c>
      <c r="D1766" t="s">
        <v>1954</v>
      </c>
      <c r="E1766" t="s">
        <v>2817</v>
      </c>
    </row>
    <row r="1767" spans="3:5">
      <c r="C1767" t="e">
        <f t="shared" si="27"/>
        <v>#N/A</v>
      </c>
      <c r="D1767" t="s">
        <v>1955</v>
      </c>
      <c r="E1767" t="s">
        <v>2817</v>
      </c>
    </row>
    <row r="1768" spans="3:5">
      <c r="C1768" t="e">
        <f t="shared" si="27"/>
        <v>#N/A</v>
      </c>
      <c r="D1768" t="s">
        <v>1956</v>
      </c>
      <c r="E1768" t="s">
        <v>2817</v>
      </c>
    </row>
    <row r="1769" spans="3:5">
      <c r="C1769" t="e">
        <f t="shared" si="27"/>
        <v>#N/A</v>
      </c>
      <c r="D1769" t="s">
        <v>1957</v>
      </c>
      <c r="E1769" t="s">
        <v>2817</v>
      </c>
    </row>
    <row r="1770" spans="3:5">
      <c r="C1770" t="e">
        <f t="shared" si="27"/>
        <v>#N/A</v>
      </c>
      <c r="D1770" t="s">
        <v>1958</v>
      </c>
      <c r="E1770" t="s">
        <v>2817</v>
      </c>
    </row>
    <row r="1771" spans="3:5">
      <c r="C1771" t="e">
        <f t="shared" si="27"/>
        <v>#N/A</v>
      </c>
      <c r="D1771" t="s">
        <v>1959</v>
      </c>
      <c r="E1771" t="s">
        <v>2817</v>
      </c>
    </row>
    <row r="1772" spans="3:5">
      <c r="C1772" t="e">
        <f t="shared" si="27"/>
        <v>#N/A</v>
      </c>
      <c r="D1772" t="s">
        <v>1960</v>
      </c>
      <c r="E1772" t="s">
        <v>2817</v>
      </c>
    </row>
    <row r="1773" spans="3:5">
      <c r="C1773" t="e">
        <f t="shared" si="27"/>
        <v>#N/A</v>
      </c>
      <c r="D1773" t="s">
        <v>1961</v>
      </c>
      <c r="E1773" t="s">
        <v>2817</v>
      </c>
    </row>
    <row r="1774" spans="3:5">
      <c r="C1774" t="e">
        <f t="shared" si="27"/>
        <v>#N/A</v>
      </c>
      <c r="D1774" t="s">
        <v>1962</v>
      </c>
      <c r="E1774" t="s">
        <v>2817</v>
      </c>
    </row>
    <row r="1775" spans="3:5">
      <c r="C1775" t="e">
        <f t="shared" si="27"/>
        <v>#N/A</v>
      </c>
      <c r="D1775" t="s">
        <v>1963</v>
      </c>
      <c r="E1775" t="s">
        <v>2817</v>
      </c>
    </row>
    <row r="1776" spans="3:5">
      <c r="C1776" t="e">
        <f t="shared" si="27"/>
        <v>#N/A</v>
      </c>
      <c r="D1776" t="s">
        <v>1964</v>
      </c>
      <c r="E1776" t="s">
        <v>2817</v>
      </c>
    </row>
    <row r="1777" spans="3:5">
      <c r="C1777" t="e">
        <f t="shared" si="27"/>
        <v>#N/A</v>
      </c>
      <c r="D1777" t="s">
        <v>1965</v>
      </c>
      <c r="E1777" t="s">
        <v>2817</v>
      </c>
    </row>
    <row r="1778" spans="3:5">
      <c r="C1778" t="e">
        <f t="shared" si="27"/>
        <v>#N/A</v>
      </c>
      <c r="D1778" t="s">
        <v>1966</v>
      </c>
      <c r="E1778" t="s">
        <v>2817</v>
      </c>
    </row>
    <row r="1779" spans="3:5">
      <c r="C1779" t="e">
        <f t="shared" si="27"/>
        <v>#N/A</v>
      </c>
      <c r="D1779" t="s">
        <v>1967</v>
      </c>
      <c r="E1779" t="s">
        <v>2817</v>
      </c>
    </row>
    <row r="1780" spans="3:5">
      <c r="C1780" t="e">
        <f t="shared" si="27"/>
        <v>#N/A</v>
      </c>
      <c r="D1780" t="s">
        <v>1968</v>
      </c>
      <c r="E1780" t="s">
        <v>2817</v>
      </c>
    </row>
    <row r="1781" spans="3:5">
      <c r="C1781" t="e">
        <f t="shared" si="27"/>
        <v>#N/A</v>
      </c>
      <c r="D1781" t="s">
        <v>1969</v>
      </c>
      <c r="E1781" t="s">
        <v>2817</v>
      </c>
    </row>
    <row r="1782" spans="3:5">
      <c r="C1782" t="e">
        <f t="shared" si="27"/>
        <v>#N/A</v>
      </c>
      <c r="D1782" t="s">
        <v>1970</v>
      </c>
      <c r="E1782" t="s">
        <v>2817</v>
      </c>
    </row>
    <row r="1783" spans="3:5">
      <c r="C1783" t="e">
        <f t="shared" si="27"/>
        <v>#N/A</v>
      </c>
      <c r="D1783" t="s">
        <v>1971</v>
      </c>
      <c r="E1783" t="s">
        <v>2817</v>
      </c>
    </row>
    <row r="1784" spans="3:5">
      <c r="C1784" t="e">
        <f t="shared" si="27"/>
        <v>#N/A</v>
      </c>
      <c r="D1784" t="s">
        <v>1972</v>
      </c>
      <c r="E1784" t="s">
        <v>2817</v>
      </c>
    </row>
    <row r="1785" spans="3:5">
      <c r="C1785" t="e">
        <f t="shared" si="27"/>
        <v>#N/A</v>
      </c>
      <c r="D1785" t="s">
        <v>1973</v>
      </c>
      <c r="E1785" t="s">
        <v>2817</v>
      </c>
    </row>
    <row r="1786" spans="3:5">
      <c r="C1786" t="e">
        <f t="shared" si="27"/>
        <v>#N/A</v>
      </c>
      <c r="D1786" t="s">
        <v>1974</v>
      </c>
      <c r="E1786" t="s">
        <v>2817</v>
      </c>
    </row>
    <row r="1787" spans="3:5">
      <c r="C1787" t="e">
        <f t="shared" si="27"/>
        <v>#N/A</v>
      </c>
      <c r="D1787" t="s">
        <v>1975</v>
      </c>
      <c r="E1787" t="s">
        <v>2817</v>
      </c>
    </row>
    <row r="1788" spans="3:5">
      <c r="C1788" t="e">
        <f t="shared" si="27"/>
        <v>#N/A</v>
      </c>
      <c r="D1788" t="s">
        <v>1976</v>
      </c>
      <c r="E1788" t="s">
        <v>2817</v>
      </c>
    </row>
    <row r="1789" spans="3:5">
      <c r="C1789" t="e">
        <f t="shared" si="27"/>
        <v>#N/A</v>
      </c>
      <c r="D1789" t="s">
        <v>1977</v>
      </c>
      <c r="E1789" t="s">
        <v>2817</v>
      </c>
    </row>
    <row r="1790" spans="3:5">
      <c r="C1790" t="e">
        <f t="shared" si="27"/>
        <v>#N/A</v>
      </c>
      <c r="D1790" t="s">
        <v>1978</v>
      </c>
      <c r="E1790" t="s">
        <v>2817</v>
      </c>
    </row>
    <row r="1791" spans="3:5">
      <c r="C1791" t="e">
        <f t="shared" si="27"/>
        <v>#N/A</v>
      </c>
      <c r="D1791" t="s">
        <v>1979</v>
      </c>
      <c r="E1791" t="s">
        <v>2817</v>
      </c>
    </row>
    <row r="1792" spans="3:5">
      <c r="C1792" t="e">
        <f t="shared" si="27"/>
        <v>#N/A</v>
      </c>
      <c r="D1792" t="s">
        <v>1980</v>
      </c>
      <c r="E1792" t="s">
        <v>2817</v>
      </c>
    </row>
    <row r="1793" spans="3:5">
      <c r="C1793" t="e">
        <f t="shared" si="27"/>
        <v>#N/A</v>
      </c>
      <c r="D1793" t="s">
        <v>1981</v>
      </c>
      <c r="E1793" t="s">
        <v>2817</v>
      </c>
    </row>
    <row r="1794" spans="3:5">
      <c r="C1794" t="e">
        <f t="shared" si="27"/>
        <v>#N/A</v>
      </c>
      <c r="D1794" t="s">
        <v>1982</v>
      </c>
      <c r="E1794" t="s">
        <v>2817</v>
      </c>
    </row>
    <row r="1795" spans="3:5">
      <c r="C1795" t="e">
        <f t="shared" ref="C1795:C1858" si="28">VLOOKUP(B1795,D:E,2,0)</f>
        <v>#N/A</v>
      </c>
      <c r="D1795" t="s">
        <v>1983</v>
      </c>
      <c r="E1795" t="s">
        <v>2817</v>
      </c>
    </row>
    <row r="1796" spans="3:5">
      <c r="C1796" t="e">
        <f t="shared" si="28"/>
        <v>#N/A</v>
      </c>
      <c r="D1796" t="s">
        <v>1984</v>
      </c>
      <c r="E1796" t="s">
        <v>2817</v>
      </c>
    </row>
    <row r="1797" spans="3:5">
      <c r="C1797" t="e">
        <f t="shared" si="28"/>
        <v>#N/A</v>
      </c>
      <c r="D1797" t="s">
        <v>1985</v>
      </c>
      <c r="E1797" t="s">
        <v>2817</v>
      </c>
    </row>
    <row r="1798" spans="3:5">
      <c r="C1798" t="e">
        <f t="shared" si="28"/>
        <v>#N/A</v>
      </c>
      <c r="D1798" t="s">
        <v>1986</v>
      </c>
      <c r="E1798" t="s">
        <v>2817</v>
      </c>
    </row>
    <row r="1799" spans="3:5">
      <c r="C1799" t="e">
        <f t="shared" si="28"/>
        <v>#N/A</v>
      </c>
      <c r="D1799" t="s">
        <v>1987</v>
      </c>
      <c r="E1799" t="s">
        <v>2817</v>
      </c>
    </row>
    <row r="1800" spans="3:5">
      <c r="C1800" t="e">
        <f t="shared" si="28"/>
        <v>#N/A</v>
      </c>
      <c r="D1800" t="s">
        <v>1988</v>
      </c>
      <c r="E1800" t="s">
        <v>2817</v>
      </c>
    </row>
    <row r="1801" spans="3:5">
      <c r="C1801" t="e">
        <f t="shared" si="28"/>
        <v>#N/A</v>
      </c>
      <c r="D1801" t="s">
        <v>1989</v>
      </c>
      <c r="E1801" t="s">
        <v>2817</v>
      </c>
    </row>
    <row r="1802" spans="3:5">
      <c r="C1802" t="e">
        <f t="shared" si="28"/>
        <v>#N/A</v>
      </c>
      <c r="D1802" t="s">
        <v>1990</v>
      </c>
      <c r="E1802" t="s">
        <v>2817</v>
      </c>
    </row>
    <row r="1803" spans="3:5">
      <c r="C1803" t="e">
        <f t="shared" si="28"/>
        <v>#N/A</v>
      </c>
      <c r="D1803" t="s">
        <v>1991</v>
      </c>
      <c r="E1803" t="s">
        <v>2817</v>
      </c>
    </row>
    <row r="1804" spans="3:5">
      <c r="C1804" t="e">
        <f t="shared" si="28"/>
        <v>#N/A</v>
      </c>
      <c r="D1804" t="s">
        <v>1992</v>
      </c>
      <c r="E1804" t="s">
        <v>2817</v>
      </c>
    </row>
    <row r="1805" spans="3:5">
      <c r="C1805" t="e">
        <f t="shared" si="28"/>
        <v>#N/A</v>
      </c>
      <c r="D1805" t="s">
        <v>1993</v>
      </c>
      <c r="E1805" t="s">
        <v>2817</v>
      </c>
    </row>
    <row r="1806" spans="3:5">
      <c r="C1806" t="e">
        <f t="shared" si="28"/>
        <v>#N/A</v>
      </c>
      <c r="D1806" t="s">
        <v>1994</v>
      </c>
      <c r="E1806" t="s">
        <v>2817</v>
      </c>
    </row>
    <row r="1807" spans="3:5">
      <c r="C1807" t="e">
        <f t="shared" si="28"/>
        <v>#N/A</v>
      </c>
      <c r="D1807" t="s">
        <v>1995</v>
      </c>
      <c r="E1807" t="s">
        <v>2817</v>
      </c>
    </row>
    <row r="1808" spans="3:5">
      <c r="C1808" t="e">
        <f t="shared" si="28"/>
        <v>#N/A</v>
      </c>
      <c r="D1808" t="s">
        <v>1996</v>
      </c>
      <c r="E1808" t="s">
        <v>2817</v>
      </c>
    </row>
    <row r="1809" spans="3:5">
      <c r="C1809" t="e">
        <f t="shared" si="28"/>
        <v>#N/A</v>
      </c>
      <c r="D1809" t="s">
        <v>1997</v>
      </c>
      <c r="E1809" t="s">
        <v>2817</v>
      </c>
    </row>
    <row r="1810" spans="3:5">
      <c r="C1810" t="e">
        <f t="shared" si="28"/>
        <v>#N/A</v>
      </c>
      <c r="D1810" t="s">
        <v>1998</v>
      </c>
      <c r="E1810" t="s">
        <v>2817</v>
      </c>
    </row>
    <row r="1811" spans="3:5">
      <c r="C1811" t="e">
        <f t="shared" si="28"/>
        <v>#N/A</v>
      </c>
      <c r="D1811" t="s">
        <v>1999</v>
      </c>
      <c r="E1811" t="s">
        <v>2817</v>
      </c>
    </row>
    <row r="1812" spans="3:5">
      <c r="C1812" t="e">
        <f t="shared" si="28"/>
        <v>#N/A</v>
      </c>
      <c r="D1812" t="s">
        <v>2000</v>
      </c>
      <c r="E1812" t="s">
        <v>2817</v>
      </c>
    </row>
    <row r="1813" spans="3:5">
      <c r="C1813" t="e">
        <f t="shared" si="28"/>
        <v>#N/A</v>
      </c>
      <c r="D1813" t="s">
        <v>2001</v>
      </c>
      <c r="E1813" t="s">
        <v>2817</v>
      </c>
    </row>
    <row r="1814" spans="3:5">
      <c r="C1814" t="e">
        <f t="shared" si="28"/>
        <v>#N/A</v>
      </c>
      <c r="D1814" t="s">
        <v>2002</v>
      </c>
      <c r="E1814" t="s">
        <v>2817</v>
      </c>
    </row>
    <row r="1815" spans="3:5">
      <c r="C1815" t="e">
        <f t="shared" si="28"/>
        <v>#N/A</v>
      </c>
      <c r="D1815" t="s">
        <v>2003</v>
      </c>
      <c r="E1815" t="s">
        <v>2817</v>
      </c>
    </row>
    <row r="1816" spans="3:5">
      <c r="C1816" t="e">
        <f t="shared" si="28"/>
        <v>#N/A</v>
      </c>
      <c r="D1816" t="s">
        <v>2004</v>
      </c>
      <c r="E1816" t="s">
        <v>2817</v>
      </c>
    </row>
    <row r="1817" spans="3:5">
      <c r="C1817" t="e">
        <f t="shared" si="28"/>
        <v>#N/A</v>
      </c>
      <c r="D1817" t="s">
        <v>2005</v>
      </c>
      <c r="E1817" t="s">
        <v>2817</v>
      </c>
    </row>
    <row r="1818" spans="3:5">
      <c r="C1818" t="e">
        <f t="shared" si="28"/>
        <v>#N/A</v>
      </c>
      <c r="D1818" t="s">
        <v>2006</v>
      </c>
      <c r="E1818" t="s">
        <v>2817</v>
      </c>
    </row>
    <row r="1819" spans="3:5">
      <c r="C1819" t="e">
        <f t="shared" si="28"/>
        <v>#N/A</v>
      </c>
      <c r="D1819" t="s">
        <v>2007</v>
      </c>
      <c r="E1819" t="s">
        <v>2817</v>
      </c>
    </row>
    <row r="1820" spans="3:5">
      <c r="C1820" t="e">
        <f t="shared" si="28"/>
        <v>#N/A</v>
      </c>
      <c r="D1820" t="s">
        <v>2008</v>
      </c>
      <c r="E1820" t="s">
        <v>2817</v>
      </c>
    </row>
    <row r="1821" spans="3:5">
      <c r="C1821" t="e">
        <f t="shared" si="28"/>
        <v>#N/A</v>
      </c>
      <c r="D1821" t="s">
        <v>2009</v>
      </c>
      <c r="E1821" t="s">
        <v>2817</v>
      </c>
    </row>
    <row r="1822" spans="3:5">
      <c r="C1822" t="e">
        <f t="shared" si="28"/>
        <v>#N/A</v>
      </c>
      <c r="D1822" t="s">
        <v>2010</v>
      </c>
      <c r="E1822" t="s">
        <v>2817</v>
      </c>
    </row>
    <row r="1823" spans="3:5">
      <c r="C1823" t="e">
        <f t="shared" si="28"/>
        <v>#N/A</v>
      </c>
      <c r="D1823" t="s">
        <v>2011</v>
      </c>
      <c r="E1823" t="s">
        <v>2817</v>
      </c>
    </row>
    <row r="1824" spans="3:5">
      <c r="C1824" t="e">
        <f t="shared" si="28"/>
        <v>#N/A</v>
      </c>
      <c r="D1824" t="s">
        <v>2012</v>
      </c>
      <c r="E1824" t="s">
        <v>2817</v>
      </c>
    </row>
    <row r="1825" spans="3:5">
      <c r="C1825" t="e">
        <f t="shared" si="28"/>
        <v>#N/A</v>
      </c>
      <c r="D1825" t="s">
        <v>2013</v>
      </c>
      <c r="E1825" t="s">
        <v>2817</v>
      </c>
    </row>
    <row r="1826" spans="3:5">
      <c r="C1826" t="e">
        <f t="shared" si="28"/>
        <v>#N/A</v>
      </c>
      <c r="D1826" t="s">
        <v>2014</v>
      </c>
      <c r="E1826" t="s">
        <v>2817</v>
      </c>
    </row>
    <row r="1827" spans="3:5">
      <c r="C1827" t="e">
        <f t="shared" si="28"/>
        <v>#N/A</v>
      </c>
      <c r="D1827" t="s">
        <v>2015</v>
      </c>
      <c r="E1827" t="s">
        <v>2817</v>
      </c>
    </row>
    <row r="1828" spans="3:5">
      <c r="C1828" t="e">
        <f t="shared" si="28"/>
        <v>#N/A</v>
      </c>
      <c r="D1828" t="s">
        <v>2016</v>
      </c>
      <c r="E1828" t="s">
        <v>2817</v>
      </c>
    </row>
    <row r="1829" spans="3:5">
      <c r="C1829" t="e">
        <f t="shared" si="28"/>
        <v>#N/A</v>
      </c>
      <c r="D1829" t="s">
        <v>2017</v>
      </c>
      <c r="E1829" t="s">
        <v>2817</v>
      </c>
    </row>
    <row r="1830" spans="3:5">
      <c r="C1830" t="e">
        <f t="shared" si="28"/>
        <v>#N/A</v>
      </c>
      <c r="D1830" t="s">
        <v>2018</v>
      </c>
      <c r="E1830" t="s">
        <v>2817</v>
      </c>
    </row>
    <row r="1831" spans="3:5">
      <c r="C1831" t="e">
        <f t="shared" si="28"/>
        <v>#N/A</v>
      </c>
      <c r="D1831" t="s">
        <v>2019</v>
      </c>
      <c r="E1831" t="s">
        <v>2817</v>
      </c>
    </row>
    <row r="1832" spans="3:5">
      <c r="C1832" t="e">
        <f t="shared" si="28"/>
        <v>#N/A</v>
      </c>
      <c r="D1832" t="s">
        <v>2020</v>
      </c>
      <c r="E1832" t="s">
        <v>2817</v>
      </c>
    </row>
    <row r="1833" spans="3:5">
      <c r="C1833" t="e">
        <f t="shared" si="28"/>
        <v>#N/A</v>
      </c>
      <c r="D1833" t="s">
        <v>2021</v>
      </c>
      <c r="E1833" t="s">
        <v>2817</v>
      </c>
    </row>
    <row r="1834" spans="3:5">
      <c r="C1834" t="e">
        <f t="shared" si="28"/>
        <v>#N/A</v>
      </c>
      <c r="D1834" t="s">
        <v>2022</v>
      </c>
      <c r="E1834" t="s">
        <v>2817</v>
      </c>
    </row>
    <row r="1835" spans="3:5">
      <c r="C1835" t="e">
        <f t="shared" si="28"/>
        <v>#N/A</v>
      </c>
      <c r="D1835" t="s">
        <v>2023</v>
      </c>
      <c r="E1835" t="s">
        <v>2817</v>
      </c>
    </row>
    <row r="1836" spans="3:5">
      <c r="C1836" t="e">
        <f t="shared" si="28"/>
        <v>#N/A</v>
      </c>
      <c r="D1836" t="s">
        <v>2024</v>
      </c>
      <c r="E1836" t="s">
        <v>2817</v>
      </c>
    </row>
    <row r="1837" spans="3:5">
      <c r="C1837" t="e">
        <f t="shared" si="28"/>
        <v>#N/A</v>
      </c>
      <c r="D1837" t="s">
        <v>2025</v>
      </c>
      <c r="E1837" t="s">
        <v>2817</v>
      </c>
    </row>
    <row r="1838" spans="3:5">
      <c r="C1838" t="e">
        <f t="shared" si="28"/>
        <v>#N/A</v>
      </c>
      <c r="D1838" t="s">
        <v>2026</v>
      </c>
      <c r="E1838" t="s">
        <v>2817</v>
      </c>
    </row>
    <row r="1839" spans="3:5">
      <c r="C1839" t="e">
        <f t="shared" si="28"/>
        <v>#N/A</v>
      </c>
      <c r="D1839" t="s">
        <v>2027</v>
      </c>
      <c r="E1839" t="s">
        <v>2817</v>
      </c>
    </row>
    <row r="1840" spans="3:5">
      <c r="C1840" t="e">
        <f t="shared" si="28"/>
        <v>#N/A</v>
      </c>
      <c r="D1840" t="s">
        <v>2028</v>
      </c>
      <c r="E1840" t="s">
        <v>2817</v>
      </c>
    </row>
    <row r="1841" spans="3:5">
      <c r="C1841" t="e">
        <f t="shared" si="28"/>
        <v>#N/A</v>
      </c>
      <c r="D1841" t="s">
        <v>2029</v>
      </c>
      <c r="E1841" t="s">
        <v>2817</v>
      </c>
    </row>
    <row r="1842" spans="3:5">
      <c r="C1842" t="e">
        <f t="shared" si="28"/>
        <v>#N/A</v>
      </c>
      <c r="D1842" t="s">
        <v>2030</v>
      </c>
      <c r="E1842" t="s">
        <v>2817</v>
      </c>
    </row>
    <row r="1843" spans="3:5">
      <c r="C1843" t="e">
        <f t="shared" si="28"/>
        <v>#N/A</v>
      </c>
      <c r="D1843" t="s">
        <v>2031</v>
      </c>
      <c r="E1843" t="s">
        <v>2817</v>
      </c>
    </row>
    <row r="1844" spans="3:5">
      <c r="C1844" t="e">
        <f t="shared" si="28"/>
        <v>#N/A</v>
      </c>
      <c r="D1844" t="s">
        <v>2032</v>
      </c>
      <c r="E1844" t="s">
        <v>2817</v>
      </c>
    </row>
    <row r="1845" spans="3:5">
      <c r="C1845" t="e">
        <f t="shared" si="28"/>
        <v>#N/A</v>
      </c>
      <c r="D1845" t="s">
        <v>2033</v>
      </c>
      <c r="E1845" t="s">
        <v>2817</v>
      </c>
    </row>
    <row r="1846" spans="3:5">
      <c r="C1846" t="e">
        <f t="shared" si="28"/>
        <v>#N/A</v>
      </c>
      <c r="D1846" t="s">
        <v>2034</v>
      </c>
      <c r="E1846" t="s">
        <v>2817</v>
      </c>
    </row>
    <row r="1847" spans="3:5">
      <c r="C1847" t="e">
        <f t="shared" si="28"/>
        <v>#N/A</v>
      </c>
      <c r="D1847" t="s">
        <v>2035</v>
      </c>
      <c r="E1847" t="s">
        <v>2817</v>
      </c>
    </row>
    <row r="1848" spans="3:5">
      <c r="C1848" t="e">
        <f t="shared" si="28"/>
        <v>#N/A</v>
      </c>
      <c r="D1848" t="s">
        <v>2036</v>
      </c>
      <c r="E1848" t="s">
        <v>2817</v>
      </c>
    </row>
    <row r="1849" spans="3:5">
      <c r="C1849" t="e">
        <f t="shared" si="28"/>
        <v>#N/A</v>
      </c>
      <c r="D1849" t="s">
        <v>2037</v>
      </c>
      <c r="E1849" t="s">
        <v>2817</v>
      </c>
    </row>
    <row r="1850" spans="3:5">
      <c r="C1850" t="e">
        <f t="shared" si="28"/>
        <v>#N/A</v>
      </c>
      <c r="D1850" t="s">
        <v>2038</v>
      </c>
      <c r="E1850" t="s">
        <v>2817</v>
      </c>
    </row>
    <row r="1851" spans="3:5">
      <c r="C1851" t="e">
        <f t="shared" si="28"/>
        <v>#N/A</v>
      </c>
      <c r="D1851" t="s">
        <v>2039</v>
      </c>
      <c r="E1851" t="s">
        <v>2817</v>
      </c>
    </row>
    <row r="1852" spans="3:5">
      <c r="C1852" t="e">
        <f t="shared" si="28"/>
        <v>#N/A</v>
      </c>
      <c r="D1852" t="s">
        <v>2040</v>
      </c>
      <c r="E1852" t="s">
        <v>2817</v>
      </c>
    </row>
    <row r="1853" spans="3:5">
      <c r="C1853" t="e">
        <f t="shared" si="28"/>
        <v>#N/A</v>
      </c>
      <c r="D1853" t="s">
        <v>2041</v>
      </c>
      <c r="E1853" t="s">
        <v>2817</v>
      </c>
    </row>
    <row r="1854" spans="3:5">
      <c r="C1854" t="e">
        <f t="shared" si="28"/>
        <v>#N/A</v>
      </c>
      <c r="D1854" t="s">
        <v>2042</v>
      </c>
      <c r="E1854" t="s">
        <v>2817</v>
      </c>
    </row>
    <row r="1855" spans="3:5">
      <c r="C1855" t="e">
        <f t="shared" si="28"/>
        <v>#N/A</v>
      </c>
      <c r="D1855" t="s">
        <v>2043</v>
      </c>
      <c r="E1855" t="s">
        <v>2817</v>
      </c>
    </row>
    <row r="1856" spans="3:5">
      <c r="C1856" t="e">
        <f t="shared" si="28"/>
        <v>#N/A</v>
      </c>
      <c r="D1856" t="s">
        <v>2044</v>
      </c>
      <c r="E1856" t="s">
        <v>2817</v>
      </c>
    </row>
    <row r="1857" spans="3:5">
      <c r="C1857" t="e">
        <f t="shared" si="28"/>
        <v>#N/A</v>
      </c>
      <c r="D1857" t="s">
        <v>2045</v>
      </c>
      <c r="E1857" t="s">
        <v>2817</v>
      </c>
    </row>
    <row r="1858" spans="3:5">
      <c r="C1858" t="e">
        <f t="shared" si="28"/>
        <v>#N/A</v>
      </c>
      <c r="D1858" t="s">
        <v>2046</v>
      </c>
      <c r="E1858" t="s">
        <v>2817</v>
      </c>
    </row>
    <row r="1859" spans="3:5">
      <c r="C1859" t="e">
        <f t="shared" ref="C1859:C1922" si="29">VLOOKUP(B1859,D:E,2,0)</f>
        <v>#N/A</v>
      </c>
      <c r="D1859" t="s">
        <v>2047</v>
      </c>
      <c r="E1859" t="s">
        <v>2817</v>
      </c>
    </row>
    <row r="1860" spans="3:5">
      <c r="C1860" t="e">
        <f t="shared" si="29"/>
        <v>#N/A</v>
      </c>
      <c r="D1860" t="s">
        <v>2048</v>
      </c>
      <c r="E1860" t="s">
        <v>2817</v>
      </c>
    </row>
    <row r="1861" spans="3:5">
      <c r="C1861" t="e">
        <f t="shared" si="29"/>
        <v>#N/A</v>
      </c>
      <c r="D1861" t="s">
        <v>2049</v>
      </c>
      <c r="E1861" t="s">
        <v>2817</v>
      </c>
    </row>
    <row r="1862" spans="3:5">
      <c r="C1862" t="e">
        <f t="shared" si="29"/>
        <v>#N/A</v>
      </c>
      <c r="D1862" t="s">
        <v>2050</v>
      </c>
      <c r="E1862" t="s">
        <v>2817</v>
      </c>
    </row>
    <row r="1863" spans="3:5">
      <c r="C1863" t="e">
        <f t="shared" si="29"/>
        <v>#N/A</v>
      </c>
      <c r="D1863" t="s">
        <v>2051</v>
      </c>
      <c r="E1863" t="s">
        <v>2817</v>
      </c>
    </row>
    <row r="1864" spans="3:5">
      <c r="C1864" t="e">
        <f t="shared" si="29"/>
        <v>#N/A</v>
      </c>
      <c r="D1864" t="s">
        <v>2052</v>
      </c>
      <c r="E1864" t="s">
        <v>2817</v>
      </c>
    </row>
    <row r="1865" spans="3:5">
      <c r="C1865" t="e">
        <f t="shared" si="29"/>
        <v>#N/A</v>
      </c>
      <c r="D1865" t="s">
        <v>2053</v>
      </c>
      <c r="E1865" t="s">
        <v>2817</v>
      </c>
    </row>
    <row r="1866" spans="3:5">
      <c r="C1866" t="e">
        <f t="shared" si="29"/>
        <v>#N/A</v>
      </c>
      <c r="D1866" t="s">
        <v>2054</v>
      </c>
      <c r="E1866" t="s">
        <v>2817</v>
      </c>
    </row>
    <row r="1867" spans="3:5">
      <c r="C1867" t="e">
        <f t="shared" si="29"/>
        <v>#N/A</v>
      </c>
      <c r="D1867" t="s">
        <v>2055</v>
      </c>
      <c r="E1867" t="s">
        <v>2817</v>
      </c>
    </row>
    <row r="1868" spans="3:5">
      <c r="C1868" t="e">
        <f t="shared" si="29"/>
        <v>#N/A</v>
      </c>
      <c r="D1868" t="s">
        <v>2056</v>
      </c>
      <c r="E1868" t="s">
        <v>2817</v>
      </c>
    </row>
    <row r="1869" spans="3:5">
      <c r="C1869" t="e">
        <f t="shared" si="29"/>
        <v>#N/A</v>
      </c>
      <c r="D1869" t="s">
        <v>2057</v>
      </c>
      <c r="E1869" t="s">
        <v>2817</v>
      </c>
    </row>
    <row r="1870" spans="3:5">
      <c r="C1870" t="e">
        <f t="shared" si="29"/>
        <v>#N/A</v>
      </c>
      <c r="D1870" t="s">
        <v>2058</v>
      </c>
      <c r="E1870" t="s">
        <v>2817</v>
      </c>
    </row>
    <row r="1871" spans="3:5">
      <c r="C1871" t="e">
        <f t="shared" si="29"/>
        <v>#N/A</v>
      </c>
      <c r="D1871" t="s">
        <v>2059</v>
      </c>
      <c r="E1871" t="s">
        <v>2817</v>
      </c>
    </row>
    <row r="1872" spans="3:5">
      <c r="C1872" t="e">
        <f t="shared" si="29"/>
        <v>#N/A</v>
      </c>
      <c r="D1872" t="s">
        <v>2060</v>
      </c>
      <c r="E1872" t="s">
        <v>2817</v>
      </c>
    </row>
    <row r="1873" spans="3:5">
      <c r="C1873" t="e">
        <f t="shared" si="29"/>
        <v>#N/A</v>
      </c>
      <c r="D1873" t="s">
        <v>2061</v>
      </c>
      <c r="E1873" t="s">
        <v>2817</v>
      </c>
    </row>
    <row r="1874" spans="3:5">
      <c r="C1874" t="e">
        <f t="shared" si="29"/>
        <v>#N/A</v>
      </c>
      <c r="D1874" t="s">
        <v>2062</v>
      </c>
      <c r="E1874" t="s">
        <v>2817</v>
      </c>
    </row>
    <row r="1875" spans="3:5">
      <c r="C1875" t="e">
        <f t="shared" si="29"/>
        <v>#N/A</v>
      </c>
      <c r="D1875" t="s">
        <v>2063</v>
      </c>
      <c r="E1875" t="s">
        <v>2817</v>
      </c>
    </row>
    <row r="1876" spans="3:5">
      <c r="C1876" t="e">
        <f t="shared" si="29"/>
        <v>#N/A</v>
      </c>
      <c r="D1876" t="s">
        <v>2064</v>
      </c>
      <c r="E1876" t="s">
        <v>2817</v>
      </c>
    </row>
    <row r="1877" spans="3:5">
      <c r="C1877" t="e">
        <f t="shared" si="29"/>
        <v>#N/A</v>
      </c>
      <c r="D1877" t="s">
        <v>2065</v>
      </c>
      <c r="E1877" t="s">
        <v>2817</v>
      </c>
    </row>
    <row r="1878" spans="3:5">
      <c r="C1878" t="e">
        <f t="shared" si="29"/>
        <v>#N/A</v>
      </c>
      <c r="D1878" t="s">
        <v>2066</v>
      </c>
      <c r="E1878" t="s">
        <v>2817</v>
      </c>
    </row>
    <row r="1879" spans="3:5">
      <c r="C1879" t="e">
        <f t="shared" si="29"/>
        <v>#N/A</v>
      </c>
      <c r="D1879" t="s">
        <v>2067</v>
      </c>
      <c r="E1879" t="s">
        <v>2817</v>
      </c>
    </row>
    <row r="1880" spans="3:5">
      <c r="C1880" t="e">
        <f t="shared" si="29"/>
        <v>#N/A</v>
      </c>
      <c r="D1880" t="s">
        <v>2068</v>
      </c>
      <c r="E1880" t="s">
        <v>2817</v>
      </c>
    </row>
    <row r="1881" spans="3:5">
      <c r="C1881" t="e">
        <f t="shared" si="29"/>
        <v>#N/A</v>
      </c>
      <c r="D1881" t="s">
        <v>2069</v>
      </c>
      <c r="E1881" t="s">
        <v>2817</v>
      </c>
    </row>
    <row r="1882" spans="3:5">
      <c r="C1882" t="e">
        <f t="shared" si="29"/>
        <v>#N/A</v>
      </c>
      <c r="D1882" t="s">
        <v>2070</v>
      </c>
      <c r="E1882" t="s">
        <v>2817</v>
      </c>
    </row>
    <row r="1883" spans="3:5">
      <c r="C1883" t="e">
        <f t="shared" si="29"/>
        <v>#N/A</v>
      </c>
      <c r="D1883" t="s">
        <v>2071</v>
      </c>
      <c r="E1883" t="s">
        <v>2817</v>
      </c>
    </row>
    <row r="1884" spans="3:5">
      <c r="C1884" t="e">
        <f t="shared" si="29"/>
        <v>#N/A</v>
      </c>
      <c r="D1884" t="s">
        <v>2072</v>
      </c>
      <c r="E1884" t="s">
        <v>2817</v>
      </c>
    </row>
    <row r="1885" spans="3:5">
      <c r="C1885" t="e">
        <f t="shared" si="29"/>
        <v>#N/A</v>
      </c>
      <c r="D1885" t="s">
        <v>2073</v>
      </c>
      <c r="E1885" t="s">
        <v>2817</v>
      </c>
    </row>
    <row r="1886" spans="3:5">
      <c r="C1886" t="e">
        <f t="shared" si="29"/>
        <v>#N/A</v>
      </c>
      <c r="D1886" t="s">
        <v>2074</v>
      </c>
      <c r="E1886" t="s">
        <v>2817</v>
      </c>
    </row>
    <row r="1887" spans="3:5">
      <c r="C1887" t="e">
        <f t="shared" si="29"/>
        <v>#N/A</v>
      </c>
      <c r="D1887" t="s">
        <v>2075</v>
      </c>
      <c r="E1887" t="s">
        <v>2817</v>
      </c>
    </row>
    <row r="1888" spans="3:5">
      <c r="C1888" t="e">
        <f t="shared" si="29"/>
        <v>#N/A</v>
      </c>
      <c r="D1888" t="s">
        <v>2076</v>
      </c>
      <c r="E1888" t="s">
        <v>2817</v>
      </c>
    </row>
    <row r="1889" spans="3:5">
      <c r="C1889" t="e">
        <f t="shared" si="29"/>
        <v>#N/A</v>
      </c>
      <c r="D1889" t="s">
        <v>2077</v>
      </c>
      <c r="E1889" t="s">
        <v>2817</v>
      </c>
    </row>
    <row r="1890" spans="3:5">
      <c r="C1890" t="e">
        <f t="shared" si="29"/>
        <v>#N/A</v>
      </c>
      <c r="D1890" t="s">
        <v>2078</v>
      </c>
      <c r="E1890" t="s">
        <v>2817</v>
      </c>
    </row>
    <row r="1891" spans="3:5">
      <c r="C1891" t="e">
        <f t="shared" si="29"/>
        <v>#N/A</v>
      </c>
      <c r="D1891" t="s">
        <v>2079</v>
      </c>
      <c r="E1891" t="s">
        <v>2817</v>
      </c>
    </row>
    <row r="1892" spans="3:5">
      <c r="C1892" t="e">
        <f t="shared" si="29"/>
        <v>#N/A</v>
      </c>
      <c r="D1892" t="s">
        <v>2080</v>
      </c>
      <c r="E1892" t="s">
        <v>2817</v>
      </c>
    </row>
    <row r="1893" spans="3:5">
      <c r="C1893" t="e">
        <f t="shared" si="29"/>
        <v>#N/A</v>
      </c>
      <c r="D1893" t="s">
        <v>2081</v>
      </c>
      <c r="E1893" t="s">
        <v>2817</v>
      </c>
    </row>
    <row r="1894" spans="3:5">
      <c r="C1894" t="e">
        <f t="shared" si="29"/>
        <v>#N/A</v>
      </c>
      <c r="D1894" t="s">
        <v>2082</v>
      </c>
      <c r="E1894" t="s">
        <v>2817</v>
      </c>
    </row>
    <row r="1895" spans="3:5">
      <c r="C1895" t="e">
        <f t="shared" si="29"/>
        <v>#N/A</v>
      </c>
      <c r="D1895" t="s">
        <v>2083</v>
      </c>
      <c r="E1895" t="s">
        <v>2817</v>
      </c>
    </row>
    <row r="1896" spans="3:5">
      <c r="C1896" t="e">
        <f t="shared" si="29"/>
        <v>#N/A</v>
      </c>
      <c r="D1896" t="s">
        <v>2084</v>
      </c>
      <c r="E1896" t="s">
        <v>2817</v>
      </c>
    </row>
    <row r="1897" spans="3:5">
      <c r="C1897" t="e">
        <f t="shared" si="29"/>
        <v>#N/A</v>
      </c>
      <c r="D1897" t="s">
        <v>2085</v>
      </c>
      <c r="E1897" t="s">
        <v>2817</v>
      </c>
    </row>
    <row r="1898" spans="3:5">
      <c r="C1898" t="e">
        <f t="shared" si="29"/>
        <v>#N/A</v>
      </c>
      <c r="D1898" t="s">
        <v>2086</v>
      </c>
      <c r="E1898" t="s">
        <v>2817</v>
      </c>
    </row>
    <row r="1899" spans="3:5">
      <c r="C1899" t="e">
        <f t="shared" si="29"/>
        <v>#N/A</v>
      </c>
      <c r="D1899" t="s">
        <v>2087</v>
      </c>
      <c r="E1899" t="s">
        <v>2817</v>
      </c>
    </row>
    <row r="1900" spans="3:5">
      <c r="C1900" t="e">
        <f t="shared" si="29"/>
        <v>#N/A</v>
      </c>
      <c r="D1900" t="s">
        <v>2088</v>
      </c>
      <c r="E1900" t="s">
        <v>2817</v>
      </c>
    </row>
    <row r="1901" spans="3:5">
      <c r="C1901" t="e">
        <f t="shared" si="29"/>
        <v>#N/A</v>
      </c>
      <c r="D1901" t="s">
        <v>2089</v>
      </c>
      <c r="E1901" t="s">
        <v>2817</v>
      </c>
    </row>
    <row r="1902" spans="3:5">
      <c r="C1902" t="e">
        <f t="shared" si="29"/>
        <v>#N/A</v>
      </c>
      <c r="D1902" t="s">
        <v>2090</v>
      </c>
      <c r="E1902" t="s">
        <v>2817</v>
      </c>
    </row>
    <row r="1903" spans="3:5">
      <c r="C1903" t="e">
        <f t="shared" si="29"/>
        <v>#N/A</v>
      </c>
      <c r="D1903" t="s">
        <v>2091</v>
      </c>
      <c r="E1903" t="s">
        <v>2817</v>
      </c>
    </row>
    <row r="1904" spans="3:5">
      <c r="C1904" t="e">
        <f t="shared" si="29"/>
        <v>#N/A</v>
      </c>
      <c r="D1904" t="s">
        <v>2092</v>
      </c>
      <c r="E1904" t="s">
        <v>2817</v>
      </c>
    </row>
    <row r="1905" spans="3:5">
      <c r="C1905" t="e">
        <f t="shared" si="29"/>
        <v>#N/A</v>
      </c>
      <c r="D1905" t="s">
        <v>2093</v>
      </c>
      <c r="E1905" t="s">
        <v>2817</v>
      </c>
    </row>
    <row r="1906" spans="3:5">
      <c r="C1906" t="e">
        <f t="shared" si="29"/>
        <v>#N/A</v>
      </c>
      <c r="D1906" t="s">
        <v>2094</v>
      </c>
      <c r="E1906" t="s">
        <v>2817</v>
      </c>
    </row>
    <row r="1907" spans="3:5">
      <c r="C1907" t="e">
        <f t="shared" si="29"/>
        <v>#N/A</v>
      </c>
      <c r="D1907" t="s">
        <v>2095</v>
      </c>
      <c r="E1907" t="s">
        <v>2817</v>
      </c>
    </row>
    <row r="1908" spans="3:5">
      <c r="C1908" t="e">
        <f t="shared" si="29"/>
        <v>#N/A</v>
      </c>
      <c r="D1908" t="s">
        <v>2096</v>
      </c>
      <c r="E1908" t="s">
        <v>2817</v>
      </c>
    </row>
    <row r="1909" spans="3:5">
      <c r="C1909" t="e">
        <f t="shared" si="29"/>
        <v>#N/A</v>
      </c>
      <c r="D1909" t="s">
        <v>2097</v>
      </c>
      <c r="E1909" t="s">
        <v>2817</v>
      </c>
    </row>
    <row r="1910" spans="3:5">
      <c r="C1910" t="e">
        <f t="shared" si="29"/>
        <v>#N/A</v>
      </c>
      <c r="D1910" t="s">
        <v>2098</v>
      </c>
      <c r="E1910" t="s">
        <v>2817</v>
      </c>
    </row>
    <row r="1911" spans="3:5">
      <c r="C1911" t="e">
        <f t="shared" si="29"/>
        <v>#N/A</v>
      </c>
      <c r="D1911" t="s">
        <v>2099</v>
      </c>
      <c r="E1911" t="s">
        <v>2817</v>
      </c>
    </row>
    <row r="1912" spans="3:5">
      <c r="C1912" t="e">
        <f t="shared" si="29"/>
        <v>#N/A</v>
      </c>
      <c r="D1912" t="s">
        <v>2100</v>
      </c>
      <c r="E1912" t="s">
        <v>2817</v>
      </c>
    </row>
    <row r="1913" spans="3:5">
      <c r="C1913" t="e">
        <f t="shared" si="29"/>
        <v>#N/A</v>
      </c>
      <c r="D1913" t="s">
        <v>2101</v>
      </c>
      <c r="E1913" t="s">
        <v>2817</v>
      </c>
    </row>
    <row r="1914" spans="3:5">
      <c r="C1914" t="e">
        <f t="shared" si="29"/>
        <v>#N/A</v>
      </c>
      <c r="D1914" t="s">
        <v>2102</v>
      </c>
      <c r="E1914" t="s">
        <v>2817</v>
      </c>
    </row>
    <row r="1915" spans="3:5">
      <c r="C1915" t="e">
        <f t="shared" si="29"/>
        <v>#N/A</v>
      </c>
      <c r="D1915" t="s">
        <v>2103</v>
      </c>
      <c r="E1915" t="s">
        <v>2817</v>
      </c>
    </row>
    <row r="1916" spans="3:5">
      <c r="C1916" t="e">
        <f t="shared" si="29"/>
        <v>#N/A</v>
      </c>
      <c r="D1916" t="s">
        <v>2104</v>
      </c>
      <c r="E1916" t="s">
        <v>2817</v>
      </c>
    </row>
    <row r="1917" spans="3:5">
      <c r="C1917" t="e">
        <f t="shared" si="29"/>
        <v>#N/A</v>
      </c>
      <c r="D1917" t="s">
        <v>2105</v>
      </c>
      <c r="E1917" t="s">
        <v>2817</v>
      </c>
    </row>
    <row r="1918" spans="3:5">
      <c r="C1918" t="e">
        <f t="shared" si="29"/>
        <v>#N/A</v>
      </c>
      <c r="D1918" t="s">
        <v>2106</v>
      </c>
      <c r="E1918" t="s">
        <v>2817</v>
      </c>
    </row>
    <row r="1919" spans="3:5">
      <c r="C1919" t="e">
        <f t="shared" si="29"/>
        <v>#N/A</v>
      </c>
      <c r="D1919" t="s">
        <v>2107</v>
      </c>
      <c r="E1919" t="s">
        <v>2817</v>
      </c>
    </row>
    <row r="1920" spans="3:5">
      <c r="C1920" t="e">
        <f t="shared" si="29"/>
        <v>#N/A</v>
      </c>
      <c r="D1920" t="s">
        <v>2108</v>
      </c>
      <c r="E1920" t="s">
        <v>2817</v>
      </c>
    </row>
    <row r="1921" spans="3:5">
      <c r="C1921" t="e">
        <f t="shared" si="29"/>
        <v>#N/A</v>
      </c>
      <c r="D1921" t="s">
        <v>2109</v>
      </c>
      <c r="E1921" t="s">
        <v>2817</v>
      </c>
    </row>
    <row r="1922" spans="3:5">
      <c r="C1922" t="e">
        <f t="shared" si="29"/>
        <v>#N/A</v>
      </c>
      <c r="D1922" t="s">
        <v>2110</v>
      </c>
      <c r="E1922" t="s">
        <v>2817</v>
      </c>
    </row>
    <row r="1923" spans="3:5">
      <c r="C1923" t="e">
        <f t="shared" ref="C1923:C1986" si="30">VLOOKUP(B1923,D:E,2,0)</f>
        <v>#N/A</v>
      </c>
      <c r="D1923" t="s">
        <v>2111</v>
      </c>
      <c r="E1923" t="s">
        <v>2817</v>
      </c>
    </row>
    <row r="1924" spans="3:5">
      <c r="C1924" t="e">
        <f t="shared" si="30"/>
        <v>#N/A</v>
      </c>
      <c r="D1924" t="s">
        <v>2112</v>
      </c>
      <c r="E1924" t="s">
        <v>2817</v>
      </c>
    </row>
    <row r="1925" spans="3:5">
      <c r="C1925" t="e">
        <f t="shared" si="30"/>
        <v>#N/A</v>
      </c>
      <c r="D1925" t="s">
        <v>2113</v>
      </c>
      <c r="E1925" t="s">
        <v>2817</v>
      </c>
    </row>
    <row r="1926" spans="3:5">
      <c r="C1926" t="e">
        <f t="shared" si="30"/>
        <v>#N/A</v>
      </c>
      <c r="D1926" t="s">
        <v>2114</v>
      </c>
      <c r="E1926" t="s">
        <v>2817</v>
      </c>
    </row>
    <row r="1927" spans="3:5">
      <c r="C1927" t="e">
        <f t="shared" si="30"/>
        <v>#N/A</v>
      </c>
      <c r="D1927" t="s">
        <v>2115</v>
      </c>
      <c r="E1927" t="s">
        <v>2817</v>
      </c>
    </row>
    <row r="1928" spans="3:5">
      <c r="C1928" t="e">
        <f t="shared" si="30"/>
        <v>#N/A</v>
      </c>
      <c r="D1928" t="s">
        <v>2116</v>
      </c>
      <c r="E1928" t="s">
        <v>2817</v>
      </c>
    </row>
    <row r="1929" spans="3:5">
      <c r="C1929" t="e">
        <f t="shared" si="30"/>
        <v>#N/A</v>
      </c>
      <c r="D1929" t="s">
        <v>2117</v>
      </c>
      <c r="E1929" t="s">
        <v>2817</v>
      </c>
    </row>
    <row r="1930" spans="3:5">
      <c r="C1930" t="e">
        <f t="shared" si="30"/>
        <v>#N/A</v>
      </c>
      <c r="D1930" t="s">
        <v>2118</v>
      </c>
      <c r="E1930" t="s">
        <v>2817</v>
      </c>
    </row>
    <row r="1931" spans="3:5">
      <c r="C1931" t="e">
        <f t="shared" si="30"/>
        <v>#N/A</v>
      </c>
      <c r="D1931" t="s">
        <v>2119</v>
      </c>
      <c r="E1931" t="s">
        <v>2817</v>
      </c>
    </row>
    <row r="1932" spans="3:5">
      <c r="C1932" t="e">
        <f t="shared" si="30"/>
        <v>#N/A</v>
      </c>
      <c r="D1932" t="s">
        <v>2120</v>
      </c>
      <c r="E1932" t="s">
        <v>2817</v>
      </c>
    </row>
    <row r="1933" spans="3:5">
      <c r="C1933" t="e">
        <f t="shared" si="30"/>
        <v>#N/A</v>
      </c>
      <c r="D1933" t="s">
        <v>2121</v>
      </c>
      <c r="E1933" t="s">
        <v>2817</v>
      </c>
    </row>
    <row r="1934" spans="3:5">
      <c r="C1934" t="e">
        <f t="shared" si="30"/>
        <v>#N/A</v>
      </c>
      <c r="D1934" t="s">
        <v>2122</v>
      </c>
      <c r="E1934" t="s">
        <v>2817</v>
      </c>
    </row>
    <row r="1935" spans="3:5">
      <c r="C1935" t="e">
        <f t="shared" si="30"/>
        <v>#N/A</v>
      </c>
      <c r="D1935" t="s">
        <v>2123</v>
      </c>
      <c r="E1935" t="s">
        <v>2817</v>
      </c>
    </row>
    <row r="1936" spans="3:5">
      <c r="C1936" t="e">
        <f t="shared" si="30"/>
        <v>#N/A</v>
      </c>
      <c r="D1936" t="s">
        <v>2124</v>
      </c>
      <c r="E1936" t="s">
        <v>2817</v>
      </c>
    </row>
    <row r="1937" spans="3:5">
      <c r="C1937" t="e">
        <f t="shared" si="30"/>
        <v>#N/A</v>
      </c>
      <c r="D1937" t="s">
        <v>2125</v>
      </c>
      <c r="E1937" t="s">
        <v>2817</v>
      </c>
    </row>
    <row r="1938" spans="3:5">
      <c r="C1938" t="e">
        <f t="shared" si="30"/>
        <v>#N/A</v>
      </c>
      <c r="D1938" t="s">
        <v>2126</v>
      </c>
      <c r="E1938" t="s">
        <v>2817</v>
      </c>
    </row>
    <row r="1939" spans="3:5">
      <c r="C1939" t="e">
        <f t="shared" si="30"/>
        <v>#N/A</v>
      </c>
      <c r="D1939" t="s">
        <v>2127</v>
      </c>
      <c r="E1939" t="s">
        <v>2817</v>
      </c>
    </row>
    <row r="1940" spans="3:5">
      <c r="C1940" t="e">
        <f t="shared" si="30"/>
        <v>#N/A</v>
      </c>
      <c r="D1940" t="s">
        <v>2128</v>
      </c>
      <c r="E1940" t="s">
        <v>2817</v>
      </c>
    </row>
    <row r="1941" spans="3:5">
      <c r="C1941" t="e">
        <f t="shared" si="30"/>
        <v>#N/A</v>
      </c>
      <c r="D1941" t="s">
        <v>2129</v>
      </c>
      <c r="E1941" t="s">
        <v>2817</v>
      </c>
    </row>
    <row r="1942" spans="3:5">
      <c r="C1942" t="e">
        <f t="shared" si="30"/>
        <v>#N/A</v>
      </c>
      <c r="D1942" t="s">
        <v>2130</v>
      </c>
      <c r="E1942" t="s">
        <v>2817</v>
      </c>
    </row>
    <row r="1943" spans="3:5">
      <c r="C1943" t="e">
        <f t="shared" si="30"/>
        <v>#N/A</v>
      </c>
      <c r="D1943" t="s">
        <v>2131</v>
      </c>
      <c r="E1943" t="s">
        <v>2817</v>
      </c>
    </row>
    <row r="1944" spans="3:5">
      <c r="C1944" t="e">
        <f t="shared" si="30"/>
        <v>#N/A</v>
      </c>
      <c r="D1944" t="s">
        <v>2132</v>
      </c>
      <c r="E1944" t="s">
        <v>2817</v>
      </c>
    </row>
    <row r="1945" spans="3:5">
      <c r="C1945" t="e">
        <f t="shared" si="30"/>
        <v>#N/A</v>
      </c>
      <c r="D1945" t="s">
        <v>2133</v>
      </c>
      <c r="E1945" t="s">
        <v>2817</v>
      </c>
    </row>
    <row r="1946" spans="3:5">
      <c r="C1946" t="e">
        <f t="shared" si="30"/>
        <v>#N/A</v>
      </c>
      <c r="D1946" t="s">
        <v>2134</v>
      </c>
      <c r="E1946" t="s">
        <v>2817</v>
      </c>
    </row>
    <row r="1947" spans="3:5">
      <c r="C1947" t="e">
        <f t="shared" si="30"/>
        <v>#N/A</v>
      </c>
      <c r="D1947" t="s">
        <v>2135</v>
      </c>
      <c r="E1947" t="s">
        <v>2817</v>
      </c>
    </row>
    <row r="1948" spans="3:5">
      <c r="C1948" t="e">
        <f t="shared" si="30"/>
        <v>#N/A</v>
      </c>
      <c r="D1948" t="s">
        <v>2136</v>
      </c>
      <c r="E1948" t="s">
        <v>2817</v>
      </c>
    </row>
    <row r="1949" spans="3:5">
      <c r="C1949" t="e">
        <f t="shared" si="30"/>
        <v>#N/A</v>
      </c>
      <c r="D1949" t="s">
        <v>2137</v>
      </c>
      <c r="E1949" t="s">
        <v>2817</v>
      </c>
    </row>
    <row r="1950" spans="3:5">
      <c r="C1950" t="e">
        <f t="shared" si="30"/>
        <v>#N/A</v>
      </c>
      <c r="D1950" t="s">
        <v>2138</v>
      </c>
      <c r="E1950" t="s">
        <v>2817</v>
      </c>
    </row>
    <row r="1951" spans="3:5">
      <c r="C1951" t="e">
        <f t="shared" si="30"/>
        <v>#N/A</v>
      </c>
      <c r="D1951" t="s">
        <v>2139</v>
      </c>
      <c r="E1951" t="s">
        <v>2817</v>
      </c>
    </row>
    <row r="1952" spans="3:5">
      <c r="C1952" t="e">
        <f t="shared" si="30"/>
        <v>#N/A</v>
      </c>
      <c r="D1952" t="s">
        <v>2140</v>
      </c>
      <c r="E1952" t="s">
        <v>2817</v>
      </c>
    </row>
    <row r="1953" spans="3:5">
      <c r="C1953" t="e">
        <f t="shared" si="30"/>
        <v>#N/A</v>
      </c>
      <c r="D1953" t="s">
        <v>2141</v>
      </c>
      <c r="E1953" t="s">
        <v>2817</v>
      </c>
    </row>
    <row r="1954" spans="3:5">
      <c r="C1954" t="e">
        <f t="shared" si="30"/>
        <v>#N/A</v>
      </c>
      <c r="D1954" t="s">
        <v>2142</v>
      </c>
      <c r="E1954" t="s">
        <v>2817</v>
      </c>
    </row>
    <row r="1955" spans="3:5">
      <c r="C1955" t="e">
        <f t="shared" si="30"/>
        <v>#N/A</v>
      </c>
      <c r="D1955" t="s">
        <v>2143</v>
      </c>
      <c r="E1955" t="s">
        <v>2817</v>
      </c>
    </row>
    <row r="1956" spans="3:5">
      <c r="C1956" t="e">
        <f t="shared" si="30"/>
        <v>#N/A</v>
      </c>
      <c r="D1956" t="s">
        <v>2144</v>
      </c>
      <c r="E1956" t="s">
        <v>2817</v>
      </c>
    </row>
    <row r="1957" spans="3:5">
      <c r="C1957" t="e">
        <f t="shared" si="30"/>
        <v>#N/A</v>
      </c>
      <c r="D1957" t="s">
        <v>2145</v>
      </c>
      <c r="E1957" t="s">
        <v>2817</v>
      </c>
    </row>
    <row r="1958" spans="3:5">
      <c r="C1958" t="e">
        <f t="shared" si="30"/>
        <v>#N/A</v>
      </c>
      <c r="D1958" t="s">
        <v>2146</v>
      </c>
      <c r="E1958" t="s">
        <v>2817</v>
      </c>
    </row>
    <row r="1959" spans="3:5">
      <c r="C1959" t="e">
        <f t="shared" si="30"/>
        <v>#N/A</v>
      </c>
      <c r="D1959" t="s">
        <v>2147</v>
      </c>
      <c r="E1959" t="s">
        <v>2817</v>
      </c>
    </row>
    <row r="1960" spans="3:5">
      <c r="C1960" t="e">
        <f t="shared" si="30"/>
        <v>#N/A</v>
      </c>
      <c r="D1960" t="s">
        <v>2148</v>
      </c>
      <c r="E1960" t="s">
        <v>2817</v>
      </c>
    </row>
    <row r="1961" spans="3:5">
      <c r="C1961" t="e">
        <f t="shared" si="30"/>
        <v>#N/A</v>
      </c>
      <c r="D1961" t="s">
        <v>2149</v>
      </c>
      <c r="E1961" t="s">
        <v>2817</v>
      </c>
    </row>
    <row r="1962" spans="3:5">
      <c r="C1962" t="e">
        <f t="shared" si="30"/>
        <v>#N/A</v>
      </c>
      <c r="D1962" t="s">
        <v>2150</v>
      </c>
      <c r="E1962" t="s">
        <v>2817</v>
      </c>
    </row>
    <row r="1963" spans="3:5">
      <c r="C1963" t="e">
        <f t="shared" si="30"/>
        <v>#N/A</v>
      </c>
      <c r="D1963" t="s">
        <v>2151</v>
      </c>
      <c r="E1963" t="s">
        <v>2817</v>
      </c>
    </row>
    <row r="1964" spans="3:5">
      <c r="C1964" t="e">
        <f t="shared" si="30"/>
        <v>#N/A</v>
      </c>
      <c r="D1964" t="s">
        <v>2152</v>
      </c>
      <c r="E1964" t="s">
        <v>2817</v>
      </c>
    </row>
    <row r="1965" spans="3:5">
      <c r="C1965" t="e">
        <f t="shared" si="30"/>
        <v>#N/A</v>
      </c>
      <c r="D1965" t="s">
        <v>2153</v>
      </c>
      <c r="E1965" t="s">
        <v>2817</v>
      </c>
    </row>
    <row r="1966" spans="3:5">
      <c r="C1966" t="e">
        <f t="shared" si="30"/>
        <v>#N/A</v>
      </c>
      <c r="D1966" t="s">
        <v>2154</v>
      </c>
      <c r="E1966" t="s">
        <v>2817</v>
      </c>
    </row>
    <row r="1967" spans="3:5">
      <c r="C1967" t="e">
        <f t="shared" si="30"/>
        <v>#N/A</v>
      </c>
      <c r="D1967" t="s">
        <v>2155</v>
      </c>
      <c r="E1967" t="s">
        <v>2817</v>
      </c>
    </row>
    <row r="1968" spans="3:5">
      <c r="C1968" t="e">
        <f t="shared" si="30"/>
        <v>#N/A</v>
      </c>
      <c r="D1968" t="s">
        <v>2156</v>
      </c>
      <c r="E1968" t="s">
        <v>2817</v>
      </c>
    </row>
    <row r="1969" spans="3:5">
      <c r="C1969" t="e">
        <f t="shared" si="30"/>
        <v>#N/A</v>
      </c>
      <c r="D1969" t="s">
        <v>2157</v>
      </c>
      <c r="E1969" t="s">
        <v>2817</v>
      </c>
    </row>
    <row r="1970" spans="3:5">
      <c r="C1970" t="e">
        <f t="shared" si="30"/>
        <v>#N/A</v>
      </c>
      <c r="D1970" t="s">
        <v>2158</v>
      </c>
      <c r="E1970" t="s">
        <v>2817</v>
      </c>
    </row>
    <row r="1971" spans="3:5">
      <c r="C1971" t="e">
        <f t="shared" si="30"/>
        <v>#N/A</v>
      </c>
      <c r="D1971" t="s">
        <v>2159</v>
      </c>
      <c r="E1971" t="s">
        <v>2817</v>
      </c>
    </row>
    <row r="1972" spans="3:5">
      <c r="C1972" t="e">
        <f t="shared" si="30"/>
        <v>#N/A</v>
      </c>
      <c r="D1972" t="s">
        <v>2160</v>
      </c>
      <c r="E1972" t="s">
        <v>2817</v>
      </c>
    </row>
    <row r="1973" spans="3:5">
      <c r="C1973" t="e">
        <f t="shared" si="30"/>
        <v>#N/A</v>
      </c>
      <c r="D1973" t="s">
        <v>2161</v>
      </c>
      <c r="E1973" t="s">
        <v>2817</v>
      </c>
    </row>
    <row r="1974" spans="3:5">
      <c r="C1974" t="e">
        <f t="shared" si="30"/>
        <v>#N/A</v>
      </c>
      <c r="D1974" t="s">
        <v>2162</v>
      </c>
      <c r="E1974" t="s">
        <v>2817</v>
      </c>
    </row>
    <row r="1975" spans="3:5">
      <c r="C1975" t="e">
        <f t="shared" si="30"/>
        <v>#N/A</v>
      </c>
      <c r="D1975" t="s">
        <v>2163</v>
      </c>
      <c r="E1975" t="s">
        <v>2817</v>
      </c>
    </row>
    <row r="1976" spans="3:5">
      <c r="C1976" t="e">
        <f t="shared" si="30"/>
        <v>#N/A</v>
      </c>
      <c r="D1976" t="s">
        <v>2164</v>
      </c>
      <c r="E1976" t="s">
        <v>2817</v>
      </c>
    </row>
    <row r="1977" spans="3:5">
      <c r="C1977" t="e">
        <f t="shared" si="30"/>
        <v>#N/A</v>
      </c>
      <c r="D1977" t="s">
        <v>2165</v>
      </c>
      <c r="E1977" t="s">
        <v>2817</v>
      </c>
    </row>
    <row r="1978" spans="3:5">
      <c r="C1978" t="e">
        <f t="shared" si="30"/>
        <v>#N/A</v>
      </c>
      <c r="D1978" t="s">
        <v>2166</v>
      </c>
      <c r="E1978" t="s">
        <v>2817</v>
      </c>
    </row>
    <row r="1979" spans="3:5">
      <c r="C1979" t="e">
        <f t="shared" si="30"/>
        <v>#N/A</v>
      </c>
      <c r="D1979" t="s">
        <v>2167</v>
      </c>
      <c r="E1979" t="s">
        <v>2817</v>
      </c>
    </row>
    <row r="1980" spans="3:5">
      <c r="C1980" t="e">
        <f t="shared" si="30"/>
        <v>#N/A</v>
      </c>
      <c r="D1980" t="s">
        <v>2168</v>
      </c>
      <c r="E1980" t="s">
        <v>2817</v>
      </c>
    </row>
    <row r="1981" spans="3:5">
      <c r="C1981" t="e">
        <f t="shared" si="30"/>
        <v>#N/A</v>
      </c>
      <c r="D1981" t="s">
        <v>2169</v>
      </c>
      <c r="E1981" t="s">
        <v>2817</v>
      </c>
    </row>
    <row r="1982" spans="3:5">
      <c r="C1982" t="e">
        <f t="shared" si="30"/>
        <v>#N/A</v>
      </c>
      <c r="D1982" t="s">
        <v>2170</v>
      </c>
      <c r="E1982" t="s">
        <v>2817</v>
      </c>
    </row>
    <row r="1983" spans="3:5">
      <c r="C1983" t="e">
        <f t="shared" si="30"/>
        <v>#N/A</v>
      </c>
      <c r="D1983" t="s">
        <v>2171</v>
      </c>
      <c r="E1983" t="s">
        <v>2817</v>
      </c>
    </row>
    <row r="1984" spans="3:5">
      <c r="C1984" t="e">
        <f t="shared" si="30"/>
        <v>#N/A</v>
      </c>
      <c r="D1984" t="s">
        <v>2172</v>
      </c>
      <c r="E1984" t="s">
        <v>2817</v>
      </c>
    </row>
    <row r="1985" spans="3:5">
      <c r="C1985" t="e">
        <f t="shared" si="30"/>
        <v>#N/A</v>
      </c>
      <c r="D1985" t="s">
        <v>2173</v>
      </c>
      <c r="E1985" t="s">
        <v>2817</v>
      </c>
    </row>
    <row r="1986" spans="3:5">
      <c r="C1986" t="e">
        <f t="shared" si="30"/>
        <v>#N/A</v>
      </c>
      <c r="D1986" t="s">
        <v>2174</v>
      </c>
      <c r="E1986" t="s">
        <v>2817</v>
      </c>
    </row>
    <row r="1987" spans="3:5">
      <c r="C1987" t="e">
        <f t="shared" ref="C1987:C2050" si="31">VLOOKUP(B1987,D:E,2,0)</f>
        <v>#N/A</v>
      </c>
      <c r="D1987" t="s">
        <v>2175</v>
      </c>
      <c r="E1987" t="s">
        <v>2817</v>
      </c>
    </row>
    <row r="1988" spans="3:5">
      <c r="C1988" t="e">
        <f t="shared" si="31"/>
        <v>#N/A</v>
      </c>
      <c r="D1988" t="s">
        <v>2176</v>
      </c>
      <c r="E1988" t="s">
        <v>2817</v>
      </c>
    </row>
    <row r="1989" spans="3:5">
      <c r="C1989" t="e">
        <f t="shared" si="31"/>
        <v>#N/A</v>
      </c>
      <c r="D1989" t="s">
        <v>2177</v>
      </c>
      <c r="E1989" t="s">
        <v>2817</v>
      </c>
    </row>
    <row r="1990" spans="3:5">
      <c r="C1990" t="e">
        <f t="shared" si="31"/>
        <v>#N/A</v>
      </c>
      <c r="D1990" t="s">
        <v>2178</v>
      </c>
      <c r="E1990" t="s">
        <v>2817</v>
      </c>
    </row>
    <row r="1991" spans="3:5">
      <c r="C1991" t="e">
        <f t="shared" si="31"/>
        <v>#N/A</v>
      </c>
      <c r="D1991" t="s">
        <v>2179</v>
      </c>
      <c r="E1991" t="s">
        <v>2817</v>
      </c>
    </row>
    <row r="1992" spans="3:5">
      <c r="C1992" t="e">
        <f t="shared" si="31"/>
        <v>#N/A</v>
      </c>
      <c r="D1992" t="s">
        <v>2180</v>
      </c>
      <c r="E1992" t="s">
        <v>2817</v>
      </c>
    </row>
    <row r="1993" spans="3:5">
      <c r="C1993" t="e">
        <f t="shared" si="31"/>
        <v>#N/A</v>
      </c>
      <c r="D1993" t="s">
        <v>2181</v>
      </c>
      <c r="E1993" t="s">
        <v>2817</v>
      </c>
    </row>
    <row r="1994" spans="3:5">
      <c r="C1994" t="e">
        <f t="shared" si="31"/>
        <v>#N/A</v>
      </c>
      <c r="D1994" t="s">
        <v>2182</v>
      </c>
      <c r="E1994" t="s">
        <v>2817</v>
      </c>
    </row>
    <row r="1995" spans="3:5">
      <c r="C1995" t="e">
        <f t="shared" si="31"/>
        <v>#N/A</v>
      </c>
      <c r="D1995" t="s">
        <v>2183</v>
      </c>
      <c r="E1995" t="s">
        <v>2817</v>
      </c>
    </row>
    <row r="1996" spans="3:5">
      <c r="C1996" t="e">
        <f t="shared" si="31"/>
        <v>#N/A</v>
      </c>
      <c r="D1996" t="s">
        <v>2184</v>
      </c>
      <c r="E1996" t="s">
        <v>2817</v>
      </c>
    </row>
    <row r="1997" spans="3:5">
      <c r="C1997" t="e">
        <f t="shared" si="31"/>
        <v>#N/A</v>
      </c>
      <c r="D1997" t="s">
        <v>2185</v>
      </c>
      <c r="E1997" t="s">
        <v>2817</v>
      </c>
    </row>
    <row r="1998" spans="3:5">
      <c r="C1998" t="e">
        <f t="shared" si="31"/>
        <v>#N/A</v>
      </c>
      <c r="D1998" t="s">
        <v>2186</v>
      </c>
      <c r="E1998" t="s">
        <v>2817</v>
      </c>
    </row>
    <row r="1999" spans="3:5">
      <c r="C1999" t="e">
        <f t="shared" si="31"/>
        <v>#N/A</v>
      </c>
      <c r="D1999" t="s">
        <v>2187</v>
      </c>
      <c r="E1999" t="s">
        <v>2817</v>
      </c>
    </row>
    <row r="2000" spans="3:5">
      <c r="C2000" t="e">
        <f t="shared" si="31"/>
        <v>#N/A</v>
      </c>
      <c r="D2000" t="s">
        <v>2188</v>
      </c>
      <c r="E2000" t="s">
        <v>2817</v>
      </c>
    </row>
    <row r="2001" spans="3:5">
      <c r="C2001" t="e">
        <f t="shared" si="31"/>
        <v>#N/A</v>
      </c>
      <c r="D2001" t="s">
        <v>2189</v>
      </c>
      <c r="E2001" t="s">
        <v>2817</v>
      </c>
    </row>
    <row r="2002" spans="3:5">
      <c r="C2002" t="e">
        <f t="shared" si="31"/>
        <v>#N/A</v>
      </c>
      <c r="D2002" t="s">
        <v>2190</v>
      </c>
      <c r="E2002" t="s">
        <v>2817</v>
      </c>
    </row>
    <row r="2003" spans="3:5">
      <c r="C2003" t="e">
        <f t="shared" si="31"/>
        <v>#N/A</v>
      </c>
      <c r="D2003" t="s">
        <v>2191</v>
      </c>
      <c r="E2003" t="s">
        <v>2817</v>
      </c>
    </row>
    <row r="2004" spans="3:5">
      <c r="C2004" t="e">
        <f t="shared" si="31"/>
        <v>#N/A</v>
      </c>
      <c r="D2004" t="s">
        <v>2192</v>
      </c>
      <c r="E2004" t="s">
        <v>2817</v>
      </c>
    </row>
    <row r="2005" spans="3:5">
      <c r="C2005" t="e">
        <f t="shared" si="31"/>
        <v>#N/A</v>
      </c>
      <c r="D2005" t="s">
        <v>2193</v>
      </c>
      <c r="E2005" t="s">
        <v>2817</v>
      </c>
    </row>
    <row r="2006" spans="3:5">
      <c r="C2006" t="e">
        <f t="shared" si="31"/>
        <v>#N/A</v>
      </c>
      <c r="D2006" t="s">
        <v>2194</v>
      </c>
      <c r="E2006" t="s">
        <v>2817</v>
      </c>
    </row>
    <row r="2007" spans="3:5">
      <c r="C2007" t="e">
        <f t="shared" si="31"/>
        <v>#N/A</v>
      </c>
      <c r="D2007" t="s">
        <v>2195</v>
      </c>
      <c r="E2007" t="s">
        <v>2817</v>
      </c>
    </row>
    <row r="2008" spans="3:5">
      <c r="C2008" t="e">
        <f t="shared" si="31"/>
        <v>#N/A</v>
      </c>
      <c r="D2008" t="s">
        <v>2196</v>
      </c>
      <c r="E2008" t="s">
        <v>2817</v>
      </c>
    </row>
    <row r="2009" spans="3:5">
      <c r="C2009" t="e">
        <f t="shared" si="31"/>
        <v>#N/A</v>
      </c>
      <c r="D2009" t="s">
        <v>2197</v>
      </c>
      <c r="E2009" t="s">
        <v>2817</v>
      </c>
    </row>
    <row r="2010" spans="3:5">
      <c r="C2010" t="e">
        <f t="shared" si="31"/>
        <v>#N/A</v>
      </c>
      <c r="D2010" t="s">
        <v>2198</v>
      </c>
      <c r="E2010" t="s">
        <v>2817</v>
      </c>
    </row>
    <row r="2011" spans="3:5">
      <c r="C2011" t="e">
        <f t="shared" si="31"/>
        <v>#N/A</v>
      </c>
      <c r="D2011" t="s">
        <v>2199</v>
      </c>
      <c r="E2011" t="s">
        <v>2817</v>
      </c>
    </row>
    <row r="2012" spans="3:5">
      <c r="C2012" t="e">
        <f t="shared" si="31"/>
        <v>#N/A</v>
      </c>
      <c r="D2012" t="s">
        <v>2200</v>
      </c>
      <c r="E2012" t="s">
        <v>2817</v>
      </c>
    </row>
    <row r="2013" spans="3:5">
      <c r="C2013" t="e">
        <f t="shared" si="31"/>
        <v>#N/A</v>
      </c>
      <c r="D2013" t="s">
        <v>2201</v>
      </c>
      <c r="E2013" t="s">
        <v>2817</v>
      </c>
    </row>
    <row r="2014" spans="3:5">
      <c r="C2014" t="e">
        <f t="shared" si="31"/>
        <v>#N/A</v>
      </c>
      <c r="D2014" t="s">
        <v>2202</v>
      </c>
      <c r="E2014" t="s">
        <v>2817</v>
      </c>
    </row>
    <row r="2015" spans="3:5">
      <c r="C2015" t="e">
        <f t="shared" si="31"/>
        <v>#N/A</v>
      </c>
      <c r="D2015" t="s">
        <v>2203</v>
      </c>
      <c r="E2015" t="s">
        <v>2817</v>
      </c>
    </row>
    <row r="2016" spans="3:5">
      <c r="C2016" t="e">
        <f t="shared" si="31"/>
        <v>#N/A</v>
      </c>
      <c r="D2016" t="s">
        <v>2204</v>
      </c>
      <c r="E2016" t="s">
        <v>2817</v>
      </c>
    </row>
    <row r="2017" spans="3:5">
      <c r="C2017" t="e">
        <f t="shared" si="31"/>
        <v>#N/A</v>
      </c>
      <c r="D2017" t="s">
        <v>2205</v>
      </c>
      <c r="E2017" t="s">
        <v>2817</v>
      </c>
    </row>
    <row r="2018" spans="3:5">
      <c r="C2018" t="e">
        <f t="shared" si="31"/>
        <v>#N/A</v>
      </c>
      <c r="D2018" t="s">
        <v>2206</v>
      </c>
      <c r="E2018" t="s">
        <v>2817</v>
      </c>
    </row>
    <row r="2019" spans="3:5">
      <c r="C2019" t="e">
        <f t="shared" si="31"/>
        <v>#N/A</v>
      </c>
      <c r="D2019" t="s">
        <v>2207</v>
      </c>
      <c r="E2019" t="s">
        <v>2817</v>
      </c>
    </row>
    <row r="2020" spans="3:5">
      <c r="C2020" t="e">
        <f t="shared" si="31"/>
        <v>#N/A</v>
      </c>
      <c r="D2020" t="s">
        <v>2208</v>
      </c>
      <c r="E2020" t="s">
        <v>2817</v>
      </c>
    </row>
    <row r="2021" spans="3:5">
      <c r="C2021" t="e">
        <f t="shared" si="31"/>
        <v>#N/A</v>
      </c>
      <c r="D2021" t="s">
        <v>2209</v>
      </c>
      <c r="E2021" t="s">
        <v>2817</v>
      </c>
    </row>
    <row r="2022" spans="3:5">
      <c r="C2022" t="e">
        <f t="shared" si="31"/>
        <v>#N/A</v>
      </c>
      <c r="D2022" t="s">
        <v>2210</v>
      </c>
      <c r="E2022" t="s">
        <v>2817</v>
      </c>
    </row>
    <row r="2023" spans="3:5">
      <c r="C2023" t="e">
        <f t="shared" si="31"/>
        <v>#N/A</v>
      </c>
      <c r="D2023" t="s">
        <v>2211</v>
      </c>
      <c r="E2023" t="s">
        <v>2817</v>
      </c>
    </row>
    <row r="2024" spans="3:5">
      <c r="C2024" t="e">
        <f t="shared" si="31"/>
        <v>#N/A</v>
      </c>
      <c r="D2024" t="s">
        <v>2212</v>
      </c>
      <c r="E2024" t="s">
        <v>2817</v>
      </c>
    </row>
    <row r="2025" spans="3:5">
      <c r="C2025" t="e">
        <f t="shared" si="31"/>
        <v>#N/A</v>
      </c>
      <c r="D2025" t="s">
        <v>2213</v>
      </c>
      <c r="E2025" t="s">
        <v>2817</v>
      </c>
    </row>
    <row r="2026" spans="3:5">
      <c r="C2026" t="e">
        <f t="shared" si="31"/>
        <v>#N/A</v>
      </c>
      <c r="D2026" t="s">
        <v>2214</v>
      </c>
      <c r="E2026" t="s">
        <v>2817</v>
      </c>
    </row>
    <row r="2027" spans="3:5">
      <c r="C2027" t="e">
        <f t="shared" si="31"/>
        <v>#N/A</v>
      </c>
      <c r="D2027" t="s">
        <v>2215</v>
      </c>
      <c r="E2027" t="s">
        <v>2817</v>
      </c>
    </row>
    <row r="2028" spans="3:5">
      <c r="C2028" t="e">
        <f t="shared" si="31"/>
        <v>#N/A</v>
      </c>
      <c r="D2028" t="s">
        <v>2216</v>
      </c>
      <c r="E2028" t="s">
        <v>2817</v>
      </c>
    </row>
    <row r="2029" spans="3:5">
      <c r="C2029" t="e">
        <f t="shared" si="31"/>
        <v>#N/A</v>
      </c>
      <c r="D2029" t="s">
        <v>2217</v>
      </c>
      <c r="E2029" t="s">
        <v>2817</v>
      </c>
    </row>
    <row r="2030" spans="3:5">
      <c r="C2030" t="e">
        <f t="shared" si="31"/>
        <v>#N/A</v>
      </c>
      <c r="D2030" t="s">
        <v>2218</v>
      </c>
      <c r="E2030" t="s">
        <v>2817</v>
      </c>
    </row>
    <row r="2031" spans="3:5">
      <c r="C2031" t="e">
        <f t="shared" si="31"/>
        <v>#N/A</v>
      </c>
      <c r="D2031" t="s">
        <v>2219</v>
      </c>
      <c r="E2031" t="s">
        <v>2817</v>
      </c>
    </row>
    <row r="2032" spans="3:5">
      <c r="C2032" t="e">
        <f t="shared" si="31"/>
        <v>#N/A</v>
      </c>
      <c r="D2032" t="s">
        <v>2220</v>
      </c>
      <c r="E2032" t="s">
        <v>2817</v>
      </c>
    </row>
    <row r="2033" spans="3:5">
      <c r="C2033" t="e">
        <f t="shared" si="31"/>
        <v>#N/A</v>
      </c>
      <c r="D2033" t="s">
        <v>2221</v>
      </c>
      <c r="E2033" t="s">
        <v>2817</v>
      </c>
    </row>
    <row r="2034" spans="3:5">
      <c r="C2034" t="e">
        <f t="shared" si="31"/>
        <v>#N/A</v>
      </c>
      <c r="D2034" t="s">
        <v>2222</v>
      </c>
      <c r="E2034" t="s">
        <v>2817</v>
      </c>
    </row>
    <row r="2035" spans="3:5">
      <c r="C2035" t="e">
        <f t="shared" si="31"/>
        <v>#N/A</v>
      </c>
      <c r="D2035" t="s">
        <v>2223</v>
      </c>
      <c r="E2035" t="s">
        <v>2817</v>
      </c>
    </row>
    <row r="2036" spans="3:5">
      <c r="C2036" t="e">
        <f t="shared" si="31"/>
        <v>#N/A</v>
      </c>
      <c r="D2036" t="s">
        <v>2224</v>
      </c>
      <c r="E2036" t="s">
        <v>2817</v>
      </c>
    </row>
    <row r="2037" spans="3:5">
      <c r="C2037" t="e">
        <f t="shared" si="31"/>
        <v>#N/A</v>
      </c>
      <c r="D2037" t="s">
        <v>2225</v>
      </c>
      <c r="E2037" t="s">
        <v>2817</v>
      </c>
    </row>
    <row r="2038" spans="3:5">
      <c r="C2038" t="e">
        <f t="shared" si="31"/>
        <v>#N/A</v>
      </c>
      <c r="D2038" t="s">
        <v>2226</v>
      </c>
      <c r="E2038" t="s">
        <v>2817</v>
      </c>
    </row>
    <row r="2039" spans="3:5">
      <c r="C2039" t="e">
        <f t="shared" si="31"/>
        <v>#N/A</v>
      </c>
      <c r="D2039" t="s">
        <v>2227</v>
      </c>
      <c r="E2039" t="s">
        <v>2817</v>
      </c>
    </row>
    <row r="2040" spans="3:5">
      <c r="C2040" t="e">
        <f t="shared" si="31"/>
        <v>#N/A</v>
      </c>
      <c r="D2040" t="s">
        <v>2228</v>
      </c>
      <c r="E2040" t="s">
        <v>2817</v>
      </c>
    </row>
    <row r="2041" spans="3:5">
      <c r="C2041" t="e">
        <f t="shared" si="31"/>
        <v>#N/A</v>
      </c>
      <c r="D2041" t="s">
        <v>2229</v>
      </c>
      <c r="E2041" t="s">
        <v>2817</v>
      </c>
    </row>
    <row r="2042" spans="3:5">
      <c r="C2042" t="e">
        <f t="shared" si="31"/>
        <v>#N/A</v>
      </c>
      <c r="D2042" t="s">
        <v>2230</v>
      </c>
      <c r="E2042" t="s">
        <v>2817</v>
      </c>
    </row>
    <row r="2043" spans="3:5">
      <c r="C2043" t="e">
        <f t="shared" si="31"/>
        <v>#N/A</v>
      </c>
      <c r="D2043" t="s">
        <v>2231</v>
      </c>
      <c r="E2043" t="s">
        <v>2817</v>
      </c>
    </row>
    <row r="2044" spans="3:5">
      <c r="C2044" t="e">
        <f t="shared" si="31"/>
        <v>#N/A</v>
      </c>
      <c r="D2044" t="s">
        <v>2232</v>
      </c>
      <c r="E2044" t="s">
        <v>2817</v>
      </c>
    </row>
    <row r="2045" spans="3:5">
      <c r="C2045" t="e">
        <f t="shared" si="31"/>
        <v>#N/A</v>
      </c>
      <c r="D2045" t="s">
        <v>2233</v>
      </c>
      <c r="E2045" t="s">
        <v>2817</v>
      </c>
    </row>
    <row r="2046" spans="3:5">
      <c r="C2046" t="e">
        <f t="shared" si="31"/>
        <v>#N/A</v>
      </c>
      <c r="D2046" t="s">
        <v>2234</v>
      </c>
      <c r="E2046" t="s">
        <v>2817</v>
      </c>
    </row>
    <row r="2047" spans="3:5">
      <c r="C2047" t="e">
        <f t="shared" si="31"/>
        <v>#N/A</v>
      </c>
      <c r="D2047" t="s">
        <v>2235</v>
      </c>
      <c r="E2047" t="s">
        <v>2817</v>
      </c>
    </row>
    <row r="2048" spans="3:5">
      <c r="C2048" t="e">
        <f t="shared" si="31"/>
        <v>#N/A</v>
      </c>
      <c r="D2048" t="s">
        <v>2236</v>
      </c>
      <c r="E2048" t="s">
        <v>2817</v>
      </c>
    </row>
    <row r="2049" spans="3:5">
      <c r="C2049" t="e">
        <f t="shared" si="31"/>
        <v>#N/A</v>
      </c>
      <c r="D2049" t="s">
        <v>2237</v>
      </c>
      <c r="E2049" t="s">
        <v>2817</v>
      </c>
    </row>
    <row r="2050" spans="3:5">
      <c r="C2050" t="e">
        <f t="shared" si="31"/>
        <v>#N/A</v>
      </c>
      <c r="D2050" t="s">
        <v>2238</v>
      </c>
      <c r="E2050" t="s">
        <v>2817</v>
      </c>
    </row>
    <row r="2051" spans="3:5">
      <c r="C2051" t="e">
        <f t="shared" ref="C2051:C2114" si="32">VLOOKUP(B2051,D:E,2,0)</f>
        <v>#N/A</v>
      </c>
      <c r="D2051" t="s">
        <v>2239</v>
      </c>
      <c r="E2051" t="s">
        <v>2817</v>
      </c>
    </row>
    <row r="2052" spans="3:5">
      <c r="C2052" t="e">
        <f t="shared" si="32"/>
        <v>#N/A</v>
      </c>
      <c r="D2052" t="s">
        <v>2240</v>
      </c>
      <c r="E2052" t="s">
        <v>2817</v>
      </c>
    </row>
    <row r="2053" spans="3:5">
      <c r="C2053" t="e">
        <f t="shared" si="32"/>
        <v>#N/A</v>
      </c>
      <c r="D2053" t="s">
        <v>2241</v>
      </c>
      <c r="E2053" t="s">
        <v>2817</v>
      </c>
    </row>
    <row r="2054" spans="3:5">
      <c r="C2054" t="e">
        <f t="shared" si="32"/>
        <v>#N/A</v>
      </c>
      <c r="D2054" t="s">
        <v>2242</v>
      </c>
      <c r="E2054" t="s">
        <v>2817</v>
      </c>
    </row>
    <row r="2055" spans="3:5">
      <c r="C2055" t="e">
        <f t="shared" si="32"/>
        <v>#N/A</v>
      </c>
      <c r="D2055" t="s">
        <v>2243</v>
      </c>
      <c r="E2055" t="s">
        <v>2817</v>
      </c>
    </row>
    <row r="2056" spans="3:5">
      <c r="C2056" t="e">
        <f t="shared" si="32"/>
        <v>#N/A</v>
      </c>
      <c r="D2056" t="s">
        <v>2244</v>
      </c>
      <c r="E2056" t="s">
        <v>2817</v>
      </c>
    </row>
    <row r="2057" spans="3:5">
      <c r="C2057" t="e">
        <f t="shared" si="32"/>
        <v>#N/A</v>
      </c>
      <c r="D2057" t="s">
        <v>2245</v>
      </c>
      <c r="E2057" t="s">
        <v>2817</v>
      </c>
    </row>
    <row r="2058" spans="3:5">
      <c r="C2058" t="e">
        <f t="shared" si="32"/>
        <v>#N/A</v>
      </c>
      <c r="D2058" t="s">
        <v>2246</v>
      </c>
      <c r="E2058" t="s">
        <v>2817</v>
      </c>
    </row>
    <row r="2059" spans="3:5">
      <c r="C2059" t="e">
        <f t="shared" si="32"/>
        <v>#N/A</v>
      </c>
      <c r="D2059" t="s">
        <v>2247</v>
      </c>
      <c r="E2059" t="s">
        <v>2817</v>
      </c>
    </row>
    <row r="2060" spans="3:5">
      <c r="C2060" t="e">
        <f t="shared" si="32"/>
        <v>#N/A</v>
      </c>
      <c r="D2060" t="s">
        <v>2248</v>
      </c>
      <c r="E2060" t="s">
        <v>2817</v>
      </c>
    </row>
    <row r="2061" spans="3:5">
      <c r="C2061" t="e">
        <f t="shared" si="32"/>
        <v>#N/A</v>
      </c>
      <c r="D2061" t="s">
        <v>2249</v>
      </c>
      <c r="E2061" t="s">
        <v>2817</v>
      </c>
    </row>
    <row r="2062" spans="3:5">
      <c r="C2062" t="e">
        <f t="shared" si="32"/>
        <v>#N/A</v>
      </c>
      <c r="D2062" t="s">
        <v>2250</v>
      </c>
      <c r="E2062" t="s">
        <v>2817</v>
      </c>
    </row>
    <row r="2063" spans="3:5">
      <c r="C2063" t="e">
        <f t="shared" si="32"/>
        <v>#N/A</v>
      </c>
      <c r="D2063" t="s">
        <v>2251</v>
      </c>
      <c r="E2063" t="s">
        <v>2817</v>
      </c>
    </row>
    <row r="2064" spans="3:5">
      <c r="C2064" t="e">
        <f t="shared" si="32"/>
        <v>#N/A</v>
      </c>
      <c r="D2064" t="s">
        <v>2252</v>
      </c>
      <c r="E2064" t="s">
        <v>2817</v>
      </c>
    </row>
    <row r="2065" spans="3:5">
      <c r="C2065" t="e">
        <f t="shared" si="32"/>
        <v>#N/A</v>
      </c>
      <c r="D2065" t="s">
        <v>2253</v>
      </c>
      <c r="E2065" t="s">
        <v>2817</v>
      </c>
    </row>
    <row r="2066" spans="3:5">
      <c r="C2066" t="e">
        <f t="shared" si="32"/>
        <v>#N/A</v>
      </c>
      <c r="D2066" t="s">
        <v>2254</v>
      </c>
      <c r="E2066" t="s">
        <v>2817</v>
      </c>
    </row>
    <row r="2067" spans="3:5">
      <c r="C2067" t="e">
        <f t="shared" si="32"/>
        <v>#N/A</v>
      </c>
      <c r="D2067" t="s">
        <v>2255</v>
      </c>
      <c r="E2067" t="s">
        <v>2817</v>
      </c>
    </row>
    <row r="2068" spans="3:5">
      <c r="C2068" t="e">
        <f t="shared" si="32"/>
        <v>#N/A</v>
      </c>
      <c r="D2068" t="s">
        <v>2256</v>
      </c>
      <c r="E2068" t="s">
        <v>2817</v>
      </c>
    </row>
    <row r="2069" spans="3:5">
      <c r="C2069" t="e">
        <f t="shared" si="32"/>
        <v>#N/A</v>
      </c>
      <c r="D2069" t="s">
        <v>2257</v>
      </c>
      <c r="E2069" t="s">
        <v>2817</v>
      </c>
    </row>
    <row r="2070" spans="3:5">
      <c r="C2070" t="e">
        <f t="shared" si="32"/>
        <v>#N/A</v>
      </c>
      <c r="D2070" t="s">
        <v>2258</v>
      </c>
      <c r="E2070" t="s">
        <v>2817</v>
      </c>
    </row>
    <row r="2071" spans="3:5">
      <c r="C2071" t="e">
        <f t="shared" si="32"/>
        <v>#N/A</v>
      </c>
      <c r="D2071" t="s">
        <v>2259</v>
      </c>
      <c r="E2071" t="s">
        <v>2817</v>
      </c>
    </row>
    <row r="2072" spans="3:5">
      <c r="C2072" t="e">
        <f t="shared" si="32"/>
        <v>#N/A</v>
      </c>
      <c r="D2072" t="s">
        <v>2260</v>
      </c>
      <c r="E2072" t="s">
        <v>2817</v>
      </c>
    </row>
    <row r="2073" spans="3:5">
      <c r="C2073" t="e">
        <f t="shared" si="32"/>
        <v>#N/A</v>
      </c>
      <c r="D2073" t="s">
        <v>2261</v>
      </c>
      <c r="E2073" t="s">
        <v>2817</v>
      </c>
    </row>
    <row r="2074" spans="3:5">
      <c r="C2074" t="e">
        <f t="shared" si="32"/>
        <v>#N/A</v>
      </c>
      <c r="D2074" t="s">
        <v>2262</v>
      </c>
      <c r="E2074" t="s">
        <v>2817</v>
      </c>
    </row>
    <row r="2075" spans="3:5">
      <c r="C2075" t="e">
        <f t="shared" si="32"/>
        <v>#N/A</v>
      </c>
      <c r="D2075" t="s">
        <v>2263</v>
      </c>
      <c r="E2075" t="s">
        <v>2817</v>
      </c>
    </row>
    <row r="2076" spans="3:5">
      <c r="C2076" t="e">
        <f t="shared" si="32"/>
        <v>#N/A</v>
      </c>
      <c r="D2076" t="s">
        <v>2264</v>
      </c>
      <c r="E2076" t="s">
        <v>2817</v>
      </c>
    </row>
    <row r="2077" spans="3:5">
      <c r="C2077" t="e">
        <f t="shared" si="32"/>
        <v>#N/A</v>
      </c>
      <c r="D2077" t="s">
        <v>2265</v>
      </c>
      <c r="E2077" t="s">
        <v>2817</v>
      </c>
    </row>
    <row r="2078" spans="3:5">
      <c r="C2078" t="e">
        <f t="shared" si="32"/>
        <v>#N/A</v>
      </c>
      <c r="D2078" t="s">
        <v>2266</v>
      </c>
      <c r="E2078" t="s">
        <v>2817</v>
      </c>
    </row>
    <row r="2079" spans="3:5">
      <c r="C2079" t="e">
        <f t="shared" si="32"/>
        <v>#N/A</v>
      </c>
      <c r="D2079" t="s">
        <v>2267</v>
      </c>
      <c r="E2079" t="s">
        <v>2817</v>
      </c>
    </row>
    <row r="2080" spans="3:5">
      <c r="C2080" t="e">
        <f t="shared" si="32"/>
        <v>#N/A</v>
      </c>
      <c r="D2080" t="s">
        <v>2268</v>
      </c>
      <c r="E2080" t="s">
        <v>2817</v>
      </c>
    </row>
    <row r="2081" spans="3:5">
      <c r="C2081" t="e">
        <f t="shared" si="32"/>
        <v>#N/A</v>
      </c>
      <c r="D2081" t="s">
        <v>2269</v>
      </c>
      <c r="E2081" t="s">
        <v>2817</v>
      </c>
    </row>
    <row r="2082" spans="3:5">
      <c r="C2082" t="e">
        <f t="shared" si="32"/>
        <v>#N/A</v>
      </c>
      <c r="D2082" t="s">
        <v>2270</v>
      </c>
      <c r="E2082" t="s">
        <v>2817</v>
      </c>
    </row>
    <row r="2083" spans="3:5">
      <c r="C2083" t="e">
        <f t="shared" si="32"/>
        <v>#N/A</v>
      </c>
      <c r="D2083" t="s">
        <v>2271</v>
      </c>
      <c r="E2083" t="s">
        <v>2817</v>
      </c>
    </row>
    <row r="2084" spans="3:5">
      <c r="C2084" t="e">
        <f t="shared" si="32"/>
        <v>#N/A</v>
      </c>
      <c r="D2084" t="s">
        <v>2272</v>
      </c>
      <c r="E2084" t="s">
        <v>2817</v>
      </c>
    </row>
    <row r="2085" spans="3:5">
      <c r="C2085" t="e">
        <f t="shared" si="32"/>
        <v>#N/A</v>
      </c>
      <c r="D2085" t="s">
        <v>2273</v>
      </c>
      <c r="E2085" t="s">
        <v>2817</v>
      </c>
    </row>
    <row r="2086" spans="3:5">
      <c r="C2086" t="e">
        <f t="shared" si="32"/>
        <v>#N/A</v>
      </c>
      <c r="D2086" t="s">
        <v>2274</v>
      </c>
      <c r="E2086" t="s">
        <v>2817</v>
      </c>
    </row>
    <row r="2087" spans="3:5">
      <c r="C2087" t="e">
        <f t="shared" si="32"/>
        <v>#N/A</v>
      </c>
      <c r="D2087" t="s">
        <v>2275</v>
      </c>
      <c r="E2087" t="s">
        <v>2817</v>
      </c>
    </row>
    <row r="2088" spans="3:5">
      <c r="C2088" t="e">
        <f t="shared" si="32"/>
        <v>#N/A</v>
      </c>
      <c r="D2088" t="s">
        <v>2276</v>
      </c>
      <c r="E2088" t="s">
        <v>2817</v>
      </c>
    </row>
    <row r="2089" spans="3:5">
      <c r="C2089" t="e">
        <f t="shared" si="32"/>
        <v>#N/A</v>
      </c>
      <c r="D2089" t="s">
        <v>2277</v>
      </c>
      <c r="E2089" t="s">
        <v>2817</v>
      </c>
    </row>
    <row r="2090" spans="3:5">
      <c r="C2090" t="e">
        <f t="shared" si="32"/>
        <v>#N/A</v>
      </c>
      <c r="D2090" t="s">
        <v>2278</v>
      </c>
      <c r="E2090" t="s">
        <v>2817</v>
      </c>
    </row>
    <row r="2091" spans="3:5">
      <c r="C2091" t="e">
        <f t="shared" si="32"/>
        <v>#N/A</v>
      </c>
      <c r="D2091" t="s">
        <v>2279</v>
      </c>
      <c r="E2091" t="s">
        <v>2817</v>
      </c>
    </row>
    <row r="2092" spans="3:5">
      <c r="C2092" t="e">
        <f t="shared" si="32"/>
        <v>#N/A</v>
      </c>
      <c r="D2092" t="s">
        <v>2280</v>
      </c>
      <c r="E2092" t="s">
        <v>2817</v>
      </c>
    </row>
    <row r="2093" spans="3:5">
      <c r="C2093" t="e">
        <f t="shared" si="32"/>
        <v>#N/A</v>
      </c>
      <c r="D2093" t="s">
        <v>2281</v>
      </c>
      <c r="E2093" t="s">
        <v>2817</v>
      </c>
    </row>
    <row r="2094" spans="3:5">
      <c r="C2094" t="e">
        <f t="shared" si="32"/>
        <v>#N/A</v>
      </c>
      <c r="D2094" t="s">
        <v>2282</v>
      </c>
      <c r="E2094" t="s">
        <v>2817</v>
      </c>
    </row>
    <row r="2095" spans="3:5">
      <c r="C2095" t="e">
        <f t="shared" si="32"/>
        <v>#N/A</v>
      </c>
      <c r="D2095" t="s">
        <v>2283</v>
      </c>
      <c r="E2095" t="s">
        <v>2817</v>
      </c>
    </row>
    <row r="2096" spans="3:5">
      <c r="C2096" t="e">
        <f t="shared" si="32"/>
        <v>#N/A</v>
      </c>
      <c r="D2096" t="s">
        <v>2284</v>
      </c>
      <c r="E2096" t="s">
        <v>2817</v>
      </c>
    </row>
    <row r="2097" spans="3:5">
      <c r="C2097" t="e">
        <f t="shared" si="32"/>
        <v>#N/A</v>
      </c>
      <c r="D2097" t="s">
        <v>2285</v>
      </c>
      <c r="E2097" t="s">
        <v>2817</v>
      </c>
    </row>
    <row r="2098" spans="3:5">
      <c r="C2098" t="e">
        <f t="shared" si="32"/>
        <v>#N/A</v>
      </c>
      <c r="D2098" t="s">
        <v>2286</v>
      </c>
      <c r="E2098" t="s">
        <v>2817</v>
      </c>
    </row>
    <row r="2099" spans="3:5">
      <c r="C2099" t="e">
        <f t="shared" si="32"/>
        <v>#N/A</v>
      </c>
      <c r="D2099" t="s">
        <v>2287</v>
      </c>
      <c r="E2099" t="s">
        <v>2817</v>
      </c>
    </row>
    <row r="2100" spans="3:5">
      <c r="C2100" t="e">
        <f t="shared" si="32"/>
        <v>#N/A</v>
      </c>
      <c r="D2100" t="s">
        <v>2288</v>
      </c>
      <c r="E2100" t="s">
        <v>2817</v>
      </c>
    </row>
    <row r="2101" spans="3:5">
      <c r="C2101" t="e">
        <f t="shared" si="32"/>
        <v>#N/A</v>
      </c>
      <c r="D2101" t="s">
        <v>2289</v>
      </c>
      <c r="E2101" t="s">
        <v>2817</v>
      </c>
    </row>
    <row r="2102" spans="3:5">
      <c r="C2102" t="e">
        <f t="shared" si="32"/>
        <v>#N/A</v>
      </c>
      <c r="D2102" t="s">
        <v>2290</v>
      </c>
      <c r="E2102" t="s">
        <v>2817</v>
      </c>
    </row>
    <row r="2103" spans="3:5">
      <c r="C2103" t="e">
        <f t="shared" si="32"/>
        <v>#N/A</v>
      </c>
      <c r="D2103" t="s">
        <v>2291</v>
      </c>
      <c r="E2103" t="s">
        <v>2817</v>
      </c>
    </row>
    <row r="2104" spans="3:5">
      <c r="C2104" t="e">
        <f t="shared" si="32"/>
        <v>#N/A</v>
      </c>
      <c r="D2104" t="s">
        <v>2292</v>
      </c>
      <c r="E2104" t="s">
        <v>2817</v>
      </c>
    </row>
    <row r="2105" spans="3:5">
      <c r="C2105" t="e">
        <f t="shared" si="32"/>
        <v>#N/A</v>
      </c>
      <c r="D2105" t="s">
        <v>2293</v>
      </c>
      <c r="E2105" t="s">
        <v>2817</v>
      </c>
    </row>
    <row r="2106" spans="3:5">
      <c r="C2106" t="e">
        <f t="shared" si="32"/>
        <v>#N/A</v>
      </c>
      <c r="D2106" t="s">
        <v>2294</v>
      </c>
      <c r="E2106" t="s">
        <v>2817</v>
      </c>
    </row>
    <row r="2107" spans="3:5">
      <c r="C2107" t="e">
        <f t="shared" si="32"/>
        <v>#N/A</v>
      </c>
      <c r="D2107" t="s">
        <v>2295</v>
      </c>
      <c r="E2107" t="s">
        <v>2817</v>
      </c>
    </row>
    <row r="2108" spans="3:5">
      <c r="C2108" t="e">
        <f t="shared" si="32"/>
        <v>#N/A</v>
      </c>
      <c r="D2108" t="s">
        <v>2296</v>
      </c>
      <c r="E2108" t="s">
        <v>2817</v>
      </c>
    </row>
    <row r="2109" spans="3:5">
      <c r="C2109" t="e">
        <f t="shared" si="32"/>
        <v>#N/A</v>
      </c>
      <c r="D2109" t="s">
        <v>2297</v>
      </c>
      <c r="E2109" t="s">
        <v>2817</v>
      </c>
    </row>
    <row r="2110" spans="3:5">
      <c r="C2110" t="e">
        <f t="shared" si="32"/>
        <v>#N/A</v>
      </c>
      <c r="D2110" t="s">
        <v>2298</v>
      </c>
      <c r="E2110" t="s">
        <v>2817</v>
      </c>
    </row>
    <row r="2111" spans="3:5">
      <c r="C2111" t="e">
        <f t="shared" si="32"/>
        <v>#N/A</v>
      </c>
      <c r="D2111" t="s">
        <v>2299</v>
      </c>
      <c r="E2111" t="s">
        <v>2817</v>
      </c>
    </row>
    <row r="2112" spans="3:5">
      <c r="C2112" t="e">
        <f t="shared" si="32"/>
        <v>#N/A</v>
      </c>
      <c r="D2112" t="s">
        <v>2300</v>
      </c>
      <c r="E2112" t="s">
        <v>2817</v>
      </c>
    </row>
    <row r="2113" spans="3:5">
      <c r="C2113" t="e">
        <f t="shared" si="32"/>
        <v>#N/A</v>
      </c>
      <c r="D2113" t="s">
        <v>2301</v>
      </c>
      <c r="E2113" t="s">
        <v>2817</v>
      </c>
    </row>
    <row r="2114" spans="3:5">
      <c r="C2114" t="e">
        <f t="shared" si="32"/>
        <v>#N/A</v>
      </c>
      <c r="D2114" t="s">
        <v>2302</v>
      </c>
      <c r="E2114" t="s">
        <v>2817</v>
      </c>
    </row>
    <row r="2115" spans="3:5">
      <c r="C2115" t="e">
        <f t="shared" ref="C2115:C2178" si="33">VLOOKUP(B2115,D:E,2,0)</f>
        <v>#N/A</v>
      </c>
      <c r="D2115" t="s">
        <v>2303</v>
      </c>
      <c r="E2115" t="s">
        <v>2817</v>
      </c>
    </row>
    <row r="2116" spans="3:5">
      <c r="C2116" t="e">
        <f t="shared" si="33"/>
        <v>#N/A</v>
      </c>
      <c r="D2116" t="s">
        <v>2304</v>
      </c>
      <c r="E2116" t="s">
        <v>2817</v>
      </c>
    </row>
    <row r="2117" spans="3:5">
      <c r="C2117" t="e">
        <f t="shared" si="33"/>
        <v>#N/A</v>
      </c>
      <c r="D2117" t="s">
        <v>2305</v>
      </c>
      <c r="E2117" t="s">
        <v>2817</v>
      </c>
    </row>
    <row r="2118" spans="3:5">
      <c r="C2118" t="e">
        <f t="shared" si="33"/>
        <v>#N/A</v>
      </c>
      <c r="D2118" t="s">
        <v>2306</v>
      </c>
      <c r="E2118" t="s">
        <v>2817</v>
      </c>
    </row>
    <row r="2119" spans="3:5">
      <c r="C2119" t="e">
        <f t="shared" si="33"/>
        <v>#N/A</v>
      </c>
      <c r="D2119" t="s">
        <v>2307</v>
      </c>
      <c r="E2119" t="s">
        <v>2817</v>
      </c>
    </row>
    <row r="2120" spans="3:5">
      <c r="C2120" t="e">
        <f t="shared" si="33"/>
        <v>#N/A</v>
      </c>
      <c r="D2120" t="s">
        <v>2308</v>
      </c>
      <c r="E2120" t="s">
        <v>2817</v>
      </c>
    </row>
    <row r="2121" spans="3:5">
      <c r="C2121" t="e">
        <f t="shared" si="33"/>
        <v>#N/A</v>
      </c>
      <c r="D2121" t="s">
        <v>2309</v>
      </c>
      <c r="E2121" t="s">
        <v>2817</v>
      </c>
    </row>
    <row r="2122" spans="3:5">
      <c r="C2122" t="e">
        <f t="shared" si="33"/>
        <v>#N/A</v>
      </c>
      <c r="D2122" t="s">
        <v>2310</v>
      </c>
      <c r="E2122" t="s">
        <v>2817</v>
      </c>
    </row>
    <row r="2123" spans="3:5">
      <c r="C2123" t="e">
        <f t="shared" si="33"/>
        <v>#N/A</v>
      </c>
      <c r="D2123" t="s">
        <v>2311</v>
      </c>
      <c r="E2123" t="s">
        <v>2817</v>
      </c>
    </row>
    <row r="2124" spans="3:5">
      <c r="C2124" t="e">
        <f t="shared" si="33"/>
        <v>#N/A</v>
      </c>
      <c r="D2124" t="s">
        <v>2312</v>
      </c>
      <c r="E2124" t="s">
        <v>2817</v>
      </c>
    </row>
    <row r="2125" spans="3:5">
      <c r="C2125" t="e">
        <f t="shared" si="33"/>
        <v>#N/A</v>
      </c>
      <c r="D2125" t="s">
        <v>2313</v>
      </c>
      <c r="E2125" t="s">
        <v>2817</v>
      </c>
    </row>
    <row r="2126" spans="3:5">
      <c r="C2126" t="e">
        <f t="shared" si="33"/>
        <v>#N/A</v>
      </c>
      <c r="D2126" t="s">
        <v>2314</v>
      </c>
      <c r="E2126" t="s">
        <v>2817</v>
      </c>
    </row>
    <row r="2127" spans="3:5">
      <c r="C2127" t="e">
        <f t="shared" si="33"/>
        <v>#N/A</v>
      </c>
      <c r="D2127" t="s">
        <v>2315</v>
      </c>
      <c r="E2127" t="s">
        <v>2817</v>
      </c>
    </row>
    <row r="2128" spans="3:5">
      <c r="C2128" t="e">
        <f t="shared" si="33"/>
        <v>#N/A</v>
      </c>
      <c r="D2128" t="s">
        <v>2316</v>
      </c>
      <c r="E2128" t="s">
        <v>2817</v>
      </c>
    </row>
    <row r="2129" spans="3:5">
      <c r="C2129" t="e">
        <f t="shared" si="33"/>
        <v>#N/A</v>
      </c>
      <c r="D2129" t="s">
        <v>2317</v>
      </c>
      <c r="E2129" t="s">
        <v>2817</v>
      </c>
    </row>
    <row r="2130" spans="3:5">
      <c r="C2130" t="e">
        <f t="shared" si="33"/>
        <v>#N/A</v>
      </c>
      <c r="D2130" t="s">
        <v>2318</v>
      </c>
      <c r="E2130" t="s">
        <v>2817</v>
      </c>
    </row>
    <row r="2131" spans="3:5">
      <c r="C2131" t="e">
        <f t="shared" si="33"/>
        <v>#N/A</v>
      </c>
      <c r="D2131" t="s">
        <v>2319</v>
      </c>
      <c r="E2131" t="s">
        <v>2817</v>
      </c>
    </row>
    <row r="2132" spans="3:5">
      <c r="C2132" t="e">
        <f t="shared" si="33"/>
        <v>#N/A</v>
      </c>
      <c r="D2132" t="s">
        <v>2320</v>
      </c>
      <c r="E2132" t="s">
        <v>2817</v>
      </c>
    </row>
    <row r="2133" spans="3:5">
      <c r="C2133" t="e">
        <f t="shared" si="33"/>
        <v>#N/A</v>
      </c>
      <c r="D2133" t="s">
        <v>2321</v>
      </c>
      <c r="E2133" t="s">
        <v>2817</v>
      </c>
    </row>
    <row r="2134" spans="3:5">
      <c r="C2134" t="e">
        <f t="shared" si="33"/>
        <v>#N/A</v>
      </c>
      <c r="D2134" t="s">
        <v>2322</v>
      </c>
      <c r="E2134" t="s">
        <v>2817</v>
      </c>
    </row>
    <row r="2135" spans="3:5">
      <c r="C2135" t="e">
        <f t="shared" si="33"/>
        <v>#N/A</v>
      </c>
      <c r="D2135" t="s">
        <v>2323</v>
      </c>
      <c r="E2135" t="s">
        <v>2817</v>
      </c>
    </row>
    <row r="2136" spans="3:5">
      <c r="C2136" t="e">
        <f t="shared" si="33"/>
        <v>#N/A</v>
      </c>
      <c r="D2136" t="s">
        <v>2324</v>
      </c>
      <c r="E2136" t="s">
        <v>2817</v>
      </c>
    </row>
    <row r="2137" spans="3:5">
      <c r="C2137" t="e">
        <f t="shared" si="33"/>
        <v>#N/A</v>
      </c>
      <c r="D2137" t="s">
        <v>2325</v>
      </c>
      <c r="E2137" t="s">
        <v>2817</v>
      </c>
    </row>
    <row r="2138" spans="3:5">
      <c r="C2138" t="e">
        <f t="shared" si="33"/>
        <v>#N/A</v>
      </c>
      <c r="D2138" t="s">
        <v>2326</v>
      </c>
      <c r="E2138" t="s">
        <v>2817</v>
      </c>
    </row>
    <row r="2139" spans="3:5">
      <c r="C2139" t="e">
        <f t="shared" si="33"/>
        <v>#N/A</v>
      </c>
      <c r="D2139" t="s">
        <v>2327</v>
      </c>
      <c r="E2139" t="s">
        <v>2817</v>
      </c>
    </row>
    <row r="2140" spans="3:5">
      <c r="C2140" t="e">
        <f t="shared" si="33"/>
        <v>#N/A</v>
      </c>
      <c r="D2140" t="s">
        <v>2328</v>
      </c>
      <c r="E2140" t="s">
        <v>2817</v>
      </c>
    </row>
    <row r="2141" spans="3:5">
      <c r="C2141" t="e">
        <f t="shared" si="33"/>
        <v>#N/A</v>
      </c>
      <c r="D2141" t="s">
        <v>2329</v>
      </c>
      <c r="E2141" t="s">
        <v>2817</v>
      </c>
    </row>
    <row r="2142" spans="3:5">
      <c r="C2142" t="e">
        <f t="shared" si="33"/>
        <v>#N/A</v>
      </c>
      <c r="D2142" t="s">
        <v>2330</v>
      </c>
      <c r="E2142" t="s">
        <v>2817</v>
      </c>
    </row>
    <row r="2143" spans="3:5">
      <c r="C2143" t="e">
        <f t="shared" si="33"/>
        <v>#N/A</v>
      </c>
      <c r="D2143" t="s">
        <v>2331</v>
      </c>
      <c r="E2143" t="s">
        <v>2817</v>
      </c>
    </row>
    <row r="2144" spans="3:5">
      <c r="C2144" t="e">
        <f t="shared" si="33"/>
        <v>#N/A</v>
      </c>
      <c r="D2144" t="s">
        <v>2332</v>
      </c>
      <c r="E2144" t="s">
        <v>2817</v>
      </c>
    </row>
    <row r="2145" spans="3:5">
      <c r="C2145" t="e">
        <f t="shared" si="33"/>
        <v>#N/A</v>
      </c>
      <c r="D2145" t="s">
        <v>2333</v>
      </c>
      <c r="E2145" t="s">
        <v>2817</v>
      </c>
    </row>
    <row r="2146" spans="3:5">
      <c r="C2146" t="e">
        <f t="shared" si="33"/>
        <v>#N/A</v>
      </c>
      <c r="D2146" t="s">
        <v>2334</v>
      </c>
      <c r="E2146" t="s">
        <v>2817</v>
      </c>
    </row>
    <row r="2147" spans="3:5">
      <c r="C2147" t="e">
        <f t="shared" si="33"/>
        <v>#N/A</v>
      </c>
      <c r="D2147" t="s">
        <v>2335</v>
      </c>
      <c r="E2147" t="s">
        <v>2817</v>
      </c>
    </row>
    <row r="2148" spans="3:5">
      <c r="C2148" t="e">
        <f t="shared" si="33"/>
        <v>#N/A</v>
      </c>
      <c r="D2148" t="s">
        <v>2336</v>
      </c>
      <c r="E2148" t="s">
        <v>2817</v>
      </c>
    </row>
    <row r="2149" spans="3:5">
      <c r="C2149" t="e">
        <f t="shared" si="33"/>
        <v>#N/A</v>
      </c>
      <c r="D2149" t="s">
        <v>2337</v>
      </c>
      <c r="E2149" t="s">
        <v>2817</v>
      </c>
    </row>
    <row r="2150" spans="3:5">
      <c r="C2150" t="e">
        <f t="shared" si="33"/>
        <v>#N/A</v>
      </c>
      <c r="D2150" t="s">
        <v>2338</v>
      </c>
      <c r="E2150" t="s">
        <v>2817</v>
      </c>
    </row>
    <row r="2151" spans="3:5">
      <c r="C2151" t="e">
        <f t="shared" si="33"/>
        <v>#N/A</v>
      </c>
      <c r="D2151" t="s">
        <v>2339</v>
      </c>
      <c r="E2151" t="s">
        <v>2817</v>
      </c>
    </row>
    <row r="2152" spans="3:5">
      <c r="C2152" t="e">
        <f t="shared" si="33"/>
        <v>#N/A</v>
      </c>
      <c r="D2152" t="s">
        <v>2340</v>
      </c>
      <c r="E2152" t="s">
        <v>2817</v>
      </c>
    </row>
    <row r="2153" spans="3:5">
      <c r="C2153" t="e">
        <f t="shared" si="33"/>
        <v>#N/A</v>
      </c>
      <c r="D2153" t="s">
        <v>2341</v>
      </c>
      <c r="E2153" t="s">
        <v>2817</v>
      </c>
    </row>
    <row r="2154" spans="3:5">
      <c r="C2154" t="e">
        <f t="shared" si="33"/>
        <v>#N/A</v>
      </c>
      <c r="D2154" t="s">
        <v>2342</v>
      </c>
      <c r="E2154" t="s">
        <v>2817</v>
      </c>
    </row>
    <row r="2155" spans="3:5">
      <c r="C2155" t="e">
        <f t="shared" si="33"/>
        <v>#N/A</v>
      </c>
      <c r="D2155" t="s">
        <v>2343</v>
      </c>
      <c r="E2155" t="s">
        <v>2817</v>
      </c>
    </row>
    <row r="2156" spans="3:5">
      <c r="C2156" t="e">
        <f t="shared" si="33"/>
        <v>#N/A</v>
      </c>
      <c r="D2156" t="s">
        <v>2344</v>
      </c>
      <c r="E2156" t="s">
        <v>2817</v>
      </c>
    </row>
    <row r="2157" spans="3:5">
      <c r="C2157" t="e">
        <f t="shared" si="33"/>
        <v>#N/A</v>
      </c>
      <c r="D2157" t="s">
        <v>2345</v>
      </c>
      <c r="E2157" t="s">
        <v>2817</v>
      </c>
    </row>
    <row r="2158" spans="3:5">
      <c r="C2158" t="e">
        <f t="shared" si="33"/>
        <v>#N/A</v>
      </c>
      <c r="D2158" t="s">
        <v>2346</v>
      </c>
      <c r="E2158" t="s">
        <v>2817</v>
      </c>
    </row>
    <row r="2159" spans="3:5">
      <c r="C2159" t="e">
        <f t="shared" si="33"/>
        <v>#N/A</v>
      </c>
      <c r="D2159" t="s">
        <v>2347</v>
      </c>
      <c r="E2159" t="s">
        <v>2817</v>
      </c>
    </row>
    <row r="2160" spans="3:5">
      <c r="C2160" t="e">
        <f t="shared" si="33"/>
        <v>#N/A</v>
      </c>
      <c r="D2160" t="s">
        <v>2348</v>
      </c>
      <c r="E2160" t="s">
        <v>2817</v>
      </c>
    </row>
    <row r="2161" spans="3:5">
      <c r="C2161" t="e">
        <f t="shared" si="33"/>
        <v>#N/A</v>
      </c>
      <c r="D2161" t="s">
        <v>2349</v>
      </c>
      <c r="E2161" t="s">
        <v>2817</v>
      </c>
    </row>
    <row r="2162" spans="3:5">
      <c r="C2162" t="e">
        <f t="shared" si="33"/>
        <v>#N/A</v>
      </c>
      <c r="D2162" t="s">
        <v>2350</v>
      </c>
      <c r="E2162" t="s">
        <v>2817</v>
      </c>
    </row>
    <row r="2163" spans="3:5">
      <c r="C2163" t="e">
        <f t="shared" si="33"/>
        <v>#N/A</v>
      </c>
      <c r="D2163" t="s">
        <v>2351</v>
      </c>
      <c r="E2163" t="s">
        <v>2817</v>
      </c>
    </row>
    <row r="2164" spans="3:5">
      <c r="C2164" t="e">
        <f t="shared" si="33"/>
        <v>#N/A</v>
      </c>
      <c r="D2164" t="s">
        <v>2352</v>
      </c>
      <c r="E2164" t="s">
        <v>2817</v>
      </c>
    </row>
    <row r="2165" spans="3:5">
      <c r="C2165" t="e">
        <f t="shared" si="33"/>
        <v>#N/A</v>
      </c>
      <c r="D2165" t="s">
        <v>2353</v>
      </c>
      <c r="E2165" t="s">
        <v>2817</v>
      </c>
    </row>
    <row r="2166" spans="3:5">
      <c r="C2166" t="e">
        <f t="shared" si="33"/>
        <v>#N/A</v>
      </c>
      <c r="D2166" t="s">
        <v>2354</v>
      </c>
      <c r="E2166" t="s">
        <v>2817</v>
      </c>
    </row>
    <row r="2167" spans="3:5">
      <c r="C2167" t="e">
        <f t="shared" si="33"/>
        <v>#N/A</v>
      </c>
      <c r="D2167" t="s">
        <v>2355</v>
      </c>
      <c r="E2167" t="s">
        <v>2817</v>
      </c>
    </row>
    <row r="2168" spans="3:5">
      <c r="C2168" t="e">
        <f t="shared" si="33"/>
        <v>#N/A</v>
      </c>
      <c r="D2168" t="s">
        <v>2356</v>
      </c>
      <c r="E2168" t="s">
        <v>2817</v>
      </c>
    </row>
    <row r="2169" spans="3:5">
      <c r="C2169" t="e">
        <f t="shared" si="33"/>
        <v>#N/A</v>
      </c>
      <c r="D2169" t="s">
        <v>2357</v>
      </c>
      <c r="E2169" t="s">
        <v>2817</v>
      </c>
    </row>
    <row r="2170" spans="3:5">
      <c r="C2170" t="e">
        <f t="shared" si="33"/>
        <v>#N/A</v>
      </c>
      <c r="D2170" t="s">
        <v>2358</v>
      </c>
      <c r="E2170" t="s">
        <v>2817</v>
      </c>
    </row>
    <row r="2171" spans="3:5">
      <c r="C2171" t="e">
        <f t="shared" si="33"/>
        <v>#N/A</v>
      </c>
      <c r="D2171" t="s">
        <v>2359</v>
      </c>
      <c r="E2171" t="s">
        <v>2817</v>
      </c>
    </row>
    <row r="2172" spans="3:5">
      <c r="C2172" t="e">
        <f t="shared" si="33"/>
        <v>#N/A</v>
      </c>
      <c r="D2172" t="s">
        <v>2360</v>
      </c>
      <c r="E2172" t="s">
        <v>2817</v>
      </c>
    </row>
    <row r="2173" spans="3:5">
      <c r="C2173" t="e">
        <f t="shared" si="33"/>
        <v>#N/A</v>
      </c>
      <c r="D2173" t="s">
        <v>2361</v>
      </c>
      <c r="E2173" t="s">
        <v>2817</v>
      </c>
    </row>
    <row r="2174" spans="3:5">
      <c r="C2174" t="e">
        <f t="shared" si="33"/>
        <v>#N/A</v>
      </c>
      <c r="D2174" t="s">
        <v>2362</v>
      </c>
      <c r="E2174" t="s">
        <v>2817</v>
      </c>
    </row>
    <row r="2175" spans="3:5">
      <c r="C2175" t="e">
        <f t="shared" si="33"/>
        <v>#N/A</v>
      </c>
      <c r="D2175" t="s">
        <v>2363</v>
      </c>
      <c r="E2175" t="s">
        <v>2817</v>
      </c>
    </row>
    <row r="2176" spans="3:5">
      <c r="C2176" t="e">
        <f t="shared" si="33"/>
        <v>#N/A</v>
      </c>
      <c r="D2176" t="s">
        <v>2364</v>
      </c>
      <c r="E2176" t="s">
        <v>2817</v>
      </c>
    </row>
    <row r="2177" spans="3:5">
      <c r="C2177" t="e">
        <f t="shared" si="33"/>
        <v>#N/A</v>
      </c>
      <c r="D2177" t="s">
        <v>2365</v>
      </c>
      <c r="E2177" t="s">
        <v>2817</v>
      </c>
    </row>
    <row r="2178" spans="3:5">
      <c r="C2178" t="e">
        <f t="shared" si="33"/>
        <v>#N/A</v>
      </c>
      <c r="D2178" t="s">
        <v>2366</v>
      </c>
      <c r="E2178" t="s">
        <v>2817</v>
      </c>
    </row>
    <row r="2179" spans="3:5">
      <c r="C2179" t="e">
        <f t="shared" ref="C2179:C2242" si="34">VLOOKUP(B2179,D:E,2,0)</f>
        <v>#N/A</v>
      </c>
      <c r="D2179" t="s">
        <v>2367</v>
      </c>
      <c r="E2179" t="s">
        <v>2817</v>
      </c>
    </row>
    <row r="2180" spans="3:5">
      <c r="C2180" t="e">
        <f t="shared" si="34"/>
        <v>#N/A</v>
      </c>
      <c r="D2180" t="s">
        <v>2368</v>
      </c>
      <c r="E2180" t="s">
        <v>2817</v>
      </c>
    </row>
    <row r="2181" spans="3:5">
      <c r="C2181" t="e">
        <f t="shared" si="34"/>
        <v>#N/A</v>
      </c>
      <c r="D2181" t="s">
        <v>2369</v>
      </c>
      <c r="E2181" t="s">
        <v>2817</v>
      </c>
    </row>
    <row r="2182" spans="3:5">
      <c r="C2182" t="e">
        <f t="shared" si="34"/>
        <v>#N/A</v>
      </c>
      <c r="D2182" t="s">
        <v>2370</v>
      </c>
      <c r="E2182" t="s">
        <v>2817</v>
      </c>
    </row>
    <row r="2183" spans="3:5">
      <c r="C2183" t="e">
        <f t="shared" si="34"/>
        <v>#N/A</v>
      </c>
      <c r="D2183" t="s">
        <v>2371</v>
      </c>
      <c r="E2183" t="s">
        <v>2817</v>
      </c>
    </row>
    <row r="2184" spans="3:5">
      <c r="C2184" t="e">
        <f t="shared" si="34"/>
        <v>#N/A</v>
      </c>
      <c r="D2184" t="s">
        <v>2372</v>
      </c>
      <c r="E2184" t="s">
        <v>2817</v>
      </c>
    </row>
    <row r="2185" spans="3:5">
      <c r="C2185" t="e">
        <f t="shared" si="34"/>
        <v>#N/A</v>
      </c>
      <c r="D2185" t="s">
        <v>2373</v>
      </c>
      <c r="E2185" t="s">
        <v>2817</v>
      </c>
    </row>
    <row r="2186" spans="3:5">
      <c r="C2186" t="e">
        <f t="shared" si="34"/>
        <v>#N/A</v>
      </c>
      <c r="D2186" t="s">
        <v>2374</v>
      </c>
      <c r="E2186" t="s">
        <v>2817</v>
      </c>
    </row>
    <row r="2187" spans="3:5">
      <c r="C2187" t="e">
        <f t="shared" si="34"/>
        <v>#N/A</v>
      </c>
      <c r="D2187" t="s">
        <v>2375</v>
      </c>
      <c r="E2187" t="s">
        <v>2817</v>
      </c>
    </row>
    <row r="2188" spans="3:5">
      <c r="C2188" t="e">
        <f t="shared" si="34"/>
        <v>#N/A</v>
      </c>
      <c r="D2188" t="s">
        <v>2376</v>
      </c>
      <c r="E2188" t="s">
        <v>2817</v>
      </c>
    </row>
    <row r="2189" spans="3:5">
      <c r="C2189" t="e">
        <f t="shared" si="34"/>
        <v>#N/A</v>
      </c>
      <c r="D2189" t="s">
        <v>2377</v>
      </c>
      <c r="E2189" t="s">
        <v>2817</v>
      </c>
    </row>
    <row r="2190" spans="3:5">
      <c r="C2190" t="e">
        <f t="shared" si="34"/>
        <v>#N/A</v>
      </c>
      <c r="D2190" t="s">
        <v>2378</v>
      </c>
      <c r="E2190" t="s">
        <v>2817</v>
      </c>
    </row>
    <row r="2191" spans="3:5">
      <c r="C2191" t="e">
        <f t="shared" si="34"/>
        <v>#N/A</v>
      </c>
      <c r="D2191" t="s">
        <v>2379</v>
      </c>
      <c r="E2191" t="s">
        <v>2817</v>
      </c>
    </row>
    <row r="2192" spans="3:5">
      <c r="C2192" t="e">
        <f t="shared" si="34"/>
        <v>#N/A</v>
      </c>
      <c r="D2192" t="s">
        <v>2380</v>
      </c>
      <c r="E2192" t="s">
        <v>2817</v>
      </c>
    </row>
    <row r="2193" spans="3:5">
      <c r="C2193" t="e">
        <f t="shared" si="34"/>
        <v>#N/A</v>
      </c>
      <c r="D2193" t="s">
        <v>2381</v>
      </c>
      <c r="E2193" t="s">
        <v>2817</v>
      </c>
    </row>
    <row r="2194" spans="3:5">
      <c r="C2194" t="e">
        <f t="shared" si="34"/>
        <v>#N/A</v>
      </c>
      <c r="D2194" t="s">
        <v>2382</v>
      </c>
      <c r="E2194" t="s">
        <v>2817</v>
      </c>
    </row>
    <row r="2195" spans="3:5">
      <c r="C2195" t="e">
        <f t="shared" si="34"/>
        <v>#N/A</v>
      </c>
      <c r="D2195" t="s">
        <v>2383</v>
      </c>
      <c r="E2195" t="s">
        <v>2817</v>
      </c>
    </row>
    <row r="2196" spans="3:5">
      <c r="C2196" t="e">
        <f t="shared" si="34"/>
        <v>#N/A</v>
      </c>
      <c r="D2196" t="s">
        <v>2384</v>
      </c>
      <c r="E2196" t="s">
        <v>2817</v>
      </c>
    </row>
    <row r="2197" spans="3:5">
      <c r="C2197" t="e">
        <f t="shared" si="34"/>
        <v>#N/A</v>
      </c>
      <c r="D2197" t="s">
        <v>2385</v>
      </c>
      <c r="E2197" t="s">
        <v>2817</v>
      </c>
    </row>
    <row r="2198" spans="3:5">
      <c r="C2198" t="e">
        <f t="shared" si="34"/>
        <v>#N/A</v>
      </c>
      <c r="D2198" t="s">
        <v>2386</v>
      </c>
      <c r="E2198" t="s">
        <v>2817</v>
      </c>
    </row>
    <row r="2199" spans="3:5">
      <c r="C2199" t="e">
        <f t="shared" si="34"/>
        <v>#N/A</v>
      </c>
      <c r="D2199" t="s">
        <v>2387</v>
      </c>
      <c r="E2199" t="s">
        <v>2817</v>
      </c>
    </row>
    <row r="2200" spans="3:5">
      <c r="C2200" t="e">
        <f t="shared" si="34"/>
        <v>#N/A</v>
      </c>
      <c r="D2200" t="s">
        <v>2388</v>
      </c>
      <c r="E2200" t="s">
        <v>2817</v>
      </c>
    </row>
    <row r="2201" spans="3:5">
      <c r="C2201" t="e">
        <f t="shared" si="34"/>
        <v>#N/A</v>
      </c>
      <c r="D2201" t="s">
        <v>2389</v>
      </c>
      <c r="E2201" t="s">
        <v>2817</v>
      </c>
    </row>
    <row r="2202" spans="3:5">
      <c r="C2202" t="e">
        <f t="shared" si="34"/>
        <v>#N/A</v>
      </c>
      <c r="D2202" t="s">
        <v>2390</v>
      </c>
      <c r="E2202" t="s">
        <v>2817</v>
      </c>
    </row>
    <row r="2203" spans="3:5">
      <c r="C2203" t="e">
        <f t="shared" si="34"/>
        <v>#N/A</v>
      </c>
      <c r="D2203" t="s">
        <v>2391</v>
      </c>
      <c r="E2203" t="s">
        <v>2817</v>
      </c>
    </row>
    <row r="2204" spans="3:5">
      <c r="C2204" t="e">
        <f t="shared" si="34"/>
        <v>#N/A</v>
      </c>
      <c r="D2204" t="s">
        <v>2392</v>
      </c>
      <c r="E2204" t="s">
        <v>2817</v>
      </c>
    </row>
    <row r="2205" spans="3:5">
      <c r="C2205" t="e">
        <f t="shared" si="34"/>
        <v>#N/A</v>
      </c>
      <c r="D2205" t="s">
        <v>2393</v>
      </c>
      <c r="E2205" t="s">
        <v>2817</v>
      </c>
    </row>
    <row r="2206" spans="3:5">
      <c r="C2206" t="e">
        <f t="shared" si="34"/>
        <v>#N/A</v>
      </c>
      <c r="D2206" t="s">
        <v>2394</v>
      </c>
      <c r="E2206" t="s">
        <v>2817</v>
      </c>
    </row>
    <row r="2207" spans="3:5">
      <c r="C2207" t="e">
        <f t="shared" si="34"/>
        <v>#N/A</v>
      </c>
      <c r="D2207" t="s">
        <v>2395</v>
      </c>
      <c r="E2207" t="s">
        <v>2817</v>
      </c>
    </row>
    <row r="2208" spans="3:5">
      <c r="C2208" t="e">
        <f t="shared" si="34"/>
        <v>#N/A</v>
      </c>
      <c r="D2208" t="s">
        <v>2396</v>
      </c>
      <c r="E2208" t="s">
        <v>2817</v>
      </c>
    </row>
    <row r="2209" spans="3:5">
      <c r="C2209" t="e">
        <f t="shared" si="34"/>
        <v>#N/A</v>
      </c>
      <c r="D2209" t="s">
        <v>2397</v>
      </c>
      <c r="E2209" t="s">
        <v>2817</v>
      </c>
    </row>
    <row r="2210" spans="3:5">
      <c r="C2210" t="e">
        <f t="shared" si="34"/>
        <v>#N/A</v>
      </c>
      <c r="D2210" t="s">
        <v>2398</v>
      </c>
      <c r="E2210" t="s">
        <v>2817</v>
      </c>
    </row>
    <row r="2211" spans="3:5">
      <c r="C2211" t="e">
        <f t="shared" si="34"/>
        <v>#N/A</v>
      </c>
      <c r="D2211" t="s">
        <v>2399</v>
      </c>
      <c r="E2211" t="s">
        <v>2817</v>
      </c>
    </row>
    <row r="2212" spans="3:5">
      <c r="C2212" t="e">
        <f t="shared" si="34"/>
        <v>#N/A</v>
      </c>
      <c r="D2212" t="s">
        <v>2400</v>
      </c>
      <c r="E2212" t="s">
        <v>2817</v>
      </c>
    </row>
    <row r="2213" spans="3:5">
      <c r="C2213" t="e">
        <f t="shared" si="34"/>
        <v>#N/A</v>
      </c>
      <c r="D2213" t="s">
        <v>2401</v>
      </c>
      <c r="E2213" t="s">
        <v>2817</v>
      </c>
    </row>
    <row r="2214" spans="3:5">
      <c r="C2214" t="e">
        <f t="shared" si="34"/>
        <v>#N/A</v>
      </c>
      <c r="D2214" t="s">
        <v>2402</v>
      </c>
      <c r="E2214" t="s">
        <v>2817</v>
      </c>
    </row>
    <row r="2215" spans="3:5">
      <c r="C2215" t="e">
        <f t="shared" si="34"/>
        <v>#N/A</v>
      </c>
      <c r="D2215" t="s">
        <v>2403</v>
      </c>
      <c r="E2215" t="s">
        <v>2817</v>
      </c>
    </row>
    <row r="2216" spans="3:5">
      <c r="C2216" t="e">
        <f t="shared" si="34"/>
        <v>#N/A</v>
      </c>
      <c r="D2216" t="s">
        <v>2404</v>
      </c>
      <c r="E2216" t="s">
        <v>2817</v>
      </c>
    </row>
    <row r="2217" spans="3:5">
      <c r="C2217" t="e">
        <f t="shared" si="34"/>
        <v>#N/A</v>
      </c>
      <c r="D2217" t="s">
        <v>2405</v>
      </c>
      <c r="E2217" t="s">
        <v>2817</v>
      </c>
    </row>
    <row r="2218" spans="3:5">
      <c r="C2218" t="e">
        <f t="shared" si="34"/>
        <v>#N/A</v>
      </c>
      <c r="D2218" t="s">
        <v>2406</v>
      </c>
      <c r="E2218" t="s">
        <v>2817</v>
      </c>
    </row>
    <row r="2219" spans="3:5">
      <c r="C2219" t="e">
        <f t="shared" si="34"/>
        <v>#N/A</v>
      </c>
      <c r="D2219" t="s">
        <v>2407</v>
      </c>
      <c r="E2219" t="s">
        <v>2817</v>
      </c>
    </row>
    <row r="2220" spans="3:5">
      <c r="C2220" t="e">
        <f t="shared" si="34"/>
        <v>#N/A</v>
      </c>
      <c r="D2220" t="s">
        <v>2408</v>
      </c>
      <c r="E2220" t="s">
        <v>2817</v>
      </c>
    </row>
    <row r="2221" spans="3:5">
      <c r="C2221" t="e">
        <f t="shared" si="34"/>
        <v>#N/A</v>
      </c>
      <c r="D2221" t="s">
        <v>2409</v>
      </c>
      <c r="E2221" t="s">
        <v>2817</v>
      </c>
    </row>
    <row r="2222" spans="3:5">
      <c r="C2222" t="e">
        <f t="shared" si="34"/>
        <v>#N/A</v>
      </c>
      <c r="D2222" t="s">
        <v>2410</v>
      </c>
      <c r="E2222" t="s">
        <v>2817</v>
      </c>
    </row>
    <row r="2223" spans="3:5">
      <c r="C2223" t="e">
        <f t="shared" si="34"/>
        <v>#N/A</v>
      </c>
      <c r="D2223" t="s">
        <v>2411</v>
      </c>
      <c r="E2223" t="s">
        <v>2817</v>
      </c>
    </row>
    <row r="2224" spans="3:5">
      <c r="C2224" t="e">
        <f t="shared" si="34"/>
        <v>#N/A</v>
      </c>
      <c r="D2224" t="s">
        <v>2412</v>
      </c>
      <c r="E2224" t="s">
        <v>2817</v>
      </c>
    </row>
    <row r="2225" spans="3:5">
      <c r="C2225" t="e">
        <f t="shared" si="34"/>
        <v>#N/A</v>
      </c>
      <c r="D2225" t="s">
        <v>2413</v>
      </c>
      <c r="E2225" t="s">
        <v>2817</v>
      </c>
    </row>
    <row r="2226" spans="3:5">
      <c r="C2226" t="e">
        <f t="shared" si="34"/>
        <v>#N/A</v>
      </c>
      <c r="D2226" t="s">
        <v>2414</v>
      </c>
      <c r="E2226" t="s">
        <v>2817</v>
      </c>
    </row>
    <row r="2227" spans="3:5">
      <c r="C2227" t="e">
        <f t="shared" si="34"/>
        <v>#N/A</v>
      </c>
      <c r="D2227" t="s">
        <v>2415</v>
      </c>
      <c r="E2227" t="s">
        <v>2817</v>
      </c>
    </row>
    <row r="2228" spans="3:5">
      <c r="C2228" t="e">
        <f t="shared" si="34"/>
        <v>#N/A</v>
      </c>
      <c r="D2228" t="s">
        <v>2416</v>
      </c>
      <c r="E2228" t="s">
        <v>2817</v>
      </c>
    </row>
    <row r="2229" spans="3:5">
      <c r="C2229" t="e">
        <f t="shared" si="34"/>
        <v>#N/A</v>
      </c>
      <c r="D2229" t="s">
        <v>2417</v>
      </c>
      <c r="E2229" t="s">
        <v>2817</v>
      </c>
    </row>
    <row r="2230" spans="3:5">
      <c r="C2230" t="e">
        <f t="shared" si="34"/>
        <v>#N/A</v>
      </c>
      <c r="D2230" t="s">
        <v>2418</v>
      </c>
      <c r="E2230" t="s">
        <v>2817</v>
      </c>
    </row>
    <row r="2231" spans="3:5">
      <c r="C2231" t="e">
        <f t="shared" si="34"/>
        <v>#N/A</v>
      </c>
      <c r="D2231" t="s">
        <v>2419</v>
      </c>
      <c r="E2231" t="s">
        <v>2817</v>
      </c>
    </row>
    <row r="2232" spans="3:5">
      <c r="C2232" t="e">
        <f t="shared" si="34"/>
        <v>#N/A</v>
      </c>
      <c r="D2232" t="s">
        <v>2420</v>
      </c>
      <c r="E2232" t="s">
        <v>2817</v>
      </c>
    </row>
    <row r="2233" spans="3:5">
      <c r="C2233" t="e">
        <f t="shared" si="34"/>
        <v>#N/A</v>
      </c>
      <c r="D2233" t="s">
        <v>2421</v>
      </c>
      <c r="E2233" t="s">
        <v>2817</v>
      </c>
    </row>
    <row r="2234" spans="3:5">
      <c r="C2234" t="e">
        <f t="shared" si="34"/>
        <v>#N/A</v>
      </c>
      <c r="D2234" t="s">
        <v>2422</v>
      </c>
      <c r="E2234" t="s">
        <v>2817</v>
      </c>
    </row>
    <row r="2235" spans="3:5">
      <c r="C2235" t="e">
        <f t="shared" si="34"/>
        <v>#N/A</v>
      </c>
      <c r="D2235" t="s">
        <v>2423</v>
      </c>
      <c r="E2235" t="s">
        <v>2817</v>
      </c>
    </row>
    <row r="2236" spans="3:5">
      <c r="C2236" t="e">
        <f t="shared" si="34"/>
        <v>#N/A</v>
      </c>
      <c r="D2236" t="s">
        <v>2424</v>
      </c>
      <c r="E2236" t="s">
        <v>2817</v>
      </c>
    </row>
    <row r="2237" spans="3:5">
      <c r="C2237" t="e">
        <f t="shared" si="34"/>
        <v>#N/A</v>
      </c>
      <c r="D2237" t="s">
        <v>2425</v>
      </c>
      <c r="E2237" t="s">
        <v>2817</v>
      </c>
    </row>
    <row r="2238" spans="3:5">
      <c r="C2238" t="e">
        <f t="shared" si="34"/>
        <v>#N/A</v>
      </c>
      <c r="D2238" t="s">
        <v>2426</v>
      </c>
      <c r="E2238" t="s">
        <v>2817</v>
      </c>
    </row>
    <row r="2239" spans="3:5">
      <c r="C2239" t="e">
        <f t="shared" si="34"/>
        <v>#N/A</v>
      </c>
      <c r="D2239" t="s">
        <v>2427</v>
      </c>
      <c r="E2239" t="s">
        <v>2817</v>
      </c>
    </row>
    <row r="2240" spans="3:5">
      <c r="C2240" t="e">
        <f t="shared" si="34"/>
        <v>#N/A</v>
      </c>
      <c r="D2240" t="s">
        <v>2428</v>
      </c>
      <c r="E2240" t="s">
        <v>2817</v>
      </c>
    </row>
    <row r="2241" spans="3:5">
      <c r="C2241" t="e">
        <f t="shared" si="34"/>
        <v>#N/A</v>
      </c>
      <c r="D2241" t="s">
        <v>2429</v>
      </c>
      <c r="E2241" t="s">
        <v>2817</v>
      </c>
    </row>
    <row r="2242" spans="3:5">
      <c r="C2242" t="e">
        <f t="shared" si="34"/>
        <v>#N/A</v>
      </c>
      <c r="D2242" t="s">
        <v>2430</v>
      </c>
      <c r="E2242" t="s">
        <v>2817</v>
      </c>
    </row>
    <row r="2243" spans="3:5">
      <c r="C2243" t="e">
        <f t="shared" ref="C2243:C2306" si="35">VLOOKUP(B2243,D:E,2,0)</f>
        <v>#N/A</v>
      </c>
      <c r="D2243" t="s">
        <v>2431</v>
      </c>
      <c r="E2243" t="s">
        <v>2817</v>
      </c>
    </row>
    <row r="2244" spans="3:5">
      <c r="C2244" t="e">
        <f t="shared" si="35"/>
        <v>#N/A</v>
      </c>
      <c r="D2244" t="s">
        <v>2432</v>
      </c>
      <c r="E2244" t="s">
        <v>2817</v>
      </c>
    </row>
    <row r="2245" spans="3:5">
      <c r="C2245" t="e">
        <f t="shared" si="35"/>
        <v>#N/A</v>
      </c>
      <c r="D2245" t="s">
        <v>2433</v>
      </c>
      <c r="E2245" t="s">
        <v>2817</v>
      </c>
    </row>
    <row r="2246" spans="3:5">
      <c r="C2246" t="e">
        <f t="shared" si="35"/>
        <v>#N/A</v>
      </c>
      <c r="D2246" t="s">
        <v>2434</v>
      </c>
      <c r="E2246" t="s">
        <v>2817</v>
      </c>
    </row>
    <row r="2247" spans="3:5">
      <c r="C2247" t="e">
        <f t="shared" si="35"/>
        <v>#N/A</v>
      </c>
      <c r="D2247" t="s">
        <v>2435</v>
      </c>
      <c r="E2247" t="s">
        <v>2817</v>
      </c>
    </row>
    <row r="2248" spans="3:5">
      <c r="C2248" t="e">
        <f t="shared" si="35"/>
        <v>#N/A</v>
      </c>
      <c r="D2248" t="s">
        <v>2436</v>
      </c>
      <c r="E2248" t="s">
        <v>2817</v>
      </c>
    </row>
    <row r="2249" spans="3:5">
      <c r="C2249" t="e">
        <f t="shared" si="35"/>
        <v>#N/A</v>
      </c>
      <c r="D2249" t="s">
        <v>2437</v>
      </c>
      <c r="E2249" t="s">
        <v>2817</v>
      </c>
    </row>
    <row r="2250" spans="3:5">
      <c r="C2250" t="e">
        <f t="shared" si="35"/>
        <v>#N/A</v>
      </c>
      <c r="D2250" t="s">
        <v>2438</v>
      </c>
      <c r="E2250" t="s">
        <v>2817</v>
      </c>
    </row>
    <row r="2251" spans="3:5">
      <c r="C2251" t="e">
        <f t="shared" si="35"/>
        <v>#N/A</v>
      </c>
      <c r="D2251" t="s">
        <v>2439</v>
      </c>
      <c r="E2251" t="s">
        <v>2817</v>
      </c>
    </row>
    <row r="2252" spans="3:5">
      <c r="C2252" t="e">
        <f t="shared" si="35"/>
        <v>#N/A</v>
      </c>
      <c r="D2252" t="s">
        <v>2440</v>
      </c>
      <c r="E2252" t="s">
        <v>2817</v>
      </c>
    </row>
    <row r="2253" spans="3:5">
      <c r="C2253" t="e">
        <f t="shared" si="35"/>
        <v>#N/A</v>
      </c>
      <c r="D2253" t="s">
        <v>2441</v>
      </c>
      <c r="E2253" t="s">
        <v>2817</v>
      </c>
    </row>
    <row r="2254" spans="3:5">
      <c r="C2254" t="e">
        <f t="shared" si="35"/>
        <v>#N/A</v>
      </c>
      <c r="D2254" t="s">
        <v>2442</v>
      </c>
      <c r="E2254" t="s">
        <v>2817</v>
      </c>
    </row>
    <row r="2255" spans="3:5">
      <c r="C2255" t="e">
        <f t="shared" si="35"/>
        <v>#N/A</v>
      </c>
      <c r="D2255" t="s">
        <v>2443</v>
      </c>
      <c r="E2255" t="s">
        <v>2817</v>
      </c>
    </row>
    <row r="2256" spans="3:5">
      <c r="C2256" t="e">
        <f t="shared" si="35"/>
        <v>#N/A</v>
      </c>
      <c r="D2256" t="s">
        <v>2444</v>
      </c>
      <c r="E2256" t="s">
        <v>2817</v>
      </c>
    </row>
    <row r="2257" spans="3:5">
      <c r="C2257" t="e">
        <f t="shared" si="35"/>
        <v>#N/A</v>
      </c>
      <c r="D2257" t="s">
        <v>2445</v>
      </c>
      <c r="E2257" t="s">
        <v>2817</v>
      </c>
    </row>
    <row r="2258" spans="3:5">
      <c r="C2258" t="e">
        <f t="shared" si="35"/>
        <v>#N/A</v>
      </c>
      <c r="D2258" t="s">
        <v>2446</v>
      </c>
      <c r="E2258" t="s">
        <v>2817</v>
      </c>
    </row>
    <row r="2259" spans="3:5">
      <c r="C2259" t="e">
        <f t="shared" si="35"/>
        <v>#N/A</v>
      </c>
      <c r="D2259" t="s">
        <v>2447</v>
      </c>
      <c r="E2259" t="s">
        <v>2817</v>
      </c>
    </row>
    <row r="2260" spans="3:5">
      <c r="C2260" t="e">
        <f t="shared" si="35"/>
        <v>#N/A</v>
      </c>
      <c r="D2260" t="s">
        <v>2448</v>
      </c>
      <c r="E2260" t="s">
        <v>2817</v>
      </c>
    </row>
    <row r="2261" spans="3:5">
      <c r="C2261" t="e">
        <f t="shared" si="35"/>
        <v>#N/A</v>
      </c>
      <c r="D2261" t="s">
        <v>2449</v>
      </c>
      <c r="E2261" t="s">
        <v>2817</v>
      </c>
    </row>
    <row r="2262" spans="3:5">
      <c r="C2262" t="e">
        <f t="shared" si="35"/>
        <v>#N/A</v>
      </c>
      <c r="D2262" t="s">
        <v>2450</v>
      </c>
      <c r="E2262" t="s">
        <v>2817</v>
      </c>
    </row>
    <row r="2263" spans="3:5">
      <c r="C2263" t="e">
        <f t="shared" si="35"/>
        <v>#N/A</v>
      </c>
      <c r="D2263" t="s">
        <v>2451</v>
      </c>
      <c r="E2263" t="s">
        <v>2817</v>
      </c>
    </row>
    <row r="2264" spans="3:5">
      <c r="C2264" t="e">
        <f t="shared" si="35"/>
        <v>#N/A</v>
      </c>
      <c r="D2264" t="s">
        <v>2452</v>
      </c>
      <c r="E2264" t="s">
        <v>2817</v>
      </c>
    </row>
    <row r="2265" spans="3:5">
      <c r="C2265" t="e">
        <f t="shared" si="35"/>
        <v>#N/A</v>
      </c>
      <c r="D2265" t="s">
        <v>2453</v>
      </c>
      <c r="E2265" t="s">
        <v>2817</v>
      </c>
    </row>
    <row r="2266" spans="3:5">
      <c r="C2266" t="e">
        <f t="shared" si="35"/>
        <v>#N/A</v>
      </c>
      <c r="D2266" t="s">
        <v>2454</v>
      </c>
      <c r="E2266" t="s">
        <v>2817</v>
      </c>
    </row>
    <row r="2267" spans="3:5">
      <c r="C2267" t="e">
        <f t="shared" si="35"/>
        <v>#N/A</v>
      </c>
      <c r="D2267" t="s">
        <v>2455</v>
      </c>
      <c r="E2267" t="s">
        <v>2817</v>
      </c>
    </row>
    <row r="2268" spans="3:5">
      <c r="C2268" t="e">
        <f t="shared" si="35"/>
        <v>#N/A</v>
      </c>
      <c r="D2268" t="s">
        <v>2456</v>
      </c>
      <c r="E2268" t="s">
        <v>2817</v>
      </c>
    </row>
    <row r="2269" spans="3:5">
      <c r="C2269" t="e">
        <f t="shared" si="35"/>
        <v>#N/A</v>
      </c>
      <c r="D2269" t="s">
        <v>2457</v>
      </c>
      <c r="E2269" t="s">
        <v>2817</v>
      </c>
    </row>
    <row r="2270" spans="3:5">
      <c r="C2270" t="e">
        <f t="shared" si="35"/>
        <v>#N/A</v>
      </c>
      <c r="D2270" t="s">
        <v>2458</v>
      </c>
      <c r="E2270" t="s">
        <v>2817</v>
      </c>
    </row>
    <row r="2271" spans="3:5">
      <c r="C2271" t="e">
        <f t="shared" si="35"/>
        <v>#N/A</v>
      </c>
      <c r="D2271" t="s">
        <v>2459</v>
      </c>
      <c r="E2271" t="s">
        <v>2817</v>
      </c>
    </row>
    <row r="2272" spans="3:5">
      <c r="C2272" t="e">
        <f t="shared" si="35"/>
        <v>#N/A</v>
      </c>
      <c r="D2272" t="s">
        <v>2460</v>
      </c>
      <c r="E2272" t="s">
        <v>2817</v>
      </c>
    </row>
    <row r="2273" spans="3:5">
      <c r="C2273" t="e">
        <f t="shared" si="35"/>
        <v>#N/A</v>
      </c>
      <c r="D2273" t="s">
        <v>2461</v>
      </c>
      <c r="E2273" t="s">
        <v>2817</v>
      </c>
    </row>
    <row r="2274" spans="3:5">
      <c r="C2274" t="e">
        <f t="shared" si="35"/>
        <v>#N/A</v>
      </c>
      <c r="D2274" t="s">
        <v>2462</v>
      </c>
      <c r="E2274" t="s">
        <v>2817</v>
      </c>
    </row>
    <row r="2275" spans="3:5">
      <c r="C2275" t="e">
        <f t="shared" si="35"/>
        <v>#N/A</v>
      </c>
      <c r="D2275" t="s">
        <v>2463</v>
      </c>
      <c r="E2275" t="s">
        <v>2817</v>
      </c>
    </row>
    <row r="2276" spans="3:5">
      <c r="C2276" t="e">
        <f t="shared" si="35"/>
        <v>#N/A</v>
      </c>
      <c r="D2276" t="s">
        <v>2464</v>
      </c>
      <c r="E2276" t="s">
        <v>2817</v>
      </c>
    </row>
    <row r="2277" spans="3:5">
      <c r="C2277" t="e">
        <f t="shared" si="35"/>
        <v>#N/A</v>
      </c>
      <c r="D2277" t="s">
        <v>2465</v>
      </c>
      <c r="E2277" t="s">
        <v>2817</v>
      </c>
    </row>
    <row r="2278" spans="3:5">
      <c r="C2278" t="e">
        <f t="shared" si="35"/>
        <v>#N/A</v>
      </c>
      <c r="D2278" t="s">
        <v>2466</v>
      </c>
      <c r="E2278" t="s">
        <v>2817</v>
      </c>
    </row>
    <row r="2279" spans="3:5">
      <c r="C2279" t="e">
        <f t="shared" si="35"/>
        <v>#N/A</v>
      </c>
      <c r="D2279" t="s">
        <v>2467</v>
      </c>
      <c r="E2279" t="s">
        <v>2817</v>
      </c>
    </row>
    <row r="2280" spans="3:5">
      <c r="C2280" t="e">
        <f t="shared" si="35"/>
        <v>#N/A</v>
      </c>
      <c r="D2280" t="s">
        <v>2468</v>
      </c>
      <c r="E2280" t="s">
        <v>2817</v>
      </c>
    </row>
    <row r="2281" spans="3:5">
      <c r="C2281" t="e">
        <f t="shared" si="35"/>
        <v>#N/A</v>
      </c>
      <c r="D2281" t="s">
        <v>2469</v>
      </c>
      <c r="E2281" t="s">
        <v>2817</v>
      </c>
    </row>
    <row r="2282" spans="3:5">
      <c r="C2282" t="e">
        <f t="shared" si="35"/>
        <v>#N/A</v>
      </c>
      <c r="D2282" t="s">
        <v>2470</v>
      </c>
      <c r="E2282" t="s">
        <v>2817</v>
      </c>
    </row>
    <row r="2283" spans="3:5">
      <c r="C2283" t="e">
        <f t="shared" si="35"/>
        <v>#N/A</v>
      </c>
      <c r="D2283" t="s">
        <v>2471</v>
      </c>
      <c r="E2283" t="s">
        <v>2817</v>
      </c>
    </row>
    <row r="2284" spans="3:5">
      <c r="C2284" t="e">
        <f t="shared" si="35"/>
        <v>#N/A</v>
      </c>
      <c r="D2284" t="s">
        <v>2472</v>
      </c>
      <c r="E2284" t="s">
        <v>2817</v>
      </c>
    </row>
    <row r="2285" spans="3:5">
      <c r="C2285" t="e">
        <f t="shared" si="35"/>
        <v>#N/A</v>
      </c>
      <c r="D2285" t="s">
        <v>2473</v>
      </c>
      <c r="E2285" t="s">
        <v>2817</v>
      </c>
    </row>
    <row r="2286" spans="3:5">
      <c r="C2286" t="e">
        <f t="shared" si="35"/>
        <v>#N/A</v>
      </c>
      <c r="D2286" t="s">
        <v>2474</v>
      </c>
      <c r="E2286" t="s">
        <v>2817</v>
      </c>
    </row>
    <row r="2287" spans="3:5">
      <c r="C2287" t="e">
        <f t="shared" si="35"/>
        <v>#N/A</v>
      </c>
      <c r="D2287" t="s">
        <v>2475</v>
      </c>
      <c r="E2287" t="s">
        <v>2817</v>
      </c>
    </row>
    <row r="2288" spans="3:5">
      <c r="C2288" t="e">
        <f t="shared" si="35"/>
        <v>#N/A</v>
      </c>
      <c r="D2288" t="s">
        <v>2476</v>
      </c>
      <c r="E2288" t="s">
        <v>2817</v>
      </c>
    </row>
    <row r="2289" spans="3:5">
      <c r="C2289" t="e">
        <f t="shared" si="35"/>
        <v>#N/A</v>
      </c>
      <c r="D2289" t="s">
        <v>2477</v>
      </c>
      <c r="E2289" t="s">
        <v>2817</v>
      </c>
    </row>
    <row r="2290" spans="3:5">
      <c r="C2290" t="e">
        <f t="shared" si="35"/>
        <v>#N/A</v>
      </c>
      <c r="D2290" t="s">
        <v>2478</v>
      </c>
      <c r="E2290" t="s">
        <v>2817</v>
      </c>
    </row>
    <row r="2291" spans="3:5">
      <c r="C2291" t="e">
        <f t="shared" si="35"/>
        <v>#N/A</v>
      </c>
      <c r="D2291" t="s">
        <v>2479</v>
      </c>
      <c r="E2291" t="s">
        <v>2817</v>
      </c>
    </row>
    <row r="2292" spans="3:5">
      <c r="C2292" t="e">
        <f t="shared" si="35"/>
        <v>#N/A</v>
      </c>
      <c r="D2292" t="s">
        <v>2480</v>
      </c>
      <c r="E2292" t="s">
        <v>2817</v>
      </c>
    </row>
    <row r="2293" spans="3:5">
      <c r="C2293" t="e">
        <f t="shared" si="35"/>
        <v>#N/A</v>
      </c>
      <c r="D2293" t="s">
        <v>2481</v>
      </c>
      <c r="E2293" t="s">
        <v>2817</v>
      </c>
    </row>
    <row r="2294" spans="3:5">
      <c r="C2294" t="e">
        <f t="shared" si="35"/>
        <v>#N/A</v>
      </c>
      <c r="D2294" t="s">
        <v>2482</v>
      </c>
      <c r="E2294" t="s">
        <v>2817</v>
      </c>
    </row>
    <row r="2295" spans="3:5">
      <c r="C2295" t="e">
        <f t="shared" si="35"/>
        <v>#N/A</v>
      </c>
      <c r="D2295" t="s">
        <v>2483</v>
      </c>
      <c r="E2295" t="s">
        <v>2817</v>
      </c>
    </row>
    <row r="2296" spans="3:5">
      <c r="C2296" t="e">
        <f t="shared" si="35"/>
        <v>#N/A</v>
      </c>
      <c r="D2296" t="s">
        <v>2484</v>
      </c>
      <c r="E2296" t="s">
        <v>2817</v>
      </c>
    </row>
    <row r="2297" spans="3:5">
      <c r="C2297" t="e">
        <f t="shared" si="35"/>
        <v>#N/A</v>
      </c>
      <c r="D2297" t="s">
        <v>2485</v>
      </c>
      <c r="E2297" t="s">
        <v>2817</v>
      </c>
    </row>
    <row r="2298" spans="3:5">
      <c r="C2298" t="e">
        <f t="shared" si="35"/>
        <v>#N/A</v>
      </c>
      <c r="D2298" t="s">
        <v>2486</v>
      </c>
      <c r="E2298" t="s">
        <v>2817</v>
      </c>
    </row>
    <row r="2299" spans="3:5">
      <c r="C2299" t="e">
        <f t="shared" si="35"/>
        <v>#N/A</v>
      </c>
      <c r="D2299" t="s">
        <v>2487</v>
      </c>
      <c r="E2299" t="s">
        <v>2817</v>
      </c>
    </row>
    <row r="2300" spans="3:5">
      <c r="C2300" t="e">
        <f t="shared" si="35"/>
        <v>#N/A</v>
      </c>
      <c r="D2300" t="s">
        <v>2488</v>
      </c>
      <c r="E2300" t="s">
        <v>2817</v>
      </c>
    </row>
    <row r="2301" spans="3:5">
      <c r="C2301" t="e">
        <f t="shared" si="35"/>
        <v>#N/A</v>
      </c>
      <c r="D2301" t="s">
        <v>2489</v>
      </c>
      <c r="E2301" t="s">
        <v>2817</v>
      </c>
    </row>
    <row r="2302" spans="3:5">
      <c r="C2302" t="e">
        <f t="shared" si="35"/>
        <v>#N/A</v>
      </c>
      <c r="D2302" t="s">
        <v>2490</v>
      </c>
      <c r="E2302" t="s">
        <v>2817</v>
      </c>
    </row>
    <row r="2303" spans="3:5">
      <c r="C2303" t="e">
        <f t="shared" si="35"/>
        <v>#N/A</v>
      </c>
      <c r="D2303" t="s">
        <v>2491</v>
      </c>
      <c r="E2303" t="s">
        <v>2817</v>
      </c>
    </row>
    <row r="2304" spans="3:5">
      <c r="C2304" t="e">
        <f t="shared" si="35"/>
        <v>#N/A</v>
      </c>
      <c r="D2304" t="s">
        <v>2492</v>
      </c>
      <c r="E2304" t="s">
        <v>2817</v>
      </c>
    </row>
    <row r="2305" spans="3:5">
      <c r="C2305" t="e">
        <f t="shared" si="35"/>
        <v>#N/A</v>
      </c>
      <c r="D2305" t="s">
        <v>2493</v>
      </c>
      <c r="E2305" t="s">
        <v>2817</v>
      </c>
    </row>
    <row r="2306" spans="3:5">
      <c r="C2306" t="e">
        <f t="shared" si="35"/>
        <v>#N/A</v>
      </c>
      <c r="D2306" t="s">
        <v>2494</v>
      </c>
      <c r="E2306" t="s">
        <v>2817</v>
      </c>
    </row>
    <row r="2307" spans="3:5">
      <c r="C2307" t="e">
        <f t="shared" ref="C2307:C2370" si="36">VLOOKUP(B2307,D:E,2,0)</f>
        <v>#N/A</v>
      </c>
      <c r="D2307" t="s">
        <v>2495</v>
      </c>
      <c r="E2307" t="s">
        <v>2817</v>
      </c>
    </row>
    <row r="2308" spans="3:5">
      <c r="C2308" t="e">
        <f t="shared" si="36"/>
        <v>#N/A</v>
      </c>
      <c r="D2308" t="s">
        <v>2496</v>
      </c>
      <c r="E2308" t="s">
        <v>2817</v>
      </c>
    </row>
    <row r="2309" spans="3:5">
      <c r="C2309" t="e">
        <f t="shared" si="36"/>
        <v>#N/A</v>
      </c>
      <c r="D2309" t="s">
        <v>2497</v>
      </c>
      <c r="E2309" t="s">
        <v>2817</v>
      </c>
    </row>
    <row r="2310" spans="3:5">
      <c r="C2310" t="e">
        <f t="shared" si="36"/>
        <v>#N/A</v>
      </c>
      <c r="D2310" t="s">
        <v>2498</v>
      </c>
      <c r="E2310" t="s">
        <v>2817</v>
      </c>
    </row>
    <row r="2311" spans="3:5">
      <c r="C2311" t="e">
        <f t="shared" si="36"/>
        <v>#N/A</v>
      </c>
      <c r="D2311" t="s">
        <v>2499</v>
      </c>
      <c r="E2311" t="s">
        <v>2817</v>
      </c>
    </row>
    <row r="2312" spans="3:5">
      <c r="C2312" t="e">
        <f t="shared" si="36"/>
        <v>#N/A</v>
      </c>
      <c r="D2312" t="s">
        <v>2500</v>
      </c>
      <c r="E2312" t="s">
        <v>2817</v>
      </c>
    </row>
    <row r="2313" spans="3:5">
      <c r="C2313" t="e">
        <f t="shared" si="36"/>
        <v>#N/A</v>
      </c>
      <c r="D2313" t="s">
        <v>2501</v>
      </c>
      <c r="E2313" t="s">
        <v>2817</v>
      </c>
    </row>
    <row r="2314" spans="3:5">
      <c r="C2314" t="e">
        <f t="shared" si="36"/>
        <v>#N/A</v>
      </c>
      <c r="D2314" t="s">
        <v>2502</v>
      </c>
      <c r="E2314" t="s">
        <v>2817</v>
      </c>
    </row>
    <row r="2315" spans="3:5">
      <c r="C2315" t="e">
        <f t="shared" si="36"/>
        <v>#N/A</v>
      </c>
      <c r="D2315" t="s">
        <v>2503</v>
      </c>
      <c r="E2315" t="s">
        <v>2817</v>
      </c>
    </row>
    <row r="2316" spans="3:5">
      <c r="C2316" t="e">
        <f t="shared" si="36"/>
        <v>#N/A</v>
      </c>
      <c r="D2316" t="s">
        <v>2504</v>
      </c>
      <c r="E2316" t="s">
        <v>2817</v>
      </c>
    </row>
    <row r="2317" spans="3:5">
      <c r="C2317" t="e">
        <f t="shared" si="36"/>
        <v>#N/A</v>
      </c>
      <c r="D2317" t="s">
        <v>2505</v>
      </c>
      <c r="E2317" t="s">
        <v>2817</v>
      </c>
    </row>
    <row r="2318" spans="3:5">
      <c r="C2318" t="e">
        <f t="shared" si="36"/>
        <v>#N/A</v>
      </c>
      <c r="D2318" t="s">
        <v>2506</v>
      </c>
      <c r="E2318" t="s">
        <v>2817</v>
      </c>
    </row>
    <row r="2319" spans="3:5">
      <c r="C2319" t="e">
        <f t="shared" si="36"/>
        <v>#N/A</v>
      </c>
      <c r="D2319" t="s">
        <v>2507</v>
      </c>
      <c r="E2319" t="s">
        <v>2817</v>
      </c>
    </row>
    <row r="2320" spans="3:5">
      <c r="C2320" t="e">
        <f t="shared" si="36"/>
        <v>#N/A</v>
      </c>
      <c r="D2320" t="s">
        <v>2508</v>
      </c>
      <c r="E2320" t="s">
        <v>2817</v>
      </c>
    </row>
    <row r="2321" spans="3:5">
      <c r="C2321" t="e">
        <f t="shared" si="36"/>
        <v>#N/A</v>
      </c>
      <c r="D2321" t="s">
        <v>2509</v>
      </c>
      <c r="E2321" t="s">
        <v>2817</v>
      </c>
    </row>
    <row r="2322" spans="3:5">
      <c r="C2322" t="e">
        <f t="shared" si="36"/>
        <v>#N/A</v>
      </c>
      <c r="D2322" t="s">
        <v>2510</v>
      </c>
      <c r="E2322" t="s">
        <v>2817</v>
      </c>
    </row>
    <row r="2323" spans="3:5">
      <c r="C2323" t="e">
        <f t="shared" si="36"/>
        <v>#N/A</v>
      </c>
      <c r="D2323" t="s">
        <v>2511</v>
      </c>
      <c r="E2323" t="s">
        <v>2817</v>
      </c>
    </row>
    <row r="2324" spans="3:5">
      <c r="C2324" t="e">
        <f t="shared" si="36"/>
        <v>#N/A</v>
      </c>
      <c r="D2324" t="s">
        <v>2512</v>
      </c>
      <c r="E2324" t="s">
        <v>2817</v>
      </c>
    </row>
    <row r="2325" spans="3:5">
      <c r="C2325" t="e">
        <f t="shared" si="36"/>
        <v>#N/A</v>
      </c>
      <c r="D2325" t="s">
        <v>2513</v>
      </c>
      <c r="E2325" t="s">
        <v>2817</v>
      </c>
    </row>
    <row r="2326" spans="3:5">
      <c r="C2326" t="e">
        <f t="shared" si="36"/>
        <v>#N/A</v>
      </c>
      <c r="D2326" t="s">
        <v>2514</v>
      </c>
      <c r="E2326" t="s">
        <v>2817</v>
      </c>
    </row>
    <row r="2327" spans="3:5">
      <c r="C2327" t="e">
        <f t="shared" si="36"/>
        <v>#N/A</v>
      </c>
      <c r="D2327" t="s">
        <v>2515</v>
      </c>
      <c r="E2327" t="s">
        <v>2817</v>
      </c>
    </row>
    <row r="2328" spans="3:5">
      <c r="C2328" t="e">
        <f t="shared" si="36"/>
        <v>#N/A</v>
      </c>
      <c r="D2328" t="s">
        <v>2516</v>
      </c>
      <c r="E2328" t="s">
        <v>2817</v>
      </c>
    </row>
    <row r="2329" spans="3:5">
      <c r="C2329" t="e">
        <f t="shared" si="36"/>
        <v>#N/A</v>
      </c>
      <c r="D2329" t="s">
        <v>2517</v>
      </c>
      <c r="E2329" t="s">
        <v>2817</v>
      </c>
    </row>
    <row r="2330" spans="3:5">
      <c r="C2330" t="e">
        <f t="shared" si="36"/>
        <v>#N/A</v>
      </c>
      <c r="D2330" t="s">
        <v>2518</v>
      </c>
      <c r="E2330" t="s">
        <v>2817</v>
      </c>
    </row>
    <row r="2331" spans="3:5">
      <c r="C2331" t="e">
        <f t="shared" si="36"/>
        <v>#N/A</v>
      </c>
      <c r="D2331" t="s">
        <v>2519</v>
      </c>
      <c r="E2331" t="s">
        <v>2817</v>
      </c>
    </row>
    <row r="2332" spans="3:5">
      <c r="C2332" t="e">
        <f t="shared" si="36"/>
        <v>#N/A</v>
      </c>
      <c r="D2332" t="s">
        <v>2520</v>
      </c>
      <c r="E2332" t="s">
        <v>2817</v>
      </c>
    </row>
    <row r="2333" spans="3:5">
      <c r="C2333" t="e">
        <f t="shared" si="36"/>
        <v>#N/A</v>
      </c>
      <c r="D2333" t="s">
        <v>2521</v>
      </c>
      <c r="E2333" t="s">
        <v>2817</v>
      </c>
    </row>
    <row r="2334" spans="3:5">
      <c r="C2334" t="e">
        <f t="shared" si="36"/>
        <v>#N/A</v>
      </c>
      <c r="D2334" t="s">
        <v>2522</v>
      </c>
      <c r="E2334" t="s">
        <v>2817</v>
      </c>
    </row>
    <row r="2335" spans="3:5">
      <c r="C2335" t="e">
        <f t="shared" si="36"/>
        <v>#N/A</v>
      </c>
      <c r="D2335" t="s">
        <v>2523</v>
      </c>
      <c r="E2335" t="s">
        <v>2817</v>
      </c>
    </row>
    <row r="2336" spans="3:5">
      <c r="C2336" t="e">
        <f t="shared" si="36"/>
        <v>#N/A</v>
      </c>
      <c r="D2336" t="s">
        <v>2524</v>
      </c>
      <c r="E2336" t="s">
        <v>2817</v>
      </c>
    </row>
    <row r="2337" spans="3:5">
      <c r="C2337" t="e">
        <f t="shared" si="36"/>
        <v>#N/A</v>
      </c>
      <c r="D2337" t="s">
        <v>2525</v>
      </c>
      <c r="E2337" t="s">
        <v>2817</v>
      </c>
    </row>
    <row r="2338" spans="3:5">
      <c r="C2338" t="e">
        <f t="shared" si="36"/>
        <v>#N/A</v>
      </c>
      <c r="D2338" t="s">
        <v>2526</v>
      </c>
      <c r="E2338" t="s">
        <v>2817</v>
      </c>
    </row>
    <row r="2339" spans="3:5">
      <c r="C2339" t="e">
        <f t="shared" si="36"/>
        <v>#N/A</v>
      </c>
      <c r="D2339" t="s">
        <v>2527</v>
      </c>
      <c r="E2339" t="s">
        <v>2817</v>
      </c>
    </row>
    <row r="2340" spans="3:5">
      <c r="C2340" t="e">
        <f t="shared" si="36"/>
        <v>#N/A</v>
      </c>
      <c r="D2340" t="s">
        <v>2528</v>
      </c>
      <c r="E2340" t="s">
        <v>2817</v>
      </c>
    </row>
    <row r="2341" spans="3:5">
      <c r="C2341" t="e">
        <f t="shared" si="36"/>
        <v>#N/A</v>
      </c>
      <c r="D2341" t="s">
        <v>2529</v>
      </c>
      <c r="E2341" t="s">
        <v>2817</v>
      </c>
    </row>
    <row r="2342" spans="3:5">
      <c r="C2342" t="e">
        <f t="shared" si="36"/>
        <v>#N/A</v>
      </c>
      <c r="D2342" t="s">
        <v>2530</v>
      </c>
      <c r="E2342" t="s">
        <v>2817</v>
      </c>
    </row>
    <row r="2343" spans="3:5">
      <c r="C2343" t="e">
        <f t="shared" si="36"/>
        <v>#N/A</v>
      </c>
      <c r="D2343" t="s">
        <v>2531</v>
      </c>
      <c r="E2343" t="s">
        <v>2817</v>
      </c>
    </row>
    <row r="2344" spans="3:5">
      <c r="C2344" t="e">
        <f t="shared" si="36"/>
        <v>#N/A</v>
      </c>
      <c r="D2344" t="s">
        <v>2532</v>
      </c>
      <c r="E2344" t="s">
        <v>2817</v>
      </c>
    </row>
    <row r="2345" spans="3:5">
      <c r="C2345" t="e">
        <f t="shared" si="36"/>
        <v>#N/A</v>
      </c>
      <c r="D2345" t="s">
        <v>2533</v>
      </c>
      <c r="E2345" t="s">
        <v>2817</v>
      </c>
    </row>
    <row r="2346" spans="3:5">
      <c r="C2346" t="e">
        <f t="shared" si="36"/>
        <v>#N/A</v>
      </c>
      <c r="D2346" t="s">
        <v>2534</v>
      </c>
      <c r="E2346" t="s">
        <v>2817</v>
      </c>
    </row>
    <row r="2347" spans="3:5">
      <c r="C2347" t="e">
        <f t="shared" si="36"/>
        <v>#N/A</v>
      </c>
      <c r="D2347" t="s">
        <v>2535</v>
      </c>
      <c r="E2347" t="s">
        <v>2817</v>
      </c>
    </row>
    <row r="2348" spans="3:5">
      <c r="C2348" t="e">
        <f t="shared" si="36"/>
        <v>#N/A</v>
      </c>
      <c r="D2348" t="s">
        <v>2536</v>
      </c>
      <c r="E2348" t="s">
        <v>2817</v>
      </c>
    </row>
    <row r="2349" spans="3:5">
      <c r="C2349" t="e">
        <f t="shared" si="36"/>
        <v>#N/A</v>
      </c>
      <c r="D2349" t="s">
        <v>2537</v>
      </c>
      <c r="E2349" t="s">
        <v>2817</v>
      </c>
    </row>
    <row r="2350" spans="3:5">
      <c r="C2350" t="e">
        <f t="shared" si="36"/>
        <v>#N/A</v>
      </c>
      <c r="D2350" t="s">
        <v>2538</v>
      </c>
      <c r="E2350" t="s">
        <v>2817</v>
      </c>
    </row>
    <row r="2351" spans="3:5">
      <c r="C2351" t="e">
        <f t="shared" si="36"/>
        <v>#N/A</v>
      </c>
      <c r="D2351" t="s">
        <v>2539</v>
      </c>
      <c r="E2351" t="s">
        <v>2817</v>
      </c>
    </row>
    <row r="2352" spans="3:5">
      <c r="C2352" t="e">
        <f t="shared" si="36"/>
        <v>#N/A</v>
      </c>
      <c r="D2352" t="s">
        <v>2540</v>
      </c>
      <c r="E2352" t="s">
        <v>2817</v>
      </c>
    </row>
    <row r="2353" spans="3:5">
      <c r="C2353" t="e">
        <f t="shared" si="36"/>
        <v>#N/A</v>
      </c>
      <c r="D2353" t="s">
        <v>2541</v>
      </c>
      <c r="E2353" t="s">
        <v>2817</v>
      </c>
    </row>
    <row r="2354" spans="3:5">
      <c r="C2354" t="e">
        <f t="shared" si="36"/>
        <v>#N/A</v>
      </c>
      <c r="D2354" t="s">
        <v>2542</v>
      </c>
      <c r="E2354" t="s">
        <v>2817</v>
      </c>
    </row>
    <row r="2355" spans="3:5">
      <c r="C2355" t="e">
        <f t="shared" si="36"/>
        <v>#N/A</v>
      </c>
      <c r="D2355" t="s">
        <v>2543</v>
      </c>
      <c r="E2355" t="s">
        <v>2817</v>
      </c>
    </row>
    <row r="2356" spans="3:5">
      <c r="C2356" t="e">
        <f t="shared" si="36"/>
        <v>#N/A</v>
      </c>
      <c r="D2356" t="s">
        <v>2544</v>
      </c>
      <c r="E2356" t="s">
        <v>2817</v>
      </c>
    </row>
    <row r="2357" spans="3:5">
      <c r="C2357" t="e">
        <f t="shared" si="36"/>
        <v>#N/A</v>
      </c>
      <c r="D2357" t="s">
        <v>2545</v>
      </c>
      <c r="E2357" t="s">
        <v>2817</v>
      </c>
    </row>
    <row r="2358" spans="3:5">
      <c r="C2358" t="e">
        <f t="shared" si="36"/>
        <v>#N/A</v>
      </c>
      <c r="D2358" t="s">
        <v>2546</v>
      </c>
      <c r="E2358" t="s">
        <v>2817</v>
      </c>
    </row>
    <row r="2359" spans="3:5">
      <c r="C2359" t="e">
        <f t="shared" si="36"/>
        <v>#N/A</v>
      </c>
      <c r="D2359" t="s">
        <v>2547</v>
      </c>
      <c r="E2359" t="s">
        <v>2817</v>
      </c>
    </row>
    <row r="2360" spans="3:5">
      <c r="C2360" t="e">
        <f t="shared" si="36"/>
        <v>#N/A</v>
      </c>
      <c r="D2360" t="s">
        <v>2548</v>
      </c>
      <c r="E2360" t="s">
        <v>2817</v>
      </c>
    </row>
    <row r="2361" spans="3:5">
      <c r="C2361" t="e">
        <f t="shared" si="36"/>
        <v>#N/A</v>
      </c>
      <c r="D2361" t="s">
        <v>2549</v>
      </c>
      <c r="E2361" t="s">
        <v>2817</v>
      </c>
    </row>
    <row r="2362" spans="3:5">
      <c r="C2362" t="e">
        <f t="shared" si="36"/>
        <v>#N/A</v>
      </c>
      <c r="D2362" t="s">
        <v>2550</v>
      </c>
      <c r="E2362" t="s">
        <v>2817</v>
      </c>
    </row>
    <row r="2363" spans="3:5">
      <c r="C2363" t="e">
        <f t="shared" si="36"/>
        <v>#N/A</v>
      </c>
      <c r="D2363" t="s">
        <v>2551</v>
      </c>
      <c r="E2363" t="s">
        <v>2817</v>
      </c>
    </row>
    <row r="2364" spans="3:5">
      <c r="C2364" t="e">
        <f t="shared" si="36"/>
        <v>#N/A</v>
      </c>
      <c r="D2364" t="s">
        <v>2552</v>
      </c>
      <c r="E2364" t="s">
        <v>2817</v>
      </c>
    </row>
    <row r="2365" spans="3:5">
      <c r="C2365" t="e">
        <f t="shared" si="36"/>
        <v>#N/A</v>
      </c>
      <c r="D2365" t="s">
        <v>2553</v>
      </c>
      <c r="E2365" t="s">
        <v>2817</v>
      </c>
    </row>
    <row r="2366" spans="3:5">
      <c r="C2366" t="e">
        <f t="shared" si="36"/>
        <v>#N/A</v>
      </c>
      <c r="D2366" t="s">
        <v>2554</v>
      </c>
      <c r="E2366" t="s">
        <v>2817</v>
      </c>
    </row>
    <row r="2367" spans="3:5">
      <c r="C2367" t="e">
        <f t="shared" si="36"/>
        <v>#N/A</v>
      </c>
      <c r="D2367" t="s">
        <v>2555</v>
      </c>
      <c r="E2367" t="s">
        <v>2817</v>
      </c>
    </row>
    <row r="2368" spans="3:5">
      <c r="C2368" t="e">
        <f t="shared" si="36"/>
        <v>#N/A</v>
      </c>
      <c r="D2368" t="s">
        <v>2556</v>
      </c>
      <c r="E2368" t="s">
        <v>2817</v>
      </c>
    </row>
    <row r="2369" spans="3:5">
      <c r="C2369" t="e">
        <f t="shared" si="36"/>
        <v>#N/A</v>
      </c>
      <c r="D2369" t="s">
        <v>2557</v>
      </c>
      <c r="E2369" t="s">
        <v>2817</v>
      </c>
    </row>
    <row r="2370" spans="3:5">
      <c r="C2370" t="e">
        <f t="shared" si="36"/>
        <v>#N/A</v>
      </c>
      <c r="D2370" t="s">
        <v>2558</v>
      </c>
      <c r="E2370" t="s">
        <v>2817</v>
      </c>
    </row>
    <row r="2371" spans="3:5">
      <c r="C2371" t="e">
        <f t="shared" ref="C2371:C2434" si="37">VLOOKUP(B2371,D:E,2,0)</f>
        <v>#N/A</v>
      </c>
      <c r="D2371" t="s">
        <v>2559</v>
      </c>
      <c r="E2371" t="s">
        <v>2817</v>
      </c>
    </row>
    <row r="2372" spans="3:5">
      <c r="C2372" t="e">
        <f t="shared" si="37"/>
        <v>#N/A</v>
      </c>
      <c r="D2372" t="s">
        <v>2560</v>
      </c>
      <c r="E2372" t="s">
        <v>2817</v>
      </c>
    </row>
    <row r="2373" spans="3:5">
      <c r="C2373" t="e">
        <f t="shared" si="37"/>
        <v>#N/A</v>
      </c>
      <c r="D2373" t="s">
        <v>2561</v>
      </c>
      <c r="E2373" t="s">
        <v>2817</v>
      </c>
    </row>
    <row r="2374" spans="3:5">
      <c r="C2374" t="e">
        <f t="shared" si="37"/>
        <v>#N/A</v>
      </c>
      <c r="D2374" t="s">
        <v>2562</v>
      </c>
      <c r="E2374" t="s">
        <v>2817</v>
      </c>
    </row>
    <row r="2375" spans="3:5">
      <c r="C2375" t="e">
        <f t="shared" si="37"/>
        <v>#N/A</v>
      </c>
      <c r="D2375" t="s">
        <v>2563</v>
      </c>
      <c r="E2375" t="s">
        <v>2817</v>
      </c>
    </row>
    <row r="2376" spans="3:5">
      <c r="C2376" t="e">
        <f t="shared" si="37"/>
        <v>#N/A</v>
      </c>
      <c r="D2376" t="s">
        <v>2564</v>
      </c>
      <c r="E2376" t="s">
        <v>2817</v>
      </c>
    </row>
    <row r="2377" spans="3:5">
      <c r="C2377" t="e">
        <f t="shared" si="37"/>
        <v>#N/A</v>
      </c>
      <c r="D2377" t="s">
        <v>2565</v>
      </c>
      <c r="E2377" t="s">
        <v>2817</v>
      </c>
    </row>
    <row r="2378" spans="3:5">
      <c r="C2378" t="e">
        <f t="shared" si="37"/>
        <v>#N/A</v>
      </c>
      <c r="D2378" t="s">
        <v>2566</v>
      </c>
      <c r="E2378" t="s">
        <v>2817</v>
      </c>
    </row>
    <row r="2379" spans="3:5">
      <c r="C2379" t="e">
        <f t="shared" si="37"/>
        <v>#N/A</v>
      </c>
      <c r="D2379" t="s">
        <v>2567</v>
      </c>
      <c r="E2379" t="s">
        <v>2817</v>
      </c>
    </row>
    <row r="2380" spans="3:5">
      <c r="C2380" t="e">
        <f t="shared" si="37"/>
        <v>#N/A</v>
      </c>
      <c r="D2380" t="s">
        <v>2568</v>
      </c>
      <c r="E2380" t="s">
        <v>2817</v>
      </c>
    </row>
    <row r="2381" spans="3:5">
      <c r="C2381" t="e">
        <f t="shared" si="37"/>
        <v>#N/A</v>
      </c>
      <c r="D2381" t="s">
        <v>2569</v>
      </c>
      <c r="E2381" t="s">
        <v>2817</v>
      </c>
    </row>
    <row r="2382" spans="3:5">
      <c r="C2382" t="e">
        <f t="shared" si="37"/>
        <v>#N/A</v>
      </c>
      <c r="D2382" t="s">
        <v>2570</v>
      </c>
      <c r="E2382" t="s">
        <v>2817</v>
      </c>
    </row>
    <row r="2383" spans="3:5">
      <c r="C2383" t="e">
        <f t="shared" si="37"/>
        <v>#N/A</v>
      </c>
      <c r="D2383" t="s">
        <v>2571</v>
      </c>
      <c r="E2383" t="s">
        <v>2817</v>
      </c>
    </row>
    <row r="2384" spans="3:5">
      <c r="C2384" t="e">
        <f t="shared" si="37"/>
        <v>#N/A</v>
      </c>
      <c r="D2384" t="s">
        <v>2572</v>
      </c>
      <c r="E2384" t="s">
        <v>2817</v>
      </c>
    </row>
    <row r="2385" spans="3:5">
      <c r="C2385" t="e">
        <f t="shared" si="37"/>
        <v>#N/A</v>
      </c>
      <c r="D2385" t="s">
        <v>2573</v>
      </c>
      <c r="E2385" t="s">
        <v>2817</v>
      </c>
    </row>
    <row r="2386" spans="3:5">
      <c r="C2386" t="e">
        <f t="shared" si="37"/>
        <v>#N/A</v>
      </c>
      <c r="D2386" t="s">
        <v>2574</v>
      </c>
      <c r="E2386" t="s">
        <v>2817</v>
      </c>
    </row>
    <row r="2387" spans="3:5">
      <c r="C2387" t="e">
        <f t="shared" si="37"/>
        <v>#N/A</v>
      </c>
      <c r="D2387" t="s">
        <v>2575</v>
      </c>
      <c r="E2387" t="s">
        <v>2817</v>
      </c>
    </row>
    <row r="2388" spans="3:5">
      <c r="C2388" t="e">
        <f t="shared" si="37"/>
        <v>#N/A</v>
      </c>
      <c r="D2388" t="s">
        <v>2576</v>
      </c>
      <c r="E2388" t="s">
        <v>2817</v>
      </c>
    </row>
    <row r="2389" spans="3:5">
      <c r="C2389" t="e">
        <f t="shared" si="37"/>
        <v>#N/A</v>
      </c>
      <c r="D2389" t="s">
        <v>2577</v>
      </c>
      <c r="E2389" t="s">
        <v>2817</v>
      </c>
    </row>
    <row r="2390" spans="3:5">
      <c r="C2390" t="e">
        <f t="shared" si="37"/>
        <v>#N/A</v>
      </c>
      <c r="D2390" t="s">
        <v>2578</v>
      </c>
      <c r="E2390" t="s">
        <v>2817</v>
      </c>
    </row>
    <row r="2391" spans="3:5">
      <c r="C2391" t="e">
        <f t="shared" si="37"/>
        <v>#N/A</v>
      </c>
      <c r="D2391" t="s">
        <v>2579</v>
      </c>
      <c r="E2391" t="s">
        <v>2817</v>
      </c>
    </row>
    <row r="2392" spans="3:5">
      <c r="C2392" t="e">
        <f t="shared" si="37"/>
        <v>#N/A</v>
      </c>
      <c r="D2392" t="s">
        <v>2580</v>
      </c>
      <c r="E2392" t="s">
        <v>2817</v>
      </c>
    </row>
    <row r="2393" spans="3:5">
      <c r="C2393" t="e">
        <f t="shared" si="37"/>
        <v>#N/A</v>
      </c>
      <c r="D2393" t="s">
        <v>2581</v>
      </c>
      <c r="E2393" t="s">
        <v>2817</v>
      </c>
    </row>
    <row r="2394" spans="3:5">
      <c r="C2394" t="e">
        <f t="shared" si="37"/>
        <v>#N/A</v>
      </c>
      <c r="D2394" t="s">
        <v>2582</v>
      </c>
      <c r="E2394" t="s">
        <v>2817</v>
      </c>
    </row>
    <row r="2395" spans="3:5">
      <c r="C2395" t="e">
        <f t="shared" si="37"/>
        <v>#N/A</v>
      </c>
      <c r="D2395" t="s">
        <v>2583</v>
      </c>
      <c r="E2395" t="s">
        <v>2817</v>
      </c>
    </row>
    <row r="2396" spans="3:5">
      <c r="C2396" t="e">
        <f t="shared" si="37"/>
        <v>#N/A</v>
      </c>
      <c r="D2396" t="s">
        <v>2584</v>
      </c>
      <c r="E2396" t="s">
        <v>2817</v>
      </c>
    </row>
    <row r="2397" spans="3:5">
      <c r="C2397" t="e">
        <f t="shared" si="37"/>
        <v>#N/A</v>
      </c>
      <c r="D2397" t="s">
        <v>2585</v>
      </c>
      <c r="E2397" t="s">
        <v>2817</v>
      </c>
    </row>
    <row r="2398" spans="3:5">
      <c r="C2398" t="e">
        <f t="shared" si="37"/>
        <v>#N/A</v>
      </c>
      <c r="D2398" t="s">
        <v>2586</v>
      </c>
      <c r="E2398" t="s">
        <v>2817</v>
      </c>
    </row>
    <row r="2399" spans="3:5">
      <c r="C2399" t="e">
        <f t="shared" si="37"/>
        <v>#N/A</v>
      </c>
      <c r="D2399" t="s">
        <v>2587</v>
      </c>
      <c r="E2399" t="s">
        <v>2817</v>
      </c>
    </row>
    <row r="2400" spans="3:5">
      <c r="C2400" t="e">
        <f t="shared" si="37"/>
        <v>#N/A</v>
      </c>
      <c r="D2400" t="s">
        <v>2588</v>
      </c>
      <c r="E2400" t="s">
        <v>2817</v>
      </c>
    </row>
    <row r="2401" spans="3:5">
      <c r="C2401" t="e">
        <f t="shared" si="37"/>
        <v>#N/A</v>
      </c>
      <c r="D2401" t="s">
        <v>2589</v>
      </c>
      <c r="E2401" t="s">
        <v>2817</v>
      </c>
    </row>
    <row r="2402" spans="3:5">
      <c r="C2402" t="e">
        <f t="shared" si="37"/>
        <v>#N/A</v>
      </c>
      <c r="D2402" t="s">
        <v>2590</v>
      </c>
      <c r="E2402" t="s">
        <v>2817</v>
      </c>
    </row>
    <row r="2403" spans="3:5">
      <c r="C2403" t="e">
        <f t="shared" si="37"/>
        <v>#N/A</v>
      </c>
      <c r="D2403" t="s">
        <v>2591</v>
      </c>
      <c r="E2403" t="s">
        <v>2817</v>
      </c>
    </row>
    <row r="2404" spans="3:5">
      <c r="C2404" t="e">
        <f t="shared" si="37"/>
        <v>#N/A</v>
      </c>
      <c r="D2404" t="s">
        <v>2592</v>
      </c>
      <c r="E2404" t="s">
        <v>2817</v>
      </c>
    </row>
    <row r="2405" spans="3:5">
      <c r="C2405" t="e">
        <f t="shared" si="37"/>
        <v>#N/A</v>
      </c>
      <c r="D2405" t="s">
        <v>2593</v>
      </c>
      <c r="E2405" t="s">
        <v>2817</v>
      </c>
    </row>
    <row r="2406" spans="3:5">
      <c r="C2406" t="e">
        <f t="shared" si="37"/>
        <v>#N/A</v>
      </c>
      <c r="D2406" t="s">
        <v>2594</v>
      </c>
      <c r="E2406" t="s">
        <v>2817</v>
      </c>
    </row>
    <row r="2407" spans="3:5">
      <c r="C2407" t="e">
        <f t="shared" si="37"/>
        <v>#N/A</v>
      </c>
      <c r="D2407" t="s">
        <v>2595</v>
      </c>
      <c r="E2407" t="s">
        <v>2817</v>
      </c>
    </row>
    <row r="2408" spans="3:5">
      <c r="C2408" t="e">
        <f t="shared" si="37"/>
        <v>#N/A</v>
      </c>
      <c r="D2408" t="s">
        <v>2596</v>
      </c>
      <c r="E2408" t="s">
        <v>2817</v>
      </c>
    </row>
    <row r="2409" spans="3:5">
      <c r="C2409" t="e">
        <f t="shared" si="37"/>
        <v>#N/A</v>
      </c>
      <c r="D2409" t="s">
        <v>2597</v>
      </c>
      <c r="E2409" t="s">
        <v>2817</v>
      </c>
    </row>
    <row r="2410" spans="3:5">
      <c r="C2410" t="e">
        <f t="shared" si="37"/>
        <v>#N/A</v>
      </c>
      <c r="D2410" t="s">
        <v>2598</v>
      </c>
      <c r="E2410" t="s">
        <v>2817</v>
      </c>
    </row>
    <row r="2411" spans="3:5">
      <c r="C2411" t="e">
        <f t="shared" si="37"/>
        <v>#N/A</v>
      </c>
      <c r="D2411" t="s">
        <v>2599</v>
      </c>
      <c r="E2411" t="s">
        <v>2817</v>
      </c>
    </row>
    <row r="2412" spans="3:5">
      <c r="C2412" t="e">
        <f t="shared" si="37"/>
        <v>#N/A</v>
      </c>
      <c r="D2412" t="s">
        <v>2600</v>
      </c>
      <c r="E2412" t="s">
        <v>2817</v>
      </c>
    </row>
    <row r="2413" spans="3:5">
      <c r="C2413" t="e">
        <f t="shared" si="37"/>
        <v>#N/A</v>
      </c>
      <c r="D2413" t="s">
        <v>2601</v>
      </c>
      <c r="E2413" t="s">
        <v>2817</v>
      </c>
    </row>
    <row r="2414" spans="3:5">
      <c r="C2414" t="e">
        <f t="shared" si="37"/>
        <v>#N/A</v>
      </c>
      <c r="D2414" t="s">
        <v>2602</v>
      </c>
      <c r="E2414" t="s">
        <v>2817</v>
      </c>
    </row>
    <row r="2415" spans="3:5">
      <c r="C2415" t="e">
        <f t="shared" si="37"/>
        <v>#N/A</v>
      </c>
      <c r="D2415" t="s">
        <v>2603</v>
      </c>
      <c r="E2415" t="s">
        <v>2817</v>
      </c>
    </row>
    <row r="2416" spans="3:5">
      <c r="C2416" t="e">
        <f t="shared" si="37"/>
        <v>#N/A</v>
      </c>
      <c r="D2416" t="s">
        <v>2604</v>
      </c>
      <c r="E2416" t="s">
        <v>2817</v>
      </c>
    </row>
    <row r="2417" spans="3:5">
      <c r="C2417" t="e">
        <f t="shared" si="37"/>
        <v>#N/A</v>
      </c>
      <c r="D2417" t="s">
        <v>2605</v>
      </c>
      <c r="E2417" t="s">
        <v>2817</v>
      </c>
    </row>
    <row r="2418" spans="3:5">
      <c r="C2418" t="e">
        <f t="shared" si="37"/>
        <v>#N/A</v>
      </c>
      <c r="D2418" t="s">
        <v>2606</v>
      </c>
      <c r="E2418" t="s">
        <v>2817</v>
      </c>
    </row>
    <row r="2419" spans="3:5">
      <c r="C2419" t="e">
        <f t="shared" si="37"/>
        <v>#N/A</v>
      </c>
      <c r="D2419" t="s">
        <v>2607</v>
      </c>
      <c r="E2419" t="s">
        <v>2817</v>
      </c>
    </row>
    <row r="2420" spans="3:5">
      <c r="C2420" t="e">
        <f t="shared" si="37"/>
        <v>#N/A</v>
      </c>
      <c r="D2420" t="s">
        <v>2608</v>
      </c>
      <c r="E2420" t="s">
        <v>2817</v>
      </c>
    </row>
    <row r="2421" spans="3:5">
      <c r="C2421" t="e">
        <f t="shared" si="37"/>
        <v>#N/A</v>
      </c>
      <c r="D2421" t="s">
        <v>2609</v>
      </c>
      <c r="E2421" t="s">
        <v>2817</v>
      </c>
    </row>
    <row r="2422" spans="3:5">
      <c r="C2422" t="e">
        <f t="shared" si="37"/>
        <v>#N/A</v>
      </c>
      <c r="D2422" t="s">
        <v>2610</v>
      </c>
      <c r="E2422" t="s">
        <v>2817</v>
      </c>
    </row>
    <row r="2423" spans="3:5">
      <c r="C2423" t="e">
        <f t="shared" si="37"/>
        <v>#N/A</v>
      </c>
      <c r="D2423" t="s">
        <v>2611</v>
      </c>
      <c r="E2423" t="s">
        <v>2817</v>
      </c>
    </row>
    <row r="2424" spans="3:5">
      <c r="C2424" t="e">
        <f t="shared" si="37"/>
        <v>#N/A</v>
      </c>
      <c r="D2424" t="s">
        <v>2612</v>
      </c>
      <c r="E2424" t="s">
        <v>2817</v>
      </c>
    </row>
    <row r="2425" spans="3:5">
      <c r="C2425" t="e">
        <f t="shared" si="37"/>
        <v>#N/A</v>
      </c>
      <c r="D2425" t="s">
        <v>2613</v>
      </c>
      <c r="E2425" t="s">
        <v>2817</v>
      </c>
    </row>
    <row r="2426" spans="3:5">
      <c r="C2426" t="e">
        <f t="shared" si="37"/>
        <v>#N/A</v>
      </c>
      <c r="D2426" t="s">
        <v>2614</v>
      </c>
      <c r="E2426" t="s">
        <v>2817</v>
      </c>
    </row>
    <row r="2427" spans="3:5">
      <c r="C2427" t="e">
        <f t="shared" si="37"/>
        <v>#N/A</v>
      </c>
      <c r="D2427" t="s">
        <v>2615</v>
      </c>
      <c r="E2427" t="s">
        <v>2817</v>
      </c>
    </row>
    <row r="2428" spans="3:5">
      <c r="C2428" t="e">
        <f t="shared" si="37"/>
        <v>#N/A</v>
      </c>
      <c r="D2428" t="s">
        <v>2616</v>
      </c>
      <c r="E2428" t="s">
        <v>2817</v>
      </c>
    </row>
    <row r="2429" spans="3:5">
      <c r="C2429" t="e">
        <f t="shared" si="37"/>
        <v>#N/A</v>
      </c>
      <c r="D2429" t="s">
        <v>2617</v>
      </c>
      <c r="E2429" t="s">
        <v>2817</v>
      </c>
    </row>
    <row r="2430" spans="3:5">
      <c r="C2430" t="e">
        <f t="shared" si="37"/>
        <v>#N/A</v>
      </c>
      <c r="D2430" t="s">
        <v>2618</v>
      </c>
      <c r="E2430" t="s">
        <v>2817</v>
      </c>
    </row>
    <row r="2431" spans="3:5">
      <c r="C2431" t="e">
        <f t="shared" si="37"/>
        <v>#N/A</v>
      </c>
      <c r="D2431" t="s">
        <v>2619</v>
      </c>
      <c r="E2431" t="s">
        <v>2817</v>
      </c>
    </row>
    <row r="2432" spans="3:5">
      <c r="C2432" t="e">
        <f t="shared" si="37"/>
        <v>#N/A</v>
      </c>
      <c r="D2432" t="s">
        <v>2620</v>
      </c>
      <c r="E2432" t="s">
        <v>2817</v>
      </c>
    </row>
    <row r="2433" spans="3:5">
      <c r="C2433" t="e">
        <f t="shared" si="37"/>
        <v>#N/A</v>
      </c>
      <c r="D2433" t="s">
        <v>2621</v>
      </c>
      <c r="E2433" t="s">
        <v>2817</v>
      </c>
    </row>
    <row r="2434" spans="3:5">
      <c r="C2434" t="e">
        <f t="shared" si="37"/>
        <v>#N/A</v>
      </c>
      <c r="D2434" t="s">
        <v>2622</v>
      </c>
      <c r="E2434" t="s">
        <v>2817</v>
      </c>
    </row>
    <row r="2435" spans="3:5">
      <c r="C2435" t="e">
        <f t="shared" ref="C2435:C2498" si="38">VLOOKUP(B2435,D:E,2,0)</f>
        <v>#N/A</v>
      </c>
      <c r="D2435" t="s">
        <v>2623</v>
      </c>
      <c r="E2435" t="s">
        <v>2817</v>
      </c>
    </row>
    <row r="2436" spans="3:5">
      <c r="C2436" t="e">
        <f t="shared" si="38"/>
        <v>#N/A</v>
      </c>
      <c r="D2436" t="s">
        <v>2624</v>
      </c>
      <c r="E2436" t="s">
        <v>2817</v>
      </c>
    </row>
    <row r="2437" spans="3:5">
      <c r="C2437" t="e">
        <f t="shared" si="38"/>
        <v>#N/A</v>
      </c>
      <c r="D2437" t="s">
        <v>2625</v>
      </c>
      <c r="E2437" t="s">
        <v>2817</v>
      </c>
    </row>
    <row r="2438" spans="3:5">
      <c r="C2438" t="e">
        <f t="shared" si="38"/>
        <v>#N/A</v>
      </c>
      <c r="D2438" t="s">
        <v>2626</v>
      </c>
      <c r="E2438" t="s">
        <v>2817</v>
      </c>
    </row>
    <row r="2439" spans="3:5">
      <c r="C2439" t="e">
        <f t="shared" si="38"/>
        <v>#N/A</v>
      </c>
      <c r="D2439" t="s">
        <v>2627</v>
      </c>
      <c r="E2439" t="s">
        <v>2817</v>
      </c>
    </row>
    <row r="2440" spans="3:5">
      <c r="C2440" t="e">
        <f t="shared" si="38"/>
        <v>#N/A</v>
      </c>
      <c r="D2440" t="s">
        <v>2628</v>
      </c>
      <c r="E2440" t="s">
        <v>2817</v>
      </c>
    </row>
    <row r="2441" spans="3:5">
      <c r="C2441" t="e">
        <f t="shared" si="38"/>
        <v>#N/A</v>
      </c>
      <c r="D2441" t="s">
        <v>2629</v>
      </c>
      <c r="E2441" t="s">
        <v>2817</v>
      </c>
    </row>
    <row r="2442" spans="3:5">
      <c r="C2442" t="e">
        <f t="shared" si="38"/>
        <v>#N/A</v>
      </c>
      <c r="D2442" t="s">
        <v>2630</v>
      </c>
      <c r="E2442" t="s">
        <v>2817</v>
      </c>
    </row>
    <row r="2443" spans="3:5">
      <c r="C2443" t="e">
        <f t="shared" si="38"/>
        <v>#N/A</v>
      </c>
      <c r="D2443" t="s">
        <v>2631</v>
      </c>
      <c r="E2443" t="s">
        <v>2817</v>
      </c>
    </row>
    <row r="2444" spans="3:5">
      <c r="C2444" t="e">
        <f t="shared" si="38"/>
        <v>#N/A</v>
      </c>
      <c r="D2444" t="s">
        <v>2632</v>
      </c>
      <c r="E2444" t="s">
        <v>2817</v>
      </c>
    </row>
    <row r="2445" spans="3:5">
      <c r="C2445" t="e">
        <f t="shared" si="38"/>
        <v>#N/A</v>
      </c>
      <c r="D2445" t="s">
        <v>2633</v>
      </c>
      <c r="E2445" t="s">
        <v>2817</v>
      </c>
    </row>
    <row r="2446" spans="3:5">
      <c r="C2446" t="e">
        <f t="shared" si="38"/>
        <v>#N/A</v>
      </c>
      <c r="D2446" t="s">
        <v>2634</v>
      </c>
      <c r="E2446" t="s">
        <v>2817</v>
      </c>
    </row>
    <row r="2447" spans="3:5">
      <c r="C2447" t="e">
        <f t="shared" si="38"/>
        <v>#N/A</v>
      </c>
      <c r="D2447" t="s">
        <v>2635</v>
      </c>
      <c r="E2447" t="s">
        <v>2817</v>
      </c>
    </row>
    <row r="2448" spans="3:5">
      <c r="C2448" t="e">
        <f t="shared" si="38"/>
        <v>#N/A</v>
      </c>
      <c r="D2448" t="s">
        <v>2636</v>
      </c>
      <c r="E2448" t="s">
        <v>2817</v>
      </c>
    </row>
    <row r="2449" spans="3:5">
      <c r="C2449" t="e">
        <f t="shared" si="38"/>
        <v>#N/A</v>
      </c>
      <c r="D2449" t="s">
        <v>2637</v>
      </c>
      <c r="E2449" t="s">
        <v>2817</v>
      </c>
    </row>
    <row r="2450" spans="3:5">
      <c r="C2450" t="e">
        <f t="shared" si="38"/>
        <v>#N/A</v>
      </c>
      <c r="D2450" t="s">
        <v>2638</v>
      </c>
      <c r="E2450" t="s">
        <v>2817</v>
      </c>
    </row>
    <row r="2451" spans="3:5">
      <c r="C2451" t="e">
        <f t="shared" si="38"/>
        <v>#N/A</v>
      </c>
      <c r="D2451" t="s">
        <v>2639</v>
      </c>
      <c r="E2451" t="s">
        <v>2817</v>
      </c>
    </row>
    <row r="2452" spans="3:5">
      <c r="C2452" t="e">
        <f t="shared" si="38"/>
        <v>#N/A</v>
      </c>
      <c r="D2452" t="s">
        <v>2640</v>
      </c>
      <c r="E2452" t="s">
        <v>2817</v>
      </c>
    </row>
    <row r="2453" spans="3:5">
      <c r="C2453" t="e">
        <f t="shared" si="38"/>
        <v>#N/A</v>
      </c>
      <c r="D2453" t="s">
        <v>2641</v>
      </c>
      <c r="E2453" t="s">
        <v>2817</v>
      </c>
    </row>
    <row r="2454" spans="3:5">
      <c r="C2454" t="e">
        <f t="shared" si="38"/>
        <v>#N/A</v>
      </c>
      <c r="D2454" t="s">
        <v>2642</v>
      </c>
      <c r="E2454" t="s">
        <v>2817</v>
      </c>
    </row>
    <row r="2455" spans="3:5">
      <c r="C2455" t="e">
        <f t="shared" si="38"/>
        <v>#N/A</v>
      </c>
      <c r="D2455" t="s">
        <v>2643</v>
      </c>
      <c r="E2455" t="s">
        <v>2817</v>
      </c>
    </row>
    <row r="2456" spans="3:5">
      <c r="C2456" t="e">
        <f t="shared" si="38"/>
        <v>#N/A</v>
      </c>
      <c r="D2456" t="s">
        <v>2644</v>
      </c>
      <c r="E2456" t="s">
        <v>2817</v>
      </c>
    </row>
    <row r="2457" spans="3:5">
      <c r="C2457" t="e">
        <f t="shared" si="38"/>
        <v>#N/A</v>
      </c>
      <c r="D2457" t="s">
        <v>2645</v>
      </c>
      <c r="E2457" t="s">
        <v>2817</v>
      </c>
    </row>
    <row r="2458" spans="3:5">
      <c r="C2458" t="e">
        <f t="shared" si="38"/>
        <v>#N/A</v>
      </c>
      <c r="D2458" t="s">
        <v>2646</v>
      </c>
      <c r="E2458" t="s">
        <v>2817</v>
      </c>
    </row>
    <row r="2459" spans="3:5">
      <c r="C2459" t="e">
        <f t="shared" si="38"/>
        <v>#N/A</v>
      </c>
      <c r="D2459" t="s">
        <v>2647</v>
      </c>
      <c r="E2459" t="s">
        <v>2817</v>
      </c>
    </row>
    <row r="2460" spans="3:5">
      <c r="C2460" t="e">
        <f t="shared" si="38"/>
        <v>#N/A</v>
      </c>
      <c r="D2460" t="s">
        <v>2648</v>
      </c>
      <c r="E2460" t="s">
        <v>2817</v>
      </c>
    </row>
    <row r="2461" spans="3:5">
      <c r="C2461" t="e">
        <f t="shared" si="38"/>
        <v>#N/A</v>
      </c>
      <c r="D2461" t="s">
        <v>2649</v>
      </c>
      <c r="E2461" t="s">
        <v>2817</v>
      </c>
    </row>
    <row r="2462" spans="3:5">
      <c r="C2462" t="e">
        <f t="shared" si="38"/>
        <v>#N/A</v>
      </c>
      <c r="D2462" t="s">
        <v>2650</v>
      </c>
      <c r="E2462" t="s">
        <v>2817</v>
      </c>
    </row>
    <row r="2463" spans="3:5">
      <c r="C2463" t="e">
        <f t="shared" si="38"/>
        <v>#N/A</v>
      </c>
      <c r="D2463" t="s">
        <v>2651</v>
      </c>
      <c r="E2463" t="s">
        <v>2817</v>
      </c>
    </row>
    <row r="2464" spans="3:5">
      <c r="C2464" t="e">
        <f t="shared" si="38"/>
        <v>#N/A</v>
      </c>
      <c r="D2464" t="s">
        <v>2652</v>
      </c>
      <c r="E2464" t="s">
        <v>2817</v>
      </c>
    </row>
    <row r="2465" spans="3:5">
      <c r="C2465" t="e">
        <f t="shared" si="38"/>
        <v>#N/A</v>
      </c>
      <c r="D2465" t="s">
        <v>2653</v>
      </c>
      <c r="E2465" t="s">
        <v>2817</v>
      </c>
    </row>
    <row r="2466" spans="3:5">
      <c r="C2466" t="e">
        <f t="shared" si="38"/>
        <v>#N/A</v>
      </c>
      <c r="D2466" t="s">
        <v>2654</v>
      </c>
      <c r="E2466" t="s">
        <v>2817</v>
      </c>
    </row>
    <row r="2467" spans="3:5">
      <c r="C2467" t="e">
        <f t="shared" si="38"/>
        <v>#N/A</v>
      </c>
      <c r="D2467" t="s">
        <v>2655</v>
      </c>
      <c r="E2467" t="s">
        <v>2817</v>
      </c>
    </row>
    <row r="2468" spans="3:5">
      <c r="C2468" t="e">
        <f t="shared" si="38"/>
        <v>#N/A</v>
      </c>
      <c r="D2468" t="s">
        <v>2656</v>
      </c>
      <c r="E2468" t="s">
        <v>2817</v>
      </c>
    </row>
    <row r="2469" spans="3:5">
      <c r="C2469" t="e">
        <f t="shared" si="38"/>
        <v>#N/A</v>
      </c>
      <c r="D2469" t="s">
        <v>2657</v>
      </c>
      <c r="E2469" t="s">
        <v>2817</v>
      </c>
    </row>
    <row r="2470" spans="3:5">
      <c r="C2470" t="e">
        <f t="shared" si="38"/>
        <v>#N/A</v>
      </c>
      <c r="D2470" t="s">
        <v>2658</v>
      </c>
      <c r="E2470" t="s">
        <v>2817</v>
      </c>
    </row>
    <row r="2471" spans="3:5">
      <c r="C2471" t="e">
        <f t="shared" si="38"/>
        <v>#N/A</v>
      </c>
      <c r="D2471" t="s">
        <v>2659</v>
      </c>
      <c r="E2471" t="s">
        <v>2817</v>
      </c>
    </row>
    <row r="2472" spans="3:5">
      <c r="C2472" t="e">
        <f t="shared" si="38"/>
        <v>#N/A</v>
      </c>
      <c r="D2472" t="s">
        <v>2660</v>
      </c>
      <c r="E2472" t="s">
        <v>2817</v>
      </c>
    </row>
    <row r="2473" spans="3:5">
      <c r="C2473" t="e">
        <f t="shared" si="38"/>
        <v>#N/A</v>
      </c>
      <c r="D2473" t="s">
        <v>2661</v>
      </c>
      <c r="E2473" t="s">
        <v>2817</v>
      </c>
    </row>
    <row r="2474" spans="3:5">
      <c r="C2474" t="e">
        <f t="shared" si="38"/>
        <v>#N/A</v>
      </c>
      <c r="D2474" t="s">
        <v>2662</v>
      </c>
      <c r="E2474" t="s">
        <v>2817</v>
      </c>
    </row>
    <row r="2475" spans="3:5">
      <c r="C2475" t="e">
        <f t="shared" si="38"/>
        <v>#N/A</v>
      </c>
      <c r="D2475" t="s">
        <v>2663</v>
      </c>
      <c r="E2475" t="s">
        <v>2817</v>
      </c>
    </row>
    <row r="2476" spans="3:5">
      <c r="C2476" t="e">
        <f t="shared" si="38"/>
        <v>#N/A</v>
      </c>
      <c r="D2476" t="s">
        <v>2664</v>
      </c>
      <c r="E2476" t="s">
        <v>2817</v>
      </c>
    </row>
    <row r="2477" spans="3:5">
      <c r="C2477" t="e">
        <f t="shared" si="38"/>
        <v>#N/A</v>
      </c>
      <c r="D2477" t="s">
        <v>2665</v>
      </c>
      <c r="E2477" t="s">
        <v>2817</v>
      </c>
    </row>
    <row r="2478" spans="3:5">
      <c r="C2478" t="e">
        <f t="shared" si="38"/>
        <v>#N/A</v>
      </c>
      <c r="D2478" t="s">
        <v>2666</v>
      </c>
      <c r="E2478" t="s">
        <v>2817</v>
      </c>
    </row>
    <row r="2479" spans="3:5">
      <c r="C2479" t="e">
        <f t="shared" si="38"/>
        <v>#N/A</v>
      </c>
      <c r="D2479" t="s">
        <v>2667</v>
      </c>
      <c r="E2479" t="s">
        <v>2817</v>
      </c>
    </row>
    <row r="2480" spans="3:5">
      <c r="C2480" t="e">
        <f t="shared" si="38"/>
        <v>#N/A</v>
      </c>
      <c r="D2480" t="s">
        <v>2668</v>
      </c>
      <c r="E2480" t="s">
        <v>2817</v>
      </c>
    </row>
    <row r="2481" spans="3:5">
      <c r="C2481" t="e">
        <f t="shared" si="38"/>
        <v>#N/A</v>
      </c>
      <c r="D2481" t="s">
        <v>2669</v>
      </c>
      <c r="E2481" t="s">
        <v>2817</v>
      </c>
    </row>
    <row r="2482" spans="3:5">
      <c r="C2482" t="e">
        <f t="shared" si="38"/>
        <v>#N/A</v>
      </c>
      <c r="D2482" t="s">
        <v>2670</v>
      </c>
      <c r="E2482" t="s">
        <v>2817</v>
      </c>
    </row>
    <row r="2483" spans="3:5">
      <c r="C2483" t="e">
        <f t="shared" si="38"/>
        <v>#N/A</v>
      </c>
      <c r="D2483" t="s">
        <v>2671</v>
      </c>
      <c r="E2483" t="s">
        <v>2817</v>
      </c>
    </row>
    <row r="2484" spans="3:5">
      <c r="C2484" t="e">
        <f t="shared" si="38"/>
        <v>#N/A</v>
      </c>
      <c r="D2484" t="s">
        <v>2672</v>
      </c>
      <c r="E2484" t="s">
        <v>2817</v>
      </c>
    </row>
    <row r="2485" spans="3:5">
      <c r="C2485" t="e">
        <f t="shared" si="38"/>
        <v>#N/A</v>
      </c>
      <c r="D2485" t="s">
        <v>2673</v>
      </c>
      <c r="E2485" t="s">
        <v>2817</v>
      </c>
    </row>
    <row r="2486" spans="3:5">
      <c r="C2486" t="e">
        <f t="shared" si="38"/>
        <v>#N/A</v>
      </c>
      <c r="D2486" t="s">
        <v>2674</v>
      </c>
      <c r="E2486" t="s">
        <v>2817</v>
      </c>
    </row>
    <row r="2487" spans="3:5">
      <c r="C2487" t="e">
        <f t="shared" si="38"/>
        <v>#N/A</v>
      </c>
      <c r="D2487" t="s">
        <v>2675</v>
      </c>
      <c r="E2487" t="s">
        <v>2817</v>
      </c>
    </row>
    <row r="2488" spans="3:5">
      <c r="C2488" t="e">
        <f t="shared" si="38"/>
        <v>#N/A</v>
      </c>
      <c r="D2488" t="s">
        <v>2676</v>
      </c>
      <c r="E2488" t="s">
        <v>2817</v>
      </c>
    </row>
    <row r="2489" spans="3:5">
      <c r="C2489" t="e">
        <f t="shared" si="38"/>
        <v>#N/A</v>
      </c>
      <c r="D2489" t="s">
        <v>2677</v>
      </c>
      <c r="E2489" t="s">
        <v>2817</v>
      </c>
    </row>
    <row r="2490" spans="3:5">
      <c r="C2490" t="e">
        <f t="shared" si="38"/>
        <v>#N/A</v>
      </c>
      <c r="D2490" t="s">
        <v>2678</v>
      </c>
      <c r="E2490" t="s">
        <v>2817</v>
      </c>
    </row>
    <row r="2491" spans="3:5">
      <c r="C2491" t="e">
        <f t="shared" si="38"/>
        <v>#N/A</v>
      </c>
      <c r="D2491" t="s">
        <v>2679</v>
      </c>
      <c r="E2491" t="s">
        <v>2817</v>
      </c>
    </row>
    <row r="2492" spans="3:5">
      <c r="C2492" t="e">
        <f t="shared" si="38"/>
        <v>#N/A</v>
      </c>
      <c r="D2492" t="s">
        <v>2680</v>
      </c>
      <c r="E2492" t="s">
        <v>2817</v>
      </c>
    </row>
    <row r="2493" spans="3:5">
      <c r="C2493" t="e">
        <f t="shared" si="38"/>
        <v>#N/A</v>
      </c>
      <c r="D2493" t="s">
        <v>2681</v>
      </c>
      <c r="E2493" t="s">
        <v>2817</v>
      </c>
    </row>
    <row r="2494" spans="3:5">
      <c r="C2494" t="e">
        <f t="shared" si="38"/>
        <v>#N/A</v>
      </c>
      <c r="D2494" t="s">
        <v>2682</v>
      </c>
      <c r="E2494" t="s">
        <v>2817</v>
      </c>
    </row>
    <row r="2495" spans="3:5">
      <c r="C2495" t="e">
        <f t="shared" si="38"/>
        <v>#N/A</v>
      </c>
      <c r="D2495" t="s">
        <v>2683</v>
      </c>
      <c r="E2495" t="s">
        <v>2817</v>
      </c>
    </row>
    <row r="2496" spans="3:5">
      <c r="C2496" t="e">
        <f t="shared" si="38"/>
        <v>#N/A</v>
      </c>
      <c r="D2496" t="s">
        <v>2684</v>
      </c>
      <c r="E2496" t="s">
        <v>2817</v>
      </c>
    </row>
    <row r="2497" spans="3:5">
      <c r="C2497" t="e">
        <f t="shared" si="38"/>
        <v>#N/A</v>
      </c>
      <c r="D2497" t="s">
        <v>2685</v>
      </c>
      <c r="E2497" t="s">
        <v>2817</v>
      </c>
    </row>
    <row r="2498" spans="3:5">
      <c r="C2498" t="e">
        <f t="shared" si="38"/>
        <v>#N/A</v>
      </c>
      <c r="D2498" t="s">
        <v>2686</v>
      </c>
      <c r="E2498" t="s">
        <v>2817</v>
      </c>
    </row>
    <row r="2499" spans="3:5">
      <c r="C2499" t="e">
        <f t="shared" ref="C2499:C2562" si="39">VLOOKUP(B2499,D:E,2,0)</f>
        <v>#N/A</v>
      </c>
      <c r="D2499" t="s">
        <v>2687</v>
      </c>
      <c r="E2499" t="s">
        <v>2817</v>
      </c>
    </row>
    <row r="2500" spans="3:5">
      <c r="C2500" t="e">
        <f t="shared" si="39"/>
        <v>#N/A</v>
      </c>
      <c r="D2500" t="s">
        <v>2688</v>
      </c>
      <c r="E2500" t="s">
        <v>2817</v>
      </c>
    </row>
    <row r="2501" spans="3:5">
      <c r="C2501" t="e">
        <f t="shared" si="39"/>
        <v>#N/A</v>
      </c>
      <c r="D2501" t="s">
        <v>2689</v>
      </c>
      <c r="E2501" t="s">
        <v>2817</v>
      </c>
    </row>
    <row r="2502" spans="3:5">
      <c r="C2502" t="e">
        <f t="shared" si="39"/>
        <v>#N/A</v>
      </c>
      <c r="D2502" t="s">
        <v>2690</v>
      </c>
      <c r="E2502" t="s">
        <v>2817</v>
      </c>
    </row>
    <row r="2503" spans="3:5">
      <c r="C2503" t="e">
        <f t="shared" si="39"/>
        <v>#N/A</v>
      </c>
      <c r="D2503" t="s">
        <v>2691</v>
      </c>
      <c r="E2503" t="s">
        <v>2817</v>
      </c>
    </row>
    <row r="2504" spans="3:5">
      <c r="C2504" t="e">
        <f t="shared" si="39"/>
        <v>#N/A</v>
      </c>
      <c r="D2504" t="s">
        <v>2692</v>
      </c>
      <c r="E2504" t="s">
        <v>2817</v>
      </c>
    </row>
    <row r="2505" spans="3:5">
      <c r="C2505" t="e">
        <f t="shared" si="39"/>
        <v>#N/A</v>
      </c>
      <c r="D2505" t="s">
        <v>2693</v>
      </c>
      <c r="E2505" t="s">
        <v>2817</v>
      </c>
    </row>
    <row r="2506" spans="3:5">
      <c r="C2506" t="e">
        <f t="shared" si="39"/>
        <v>#N/A</v>
      </c>
      <c r="D2506" t="s">
        <v>2694</v>
      </c>
      <c r="E2506" t="s">
        <v>2817</v>
      </c>
    </row>
    <row r="2507" spans="3:5">
      <c r="C2507" t="e">
        <f t="shared" si="39"/>
        <v>#N/A</v>
      </c>
      <c r="D2507" t="s">
        <v>2695</v>
      </c>
      <c r="E2507" t="s">
        <v>2817</v>
      </c>
    </row>
    <row r="2508" spans="3:5">
      <c r="C2508" t="e">
        <f t="shared" si="39"/>
        <v>#N/A</v>
      </c>
      <c r="D2508" t="s">
        <v>2696</v>
      </c>
      <c r="E2508" t="s">
        <v>2817</v>
      </c>
    </row>
    <row r="2509" spans="3:5">
      <c r="C2509" t="e">
        <f t="shared" si="39"/>
        <v>#N/A</v>
      </c>
      <c r="D2509" t="s">
        <v>2697</v>
      </c>
      <c r="E2509" t="s">
        <v>2817</v>
      </c>
    </row>
    <row r="2510" spans="3:5">
      <c r="C2510" t="e">
        <f t="shared" si="39"/>
        <v>#N/A</v>
      </c>
      <c r="D2510" t="s">
        <v>2698</v>
      </c>
      <c r="E2510" t="s">
        <v>2817</v>
      </c>
    </row>
    <row r="2511" spans="3:5">
      <c r="C2511" t="e">
        <f t="shared" si="39"/>
        <v>#N/A</v>
      </c>
      <c r="D2511" t="s">
        <v>2699</v>
      </c>
      <c r="E2511" t="s">
        <v>2817</v>
      </c>
    </row>
    <row r="2512" spans="3:5">
      <c r="C2512" t="e">
        <f t="shared" si="39"/>
        <v>#N/A</v>
      </c>
      <c r="D2512" t="s">
        <v>2700</v>
      </c>
      <c r="E2512" t="s">
        <v>2817</v>
      </c>
    </row>
    <row r="2513" spans="3:5">
      <c r="C2513" t="e">
        <f t="shared" si="39"/>
        <v>#N/A</v>
      </c>
      <c r="D2513" t="s">
        <v>2701</v>
      </c>
      <c r="E2513" t="s">
        <v>2817</v>
      </c>
    </row>
    <row r="2514" spans="3:5">
      <c r="C2514" t="e">
        <f t="shared" si="39"/>
        <v>#N/A</v>
      </c>
      <c r="D2514" t="s">
        <v>2702</v>
      </c>
      <c r="E2514" t="s">
        <v>2817</v>
      </c>
    </row>
    <row r="2515" spans="3:5">
      <c r="C2515" t="e">
        <f t="shared" si="39"/>
        <v>#N/A</v>
      </c>
      <c r="D2515" t="s">
        <v>2703</v>
      </c>
      <c r="E2515" t="s">
        <v>2817</v>
      </c>
    </row>
    <row r="2516" spans="3:5">
      <c r="C2516" t="e">
        <f t="shared" si="39"/>
        <v>#N/A</v>
      </c>
      <c r="D2516" t="s">
        <v>2704</v>
      </c>
      <c r="E2516" t="s">
        <v>2817</v>
      </c>
    </row>
    <row r="2517" spans="3:5">
      <c r="C2517" t="e">
        <f t="shared" si="39"/>
        <v>#N/A</v>
      </c>
      <c r="D2517" t="s">
        <v>2705</v>
      </c>
      <c r="E2517" t="s">
        <v>2817</v>
      </c>
    </row>
    <row r="2518" spans="3:5">
      <c r="C2518" t="e">
        <f t="shared" si="39"/>
        <v>#N/A</v>
      </c>
      <c r="D2518" t="s">
        <v>2706</v>
      </c>
      <c r="E2518" t="s">
        <v>2817</v>
      </c>
    </row>
    <row r="2519" spans="3:5">
      <c r="C2519" t="e">
        <f t="shared" si="39"/>
        <v>#N/A</v>
      </c>
      <c r="D2519" t="s">
        <v>2707</v>
      </c>
      <c r="E2519" t="s">
        <v>2817</v>
      </c>
    </row>
    <row r="2520" spans="3:5">
      <c r="C2520" t="e">
        <f t="shared" si="39"/>
        <v>#N/A</v>
      </c>
      <c r="D2520" t="s">
        <v>2708</v>
      </c>
      <c r="E2520" t="s">
        <v>2817</v>
      </c>
    </row>
    <row r="2521" spans="3:5">
      <c r="C2521" t="e">
        <f t="shared" si="39"/>
        <v>#N/A</v>
      </c>
      <c r="D2521" t="s">
        <v>2709</v>
      </c>
      <c r="E2521" t="s">
        <v>2817</v>
      </c>
    </row>
    <row r="2522" spans="3:5">
      <c r="C2522" t="e">
        <f t="shared" si="39"/>
        <v>#N/A</v>
      </c>
      <c r="D2522" t="s">
        <v>2710</v>
      </c>
      <c r="E2522" t="s">
        <v>2817</v>
      </c>
    </row>
    <row r="2523" spans="3:5">
      <c r="C2523" t="e">
        <f t="shared" si="39"/>
        <v>#N/A</v>
      </c>
      <c r="D2523" t="s">
        <v>2711</v>
      </c>
      <c r="E2523" t="s">
        <v>2817</v>
      </c>
    </row>
    <row r="2524" spans="3:5">
      <c r="C2524" t="e">
        <f t="shared" si="39"/>
        <v>#N/A</v>
      </c>
      <c r="D2524" t="s">
        <v>2712</v>
      </c>
      <c r="E2524" t="s">
        <v>2817</v>
      </c>
    </row>
    <row r="2525" spans="3:5">
      <c r="C2525" t="e">
        <f t="shared" si="39"/>
        <v>#N/A</v>
      </c>
      <c r="D2525" t="s">
        <v>2713</v>
      </c>
      <c r="E2525" t="s">
        <v>2817</v>
      </c>
    </row>
    <row r="2526" spans="3:5">
      <c r="C2526" t="e">
        <f t="shared" si="39"/>
        <v>#N/A</v>
      </c>
      <c r="D2526" t="s">
        <v>2714</v>
      </c>
      <c r="E2526" t="s">
        <v>2817</v>
      </c>
    </row>
    <row r="2527" spans="3:5">
      <c r="C2527" t="e">
        <f t="shared" si="39"/>
        <v>#N/A</v>
      </c>
      <c r="D2527" t="s">
        <v>2715</v>
      </c>
      <c r="E2527" t="s">
        <v>2817</v>
      </c>
    </row>
    <row r="2528" spans="3:5">
      <c r="C2528" t="e">
        <f t="shared" si="39"/>
        <v>#N/A</v>
      </c>
      <c r="D2528" t="s">
        <v>2716</v>
      </c>
      <c r="E2528" t="s">
        <v>2817</v>
      </c>
    </row>
    <row r="2529" spans="3:5">
      <c r="C2529" t="e">
        <f t="shared" si="39"/>
        <v>#N/A</v>
      </c>
      <c r="D2529" t="s">
        <v>2717</v>
      </c>
      <c r="E2529" t="s">
        <v>2817</v>
      </c>
    </row>
    <row r="2530" spans="3:5">
      <c r="C2530" t="e">
        <f t="shared" si="39"/>
        <v>#N/A</v>
      </c>
      <c r="D2530" t="s">
        <v>2718</v>
      </c>
      <c r="E2530" t="s">
        <v>2817</v>
      </c>
    </row>
    <row r="2531" spans="3:5">
      <c r="C2531" t="e">
        <f t="shared" si="39"/>
        <v>#N/A</v>
      </c>
      <c r="D2531" t="s">
        <v>2719</v>
      </c>
      <c r="E2531" t="s">
        <v>2817</v>
      </c>
    </row>
    <row r="2532" spans="3:5">
      <c r="C2532" t="e">
        <f t="shared" si="39"/>
        <v>#N/A</v>
      </c>
      <c r="D2532" t="s">
        <v>2720</v>
      </c>
      <c r="E2532" t="s">
        <v>2817</v>
      </c>
    </row>
    <row r="2533" spans="3:5">
      <c r="C2533" t="e">
        <f t="shared" si="39"/>
        <v>#N/A</v>
      </c>
      <c r="D2533" t="s">
        <v>2721</v>
      </c>
      <c r="E2533" t="s">
        <v>2817</v>
      </c>
    </row>
    <row r="2534" spans="3:5">
      <c r="C2534" t="e">
        <f t="shared" si="39"/>
        <v>#N/A</v>
      </c>
      <c r="D2534" t="s">
        <v>2722</v>
      </c>
      <c r="E2534" t="s">
        <v>2817</v>
      </c>
    </row>
    <row r="2535" spans="3:5">
      <c r="C2535" t="e">
        <f t="shared" si="39"/>
        <v>#N/A</v>
      </c>
      <c r="D2535" t="s">
        <v>2723</v>
      </c>
      <c r="E2535" t="s">
        <v>2817</v>
      </c>
    </row>
    <row r="2536" spans="3:5">
      <c r="C2536" t="e">
        <f t="shared" si="39"/>
        <v>#N/A</v>
      </c>
      <c r="D2536" t="s">
        <v>2724</v>
      </c>
      <c r="E2536" t="s">
        <v>2817</v>
      </c>
    </row>
    <row r="2537" spans="3:5">
      <c r="C2537" t="e">
        <f t="shared" si="39"/>
        <v>#N/A</v>
      </c>
      <c r="D2537" t="s">
        <v>2725</v>
      </c>
      <c r="E2537" t="s">
        <v>2817</v>
      </c>
    </row>
    <row r="2538" spans="3:5">
      <c r="C2538" t="e">
        <f t="shared" si="39"/>
        <v>#N/A</v>
      </c>
      <c r="D2538" t="s">
        <v>2726</v>
      </c>
      <c r="E2538" t="s">
        <v>2817</v>
      </c>
    </row>
    <row r="2539" spans="3:5">
      <c r="C2539" t="e">
        <f t="shared" si="39"/>
        <v>#N/A</v>
      </c>
      <c r="D2539" t="s">
        <v>2727</v>
      </c>
      <c r="E2539" t="s">
        <v>2817</v>
      </c>
    </row>
    <row r="2540" spans="3:5">
      <c r="C2540" t="e">
        <f t="shared" si="39"/>
        <v>#N/A</v>
      </c>
      <c r="D2540" t="s">
        <v>2728</v>
      </c>
      <c r="E2540" t="s">
        <v>2817</v>
      </c>
    </row>
    <row r="2541" spans="3:5">
      <c r="C2541" t="e">
        <f t="shared" si="39"/>
        <v>#N/A</v>
      </c>
      <c r="D2541" t="s">
        <v>2729</v>
      </c>
      <c r="E2541" t="s">
        <v>2817</v>
      </c>
    </row>
    <row r="2542" spans="3:5">
      <c r="C2542" t="e">
        <f t="shared" si="39"/>
        <v>#N/A</v>
      </c>
      <c r="D2542" t="s">
        <v>2730</v>
      </c>
      <c r="E2542" t="s">
        <v>2817</v>
      </c>
    </row>
    <row r="2543" spans="3:5">
      <c r="C2543" t="e">
        <f t="shared" si="39"/>
        <v>#N/A</v>
      </c>
      <c r="D2543" t="s">
        <v>2731</v>
      </c>
      <c r="E2543" t="s">
        <v>2817</v>
      </c>
    </row>
    <row r="2544" spans="3:5">
      <c r="C2544" t="e">
        <f t="shared" si="39"/>
        <v>#N/A</v>
      </c>
      <c r="D2544" t="s">
        <v>2732</v>
      </c>
      <c r="E2544" t="s">
        <v>2817</v>
      </c>
    </row>
    <row r="2545" spans="3:5">
      <c r="C2545" t="e">
        <f t="shared" si="39"/>
        <v>#N/A</v>
      </c>
      <c r="D2545" t="s">
        <v>2733</v>
      </c>
      <c r="E2545" t="s">
        <v>2817</v>
      </c>
    </row>
    <row r="2546" spans="3:5">
      <c r="C2546" t="e">
        <f t="shared" si="39"/>
        <v>#N/A</v>
      </c>
      <c r="D2546" t="s">
        <v>2734</v>
      </c>
      <c r="E2546" t="s">
        <v>2817</v>
      </c>
    </row>
    <row r="2547" spans="3:5">
      <c r="C2547" t="e">
        <f t="shared" si="39"/>
        <v>#N/A</v>
      </c>
      <c r="D2547" t="s">
        <v>2735</v>
      </c>
      <c r="E2547" t="s">
        <v>2817</v>
      </c>
    </row>
    <row r="2548" spans="3:5">
      <c r="C2548" t="e">
        <f t="shared" si="39"/>
        <v>#N/A</v>
      </c>
      <c r="D2548" t="s">
        <v>2736</v>
      </c>
      <c r="E2548" t="s">
        <v>2817</v>
      </c>
    </row>
    <row r="2549" spans="3:5">
      <c r="C2549" t="e">
        <f t="shared" si="39"/>
        <v>#N/A</v>
      </c>
      <c r="D2549" t="s">
        <v>2737</v>
      </c>
      <c r="E2549" t="s">
        <v>2817</v>
      </c>
    </row>
    <row r="2550" spans="3:5">
      <c r="C2550" t="e">
        <f t="shared" si="39"/>
        <v>#N/A</v>
      </c>
      <c r="D2550" t="s">
        <v>2738</v>
      </c>
      <c r="E2550" t="s">
        <v>2817</v>
      </c>
    </row>
    <row r="2551" spans="3:5">
      <c r="C2551" t="e">
        <f t="shared" si="39"/>
        <v>#N/A</v>
      </c>
      <c r="D2551" t="s">
        <v>2739</v>
      </c>
      <c r="E2551" t="s">
        <v>2817</v>
      </c>
    </row>
    <row r="2552" spans="3:5">
      <c r="C2552" t="e">
        <f t="shared" si="39"/>
        <v>#N/A</v>
      </c>
      <c r="D2552" t="s">
        <v>2740</v>
      </c>
      <c r="E2552" t="s">
        <v>2817</v>
      </c>
    </row>
    <row r="2553" spans="3:5">
      <c r="C2553" t="e">
        <f t="shared" si="39"/>
        <v>#N/A</v>
      </c>
      <c r="D2553" t="s">
        <v>2741</v>
      </c>
      <c r="E2553" t="s">
        <v>2817</v>
      </c>
    </row>
    <row r="2554" spans="3:5">
      <c r="C2554" t="e">
        <f t="shared" si="39"/>
        <v>#N/A</v>
      </c>
      <c r="D2554" t="s">
        <v>2742</v>
      </c>
      <c r="E2554" t="s">
        <v>2817</v>
      </c>
    </row>
    <row r="2555" spans="3:5">
      <c r="C2555" t="e">
        <f t="shared" si="39"/>
        <v>#N/A</v>
      </c>
      <c r="D2555" t="s">
        <v>2743</v>
      </c>
      <c r="E2555" t="s">
        <v>2817</v>
      </c>
    </row>
    <row r="2556" spans="3:5">
      <c r="C2556" t="e">
        <f t="shared" si="39"/>
        <v>#N/A</v>
      </c>
      <c r="D2556" t="s">
        <v>2744</v>
      </c>
      <c r="E2556" t="s">
        <v>2817</v>
      </c>
    </row>
    <row r="2557" spans="3:5">
      <c r="C2557" t="e">
        <f t="shared" si="39"/>
        <v>#N/A</v>
      </c>
      <c r="D2557" t="s">
        <v>2745</v>
      </c>
      <c r="E2557" t="s">
        <v>2817</v>
      </c>
    </row>
    <row r="2558" spans="3:5">
      <c r="C2558" t="e">
        <f t="shared" si="39"/>
        <v>#N/A</v>
      </c>
      <c r="D2558" t="s">
        <v>2746</v>
      </c>
      <c r="E2558" t="s">
        <v>2817</v>
      </c>
    </row>
    <row r="2559" spans="3:5">
      <c r="C2559" t="e">
        <f t="shared" si="39"/>
        <v>#N/A</v>
      </c>
      <c r="D2559" t="s">
        <v>2747</v>
      </c>
      <c r="E2559" t="s">
        <v>2817</v>
      </c>
    </row>
    <row r="2560" spans="3:5">
      <c r="C2560" t="e">
        <f t="shared" si="39"/>
        <v>#N/A</v>
      </c>
      <c r="D2560" t="s">
        <v>2748</v>
      </c>
      <c r="E2560" t="s">
        <v>2817</v>
      </c>
    </row>
    <row r="2561" spans="3:5">
      <c r="C2561" t="e">
        <f t="shared" si="39"/>
        <v>#N/A</v>
      </c>
      <c r="D2561" t="s">
        <v>2749</v>
      </c>
      <c r="E2561" t="s">
        <v>2817</v>
      </c>
    </row>
    <row r="2562" spans="3:5">
      <c r="C2562" t="e">
        <f t="shared" si="39"/>
        <v>#N/A</v>
      </c>
      <c r="D2562" t="s">
        <v>2750</v>
      </c>
      <c r="E2562" t="s">
        <v>2817</v>
      </c>
    </row>
    <row r="2563" spans="3:5">
      <c r="C2563" t="e">
        <f t="shared" ref="C2563:C2626" si="40">VLOOKUP(B2563,D:E,2,0)</f>
        <v>#N/A</v>
      </c>
      <c r="D2563" t="s">
        <v>2751</v>
      </c>
      <c r="E2563" t="s">
        <v>2817</v>
      </c>
    </row>
    <row r="2564" spans="3:5">
      <c r="C2564" t="e">
        <f t="shared" si="40"/>
        <v>#N/A</v>
      </c>
      <c r="D2564" t="s">
        <v>2752</v>
      </c>
      <c r="E2564" t="s">
        <v>2817</v>
      </c>
    </row>
    <row r="2565" spans="3:5">
      <c r="C2565" t="e">
        <f t="shared" si="40"/>
        <v>#N/A</v>
      </c>
      <c r="D2565" t="s">
        <v>2753</v>
      </c>
      <c r="E2565" t="s">
        <v>2817</v>
      </c>
    </row>
    <row r="2566" spans="3:5">
      <c r="C2566" t="e">
        <f t="shared" si="40"/>
        <v>#N/A</v>
      </c>
      <c r="D2566" t="s">
        <v>2754</v>
      </c>
      <c r="E2566" t="s">
        <v>2817</v>
      </c>
    </row>
    <row r="2567" spans="3:5">
      <c r="C2567" t="e">
        <f t="shared" si="40"/>
        <v>#N/A</v>
      </c>
      <c r="D2567" t="s">
        <v>2755</v>
      </c>
      <c r="E2567" t="s">
        <v>2817</v>
      </c>
    </row>
    <row r="2568" spans="3:5">
      <c r="C2568" t="e">
        <f t="shared" si="40"/>
        <v>#N/A</v>
      </c>
      <c r="D2568" t="s">
        <v>2756</v>
      </c>
      <c r="E2568" t="s">
        <v>2817</v>
      </c>
    </row>
    <row r="2569" spans="3:5">
      <c r="C2569" t="e">
        <f t="shared" si="40"/>
        <v>#N/A</v>
      </c>
      <c r="D2569" t="s">
        <v>2757</v>
      </c>
      <c r="E2569" t="s">
        <v>2817</v>
      </c>
    </row>
    <row r="2570" spans="3:5">
      <c r="C2570" t="e">
        <f t="shared" si="40"/>
        <v>#N/A</v>
      </c>
      <c r="D2570" t="s">
        <v>2758</v>
      </c>
      <c r="E2570" t="s">
        <v>2817</v>
      </c>
    </row>
    <row r="2571" spans="3:5">
      <c r="C2571" t="e">
        <f t="shared" si="40"/>
        <v>#N/A</v>
      </c>
      <c r="D2571" t="s">
        <v>2759</v>
      </c>
      <c r="E2571" t="s">
        <v>2817</v>
      </c>
    </row>
    <row r="2572" spans="3:5">
      <c r="C2572" t="e">
        <f t="shared" si="40"/>
        <v>#N/A</v>
      </c>
      <c r="D2572" t="s">
        <v>2760</v>
      </c>
      <c r="E2572" t="s">
        <v>2817</v>
      </c>
    </row>
    <row r="2573" spans="3:5">
      <c r="C2573" t="e">
        <f t="shared" si="40"/>
        <v>#N/A</v>
      </c>
      <c r="D2573" t="s">
        <v>2761</v>
      </c>
      <c r="E2573" t="s">
        <v>2817</v>
      </c>
    </row>
    <row r="2574" spans="3:5">
      <c r="C2574" t="e">
        <f t="shared" si="40"/>
        <v>#N/A</v>
      </c>
      <c r="D2574" t="s">
        <v>2762</v>
      </c>
      <c r="E2574" t="s">
        <v>2817</v>
      </c>
    </row>
    <row r="2575" spans="3:5">
      <c r="C2575" t="e">
        <f t="shared" si="40"/>
        <v>#N/A</v>
      </c>
      <c r="D2575" t="s">
        <v>2763</v>
      </c>
      <c r="E2575" t="s">
        <v>2817</v>
      </c>
    </row>
    <row r="2576" spans="3:5">
      <c r="C2576" t="e">
        <f t="shared" si="40"/>
        <v>#N/A</v>
      </c>
      <c r="D2576" t="s">
        <v>2764</v>
      </c>
      <c r="E2576" t="s">
        <v>2817</v>
      </c>
    </row>
    <row r="2577" spans="3:5">
      <c r="C2577" t="e">
        <f t="shared" si="40"/>
        <v>#N/A</v>
      </c>
      <c r="D2577" t="s">
        <v>2765</v>
      </c>
      <c r="E2577" t="s">
        <v>2817</v>
      </c>
    </row>
    <row r="2578" spans="3:5">
      <c r="C2578" t="e">
        <f t="shared" si="40"/>
        <v>#N/A</v>
      </c>
      <c r="D2578" t="s">
        <v>2766</v>
      </c>
      <c r="E2578" t="s">
        <v>2817</v>
      </c>
    </row>
    <row r="2579" spans="3:5">
      <c r="C2579" t="e">
        <f t="shared" si="40"/>
        <v>#N/A</v>
      </c>
      <c r="D2579" t="s">
        <v>2767</v>
      </c>
      <c r="E2579" t="s">
        <v>2817</v>
      </c>
    </row>
    <row r="2580" spans="3:5">
      <c r="C2580" t="e">
        <f t="shared" si="40"/>
        <v>#N/A</v>
      </c>
      <c r="D2580" t="s">
        <v>2768</v>
      </c>
      <c r="E2580" t="s">
        <v>2817</v>
      </c>
    </row>
    <row r="2581" spans="3:5">
      <c r="C2581" t="e">
        <f t="shared" si="40"/>
        <v>#N/A</v>
      </c>
      <c r="D2581" t="s">
        <v>2769</v>
      </c>
      <c r="E2581" t="s">
        <v>2817</v>
      </c>
    </row>
    <row r="2582" spans="3:5">
      <c r="C2582" t="e">
        <f t="shared" si="40"/>
        <v>#N/A</v>
      </c>
      <c r="D2582" t="s">
        <v>2770</v>
      </c>
      <c r="E2582" t="s">
        <v>2817</v>
      </c>
    </row>
    <row r="2583" spans="3:5">
      <c r="C2583" t="e">
        <f t="shared" si="40"/>
        <v>#N/A</v>
      </c>
      <c r="D2583" t="s">
        <v>2771</v>
      </c>
      <c r="E2583" t="s">
        <v>2817</v>
      </c>
    </row>
    <row r="2584" spans="3:5">
      <c r="C2584" t="e">
        <f t="shared" si="40"/>
        <v>#N/A</v>
      </c>
      <c r="D2584" t="s">
        <v>2772</v>
      </c>
      <c r="E2584" t="s">
        <v>2817</v>
      </c>
    </row>
    <row r="2585" spans="3:5">
      <c r="C2585" t="e">
        <f t="shared" si="40"/>
        <v>#N/A</v>
      </c>
      <c r="D2585" t="s">
        <v>2773</v>
      </c>
      <c r="E2585" t="s">
        <v>2817</v>
      </c>
    </row>
    <row r="2586" spans="3:5">
      <c r="C2586" t="e">
        <f t="shared" si="40"/>
        <v>#N/A</v>
      </c>
      <c r="D2586" t="s">
        <v>2774</v>
      </c>
      <c r="E2586" t="s">
        <v>2817</v>
      </c>
    </row>
    <row r="2587" spans="3:5">
      <c r="C2587" t="e">
        <f t="shared" si="40"/>
        <v>#N/A</v>
      </c>
      <c r="D2587" t="s">
        <v>2775</v>
      </c>
      <c r="E2587" t="s">
        <v>2817</v>
      </c>
    </row>
    <row r="2588" spans="3:5">
      <c r="C2588" t="e">
        <f t="shared" si="40"/>
        <v>#N/A</v>
      </c>
      <c r="D2588" t="s">
        <v>2776</v>
      </c>
      <c r="E2588" t="s">
        <v>2817</v>
      </c>
    </row>
    <row r="2589" spans="3:5">
      <c r="C2589" t="e">
        <f t="shared" si="40"/>
        <v>#N/A</v>
      </c>
      <c r="D2589" t="s">
        <v>2777</v>
      </c>
      <c r="E2589" t="s">
        <v>2817</v>
      </c>
    </row>
    <row r="2590" spans="3:5">
      <c r="C2590" t="e">
        <f t="shared" si="40"/>
        <v>#N/A</v>
      </c>
      <c r="D2590" t="s">
        <v>2778</v>
      </c>
      <c r="E2590" t="s">
        <v>2817</v>
      </c>
    </row>
    <row r="2591" spans="3:5">
      <c r="C2591" t="e">
        <f t="shared" si="40"/>
        <v>#N/A</v>
      </c>
      <c r="D2591" t="s">
        <v>2779</v>
      </c>
      <c r="E2591" t="s">
        <v>2817</v>
      </c>
    </row>
    <row r="2592" spans="3:5">
      <c r="C2592" t="e">
        <f t="shared" si="40"/>
        <v>#N/A</v>
      </c>
      <c r="D2592" t="s">
        <v>2780</v>
      </c>
      <c r="E2592" t="s">
        <v>2817</v>
      </c>
    </row>
    <row r="2593" spans="3:5">
      <c r="C2593" t="e">
        <f t="shared" si="40"/>
        <v>#N/A</v>
      </c>
      <c r="D2593" t="s">
        <v>2781</v>
      </c>
      <c r="E2593" t="s">
        <v>2817</v>
      </c>
    </row>
    <row r="2594" spans="3:5">
      <c r="C2594" t="e">
        <f t="shared" si="40"/>
        <v>#N/A</v>
      </c>
      <c r="D2594" t="s">
        <v>2782</v>
      </c>
      <c r="E2594" t="s">
        <v>2817</v>
      </c>
    </row>
    <row r="2595" spans="3:5">
      <c r="C2595" t="e">
        <f t="shared" si="40"/>
        <v>#N/A</v>
      </c>
      <c r="D2595" t="s">
        <v>2783</v>
      </c>
      <c r="E2595" t="s">
        <v>2817</v>
      </c>
    </row>
    <row r="2596" spans="3:5">
      <c r="C2596" t="e">
        <f t="shared" si="40"/>
        <v>#N/A</v>
      </c>
      <c r="D2596" t="s">
        <v>2784</v>
      </c>
      <c r="E2596" t="s">
        <v>2817</v>
      </c>
    </row>
    <row r="2597" spans="3:5">
      <c r="C2597" t="e">
        <f t="shared" si="40"/>
        <v>#N/A</v>
      </c>
      <c r="D2597" t="s">
        <v>2785</v>
      </c>
      <c r="E2597" t="s">
        <v>2817</v>
      </c>
    </row>
    <row r="2598" spans="3:5">
      <c r="C2598" t="e">
        <f t="shared" si="40"/>
        <v>#N/A</v>
      </c>
      <c r="D2598" t="s">
        <v>2786</v>
      </c>
      <c r="E2598" t="s">
        <v>2817</v>
      </c>
    </row>
    <row r="2599" spans="3:5">
      <c r="C2599" t="e">
        <f t="shared" si="40"/>
        <v>#N/A</v>
      </c>
      <c r="D2599" t="s">
        <v>2787</v>
      </c>
      <c r="E2599" t="s">
        <v>2817</v>
      </c>
    </row>
    <row r="2600" spans="3:5">
      <c r="C2600" t="e">
        <f t="shared" si="40"/>
        <v>#N/A</v>
      </c>
      <c r="D2600" t="s">
        <v>2788</v>
      </c>
      <c r="E2600" t="s">
        <v>2817</v>
      </c>
    </row>
    <row r="2601" spans="3:5">
      <c r="C2601" t="e">
        <f t="shared" si="40"/>
        <v>#N/A</v>
      </c>
      <c r="D2601" t="s">
        <v>2789</v>
      </c>
      <c r="E2601" t="s">
        <v>2817</v>
      </c>
    </row>
    <row r="2602" spans="3:5">
      <c r="C2602" t="e">
        <f t="shared" si="40"/>
        <v>#N/A</v>
      </c>
      <c r="D2602" t="s">
        <v>2790</v>
      </c>
      <c r="E2602" t="s">
        <v>2817</v>
      </c>
    </row>
    <row r="2603" spans="3:5">
      <c r="C2603" t="e">
        <f t="shared" si="40"/>
        <v>#N/A</v>
      </c>
      <c r="D2603" t="s">
        <v>2791</v>
      </c>
      <c r="E2603" t="s">
        <v>2817</v>
      </c>
    </row>
    <row r="2604" spans="3:5">
      <c r="C2604" t="e">
        <f t="shared" si="40"/>
        <v>#N/A</v>
      </c>
      <c r="D2604" t="s">
        <v>2792</v>
      </c>
      <c r="E2604" t="s">
        <v>2817</v>
      </c>
    </row>
    <row r="2605" spans="3:5">
      <c r="C2605" t="e">
        <f t="shared" si="40"/>
        <v>#N/A</v>
      </c>
      <c r="D2605" t="s">
        <v>2793</v>
      </c>
      <c r="E2605" t="s">
        <v>2817</v>
      </c>
    </row>
    <row r="2606" spans="3:5">
      <c r="C2606" t="e">
        <f t="shared" si="40"/>
        <v>#N/A</v>
      </c>
      <c r="D2606" t="s">
        <v>2794</v>
      </c>
      <c r="E2606" t="s">
        <v>2817</v>
      </c>
    </row>
    <row r="2607" spans="3:5">
      <c r="C2607" t="e">
        <f t="shared" si="40"/>
        <v>#N/A</v>
      </c>
      <c r="D2607" t="s">
        <v>2795</v>
      </c>
      <c r="E2607" t="s">
        <v>2817</v>
      </c>
    </row>
    <row r="2608" spans="3:5">
      <c r="C2608" t="e">
        <f t="shared" si="40"/>
        <v>#N/A</v>
      </c>
      <c r="D2608" t="s">
        <v>2796</v>
      </c>
      <c r="E2608" t="s">
        <v>2817</v>
      </c>
    </row>
    <row r="2609" spans="3:5">
      <c r="C2609" t="e">
        <f t="shared" si="40"/>
        <v>#N/A</v>
      </c>
      <c r="D2609" t="s">
        <v>2797</v>
      </c>
      <c r="E2609" t="s">
        <v>2817</v>
      </c>
    </row>
    <row r="2610" spans="3:5">
      <c r="C2610" t="e">
        <f t="shared" si="40"/>
        <v>#N/A</v>
      </c>
      <c r="D2610" t="s">
        <v>2798</v>
      </c>
      <c r="E2610" t="s">
        <v>2817</v>
      </c>
    </row>
    <row r="2611" spans="3:5">
      <c r="C2611" t="e">
        <f t="shared" si="40"/>
        <v>#N/A</v>
      </c>
      <c r="D2611" t="s">
        <v>2799</v>
      </c>
      <c r="E2611" t="s">
        <v>2817</v>
      </c>
    </row>
    <row r="2612" spans="3:5">
      <c r="C2612" t="e">
        <f t="shared" si="40"/>
        <v>#N/A</v>
      </c>
      <c r="D2612" t="s">
        <v>2800</v>
      </c>
      <c r="E2612" t="s">
        <v>2817</v>
      </c>
    </row>
    <row r="2613" spans="3:5">
      <c r="C2613" t="e">
        <f t="shared" si="40"/>
        <v>#N/A</v>
      </c>
      <c r="D2613" t="s">
        <v>2801</v>
      </c>
      <c r="E2613" t="s">
        <v>2817</v>
      </c>
    </row>
    <row r="2614" spans="3:5">
      <c r="C2614" t="e">
        <f t="shared" si="40"/>
        <v>#N/A</v>
      </c>
      <c r="D2614" t="s">
        <v>2802</v>
      </c>
      <c r="E2614" t="s">
        <v>2817</v>
      </c>
    </row>
    <row r="2615" spans="3:5">
      <c r="C2615" t="e">
        <f t="shared" si="40"/>
        <v>#N/A</v>
      </c>
      <c r="D2615" t="s">
        <v>2803</v>
      </c>
      <c r="E2615" t="s">
        <v>2817</v>
      </c>
    </row>
    <row r="2616" spans="3:5">
      <c r="C2616" t="e">
        <f t="shared" si="40"/>
        <v>#N/A</v>
      </c>
      <c r="D2616" t="s">
        <v>2804</v>
      </c>
      <c r="E2616" t="s">
        <v>2817</v>
      </c>
    </row>
    <row r="2617" spans="3:5">
      <c r="C2617" t="e">
        <f t="shared" si="40"/>
        <v>#N/A</v>
      </c>
      <c r="D2617" t="s">
        <v>2805</v>
      </c>
      <c r="E2617" t="s">
        <v>2817</v>
      </c>
    </row>
    <row r="2618" spans="3:5">
      <c r="C2618" t="e">
        <f t="shared" si="40"/>
        <v>#N/A</v>
      </c>
      <c r="D2618" t="s">
        <v>2806</v>
      </c>
      <c r="E2618" t="s">
        <v>2817</v>
      </c>
    </row>
    <row r="2619" spans="3:5">
      <c r="C2619" t="e">
        <f t="shared" si="40"/>
        <v>#N/A</v>
      </c>
      <c r="D2619" t="s">
        <v>2807</v>
      </c>
      <c r="E2619" t="s">
        <v>2817</v>
      </c>
    </row>
    <row r="2620" spans="3:5">
      <c r="C2620" t="e">
        <f t="shared" si="40"/>
        <v>#N/A</v>
      </c>
      <c r="D2620" t="s">
        <v>2808</v>
      </c>
      <c r="E2620" t="s">
        <v>2817</v>
      </c>
    </row>
    <row r="2621" spans="3:5">
      <c r="C2621" t="e">
        <f t="shared" si="40"/>
        <v>#N/A</v>
      </c>
      <c r="D2621" t="s">
        <v>2809</v>
      </c>
      <c r="E2621" t="s">
        <v>2817</v>
      </c>
    </row>
    <row r="2622" spans="3:5">
      <c r="C2622" t="e">
        <f t="shared" si="40"/>
        <v>#N/A</v>
      </c>
      <c r="D2622" t="s">
        <v>2810</v>
      </c>
      <c r="E2622" t="s">
        <v>2817</v>
      </c>
    </row>
    <row r="2623" spans="3:5">
      <c r="C2623" t="e">
        <f t="shared" si="40"/>
        <v>#N/A</v>
      </c>
      <c r="D2623" t="s">
        <v>2811</v>
      </c>
      <c r="E2623" t="s">
        <v>2817</v>
      </c>
    </row>
    <row r="2624" spans="3:5">
      <c r="C2624" t="e">
        <f t="shared" si="40"/>
        <v>#N/A</v>
      </c>
      <c r="D2624" t="s">
        <v>2812</v>
      </c>
      <c r="E2624" t="s">
        <v>2817</v>
      </c>
    </row>
    <row r="2625" spans="3:5">
      <c r="C2625" t="e">
        <f t="shared" si="40"/>
        <v>#N/A</v>
      </c>
      <c r="D2625" t="s">
        <v>2813</v>
      </c>
      <c r="E2625" t="s">
        <v>2817</v>
      </c>
    </row>
    <row r="2626" spans="3:5">
      <c r="C2626" t="e">
        <f t="shared" si="40"/>
        <v>#N/A</v>
      </c>
      <c r="D2626" t="s">
        <v>2814</v>
      </c>
      <c r="E2626" t="s">
        <v>2817</v>
      </c>
    </row>
    <row r="2627" spans="3:5">
      <c r="C2627" t="e">
        <f t="shared" ref="C2627:C2628" si="41">VLOOKUP(B2627,D:E,2,0)</f>
        <v>#N/A</v>
      </c>
      <c r="D2627" t="s">
        <v>2815</v>
      </c>
      <c r="E2627" t="s">
        <v>2817</v>
      </c>
    </row>
    <row r="2628" spans="3:5">
      <c r="C2628" t="e">
        <f t="shared" si="41"/>
        <v>#N/A</v>
      </c>
      <c r="D2628" t="s">
        <v>2816</v>
      </c>
      <c r="E2628" t="s">
        <v>2817</v>
      </c>
    </row>
  </sheetData>
  <autoFilter ref="C1:C3574" xr:uid="{55574295-A86C-49BF-A56E-1DEF752E77B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avgPt and PosRuoloCasa</vt:lpstr>
      <vt:lpstr>Sheet2</vt:lpstr>
      <vt:lpstr>Sheet3</vt:lpstr>
      <vt:lpstr>Sheet8</vt:lpstr>
      <vt:lpstr>Foglio1</vt:lpstr>
      <vt:lpstr>Foglio3</vt:lpstr>
      <vt:lpstr>Foglio2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Iurisci, Vodafone</dc:creator>
  <cp:lastModifiedBy>Fernando Iurisci</cp:lastModifiedBy>
  <dcterms:created xsi:type="dcterms:W3CDTF">2026-01-08T20:25:08Z</dcterms:created>
  <dcterms:modified xsi:type="dcterms:W3CDTF">2026-02-18T21:12:32Z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359f705-2ba0-454b-9cfc-6ce5bcaac040_Enabled">
    <vt:lpwstr>true</vt:lpwstr>
  </property>
  <property fmtid="{D5CDD505-2E9C-101B-9397-08002B2CF9AE}" pid="3" name="MSIP_Label_0359f705-2ba0-454b-9cfc-6ce5bcaac040_SetDate">
    <vt:lpwstr>2026-01-11T21:23:53Z</vt:lpwstr>
  </property>
  <property fmtid="{D5CDD505-2E9C-101B-9397-08002B2CF9AE}" pid="4" name="MSIP_Label_0359f705-2ba0-454b-9cfc-6ce5bcaac040_Method">
    <vt:lpwstr>Standard</vt:lpwstr>
  </property>
  <property fmtid="{D5CDD505-2E9C-101B-9397-08002B2CF9AE}" pid="5" name="MSIP_Label_0359f705-2ba0-454b-9cfc-6ce5bcaac040_Name">
    <vt:lpwstr>0359f705-2ba0-454b-9cfc-6ce5bcaac040</vt:lpwstr>
  </property>
  <property fmtid="{D5CDD505-2E9C-101B-9397-08002B2CF9AE}" pid="6" name="MSIP_Label_0359f705-2ba0-454b-9cfc-6ce5bcaac040_SiteId">
    <vt:lpwstr>68283f3b-8487-4c86-adb3-a5228f18b893</vt:lpwstr>
  </property>
  <property fmtid="{D5CDD505-2E9C-101B-9397-08002B2CF9AE}" pid="7" name="MSIP_Label_0359f705-2ba0-454b-9cfc-6ce5bcaac040_ActionId">
    <vt:lpwstr>179d7afc-4f44-454a-b719-6128784deb55</vt:lpwstr>
  </property>
  <property fmtid="{D5CDD505-2E9C-101B-9397-08002B2CF9AE}" pid="8" name="MSIP_Label_0359f705-2ba0-454b-9cfc-6ce5bcaac040_ContentBits">
    <vt:lpwstr>2</vt:lpwstr>
  </property>
  <property fmtid="{D5CDD505-2E9C-101B-9397-08002B2CF9AE}" pid="9" name="MSIP_Label_0359f705-2ba0-454b-9cfc-6ce5bcaac040_Tag">
    <vt:lpwstr>10, 3, 0, 1</vt:lpwstr>
  </property>
</Properties>
</file>