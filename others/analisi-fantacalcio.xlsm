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Progetti\Personale\iFanta\desktop\iFanta\others\"/>
    </mc:Choice>
  </mc:AlternateContent>
  <xr:revisionPtr revIDLastSave="0" documentId="13_ncr:1_{7BBDAD4A-94F0-4F00-B421-CF6F95F1A00A}" xr6:coauthVersionLast="36" xr6:coauthVersionMax="47" xr10:uidLastSave="{00000000-0000-0000-0000-000000000000}"/>
  <bookViews>
    <workbookView xWindow="-105" yWindow="-105" windowWidth="15465" windowHeight="7530" xr2:uid="{ACE3FCC3-DDF1-41BB-910E-56E1C89267D1}"/>
  </bookViews>
  <sheets>
    <sheet name="avgPt and PosRuoloCasa" sheetId="7" r:id="rId1"/>
    <sheet name="Sheet2" sheetId="2" r:id="rId2"/>
    <sheet name="Foglio2" sheetId="11" r:id="rId3"/>
  </sheets>
  <definedNames>
    <definedName name="_xleta.SUM" hidden="1" xlm="1">#NAME?</definedName>
  </definedNames>
  <calcPr calcId="191029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9" i="7" l="1"/>
  <c r="AP54" i="7" l="1"/>
  <c r="AL12" i="7"/>
  <c r="AL46" i="7"/>
  <c r="AP55" i="7"/>
  <c r="AP56" i="7"/>
  <c r="AP57" i="7"/>
  <c r="AP58" i="7"/>
  <c r="AP59" i="7"/>
  <c r="AP60" i="7"/>
  <c r="AP61" i="7"/>
  <c r="AP62" i="7"/>
  <c r="AP63" i="7"/>
  <c r="C28" i="7"/>
  <c r="AL67" i="7" l="1"/>
  <c r="AL132" i="7" s="1"/>
  <c r="AL80" i="7"/>
  <c r="AL145" i="7" s="1"/>
  <c r="AL81" i="7"/>
  <c r="AL146" i="7" s="1"/>
  <c r="AL82" i="7"/>
  <c r="AL147" i="7" s="1"/>
  <c r="AL83" i="7"/>
  <c r="AL148" i="7" s="1"/>
  <c r="AL84" i="7"/>
  <c r="AL149" i="7" s="1"/>
  <c r="AL85" i="7"/>
  <c r="AL150" i="7" s="1"/>
  <c r="AL86" i="7"/>
  <c r="AL151" i="7" s="1"/>
  <c r="AL87" i="7"/>
  <c r="AL152" i="7" s="1"/>
  <c r="AL88" i="7"/>
  <c r="AL153" i="7" s="1"/>
  <c r="AL89" i="7"/>
  <c r="AL154" i="7" s="1"/>
  <c r="AL68" i="7"/>
  <c r="AL69" i="7"/>
  <c r="AL134" i="7" s="1"/>
  <c r="AL70" i="7"/>
  <c r="AL135" i="7" s="1"/>
  <c r="AL71" i="7"/>
  <c r="AL136" i="7" s="1"/>
  <c r="AL72" i="7"/>
  <c r="AL137" i="7" s="1"/>
  <c r="AL73" i="7"/>
  <c r="AL138" i="7" s="1"/>
  <c r="AL74" i="7"/>
  <c r="AL139" i="7" s="1"/>
  <c r="AL75" i="7"/>
  <c r="AL140" i="7" s="1"/>
  <c r="AL76" i="7"/>
  <c r="AL141" i="7" s="1"/>
  <c r="AL64" i="7"/>
  <c r="AL41" i="7"/>
  <c r="AL42" i="7"/>
  <c r="AL43" i="7"/>
  <c r="AL44" i="7"/>
  <c r="AL45" i="7"/>
  <c r="AL47" i="7"/>
  <c r="AL48" i="7"/>
  <c r="AL49" i="7"/>
  <c r="AL50" i="7"/>
  <c r="AO155" i="7"/>
  <c r="AN155" i="7"/>
  <c r="AM155" i="7"/>
  <c r="AO142" i="7"/>
  <c r="AN142" i="7"/>
  <c r="AM142" i="7"/>
  <c r="AL51" i="7" l="1"/>
  <c r="AL77" i="7"/>
  <c r="AL142" i="7" s="1"/>
  <c r="AL90" i="7"/>
  <c r="AL155" i="7" s="1"/>
  <c r="AL133" i="7"/>
  <c r="AK12" i="7"/>
  <c r="AK67" i="7" l="1"/>
  <c r="AK132" i="7" s="1"/>
  <c r="AK68" i="7"/>
  <c r="AK133" i="7" s="1"/>
  <c r="AK69" i="7"/>
  <c r="AK134" i="7" s="1"/>
  <c r="AK70" i="7"/>
  <c r="AK135" i="7" s="1"/>
  <c r="AK71" i="7"/>
  <c r="AK136" i="7" s="1"/>
  <c r="AK72" i="7"/>
  <c r="AK137" i="7" s="1"/>
  <c r="AK73" i="7"/>
  <c r="AK138" i="7" s="1"/>
  <c r="AK74" i="7"/>
  <c r="AK139" i="7" s="1"/>
  <c r="AK75" i="7"/>
  <c r="AK140" i="7" s="1"/>
  <c r="AK76" i="7"/>
  <c r="AK141" i="7" s="1"/>
  <c r="AK80" i="7"/>
  <c r="AK145" i="7" s="1"/>
  <c r="AK81" i="7"/>
  <c r="AK146" i="7" s="1"/>
  <c r="AK82" i="7"/>
  <c r="AK147" i="7" s="1"/>
  <c r="AK83" i="7"/>
  <c r="AK148" i="7" s="1"/>
  <c r="AK84" i="7"/>
  <c r="AK149" i="7" s="1"/>
  <c r="AK85" i="7"/>
  <c r="AK150" i="7" s="1"/>
  <c r="AK86" i="7"/>
  <c r="AK151" i="7" s="1"/>
  <c r="AK87" i="7"/>
  <c r="AK152" i="7" s="1"/>
  <c r="AK88" i="7"/>
  <c r="AK153" i="7" s="1"/>
  <c r="AK89" i="7"/>
  <c r="AK154" i="7" s="1"/>
  <c r="AK41" i="7"/>
  <c r="AK42" i="7"/>
  <c r="AK43" i="7"/>
  <c r="AK44" i="7"/>
  <c r="AK45" i="7"/>
  <c r="AK46" i="7"/>
  <c r="AK47" i="7"/>
  <c r="AK48" i="7"/>
  <c r="AK49" i="7"/>
  <c r="AK50" i="7"/>
  <c r="AK51" i="7" l="1"/>
  <c r="AK90" i="7"/>
  <c r="AK77" i="7"/>
  <c r="AQ16" i="7"/>
  <c r="AQ3" i="7"/>
  <c r="AJ12" i="7"/>
  <c r="AQ2" i="7"/>
  <c r="AQ15" i="7"/>
  <c r="AJ80" i="7" l="1"/>
  <c r="AJ145" i="7" s="1"/>
  <c r="AJ81" i="7"/>
  <c r="AJ146" i="7" s="1"/>
  <c r="AJ82" i="7"/>
  <c r="AJ147" i="7" s="1"/>
  <c r="AJ83" i="7"/>
  <c r="AJ148" i="7" s="1"/>
  <c r="AJ84" i="7"/>
  <c r="AJ149" i="7" s="1"/>
  <c r="AJ85" i="7"/>
  <c r="AJ150" i="7" s="1"/>
  <c r="AJ86" i="7"/>
  <c r="AJ151" i="7" s="1"/>
  <c r="AJ87" i="7"/>
  <c r="AJ152" i="7" s="1"/>
  <c r="AJ88" i="7"/>
  <c r="AJ153" i="7" s="1"/>
  <c r="AJ89" i="7"/>
  <c r="AJ154" i="7" s="1"/>
  <c r="AJ67" i="7"/>
  <c r="AJ132" i="7" s="1"/>
  <c r="AJ68" i="7"/>
  <c r="AJ133" i="7" s="1"/>
  <c r="AJ69" i="7"/>
  <c r="AJ134" i="7" s="1"/>
  <c r="AJ70" i="7"/>
  <c r="AJ135" i="7" s="1"/>
  <c r="AJ71" i="7"/>
  <c r="AJ136" i="7" s="1"/>
  <c r="AJ72" i="7"/>
  <c r="AJ137" i="7" s="1"/>
  <c r="AJ73" i="7"/>
  <c r="AJ138" i="7" s="1"/>
  <c r="AJ74" i="7"/>
  <c r="AJ139" i="7" s="1"/>
  <c r="AJ75" i="7"/>
  <c r="AJ140" i="7" s="1"/>
  <c r="AJ76" i="7"/>
  <c r="AJ141" i="7" s="1"/>
  <c r="AJ41" i="7"/>
  <c r="AJ42" i="7"/>
  <c r="AJ43" i="7"/>
  <c r="AJ44" i="7"/>
  <c r="AJ45" i="7"/>
  <c r="AJ46" i="7"/>
  <c r="AJ47" i="7"/>
  <c r="AJ48" i="7"/>
  <c r="AJ49" i="7"/>
  <c r="AJ50" i="7"/>
  <c r="AJ51" i="7" l="1"/>
  <c r="AJ90" i="7"/>
  <c r="AJ77" i="7"/>
  <c r="AD69" i="7"/>
  <c r="AD134" i="7" s="1"/>
  <c r="C16" i="7"/>
  <c r="C17" i="7"/>
  <c r="C18" i="7"/>
  <c r="C19" i="7"/>
  <c r="C20" i="7"/>
  <c r="C21" i="7"/>
  <c r="C22" i="7"/>
  <c r="C23" i="7"/>
  <c r="C24" i="7"/>
  <c r="C15" i="7"/>
  <c r="C3" i="7"/>
  <c r="C4" i="7"/>
  <c r="C5" i="7"/>
  <c r="C6" i="7"/>
  <c r="C7" i="7"/>
  <c r="C8" i="7"/>
  <c r="C9" i="7"/>
  <c r="C10" i="7"/>
  <c r="C11" i="7"/>
  <c r="C2" i="7"/>
  <c r="AI12" i="7"/>
  <c r="C37" i="7" l="1"/>
  <c r="C93" i="7" l="1"/>
  <c r="AI80" i="7" l="1"/>
  <c r="AI145" i="7" s="1"/>
  <c r="AI81" i="7"/>
  <c r="AI146" i="7" s="1"/>
  <c r="AI82" i="7"/>
  <c r="AI147" i="7" s="1"/>
  <c r="AI83" i="7"/>
  <c r="AI148" i="7" s="1"/>
  <c r="AI84" i="7"/>
  <c r="AI149" i="7" s="1"/>
  <c r="AI85" i="7"/>
  <c r="AI150" i="7" s="1"/>
  <c r="AI86" i="7"/>
  <c r="AI151" i="7" s="1"/>
  <c r="AI87" i="7"/>
  <c r="AI152" i="7" s="1"/>
  <c r="AI88" i="7"/>
  <c r="AI153" i="7" s="1"/>
  <c r="AI89" i="7"/>
  <c r="AI154" i="7" s="1"/>
  <c r="AI67" i="7"/>
  <c r="AI132" i="7" s="1"/>
  <c r="AI68" i="7"/>
  <c r="AI133" i="7" s="1"/>
  <c r="AI69" i="7"/>
  <c r="AI134" i="7" s="1"/>
  <c r="AI70" i="7"/>
  <c r="AI135" i="7" s="1"/>
  <c r="AI71" i="7"/>
  <c r="AI136" i="7" s="1"/>
  <c r="AI72" i="7"/>
  <c r="AI137" i="7" s="1"/>
  <c r="AI73" i="7"/>
  <c r="AI138" i="7" s="1"/>
  <c r="AI74" i="7"/>
  <c r="AI139" i="7" s="1"/>
  <c r="AI75" i="7"/>
  <c r="AI140" i="7" s="1"/>
  <c r="AI76" i="7"/>
  <c r="AI141" i="7" s="1"/>
  <c r="AI41" i="7"/>
  <c r="AI42" i="7"/>
  <c r="AI43" i="7"/>
  <c r="AI44" i="7"/>
  <c r="AI45" i="7"/>
  <c r="AI46" i="7"/>
  <c r="AI47" i="7"/>
  <c r="AI48" i="7"/>
  <c r="AI49" i="7"/>
  <c r="AI50" i="7"/>
  <c r="AI51" i="7" l="1"/>
  <c r="AI90" i="7"/>
  <c r="AI77" i="7"/>
  <c r="AC75" i="7"/>
  <c r="AC140" i="7" s="1"/>
  <c r="AH67" i="7" l="1"/>
  <c r="AH132" i="7" s="1"/>
  <c r="AH68" i="7"/>
  <c r="AH133" i="7" s="1"/>
  <c r="AH69" i="7"/>
  <c r="AH134" i="7" s="1"/>
  <c r="AH70" i="7"/>
  <c r="AH135" i="7" s="1"/>
  <c r="AH71" i="7"/>
  <c r="AH136" i="7" s="1"/>
  <c r="AH72" i="7"/>
  <c r="AH137" i="7" s="1"/>
  <c r="AH73" i="7"/>
  <c r="AH138" i="7" s="1"/>
  <c r="AH74" i="7"/>
  <c r="AH139" i="7" s="1"/>
  <c r="AH75" i="7"/>
  <c r="AH140" i="7" s="1"/>
  <c r="AH76" i="7"/>
  <c r="AH141" i="7" s="1"/>
  <c r="AH80" i="7"/>
  <c r="AH145" i="7" s="1"/>
  <c r="AH81" i="7"/>
  <c r="AH146" i="7" s="1"/>
  <c r="AH82" i="7"/>
  <c r="AH147" i="7" s="1"/>
  <c r="AH83" i="7"/>
  <c r="AH148" i="7" s="1"/>
  <c r="AH84" i="7"/>
  <c r="AH149" i="7" s="1"/>
  <c r="AH85" i="7"/>
  <c r="AH150" i="7" s="1"/>
  <c r="AH86" i="7"/>
  <c r="AH151" i="7" s="1"/>
  <c r="AH87" i="7"/>
  <c r="AH152" i="7" s="1"/>
  <c r="AH88" i="7"/>
  <c r="AH153" i="7" s="1"/>
  <c r="AH89" i="7"/>
  <c r="AH154" i="7" s="1"/>
  <c r="AH90" i="7" l="1"/>
  <c r="AH77" i="7"/>
  <c r="AH41" i="7" l="1"/>
  <c r="AH42" i="7"/>
  <c r="AH43" i="7"/>
  <c r="AH44" i="7"/>
  <c r="AH45" i="7"/>
  <c r="AH46" i="7"/>
  <c r="AH47" i="7"/>
  <c r="AH48" i="7"/>
  <c r="AH49" i="7"/>
  <c r="AH50" i="7"/>
  <c r="AH12" i="7"/>
  <c r="AH51" i="7" l="1"/>
  <c r="AG75" i="7"/>
  <c r="AG140" i="7" s="1"/>
  <c r="R67" i="7" l="1"/>
  <c r="R132" i="7" s="1"/>
  <c r="C30" i="7"/>
  <c r="C31" i="7"/>
  <c r="C32" i="7"/>
  <c r="C33" i="7"/>
  <c r="C34" i="7"/>
  <c r="C35" i="7"/>
  <c r="C36" i="7"/>
  <c r="C29" i="7"/>
  <c r="AO129" i="7"/>
  <c r="AN129" i="7"/>
  <c r="AM129" i="7"/>
  <c r="AL129" i="7"/>
  <c r="AK129" i="7"/>
  <c r="AJ129" i="7"/>
  <c r="AI129" i="7"/>
  <c r="AH129" i="7"/>
  <c r="AG129" i="7"/>
  <c r="AF129" i="7"/>
  <c r="AE129" i="7"/>
  <c r="AD129" i="7"/>
  <c r="AC129" i="7"/>
  <c r="AB129" i="7"/>
  <c r="AA129" i="7"/>
  <c r="Z129" i="7"/>
  <c r="Y129" i="7"/>
  <c r="X129" i="7"/>
  <c r="W129" i="7"/>
  <c r="V129" i="7"/>
  <c r="U129" i="7"/>
  <c r="T129" i="7"/>
  <c r="S129" i="7"/>
  <c r="R129" i="7"/>
  <c r="Q129" i="7"/>
  <c r="P129" i="7"/>
  <c r="O129" i="7"/>
  <c r="N129" i="7"/>
  <c r="M129" i="7"/>
  <c r="L129" i="7"/>
  <c r="K129" i="7"/>
  <c r="J129" i="7"/>
  <c r="I129" i="7"/>
  <c r="H129" i="7"/>
  <c r="G129" i="7"/>
  <c r="F129" i="7"/>
  <c r="E129" i="7"/>
  <c r="D129" i="7"/>
  <c r="C128" i="7"/>
  <c r="C127" i="7"/>
  <c r="C126" i="7"/>
  <c r="C125" i="7"/>
  <c r="C124" i="7"/>
  <c r="C123" i="7"/>
  <c r="C122" i="7"/>
  <c r="C121" i="7"/>
  <c r="C120" i="7"/>
  <c r="AO116" i="7"/>
  <c r="AN116" i="7"/>
  <c r="AM116" i="7"/>
  <c r="AL116" i="7"/>
  <c r="AK116" i="7"/>
  <c r="AJ116" i="7"/>
  <c r="AI116" i="7"/>
  <c r="AH116" i="7"/>
  <c r="AG116" i="7"/>
  <c r="AD116" i="7"/>
  <c r="S116" i="7"/>
  <c r="R116" i="7"/>
  <c r="F116" i="7"/>
  <c r="C115" i="7"/>
  <c r="C114" i="7"/>
  <c r="C113" i="7"/>
  <c r="C112" i="7"/>
  <c r="C111" i="7"/>
  <c r="C110" i="7"/>
  <c r="C109" i="7"/>
  <c r="AA116" i="7"/>
  <c r="Z116" i="7"/>
  <c r="O116" i="7"/>
  <c r="N116" i="7"/>
  <c r="C107" i="7"/>
  <c r="V116" i="7"/>
  <c r="U116" i="7"/>
  <c r="K116" i="7"/>
  <c r="J116" i="7"/>
  <c r="I116" i="7"/>
  <c r="AF116" i="7"/>
  <c r="AE116" i="7"/>
  <c r="AC116" i="7"/>
  <c r="AB116" i="7"/>
  <c r="Y116" i="7"/>
  <c r="C106" i="7"/>
  <c r="T116" i="7"/>
  <c r="Q116" i="7"/>
  <c r="P116" i="7"/>
  <c r="M116" i="7"/>
  <c r="L116" i="7"/>
  <c r="H116" i="7"/>
  <c r="G116" i="7"/>
  <c r="E116" i="7"/>
  <c r="D116" i="7"/>
  <c r="AO103" i="7"/>
  <c r="AN103" i="7"/>
  <c r="AM103" i="7"/>
  <c r="AL103" i="7"/>
  <c r="AK103" i="7"/>
  <c r="AJ103" i="7"/>
  <c r="AI103" i="7"/>
  <c r="AH103" i="7"/>
  <c r="AE103" i="7"/>
  <c r="S103" i="7"/>
  <c r="G103" i="7"/>
  <c r="C102" i="7"/>
  <c r="C101" i="7"/>
  <c r="C100" i="7"/>
  <c r="C99" i="7"/>
  <c r="C98" i="7"/>
  <c r="C97" i="7"/>
  <c r="C96" i="7"/>
  <c r="AB103" i="7"/>
  <c r="AA103" i="7"/>
  <c r="P103" i="7"/>
  <c r="O103" i="7"/>
  <c r="D103" i="7"/>
  <c r="C95" i="7"/>
  <c r="X103" i="7"/>
  <c r="W103" i="7"/>
  <c r="V103" i="7"/>
  <c r="L103" i="7"/>
  <c r="K103" i="7"/>
  <c r="J103" i="7"/>
  <c r="AG103" i="7"/>
  <c r="AF103" i="7"/>
  <c r="AD103" i="7"/>
  <c r="AC103" i="7"/>
  <c r="Z103" i="7"/>
  <c r="U103" i="7"/>
  <c r="T103" i="7"/>
  <c r="R103" i="7"/>
  <c r="Q103" i="7"/>
  <c r="N103" i="7"/>
  <c r="M103" i="7"/>
  <c r="I103" i="7"/>
  <c r="H103" i="7"/>
  <c r="F103" i="7"/>
  <c r="E103" i="7"/>
  <c r="C38" i="7" l="1"/>
  <c r="C129" i="7"/>
  <c r="C108" i="7"/>
  <c r="C116" i="7" s="1"/>
  <c r="C94" i="7"/>
  <c r="C103" i="7" s="1"/>
  <c r="W116" i="7"/>
  <c r="Y103" i="7"/>
  <c r="X116" i="7"/>
  <c r="V42" i="7"/>
  <c r="AG12" i="7" l="1"/>
  <c r="AG80" i="7"/>
  <c r="AG145" i="7" s="1"/>
  <c r="AG81" i="7"/>
  <c r="AG146" i="7" s="1"/>
  <c r="AG82" i="7"/>
  <c r="AG147" i="7" s="1"/>
  <c r="AG83" i="7"/>
  <c r="AG148" i="7" s="1"/>
  <c r="AG84" i="7"/>
  <c r="AG149" i="7" s="1"/>
  <c r="AG85" i="7"/>
  <c r="AG150" i="7" s="1"/>
  <c r="AG86" i="7"/>
  <c r="AG151" i="7" s="1"/>
  <c r="AG87" i="7"/>
  <c r="AG152" i="7" s="1"/>
  <c r="AG88" i="7"/>
  <c r="AG153" i="7" s="1"/>
  <c r="AG89" i="7"/>
  <c r="AG154" i="7" s="1"/>
  <c r="AG67" i="7"/>
  <c r="AG132" i="7" s="1"/>
  <c r="AG68" i="7"/>
  <c r="AG133" i="7" s="1"/>
  <c r="AG69" i="7"/>
  <c r="AG134" i="7" s="1"/>
  <c r="AG70" i="7"/>
  <c r="AG135" i="7" s="1"/>
  <c r="AG71" i="7"/>
  <c r="AG136" i="7" s="1"/>
  <c r="AG72" i="7"/>
  <c r="AG137" i="7" s="1"/>
  <c r="AG73" i="7"/>
  <c r="AG138" i="7" s="1"/>
  <c r="AG74" i="7"/>
  <c r="AG139" i="7" s="1"/>
  <c r="AG76" i="7"/>
  <c r="AG141" i="7" s="1"/>
  <c r="AG41" i="7"/>
  <c r="AG42" i="7"/>
  <c r="AG43" i="7"/>
  <c r="AG44" i="7"/>
  <c r="AG45" i="7"/>
  <c r="AG46" i="7"/>
  <c r="AG47" i="7"/>
  <c r="AG48" i="7"/>
  <c r="AG49" i="7"/>
  <c r="AG50" i="7"/>
  <c r="AG51" i="7" l="1"/>
  <c r="AG90" i="7"/>
  <c r="AG77" i="7"/>
  <c r="AF12" i="7"/>
  <c r="AF80" i="7" l="1"/>
  <c r="AF145" i="7" s="1"/>
  <c r="AF81" i="7"/>
  <c r="AF146" i="7" s="1"/>
  <c r="AF82" i="7"/>
  <c r="AF147" i="7" s="1"/>
  <c r="AF83" i="7"/>
  <c r="AF148" i="7" s="1"/>
  <c r="AF84" i="7"/>
  <c r="AF149" i="7" s="1"/>
  <c r="AF85" i="7"/>
  <c r="AF150" i="7" s="1"/>
  <c r="AF86" i="7"/>
  <c r="AF151" i="7" s="1"/>
  <c r="AF87" i="7"/>
  <c r="AF152" i="7" s="1"/>
  <c r="AF88" i="7"/>
  <c r="AF153" i="7" s="1"/>
  <c r="AF89" i="7"/>
  <c r="AF154" i="7" s="1"/>
  <c r="AF67" i="7"/>
  <c r="AF132" i="7" s="1"/>
  <c r="AF68" i="7"/>
  <c r="AF133" i="7" s="1"/>
  <c r="AF69" i="7"/>
  <c r="AF134" i="7" s="1"/>
  <c r="AF70" i="7"/>
  <c r="AF135" i="7" s="1"/>
  <c r="AF71" i="7"/>
  <c r="AF136" i="7" s="1"/>
  <c r="AF72" i="7"/>
  <c r="AF137" i="7" s="1"/>
  <c r="AF73" i="7"/>
  <c r="AF138" i="7" s="1"/>
  <c r="AF74" i="7"/>
  <c r="AF139" i="7" s="1"/>
  <c r="AF75" i="7"/>
  <c r="AF140" i="7" s="1"/>
  <c r="AF76" i="7"/>
  <c r="AF141" i="7" s="1"/>
  <c r="AF41" i="7"/>
  <c r="AF42" i="7"/>
  <c r="AF43" i="7"/>
  <c r="AF44" i="7"/>
  <c r="AF45" i="7"/>
  <c r="AF46" i="7"/>
  <c r="AF47" i="7"/>
  <c r="AF48" i="7"/>
  <c r="AF49" i="7"/>
  <c r="AF50" i="7"/>
  <c r="AF51" i="7" l="1"/>
  <c r="AF77" i="7"/>
  <c r="AF90" i="7"/>
  <c r="AE80" i="7"/>
  <c r="AE145" i="7" s="1"/>
  <c r="AE81" i="7"/>
  <c r="AE146" i="7" s="1"/>
  <c r="AE82" i="7"/>
  <c r="AE147" i="7" s="1"/>
  <c r="AE83" i="7"/>
  <c r="AE148" i="7" s="1"/>
  <c r="AE84" i="7"/>
  <c r="AE149" i="7" s="1"/>
  <c r="AE85" i="7"/>
  <c r="AE150" i="7" s="1"/>
  <c r="AE86" i="7"/>
  <c r="AE151" i="7" s="1"/>
  <c r="AE87" i="7"/>
  <c r="AE152" i="7" s="1"/>
  <c r="AE88" i="7"/>
  <c r="AE153" i="7" s="1"/>
  <c r="AE89" i="7"/>
  <c r="AE154" i="7" s="1"/>
  <c r="AE67" i="7"/>
  <c r="AE132" i="7" s="1"/>
  <c r="AE68" i="7"/>
  <c r="AE133" i="7" s="1"/>
  <c r="AE69" i="7"/>
  <c r="AE134" i="7" s="1"/>
  <c r="AE70" i="7"/>
  <c r="AE135" i="7" s="1"/>
  <c r="AE71" i="7"/>
  <c r="AE136" i="7" s="1"/>
  <c r="AE72" i="7"/>
  <c r="AE137" i="7" s="1"/>
  <c r="AE73" i="7"/>
  <c r="AE138" i="7" s="1"/>
  <c r="AE74" i="7"/>
  <c r="AE139" i="7" s="1"/>
  <c r="AE75" i="7"/>
  <c r="AE140" i="7" s="1"/>
  <c r="AE76" i="7"/>
  <c r="AE141" i="7" s="1"/>
  <c r="AE41" i="7"/>
  <c r="AE42" i="7"/>
  <c r="AE43" i="7"/>
  <c r="AE44" i="7"/>
  <c r="AE45" i="7"/>
  <c r="AE46" i="7"/>
  <c r="AE47" i="7"/>
  <c r="AE48" i="7"/>
  <c r="AE49" i="7"/>
  <c r="AE50" i="7"/>
  <c r="AE12" i="7"/>
  <c r="AE51" i="7" l="1"/>
  <c r="C55" i="7" l="1"/>
  <c r="C56" i="7"/>
  <c r="C57" i="7"/>
  <c r="C58" i="7"/>
  <c r="C59" i="7"/>
  <c r="C60" i="7"/>
  <c r="C61" i="7"/>
  <c r="C62" i="7"/>
  <c r="C63" i="7"/>
  <c r="C54" i="7"/>
  <c r="AD12" i="7" l="1"/>
  <c r="AD80" i="7" l="1"/>
  <c r="AD145" i="7" s="1"/>
  <c r="AD81" i="7"/>
  <c r="AD146" i="7" s="1"/>
  <c r="AD82" i="7"/>
  <c r="AD147" i="7" s="1"/>
  <c r="AD83" i="7"/>
  <c r="AD148" i="7" s="1"/>
  <c r="AD84" i="7"/>
  <c r="AD149" i="7" s="1"/>
  <c r="AD85" i="7"/>
  <c r="AD150" i="7" s="1"/>
  <c r="AD86" i="7"/>
  <c r="AD151" i="7" s="1"/>
  <c r="AD87" i="7"/>
  <c r="AD152" i="7" s="1"/>
  <c r="AD88" i="7"/>
  <c r="AD153" i="7" s="1"/>
  <c r="AD89" i="7"/>
  <c r="AD154" i="7" s="1"/>
  <c r="AD67" i="7"/>
  <c r="AD132" i="7" s="1"/>
  <c r="AD68" i="7"/>
  <c r="AD133" i="7" s="1"/>
  <c r="AD70" i="7"/>
  <c r="AD135" i="7" s="1"/>
  <c r="AD71" i="7"/>
  <c r="AD136" i="7" s="1"/>
  <c r="AD72" i="7"/>
  <c r="AD137" i="7" s="1"/>
  <c r="AD73" i="7"/>
  <c r="AD138" i="7" s="1"/>
  <c r="AD74" i="7"/>
  <c r="AD139" i="7" s="1"/>
  <c r="AD75" i="7"/>
  <c r="AD140" i="7" s="1"/>
  <c r="AD76" i="7"/>
  <c r="AD141" i="7" s="1"/>
  <c r="AD41" i="7"/>
  <c r="AD42" i="7"/>
  <c r="AD43" i="7"/>
  <c r="AD44" i="7"/>
  <c r="AD45" i="7"/>
  <c r="AD46" i="7"/>
  <c r="AD47" i="7"/>
  <c r="AD48" i="7"/>
  <c r="AD49" i="7"/>
  <c r="AD50" i="7"/>
  <c r="AD51" i="7" l="1"/>
  <c r="AD90" i="7"/>
  <c r="AD77" i="7"/>
  <c r="AA47" i="7"/>
  <c r="AC67" i="7" l="1"/>
  <c r="AC132" i="7" s="1"/>
  <c r="AC68" i="7"/>
  <c r="AC133" i="7" s="1"/>
  <c r="AC69" i="7"/>
  <c r="AC134" i="7" s="1"/>
  <c r="AC70" i="7"/>
  <c r="AC135" i="7" s="1"/>
  <c r="AC71" i="7"/>
  <c r="AC136" i="7" s="1"/>
  <c r="AC72" i="7"/>
  <c r="AC137" i="7" s="1"/>
  <c r="AC73" i="7"/>
  <c r="AC138" i="7" s="1"/>
  <c r="AC74" i="7"/>
  <c r="AC139" i="7" s="1"/>
  <c r="AC76" i="7"/>
  <c r="AC141" i="7" s="1"/>
  <c r="AC80" i="7"/>
  <c r="AC145" i="7" s="1"/>
  <c r="AC81" i="7"/>
  <c r="AC146" i="7" s="1"/>
  <c r="AC82" i="7"/>
  <c r="AC147" i="7" s="1"/>
  <c r="AC83" i="7"/>
  <c r="AC148" i="7" s="1"/>
  <c r="AC84" i="7"/>
  <c r="AC149" i="7" s="1"/>
  <c r="AC85" i="7"/>
  <c r="AC150" i="7" s="1"/>
  <c r="AC86" i="7"/>
  <c r="AC151" i="7" s="1"/>
  <c r="AC87" i="7"/>
  <c r="AC152" i="7" s="1"/>
  <c r="AC88" i="7"/>
  <c r="AC153" i="7" s="1"/>
  <c r="AC89" i="7"/>
  <c r="AC154" i="7" s="1"/>
  <c r="AC12" i="7"/>
  <c r="AC41" i="7"/>
  <c r="AC42" i="7"/>
  <c r="AC43" i="7"/>
  <c r="AC44" i="7"/>
  <c r="AC45" i="7"/>
  <c r="AC46" i="7"/>
  <c r="AC47" i="7"/>
  <c r="AC48" i="7"/>
  <c r="AC49" i="7"/>
  <c r="AC50" i="7"/>
  <c r="AC51" i="7" l="1"/>
  <c r="AC90" i="7"/>
  <c r="AC77" i="7"/>
  <c r="H24" i="2" l="1"/>
  <c r="X18" i="2"/>
  <c r="X17" i="2"/>
  <c r="X19" i="2" s="1"/>
  <c r="P18" i="2"/>
  <c r="H18" i="2"/>
  <c r="H19" i="2" s="1"/>
  <c r="H17" i="2"/>
  <c r="C17" i="2"/>
  <c r="G23" i="2"/>
  <c r="F23" i="2"/>
  <c r="E23" i="2"/>
  <c r="D23" i="2"/>
  <c r="C23" i="2"/>
  <c r="B23" i="2"/>
  <c r="W17" i="2"/>
  <c r="V17" i="2"/>
  <c r="U17" i="2"/>
  <c r="T17" i="2"/>
  <c r="S17" i="2"/>
  <c r="R17" i="2"/>
  <c r="O17" i="2"/>
  <c r="N17" i="2"/>
  <c r="M17" i="2"/>
  <c r="L17" i="2"/>
  <c r="K17" i="2"/>
  <c r="J17" i="2"/>
  <c r="G17" i="2"/>
  <c r="F17" i="2"/>
  <c r="E17" i="2"/>
  <c r="D17" i="2"/>
  <c r="B17" i="2"/>
  <c r="X13" i="2"/>
  <c r="P13" i="2"/>
  <c r="H13" i="2"/>
  <c r="X7" i="2"/>
  <c r="P7" i="2"/>
  <c r="H7" i="2"/>
  <c r="C11" i="2"/>
  <c r="W11" i="2"/>
  <c r="V11" i="2"/>
  <c r="U11" i="2"/>
  <c r="T11" i="2"/>
  <c r="S11" i="2"/>
  <c r="R11" i="2"/>
  <c r="O11" i="2"/>
  <c r="N11" i="2"/>
  <c r="M11" i="2"/>
  <c r="L11" i="2"/>
  <c r="K11" i="2"/>
  <c r="J11" i="2"/>
  <c r="G11" i="2"/>
  <c r="F11" i="2"/>
  <c r="E11" i="2"/>
  <c r="D11" i="2"/>
  <c r="B11" i="2"/>
  <c r="N5" i="2"/>
  <c r="W5" i="2"/>
  <c r="V5" i="2"/>
  <c r="U5" i="2"/>
  <c r="T5" i="2"/>
  <c r="S5" i="2"/>
  <c r="R5" i="2"/>
  <c r="O5" i="2"/>
  <c r="M5" i="2"/>
  <c r="L5" i="2"/>
  <c r="K5" i="2"/>
  <c r="J5" i="2"/>
  <c r="H23" i="2" l="1"/>
  <c r="H25" i="2" s="1"/>
  <c r="P17" i="2"/>
  <c r="P19" i="2" s="1"/>
  <c r="C5" i="2"/>
  <c r="D5" i="2"/>
  <c r="E5" i="2"/>
  <c r="F5" i="2"/>
  <c r="G5" i="2"/>
  <c r="B5" i="2"/>
  <c r="AB80" i="7"/>
  <c r="AB145" i="7" s="1"/>
  <c r="AB81" i="7"/>
  <c r="AB146" i="7" s="1"/>
  <c r="AB82" i="7"/>
  <c r="AB147" i="7" s="1"/>
  <c r="AB83" i="7"/>
  <c r="AB148" i="7" s="1"/>
  <c r="AB84" i="7"/>
  <c r="AB149" i="7" s="1"/>
  <c r="AB85" i="7"/>
  <c r="AB150" i="7" s="1"/>
  <c r="AB86" i="7"/>
  <c r="AB151" i="7" s="1"/>
  <c r="AB87" i="7"/>
  <c r="AB152" i="7" s="1"/>
  <c r="AB88" i="7"/>
  <c r="AB153" i="7" s="1"/>
  <c r="AB89" i="7"/>
  <c r="AB154" i="7" s="1"/>
  <c r="AB67" i="7"/>
  <c r="AB132" i="7" s="1"/>
  <c r="AB68" i="7"/>
  <c r="AB133" i="7" s="1"/>
  <c r="AB69" i="7"/>
  <c r="AB134" i="7" s="1"/>
  <c r="AB70" i="7"/>
  <c r="AB135" i="7" s="1"/>
  <c r="AB71" i="7"/>
  <c r="AB136" i="7" s="1"/>
  <c r="AB72" i="7"/>
  <c r="AB137" i="7" s="1"/>
  <c r="AB73" i="7"/>
  <c r="AB138" i="7" s="1"/>
  <c r="AB74" i="7"/>
  <c r="AB139" i="7" s="1"/>
  <c r="AB75" i="7"/>
  <c r="AB140" i="7" s="1"/>
  <c r="AB76" i="7"/>
  <c r="AB141" i="7" s="1"/>
  <c r="AB41" i="7"/>
  <c r="AB42" i="7"/>
  <c r="AB43" i="7"/>
  <c r="AB44" i="7"/>
  <c r="AB45" i="7"/>
  <c r="AB46" i="7"/>
  <c r="AB47" i="7"/>
  <c r="AB48" i="7"/>
  <c r="AB49" i="7"/>
  <c r="AB50" i="7"/>
  <c r="AB12" i="7"/>
  <c r="AB51" i="7" l="1"/>
  <c r="AB77" i="7"/>
  <c r="AB90" i="7"/>
  <c r="D64" i="7"/>
  <c r="AA64" i="7" l="1"/>
  <c r="U80" i="7"/>
  <c r="U145" i="7" s="1"/>
  <c r="V80" i="7"/>
  <c r="V145" i="7" s="1"/>
  <c r="W80" i="7"/>
  <c r="W145" i="7" s="1"/>
  <c r="X80" i="7"/>
  <c r="X145" i="7" s="1"/>
  <c r="Y80" i="7"/>
  <c r="Y145" i="7" s="1"/>
  <c r="Z80" i="7"/>
  <c r="Z145" i="7" s="1"/>
  <c r="AA80" i="7"/>
  <c r="AA145" i="7" s="1"/>
  <c r="U81" i="7"/>
  <c r="U146" i="7" s="1"/>
  <c r="V81" i="7"/>
  <c r="V146" i="7" s="1"/>
  <c r="W81" i="7"/>
  <c r="W146" i="7" s="1"/>
  <c r="X81" i="7"/>
  <c r="X146" i="7" s="1"/>
  <c r="Y81" i="7"/>
  <c r="Y146" i="7" s="1"/>
  <c r="Z81" i="7"/>
  <c r="Z146" i="7" s="1"/>
  <c r="AA81" i="7"/>
  <c r="AA146" i="7" s="1"/>
  <c r="U82" i="7"/>
  <c r="U147" i="7" s="1"/>
  <c r="V82" i="7"/>
  <c r="V147" i="7" s="1"/>
  <c r="W82" i="7"/>
  <c r="W147" i="7" s="1"/>
  <c r="X82" i="7"/>
  <c r="X147" i="7" s="1"/>
  <c r="Y82" i="7"/>
  <c r="Y147" i="7" s="1"/>
  <c r="Z82" i="7"/>
  <c r="Z147" i="7" s="1"/>
  <c r="AA82" i="7"/>
  <c r="AA147" i="7" s="1"/>
  <c r="U83" i="7"/>
  <c r="U148" i="7" s="1"/>
  <c r="V83" i="7"/>
  <c r="V148" i="7" s="1"/>
  <c r="W83" i="7"/>
  <c r="W148" i="7" s="1"/>
  <c r="X83" i="7"/>
  <c r="X148" i="7" s="1"/>
  <c r="Y83" i="7"/>
  <c r="Y148" i="7" s="1"/>
  <c r="Z83" i="7"/>
  <c r="Z148" i="7" s="1"/>
  <c r="AA83" i="7"/>
  <c r="AA148" i="7" s="1"/>
  <c r="U84" i="7"/>
  <c r="U149" i="7" s="1"/>
  <c r="V84" i="7"/>
  <c r="V149" i="7" s="1"/>
  <c r="W84" i="7"/>
  <c r="W149" i="7" s="1"/>
  <c r="X84" i="7"/>
  <c r="X149" i="7" s="1"/>
  <c r="Y84" i="7"/>
  <c r="Y149" i="7" s="1"/>
  <c r="Z84" i="7"/>
  <c r="Z149" i="7" s="1"/>
  <c r="AA84" i="7"/>
  <c r="AA149" i="7" s="1"/>
  <c r="U85" i="7"/>
  <c r="U150" i="7" s="1"/>
  <c r="V85" i="7"/>
  <c r="V150" i="7" s="1"/>
  <c r="W85" i="7"/>
  <c r="W150" i="7" s="1"/>
  <c r="X85" i="7"/>
  <c r="X150" i="7" s="1"/>
  <c r="Y85" i="7"/>
  <c r="Y150" i="7" s="1"/>
  <c r="Z85" i="7"/>
  <c r="Z150" i="7" s="1"/>
  <c r="AA85" i="7"/>
  <c r="AA150" i="7" s="1"/>
  <c r="U86" i="7"/>
  <c r="U151" i="7" s="1"/>
  <c r="V86" i="7"/>
  <c r="V151" i="7" s="1"/>
  <c r="W86" i="7"/>
  <c r="W151" i="7" s="1"/>
  <c r="X86" i="7"/>
  <c r="X151" i="7" s="1"/>
  <c r="Y86" i="7"/>
  <c r="Y151" i="7" s="1"/>
  <c r="Z86" i="7"/>
  <c r="Z151" i="7" s="1"/>
  <c r="AA86" i="7"/>
  <c r="AA151" i="7" s="1"/>
  <c r="U87" i="7"/>
  <c r="U152" i="7" s="1"/>
  <c r="V87" i="7"/>
  <c r="V152" i="7" s="1"/>
  <c r="W87" i="7"/>
  <c r="W152" i="7" s="1"/>
  <c r="X87" i="7"/>
  <c r="X152" i="7" s="1"/>
  <c r="Y87" i="7"/>
  <c r="Y152" i="7" s="1"/>
  <c r="Z87" i="7"/>
  <c r="Z152" i="7" s="1"/>
  <c r="AA87" i="7"/>
  <c r="AA152" i="7" s="1"/>
  <c r="U88" i="7"/>
  <c r="U153" i="7" s="1"/>
  <c r="V88" i="7"/>
  <c r="V153" i="7" s="1"/>
  <c r="W88" i="7"/>
  <c r="X88" i="7"/>
  <c r="X153" i="7" s="1"/>
  <c r="Y88" i="7"/>
  <c r="Y153" i="7" s="1"/>
  <c r="Z88" i="7"/>
  <c r="Z153" i="7" s="1"/>
  <c r="AA88" i="7"/>
  <c r="AA153" i="7" s="1"/>
  <c r="U89" i="7"/>
  <c r="U154" i="7" s="1"/>
  <c r="V89" i="7"/>
  <c r="V154" i="7" s="1"/>
  <c r="W89" i="7"/>
  <c r="W154" i="7" s="1"/>
  <c r="X89" i="7"/>
  <c r="X154" i="7" s="1"/>
  <c r="Y89" i="7"/>
  <c r="Y154" i="7" s="1"/>
  <c r="Z89" i="7"/>
  <c r="Z154" i="7" s="1"/>
  <c r="AA89" i="7"/>
  <c r="AA154" i="7" s="1"/>
  <c r="V67" i="7"/>
  <c r="V132" i="7" s="1"/>
  <c r="W67" i="7"/>
  <c r="W132" i="7" s="1"/>
  <c r="X67" i="7"/>
  <c r="X132" i="7" s="1"/>
  <c r="Y67" i="7"/>
  <c r="Y132" i="7" s="1"/>
  <c r="Z67" i="7"/>
  <c r="Z132" i="7" s="1"/>
  <c r="AA67" i="7"/>
  <c r="AA132" i="7" s="1"/>
  <c r="V68" i="7"/>
  <c r="V133" i="7" s="1"/>
  <c r="W68" i="7"/>
  <c r="W133" i="7" s="1"/>
  <c r="X68" i="7"/>
  <c r="X133" i="7" s="1"/>
  <c r="Y68" i="7"/>
  <c r="Y133" i="7" s="1"/>
  <c r="Z68" i="7"/>
  <c r="Z133" i="7" s="1"/>
  <c r="AA68" i="7"/>
  <c r="AA133" i="7" s="1"/>
  <c r="V69" i="7"/>
  <c r="V134" i="7" s="1"/>
  <c r="W69" i="7"/>
  <c r="W134" i="7" s="1"/>
  <c r="X69" i="7"/>
  <c r="X134" i="7" s="1"/>
  <c r="Y69" i="7"/>
  <c r="Y134" i="7" s="1"/>
  <c r="Z69" i="7"/>
  <c r="Z134" i="7" s="1"/>
  <c r="AA69" i="7"/>
  <c r="AA134" i="7" s="1"/>
  <c r="V70" i="7"/>
  <c r="V135" i="7" s="1"/>
  <c r="W70" i="7"/>
  <c r="W135" i="7" s="1"/>
  <c r="X70" i="7"/>
  <c r="X135" i="7" s="1"/>
  <c r="Y70" i="7"/>
  <c r="Y135" i="7" s="1"/>
  <c r="Z70" i="7"/>
  <c r="Z135" i="7" s="1"/>
  <c r="AA70" i="7"/>
  <c r="AA135" i="7" s="1"/>
  <c r="V71" i="7"/>
  <c r="V136" i="7" s="1"/>
  <c r="W71" i="7"/>
  <c r="W136" i="7" s="1"/>
  <c r="X71" i="7"/>
  <c r="X136" i="7" s="1"/>
  <c r="Y71" i="7"/>
  <c r="Y136" i="7" s="1"/>
  <c r="Z71" i="7"/>
  <c r="Z136" i="7" s="1"/>
  <c r="AA71" i="7"/>
  <c r="AA136" i="7" s="1"/>
  <c r="V72" i="7"/>
  <c r="V137" i="7" s="1"/>
  <c r="W72" i="7"/>
  <c r="W137" i="7" s="1"/>
  <c r="X72" i="7"/>
  <c r="X137" i="7" s="1"/>
  <c r="Y72" i="7"/>
  <c r="Y137" i="7" s="1"/>
  <c r="Z72" i="7"/>
  <c r="Z137" i="7" s="1"/>
  <c r="AA72" i="7"/>
  <c r="AA137" i="7" s="1"/>
  <c r="V73" i="7"/>
  <c r="V138" i="7" s="1"/>
  <c r="W73" i="7"/>
  <c r="W138" i="7" s="1"/>
  <c r="X73" i="7"/>
  <c r="X138" i="7" s="1"/>
  <c r="Y73" i="7"/>
  <c r="Y138" i="7" s="1"/>
  <c r="Z73" i="7"/>
  <c r="Z138" i="7" s="1"/>
  <c r="AA73" i="7"/>
  <c r="AA138" i="7" s="1"/>
  <c r="V74" i="7"/>
  <c r="V139" i="7" s="1"/>
  <c r="W74" i="7"/>
  <c r="W139" i="7" s="1"/>
  <c r="X74" i="7"/>
  <c r="X139" i="7" s="1"/>
  <c r="Y74" i="7"/>
  <c r="Y139" i="7" s="1"/>
  <c r="Z74" i="7"/>
  <c r="Z139" i="7" s="1"/>
  <c r="AA74" i="7"/>
  <c r="AA139" i="7" s="1"/>
  <c r="V75" i="7"/>
  <c r="V140" i="7" s="1"/>
  <c r="W75" i="7"/>
  <c r="X75" i="7"/>
  <c r="X140" i="7" s="1"/>
  <c r="Y75" i="7"/>
  <c r="Y140" i="7" s="1"/>
  <c r="Z75" i="7"/>
  <c r="Z140" i="7" s="1"/>
  <c r="AA75" i="7"/>
  <c r="AA140" i="7" s="1"/>
  <c r="V76" i="7"/>
  <c r="V141" i="7" s="1"/>
  <c r="W76" i="7"/>
  <c r="W141" i="7" s="1"/>
  <c r="X76" i="7"/>
  <c r="X141" i="7" s="1"/>
  <c r="Y76" i="7"/>
  <c r="Y141" i="7" s="1"/>
  <c r="Z76" i="7"/>
  <c r="Z141" i="7" s="1"/>
  <c r="AA76" i="7"/>
  <c r="AA141" i="7" s="1"/>
  <c r="E64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S64" i="7"/>
  <c r="T64" i="7"/>
  <c r="U64" i="7"/>
  <c r="V64" i="7"/>
  <c r="W64" i="7"/>
  <c r="X64" i="7"/>
  <c r="Y64" i="7"/>
  <c r="Z64" i="7"/>
  <c r="V41" i="7"/>
  <c r="V43" i="7"/>
  <c r="V44" i="7"/>
  <c r="V45" i="7"/>
  <c r="V46" i="7"/>
  <c r="V47" i="7"/>
  <c r="V48" i="7"/>
  <c r="V49" i="7"/>
  <c r="V50" i="7"/>
  <c r="D25" i="7"/>
  <c r="E25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S25" i="7"/>
  <c r="T25" i="7"/>
  <c r="U25" i="7"/>
  <c r="V25" i="7"/>
  <c r="W25" i="7"/>
  <c r="X25" i="7"/>
  <c r="Y25" i="7"/>
  <c r="Z25" i="7"/>
  <c r="AA25" i="7"/>
  <c r="D12" i="7"/>
  <c r="E12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S12" i="7"/>
  <c r="T12" i="7"/>
  <c r="U12" i="7"/>
  <c r="V12" i="7"/>
  <c r="W12" i="7"/>
  <c r="X12" i="7"/>
  <c r="Y12" i="7"/>
  <c r="Z12" i="7"/>
  <c r="AA12" i="7"/>
  <c r="V38" i="7"/>
  <c r="AB25" i="7"/>
  <c r="AC25" i="7"/>
  <c r="AD25" i="7"/>
  <c r="AE25" i="7"/>
  <c r="AF25" i="7"/>
  <c r="AG25" i="7"/>
  <c r="AH25" i="7"/>
  <c r="AI25" i="7"/>
  <c r="AJ25" i="7"/>
  <c r="AK25" i="7"/>
  <c r="AL25" i="7"/>
  <c r="AM25" i="7"/>
  <c r="AN25" i="7"/>
  <c r="AO25" i="7"/>
  <c r="E80" i="7"/>
  <c r="E145" i="7" s="1"/>
  <c r="F80" i="7"/>
  <c r="F145" i="7" s="1"/>
  <c r="G80" i="7"/>
  <c r="G145" i="7" s="1"/>
  <c r="H80" i="7"/>
  <c r="H145" i="7" s="1"/>
  <c r="I80" i="7"/>
  <c r="I145" i="7" s="1"/>
  <c r="J80" i="7"/>
  <c r="J145" i="7" s="1"/>
  <c r="K80" i="7"/>
  <c r="K145" i="7" s="1"/>
  <c r="L80" i="7"/>
  <c r="L145" i="7" s="1"/>
  <c r="M80" i="7"/>
  <c r="M145" i="7" s="1"/>
  <c r="N80" i="7"/>
  <c r="N145" i="7" s="1"/>
  <c r="O80" i="7"/>
  <c r="O145" i="7" s="1"/>
  <c r="P80" i="7"/>
  <c r="P145" i="7" s="1"/>
  <c r="Q80" i="7"/>
  <c r="Q145" i="7" s="1"/>
  <c r="R80" i="7"/>
  <c r="R145" i="7" s="1"/>
  <c r="S80" i="7"/>
  <c r="S145" i="7" s="1"/>
  <c r="T80" i="7"/>
  <c r="T145" i="7" s="1"/>
  <c r="E81" i="7"/>
  <c r="E146" i="7" s="1"/>
  <c r="F81" i="7"/>
  <c r="F146" i="7" s="1"/>
  <c r="G81" i="7"/>
  <c r="G146" i="7" s="1"/>
  <c r="H81" i="7"/>
  <c r="H146" i="7" s="1"/>
  <c r="I81" i="7"/>
  <c r="I146" i="7" s="1"/>
  <c r="J81" i="7"/>
  <c r="J146" i="7" s="1"/>
  <c r="K81" i="7"/>
  <c r="K146" i="7" s="1"/>
  <c r="L81" i="7"/>
  <c r="L146" i="7" s="1"/>
  <c r="M81" i="7"/>
  <c r="M146" i="7" s="1"/>
  <c r="N81" i="7"/>
  <c r="N146" i="7" s="1"/>
  <c r="O81" i="7"/>
  <c r="O146" i="7" s="1"/>
  <c r="P81" i="7"/>
  <c r="P146" i="7" s="1"/>
  <c r="Q81" i="7"/>
  <c r="Q146" i="7" s="1"/>
  <c r="R81" i="7"/>
  <c r="R146" i="7" s="1"/>
  <c r="S81" i="7"/>
  <c r="S146" i="7" s="1"/>
  <c r="T81" i="7"/>
  <c r="T146" i="7" s="1"/>
  <c r="E82" i="7"/>
  <c r="E147" i="7" s="1"/>
  <c r="F82" i="7"/>
  <c r="F147" i="7" s="1"/>
  <c r="G82" i="7"/>
  <c r="G147" i="7" s="1"/>
  <c r="H82" i="7"/>
  <c r="H147" i="7" s="1"/>
  <c r="I82" i="7"/>
  <c r="I147" i="7" s="1"/>
  <c r="J82" i="7"/>
  <c r="J147" i="7" s="1"/>
  <c r="K82" i="7"/>
  <c r="K147" i="7" s="1"/>
  <c r="L82" i="7"/>
  <c r="L147" i="7" s="1"/>
  <c r="M82" i="7"/>
  <c r="M147" i="7" s="1"/>
  <c r="N82" i="7"/>
  <c r="N147" i="7" s="1"/>
  <c r="O82" i="7"/>
  <c r="O147" i="7" s="1"/>
  <c r="P82" i="7"/>
  <c r="P147" i="7" s="1"/>
  <c r="Q82" i="7"/>
  <c r="Q147" i="7" s="1"/>
  <c r="R82" i="7"/>
  <c r="R147" i="7" s="1"/>
  <c r="S82" i="7"/>
  <c r="S147" i="7" s="1"/>
  <c r="T82" i="7"/>
  <c r="T147" i="7" s="1"/>
  <c r="E83" i="7"/>
  <c r="E148" i="7" s="1"/>
  <c r="F83" i="7"/>
  <c r="F148" i="7" s="1"/>
  <c r="G83" i="7"/>
  <c r="G148" i="7" s="1"/>
  <c r="H83" i="7"/>
  <c r="H148" i="7" s="1"/>
  <c r="I83" i="7"/>
  <c r="I148" i="7" s="1"/>
  <c r="J83" i="7"/>
  <c r="J148" i="7" s="1"/>
  <c r="K83" i="7"/>
  <c r="K148" i="7" s="1"/>
  <c r="L83" i="7"/>
  <c r="L148" i="7" s="1"/>
  <c r="M83" i="7"/>
  <c r="M148" i="7" s="1"/>
  <c r="N83" i="7"/>
  <c r="N148" i="7" s="1"/>
  <c r="O83" i="7"/>
  <c r="O148" i="7" s="1"/>
  <c r="P83" i="7"/>
  <c r="P148" i="7" s="1"/>
  <c r="Q83" i="7"/>
  <c r="Q148" i="7" s="1"/>
  <c r="R83" i="7"/>
  <c r="R148" i="7" s="1"/>
  <c r="S83" i="7"/>
  <c r="S148" i="7" s="1"/>
  <c r="T83" i="7"/>
  <c r="T148" i="7" s="1"/>
  <c r="E84" i="7"/>
  <c r="E149" i="7" s="1"/>
  <c r="F84" i="7"/>
  <c r="F149" i="7" s="1"/>
  <c r="G84" i="7"/>
  <c r="G149" i="7" s="1"/>
  <c r="H84" i="7"/>
  <c r="H149" i="7" s="1"/>
  <c r="I84" i="7"/>
  <c r="I149" i="7" s="1"/>
  <c r="J84" i="7"/>
  <c r="J149" i="7" s="1"/>
  <c r="K84" i="7"/>
  <c r="K149" i="7" s="1"/>
  <c r="L84" i="7"/>
  <c r="L149" i="7" s="1"/>
  <c r="M84" i="7"/>
  <c r="M149" i="7" s="1"/>
  <c r="N84" i="7"/>
  <c r="N149" i="7" s="1"/>
  <c r="O84" i="7"/>
  <c r="O149" i="7" s="1"/>
  <c r="P84" i="7"/>
  <c r="P149" i="7" s="1"/>
  <c r="Q84" i="7"/>
  <c r="Q149" i="7" s="1"/>
  <c r="R84" i="7"/>
  <c r="R149" i="7" s="1"/>
  <c r="S84" i="7"/>
  <c r="S149" i="7" s="1"/>
  <c r="T84" i="7"/>
  <c r="T149" i="7" s="1"/>
  <c r="E85" i="7"/>
  <c r="E150" i="7" s="1"/>
  <c r="F85" i="7"/>
  <c r="F150" i="7" s="1"/>
  <c r="G85" i="7"/>
  <c r="G150" i="7" s="1"/>
  <c r="H85" i="7"/>
  <c r="H150" i="7" s="1"/>
  <c r="I85" i="7"/>
  <c r="I150" i="7" s="1"/>
  <c r="J85" i="7"/>
  <c r="J150" i="7" s="1"/>
  <c r="K85" i="7"/>
  <c r="K150" i="7" s="1"/>
  <c r="L85" i="7"/>
  <c r="L150" i="7" s="1"/>
  <c r="M85" i="7"/>
  <c r="M150" i="7" s="1"/>
  <c r="N85" i="7"/>
  <c r="N150" i="7" s="1"/>
  <c r="O85" i="7"/>
  <c r="O150" i="7" s="1"/>
  <c r="P85" i="7"/>
  <c r="P150" i="7" s="1"/>
  <c r="Q85" i="7"/>
  <c r="Q150" i="7" s="1"/>
  <c r="R85" i="7"/>
  <c r="R150" i="7" s="1"/>
  <c r="S85" i="7"/>
  <c r="S150" i="7" s="1"/>
  <c r="T85" i="7"/>
  <c r="T150" i="7" s="1"/>
  <c r="E86" i="7"/>
  <c r="E151" i="7" s="1"/>
  <c r="F86" i="7"/>
  <c r="F151" i="7" s="1"/>
  <c r="G86" i="7"/>
  <c r="G151" i="7" s="1"/>
  <c r="H86" i="7"/>
  <c r="H151" i="7" s="1"/>
  <c r="I86" i="7"/>
  <c r="I151" i="7" s="1"/>
  <c r="J86" i="7"/>
  <c r="J151" i="7" s="1"/>
  <c r="K86" i="7"/>
  <c r="K151" i="7" s="1"/>
  <c r="L86" i="7"/>
  <c r="L151" i="7" s="1"/>
  <c r="M86" i="7"/>
  <c r="M151" i="7" s="1"/>
  <c r="N86" i="7"/>
  <c r="N151" i="7" s="1"/>
  <c r="O86" i="7"/>
  <c r="O151" i="7" s="1"/>
  <c r="P86" i="7"/>
  <c r="P151" i="7" s="1"/>
  <c r="Q86" i="7"/>
  <c r="Q151" i="7" s="1"/>
  <c r="R86" i="7"/>
  <c r="R151" i="7" s="1"/>
  <c r="S86" i="7"/>
  <c r="S151" i="7" s="1"/>
  <c r="T86" i="7"/>
  <c r="T151" i="7" s="1"/>
  <c r="E87" i="7"/>
  <c r="E152" i="7" s="1"/>
  <c r="F87" i="7"/>
  <c r="F152" i="7" s="1"/>
  <c r="G87" i="7"/>
  <c r="G152" i="7" s="1"/>
  <c r="H87" i="7"/>
  <c r="H152" i="7" s="1"/>
  <c r="I87" i="7"/>
  <c r="I152" i="7" s="1"/>
  <c r="J87" i="7"/>
  <c r="J152" i="7" s="1"/>
  <c r="K87" i="7"/>
  <c r="K152" i="7" s="1"/>
  <c r="L87" i="7"/>
  <c r="L152" i="7" s="1"/>
  <c r="M87" i="7"/>
  <c r="M152" i="7" s="1"/>
  <c r="N87" i="7"/>
  <c r="N152" i="7" s="1"/>
  <c r="O87" i="7"/>
  <c r="O152" i="7" s="1"/>
  <c r="P87" i="7"/>
  <c r="P152" i="7" s="1"/>
  <c r="Q87" i="7"/>
  <c r="Q152" i="7" s="1"/>
  <c r="R87" i="7"/>
  <c r="R152" i="7" s="1"/>
  <c r="S87" i="7"/>
  <c r="S152" i="7" s="1"/>
  <c r="T87" i="7"/>
  <c r="T152" i="7" s="1"/>
  <c r="E88" i="7"/>
  <c r="E153" i="7" s="1"/>
  <c r="F88" i="7"/>
  <c r="F153" i="7" s="1"/>
  <c r="G88" i="7"/>
  <c r="G153" i="7" s="1"/>
  <c r="H88" i="7"/>
  <c r="H153" i="7" s="1"/>
  <c r="I88" i="7"/>
  <c r="I153" i="7" s="1"/>
  <c r="J88" i="7"/>
  <c r="J153" i="7" s="1"/>
  <c r="K88" i="7"/>
  <c r="K153" i="7" s="1"/>
  <c r="L88" i="7"/>
  <c r="L153" i="7" s="1"/>
  <c r="M88" i="7"/>
  <c r="M153" i="7" s="1"/>
  <c r="N88" i="7"/>
  <c r="N153" i="7" s="1"/>
  <c r="O88" i="7"/>
  <c r="O153" i="7" s="1"/>
  <c r="P88" i="7"/>
  <c r="P153" i="7" s="1"/>
  <c r="Q88" i="7"/>
  <c r="Q153" i="7" s="1"/>
  <c r="R88" i="7"/>
  <c r="R153" i="7" s="1"/>
  <c r="S88" i="7"/>
  <c r="S153" i="7" s="1"/>
  <c r="T88" i="7"/>
  <c r="T153" i="7" s="1"/>
  <c r="D81" i="7"/>
  <c r="D146" i="7" s="1"/>
  <c r="D82" i="7"/>
  <c r="D147" i="7" s="1"/>
  <c r="D83" i="7"/>
  <c r="D148" i="7" s="1"/>
  <c r="D84" i="7"/>
  <c r="D149" i="7" s="1"/>
  <c r="D85" i="7"/>
  <c r="D150" i="7" s="1"/>
  <c r="D86" i="7"/>
  <c r="D151" i="7" s="1"/>
  <c r="D87" i="7"/>
  <c r="D152" i="7" s="1"/>
  <c r="D88" i="7"/>
  <c r="D153" i="7" s="1"/>
  <c r="D80" i="7"/>
  <c r="D145" i="7" s="1"/>
  <c r="E67" i="7"/>
  <c r="E132" i="7" s="1"/>
  <c r="F67" i="7"/>
  <c r="F132" i="7" s="1"/>
  <c r="G67" i="7"/>
  <c r="G132" i="7" s="1"/>
  <c r="H67" i="7"/>
  <c r="H132" i="7" s="1"/>
  <c r="I67" i="7"/>
  <c r="I132" i="7" s="1"/>
  <c r="J67" i="7"/>
  <c r="J132" i="7" s="1"/>
  <c r="K67" i="7"/>
  <c r="K132" i="7" s="1"/>
  <c r="L67" i="7"/>
  <c r="L132" i="7" s="1"/>
  <c r="M67" i="7"/>
  <c r="M132" i="7" s="1"/>
  <c r="N67" i="7"/>
  <c r="N132" i="7" s="1"/>
  <c r="O67" i="7"/>
  <c r="O132" i="7" s="1"/>
  <c r="P67" i="7"/>
  <c r="P132" i="7" s="1"/>
  <c r="Q67" i="7"/>
  <c r="Q132" i="7" s="1"/>
  <c r="S67" i="7"/>
  <c r="S132" i="7" s="1"/>
  <c r="T67" i="7"/>
  <c r="T132" i="7" s="1"/>
  <c r="U67" i="7"/>
  <c r="U132" i="7" s="1"/>
  <c r="E68" i="7"/>
  <c r="E133" i="7" s="1"/>
  <c r="F68" i="7"/>
  <c r="F133" i="7" s="1"/>
  <c r="G68" i="7"/>
  <c r="G133" i="7" s="1"/>
  <c r="H68" i="7"/>
  <c r="H133" i="7" s="1"/>
  <c r="I68" i="7"/>
  <c r="I133" i="7" s="1"/>
  <c r="J68" i="7"/>
  <c r="J133" i="7" s="1"/>
  <c r="K68" i="7"/>
  <c r="K133" i="7" s="1"/>
  <c r="L68" i="7"/>
  <c r="L133" i="7" s="1"/>
  <c r="M68" i="7"/>
  <c r="M133" i="7" s="1"/>
  <c r="N68" i="7"/>
  <c r="N133" i="7" s="1"/>
  <c r="O68" i="7"/>
  <c r="O133" i="7" s="1"/>
  <c r="P68" i="7"/>
  <c r="P133" i="7" s="1"/>
  <c r="Q68" i="7"/>
  <c r="Q133" i="7" s="1"/>
  <c r="R68" i="7"/>
  <c r="R133" i="7" s="1"/>
  <c r="S68" i="7"/>
  <c r="S133" i="7" s="1"/>
  <c r="T68" i="7"/>
  <c r="T133" i="7" s="1"/>
  <c r="U68" i="7"/>
  <c r="U133" i="7" s="1"/>
  <c r="E69" i="7"/>
  <c r="E134" i="7" s="1"/>
  <c r="F69" i="7"/>
  <c r="F134" i="7" s="1"/>
  <c r="G69" i="7"/>
  <c r="G134" i="7" s="1"/>
  <c r="H69" i="7"/>
  <c r="H134" i="7" s="1"/>
  <c r="I69" i="7"/>
  <c r="I134" i="7" s="1"/>
  <c r="J69" i="7"/>
  <c r="J134" i="7" s="1"/>
  <c r="K69" i="7"/>
  <c r="K134" i="7" s="1"/>
  <c r="L69" i="7"/>
  <c r="L134" i="7" s="1"/>
  <c r="M69" i="7"/>
  <c r="M134" i="7" s="1"/>
  <c r="N69" i="7"/>
  <c r="N134" i="7" s="1"/>
  <c r="O69" i="7"/>
  <c r="O134" i="7" s="1"/>
  <c r="P69" i="7"/>
  <c r="P134" i="7" s="1"/>
  <c r="Q69" i="7"/>
  <c r="Q134" i="7" s="1"/>
  <c r="R69" i="7"/>
  <c r="R134" i="7" s="1"/>
  <c r="S69" i="7"/>
  <c r="S134" i="7" s="1"/>
  <c r="T69" i="7"/>
  <c r="T134" i="7" s="1"/>
  <c r="U69" i="7"/>
  <c r="U134" i="7" s="1"/>
  <c r="E70" i="7"/>
  <c r="E135" i="7" s="1"/>
  <c r="F70" i="7"/>
  <c r="F135" i="7" s="1"/>
  <c r="G70" i="7"/>
  <c r="G135" i="7" s="1"/>
  <c r="H70" i="7"/>
  <c r="H135" i="7" s="1"/>
  <c r="I70" i="7"/>
  <c r="I135" i="7" s="1"/>
  <c r="J70" i="7"/>
  <c r="J135" i="7" s="1"/>
  <c r="K70" i="7"/>
  <c r="K135" i="7" s="1"/>
  <c r="L70" i="7"/>
  <c r="L135" i="7" s="1"/>
  <c r="M70" i="7"/>
  <c r="M135" i="7" s="1"/>
  <c r="N70" i="7"/>
  <c r="N135" i="7" s="1"/>
  <c r="O70" i="7"/>
  <c r="O135" i="7" s="1"/>
  <c r="P70" i="7"/>
  <c r="P135" i="7" s="1"/>
  <c r="Q70" i="7"/>
  <c r="Q135" i="7" s="1"/>
  <c r="R70" i="7"/>
  <c r="R135" i="7" s="1"/>
  <c r="S70" i="7"/>
  <c r="S135" i="7" s="1"/>
  <c r="T70" i="7"/>
  <c r="T135" i="7" s="1"/>
  <c r="U70" i="7"/>
  <c r="U135" i="7" s="1"/>
  <c r="E71" i="7"/>
  <c r="E136" i="7" s="1"/>
  <c r="F71" i="7"/>
  <c r="F136" i="7" s="1"/>
  <c r="G71" i="7"/>
  <c r="G136" i="7" s="1"/>
  <c r="H71" i="7"/>
  <c r="H136" i="7" s="1"/>
  <c r="I71" i="7"/>
  <c r="I136" i="7" s="1"/>
  <c r="J71" i="7"/>
  <c r="J136" i="7" s="1"/>
  <c r="K71" i="7"/>
  <c r="K136" i="7" s="1"/>
  <c r="L71" i="7"/>
  <c r="L136" i="7" s="1"/>
  <c r="M71" i="7"/>
  <c r="M136" i="7" s="1"/>
  <c r="N71" i="7"/>
  <c r="N136" i="7" s="1"/>
  <c r="O71" i="7"/>
  <c r="O136" i="7" s="1"/>
  <c r="P71" i="7"/>
  <c r="P136" i="7" s="1"/>
  <c r="Q71" i="7"/>
  <c r="Q136" i="7" s="1"/>
  <c r="R71" i="7"/>
  <c r="R136" i="7" s="1"/>
  <c r="S71" i="7"/>
  <c r="S136" i="7" s="1"/>
  <c r="T71" i="7"/>
  <c r="T136" i="7" s="1"/>
  <c r="U71" i="7"/>
  <c r="U136" i="7" s="1"/>
  <c r="E72" i="7"/>
  <c r="E137" i="7" s="1"/>
  <c r="F72" i="7"/>
  <c r="F137" i="7" s="1"/>
  <c r="G72" i="7"/>
  <c r="G137" i="7" s="1"/>
  <c r="H72" i="7"/>
  <c r="H137" i="7" s="1"/>
  <c r="I72" i="7"/>
  <c r="I137" i="7" s="1"/>
  <c r="J72" i="7"/>
  <c r="J137" i="7" s="1"/>
  <c r="K72" i="7"/>
  <c r="K137" i="7" s="1"/>
  <c r="L72" i="7"/>
  <c r="L137" i="7" s="1"/>
  <c r="M72" i="7"/>
  <c r="M137" i="7" s="1"/>
  <c r="N72" i="7"/>
  <c r="N137" i="7" s="1"/>
  <c r="O72" i="7"/>
  <c r="O137" i="7" s="1"/>
  <c r="P72" i="7"/>
  <c r="P137" i="7" s="1"/>
  <c r="Q72" i="7"/>
  <c r="Q137" i="7" s="1"/>
  <c r="R72" i="7"/>
  <c r="R137" i="7" s="1"/>
  <c r="S72" i="7"/>
  <c r="S137" i="7" s="1"/>
  <c r="T72" i="7"/>
  <c r="T137" i="7" s="1"/>
  <c r="U72" i="7"/>
  <c r="U137" i="7" s="1"/>
  <c r="E73" i="7"/>
  <c r="E138" i="7" s="1"/>
  <c r="F73" i="7"/>
  <c r="F138" i="7" s="1"/>
  <c r="G73" i="7"/>
  <c r="G138" i="7" s="1"/>
  <c r="H73" i="7"/>
  <c r="H138" i="7" s="1"/>
  <c r="I73" i="7"/>
  <c r="I138" i="7" s="1"/>
  <c r="J73" i="7"/>
  <c r="J138" i="7" s="1"/>
  <c r="K73" i="7"/>
  <c r="K138" i="7" s="1"/>
  <c r="L73" i="7"/>
  <c r="L138" i="7" s="1"/>
  <c r="M73" i="7"/>
  <c r="M138" i="7" s="1"/>
  <c r="N73" i="7"/>
  <c r="N138" i="7" s="1"/>
  <c r="O73" i="7"/>
  <c r="O138" i="7" s="1"/>
  <c r="P73" i="7"/>
  <c r="P138" i="7" s="1"/>
  <c r="Q73" i="7"/>
  <c r="Q138" i="7" s="1"/>
  <c r="R73" i="7"/>
  <c r="R138" i="7" s="1"/>
  <c r="S73" i="7"/>
  <c r="S138" i="7" s="1"/>
  <c r="T73" i="7"/>
  <c r="T138" i="7" s="1"/>
  <c r="U73" i="7"/>
  <c r="U138" i="7" s="1"/>
  <c r="E74" i="7"/>
  <c r="E139" i="7" s="1"/>
  <c r="F74" i="7"/>
  <c r="F139" i="7" s="1"/>
  <c r="G74" i="7"/>
  <c r="G139" i="7" s="1"/>
  <c r="H74" i="7"/>
  <c r="H139" i="7" s="1"/>
  <c r="I74" i="7"/>
  <c r="I139" i="7" s="1"/>
  <c r="J74" i="7"/>
  <c r="J139" i="7" s="1"/>
  <c r="K74" i="7"/>
  <c r="K139" i="7" s="1"/>
  <c r="L74" i="7"/>
  <c r="L139" i="7" s="1"/>
  <c r="M74" i="7"/>
  <c r="M139" i="7" s="1"/>
  <c r="N74" i="7"/>
  <c r="N139" i="7" s="1"/>
  <c r="O74" i="7"/>
  <c r="O139" i="7" s="1"/>
  <c r="P74" i="7"/>
  <c r="P139" i="7" s="1"/>
  <c r="Q74" i="7"/>
  <c r="Q139" i="7" s="1"/>
  <c r="R74" i="7"/>
  <c r="R139" i="7" s="1"/>
  <c r="S74" i="7"/>
  <c r="S139" i="7" s="1"/>
  <c r="T74" i="7"/>
  <c r="T139" i="7" s="1"/>
  <c r="U74" i="7"/>
  <c r="U139" i="7" s="1"/>
  <c r="E75" i="7"/>
  <c r="E140" i="7" s="1"/>
  <c r="F75" i="7"/>
  <c r="F140" i="7" s="1"/>
  <c r="G75" i="7"/>
  <c r="G140" i="7" s="1"/>
  <c r="H75" i="7"/>
  <c r="H140" i="7" s="1"/>
  <c r="I75" i="7"/>
  <c r="I140" i="7" s="1"/>
  <c r="J75" i="7"/>
  <c r="J140" i="7" s="1"/>
  <c r="K75" i="7"/>
  <c r="K140" i="7" s="1"/>
  <c r="L75" i="7"/>
  <c r="L140" i="7" s="1"/>
  <c r="M75" i="7"/>
  <c r="M140" i="7" s="1"/>
  <c r="N75" i="7"/>
  <c r="N140" i="7" s="1"/>
  <c r="O75" i="7"/>
  <c r="O140" i="7" s="1"/>
  <c r="P75" i="7"/>
  <c r="P140" i="7" s="1"/>
  <c r="Q75" i="7"/>
  <c r="Q140" i="7" s="1"/>
  <c r="R75" i="7"/>
  <c r="R140" i="7" s="1"/>
  <c r="S75" i="7"/>
  <c r="S140" i="7" s="1"/>
  <c r="T75" i="7"/>
  <c r="T140" i="7" s="1"/>
  <c r="U75" i="7"/>
  <c r="U140" i="7" s="1"/>
  <c r="E76" i="7"/>
  <c r="E141" i="7" s="1"/>
  <c r="F76" i="7"/>
  <c r="F141" i="7" s="1"/>
  <c r="G76" i="7"/>
  <c r="G141" i="7" s="1"/>
  <c r="H76" i="7"/>
  <c r="H141" i="7" s="1"/>
  <c r="I76" i="7"/>
  <c r="I141" i="7" s="1"/>
  <c r="J76" i="7"/>
  <c r="J141" i="7" s="1"/>
  <c r="K76" i="7"/>
  <c r="K141" i="7" s="1"/>
  <c r="L76" i="7"/>
  <c r="L141" i="7" s="1"/>
  <c r="M76" i="7"/>
  <c r="M141" i="7" s="1"/>
  <c r="N76" i="7"/>
  <c r="N141" i="7" s="1"/>
  <c r="O76" i="7"/>
  <c r="O141" i="7" s="1"/>
  <c r="P76" i="7"/>
  <c r="P141" i="7" s="1"/>
  <c r="Q76" i="7"/>
  <c r="Q141" i="7" s="1"/>
  <c r="R76" i="7"/>
  <c r="R141" i="7" s="1"/>
  <c r="S76" i="7"/>
  <c r="S141" i="7" s="1"/>
  <c r="T76" i="7"/>
  <c r="T141" i="7" s="1"/>
  <c r="U76" i="7"/>
  <c r="U141" i="7" s="1"/>
  <c r="D68" i="7"/>
  <c r="D133" i="7" s="1"/>
  <c r="D69" i="7"/>
  <c r="D134" i="7" s="1"/>
  <c r="D70" i="7"/>
  <c r="D135" i="7" s="1"/>
  <c r="D71" i="7"/>
  <c r="D136" i="7" s="1"/>
  <c r="D72" i="7"/>
  <c r="D137" i="7" s="1"/>
  <c r="D73" i="7"/>
  <c r="D138" i="7" s="1"/>
  <c r="D74" i="7"/>
  <c r="D139" i="7" s="1"/>
  <c r="D75" i="7"/>
  <c r="D140" i="7" s="1"/>
  <c r="D76" i="7"/>
  <c r="D141" i="7" s="1"/>
  <c r="D67" i="7"/>
  <c r="D132" i="7" s="1"/>
  <c r="AO90" i="7"/>
  <c r="AN90" i="7"/>
  <c r="AM90" i="7"/>
  <c r="AE90" i="7"/>
  <c r="AO77" i="7"/>
  <c r="AN77" i="7"/>
  <c r="AM77" i="7"/>
  <c r="AE77" i="7"/>
  <c r="D41" i="7"/>
  <c r="E41" i="7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T41" i="7"/>
  <c r="U41" i="7"/>
  <c r="W41" i="7"/>
  <c r="X41" i="7"/>
  <c r="D42" i="7"/>
  <c r="E42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T42" i="7"/>
  <c r="U42" i="7"/>
  <c r="W42" i="7"/>
  <c r="X42" i="7"/>
  <c r="D43" i="7"/>
  <c r="E43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S43" i="7"/>
  <c r="T43" i="7"/>
  <c r="U43" i="7"/>
  <c r="W43" i="7"/>
  <c r="X43" i="7"/>
  <c r="D44" i="7"/>
  <c r="E44" i="7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S44" i="7"/>
  <c r="T44" i="7"/>
  <c r="U44" i="7"/>
  <c r="W44" i="7"/>
  <c r="X44" i="7"/>
  <c r="D45" i="7"/>
  <c r="E45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S45" i="7"/>
  <c r="T45" i="7"/>
  <c r="U45" i="7"/>
  <c r="W45" i="7"/>
  <c r="X45" i="7"/>
  <c r="D46" i="7"/>
  <c r="E46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S46" i="7"/>
  <c r="T46" i="7"/>
  <c r="U46" i="7"/>
  <c r="W46" i="7"/>
  <c r="X46" i="7"/>
  <c r="D47" i="7"/>
  <c r="E47" i="7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S47" i="7"/>
  <c r="T47" i="7"/>
  <c r="U47" i="7"/>
  <c r="W47" i="7"/>
  <c r="X47" i="7"/>
  <c r="D48" i="7"/>
  <c r="E48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T48" i="7"/>
  <c r="U48" i="7"/>
  <c r="W48" i="7"/>
  <c r="X48" i="7"/>
  <c r="D49" i="7"/>
  <c r="E49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S49" i="7"/>
  <c r="T49" i="7"/>
  <c r="U49" i="7"/>
  <c r="W49" i="7"/>
  <c r="X49" i="7"/>
  <c r="Z41" i="7"/>
  <c r="AA41" i="7"/>
  <c r="Z42" i="7"/>
  <c r="AA42" i="7"/>
  <c r="Z43" i="7"/>
  <c r="AA43" i="7"/>
  <c r="Z44" i="7"/>
  <c r="AA44" i="7"/>
  <c r="Z45" i="7"/>
  <c r="AA45" i="7"/>
  <c r="Z46" i="7"/>
  <c r="AA46" i="7"/>
  <c r="Z47" i="7"/>
  <c r="Z48" i="7"/>
  <c r="AA48" i="7"/>
  <c r="Z49" i="7"/>
  <c r="AA49" i="7"/>
  <c r="Y41" i="7"/>
  <c r="Y42" i="7"/>
  <c r="Y43" i="7"/>
  <c r="Y44" i="7"/>
  <c r="Y45" i="7"/>
  <c r="Y46" i="7"/>
  <c r="Y47" i="7"/>
  <c r="Y48" i="7"/>
  <c r="Y49" i="7"/>
  <c r="AH64" i="7"/>
  <c r="C64" i="7"/>
  <c r="AO64" i="7"/>
  <c r="AN64" i="7"/>
  <c r="AM64" i="7"/>
  <c r="AK64" i="7"/>
  <c r="AK142" i="7" s="1"/>
  <c r="AJ64" i="7"/>
  <c r="AI64" i="7"/>
  <c r="AG64" i="7"/>
  <c r="AF64" i="7"/>
  <c r="AE64" i="7"/>
  <c r="AD64" i="7"/>
  <c r="AC64" i="7"/>
  <c r="AB64" i="7"/>
  <c r="AB155" i="7" s="1"/>
  <c r="AO38" i="7"/>
  <c r="AN38" i="7"/>
  <c r="AM38" i="7"/>
  <c r="AL38" i="7"/>
  <c r="AK38" i="7"/>
  <c r="AJ38" i="7"/>
  <c r="AI38" i="7"/>
  <c r="AH38" i="7"/>
  <c r="AG38" i="7"/>
  <c r="AF38" i="7"/>
  <c r="AE38" i="7"/>
  <c r="AD38" i="7"/>
  <c r="AC38" i="7"/>
  <c r="AS49" i="7" l="1"/>
  <c r="AQ41" i="7"/>
  <c r="W140" i="7"/>
  <c r="C140" i="7" s="1"/>
  <c r="C75" i="7"/>
  <c r="AP75" i="7" s="1"/>
  <c r="AE155" i="7"/>
  <c r="AK155" i="7"/>
  <c r="AJ142" i="7"/>
  <c r="AJ155" i="7"/>
  <c r="AI142" i="7"/>
  <c r="AI155" i="7"/>
  <c r="AH142" i="7"/>
  <c r="AH155" i="7"/>
  <c r="AG142" i="7"/>
  <c r="AG155" i="7"/>
  <c r="AF155" i="7"/>
  <c r="AF142" i="7"/>
  <c r="AE142" i="7"/>
  <c r="AD142" i="7"/>
  <c r="AD155" i="7"/>
  <c r="AC142" i="7"/>
  <c r="AC155" i="7"/>
  <c r="AB142" i="7"/>
  <c r="W153" i="7"/>
  <c r="C153" i="7" s="1"/>
  <c r="C154" i="7"/>
  <c r="C141" i="7"/>
  <c r="C139" i="7"/>
  <c r="C152" i="7"/>
  <c r="C151" i="7"/>
  <c r="C138" i="7"/>
  <c r="C150" i="7"/>
  <c r="C137" i="7"/>
  <c r="C149" i="7"/>
  <c r="C136" i="7"/>
  <c r="C135" i="7"/>
  <c r="C148" i="7"/>
  <c r="C147" i="7"/>
  <c r="C134" i="7"/>
  <c r="C146" i="7"/>
  <c r="C133" i="7"/>
  <c r="C145" i="7"/>
  <c r="C132" i="7"/>
  <c r="C76" i="7"/>
  <c r="AP76" i="7" s="1"/>
  <c r="AQ59" i="7"/>
  <c r="AQ62" i="7"/>
  <c r="AR75" i="7"/>
  <c r="AS75" i="7"/>
  <c r="AQ75" i="7"/>
  <c r="AR74" i="7"/>
  <c r="AS74" i="7"/>
  <c r="AQ74" i="7"/>
  <c r="AR73" i="7"/>
  <c r="AS73" i="7"/>
  <c r="AQ73" i="7"/>
  <c r="AR72" i="7"/>
  <c r="AS72" i="7"/>
  <c r="AQ72" i="7"/>
  <c r="AR71" i="7"/>
  <c r="AS71" i="7"/>
  <c r="AQ71" i="7"/>
  <c r="AR70" i="7"/>
  <c r="AQ70" i="7"/>
  <c r="AS70" i="7"/>
  <c r="AR69" i="7"/>
  <c r="AQ69" i="7"/>
  <c r="AS69" i="7"/>
  <c r="AR68" i="7"/>
  <c r="AQ68" i="7"/>
  <c r="AS68" i="7"/>
  <c r="AS67" i="7"/>
  <c r="AR67" i="7"/>
  <c r="AQ67" i="7"/>
  <c r="C41" i="7"/>
  <c r="C88" i="7"/>
  <c r="AP88" i="7" s="1"/>
  <c r="C81" i="7"/>
  <c r="AP81" i="7" s="1"/>
  <c r="C89" i="7"/>
  <c r="AP89" i="7" s="1"/>
  <c r="C87" i="7"/>
  <c r="AP87" i="7" s="1"/>
  <c r="C74" i="7"/>
  <c r="AP74" i="7" s="1"/>
  <c r="C86" i="7"/>
  <c r="AP86" i="7" s="1"/>
  <c r="C73" i="7"/>
  <c r="AP73" i="7" s="1"/>
  <c r="C85" i="7"/>
  <c r="AP85" i="7" s="1"/>
  <c r="C72" i="7"/>
  <c r="AP72" i="7" s="1"/>
  <c r="C84" i="7"/>
  <c r="AP84" i="7" s="1"/>
  <c r="C71" i="7"/>
  <c r="AP71" i="7" s="1"/>
  <c r="C83" i="7"/>
  <c r="AP83" i="7" s="1"/>
  <c r="C70" i="7"/>
  <c r="AP70" i="7" s="1"/>
  <c r="C82" i="7"/>
  <c r="AP82" i="7" s="1"/>
  <c r="C69" i="7"/>
  <c r="AP69" i="7" s="1"/>
  <c r="C68" i="7"/>
  <c r="C67" i="7"/>
  <c r="C80" i="7"/>
  <c r="AP80" i="7" s="1"/>
  <c r="AR41" i="7"/>
  <c r="C47" i="7"/>
  <c r="C44" i="7"/>
  <c r="C43" i="7"/>
  <c r="C49" i="7"/>
  <c r="C48" i="7"/>
  <c r="C46" i="7"/>
  <c r="C45" i="7"/>
  <c r="C42" i="7"/>
  <c r="AR62" i="7"/>
  <c r="AS62" i="7"/>
  <c r="AR61" i="7"/>
  <c r="AQ61" i="7"/>
  <c r="AS61" i="7"/>
  <c r="AR60" i="7"/>
  <c r="AQ60" i="7"/>
  <c r="AS60" i="7"/>
  <c r="AR59" i="7"/>
  <c r="AS59" i="7"/>
  <c r="AR58" i="7"/>
  <c r="AQ58" i="7"/>
  <c r="AS58" i="7"/>
  <c r="AR57" i="7"/>
  <c r="AQ57" i="7"/>
  <c r="AS57" i="7"/>
  <c r="AR56" i="7"/>
  <c r="AQ56" i="7"/>
  <c r="AS56" i="7"/>
  <c r="AR55" i="7"/>
  <c r="AQ55" i="7"/>
  <c r="AS55" i="7"/>
  <c r="AR54" i="7"/>
  <c r="AQ54" i="7"/>
  <c r="AS54" i="7"/>
  <c r="AR49" i="7"/>
  <c r="AQ49" i="7"/>
  <c r="AR48" i="7"/>
  <c r="AQ48" i="7"/>
  <c r="AS48" i="7"/>
  <c r="AR47" i="7"/>
  <c r="AQ47" i="7"/>
  <c r="AS47" i="7"/>
  <c r="AR46" i="7"/>
  <c r="AQ46" i="7"/>
  <c r="AS46" i="7"/>
  <c r="AR45" i="7"/>
  <c r="AQ45" i="7"/>
  <c r="AS45" i="7"/>
  <c r="AR44" i="7"/>
  <c r="AS44" i="7"/>
  <c r="AQ44" i="7"/>
  <c r="AR43" i="7"/>
  <c r="AS43" i="7"/>
  <c r="AQ43" i="7"/>
  <c r="AR42" i="7"/>
  <c r="AQ42" i="7"/>
  <c r="AS42" i="7"/>
  <c r="AS41" i="7"/>
  <c r="AP41" i="7"/>
  <c r="AA90" i="7"/>
  <c r="AA155" i="7" s="1"/>
  <c r="AA77" i="7"/>
  <c r="AA142" i="7" s="1"/>
  <c r="Z77" i="7"/>
  <c r="Z142" i="7" s="1"/>
  <c r="Z90" i="7"/>
  <c r="Z155" i="7" s="1"/>
  <c r="Y90" i="7"/>
  <c r="Y155" i="7" s="1"/>
  <c r="Y77" i="7"/>
  <c r="Y142" i="7" s="1"/>
  <c r="X90" i="7"/>
  <c r="X155" i="7" s="1"/>
  <c r="X77" i="7"/>
  <c r="X142" i="7" s="1"/>
  <c r="W90" i="7"/>
  <c r="W155" i="7" s="1"/>
  <c r="W77" i="7"/>
  <c r="W142" i="7" s="1"/>
  <c r="V90" i="7"/>
  <c r="V155" i="7" s="1"/>
  <c r="V77" i="7"/>
  <c r="V142" i="7" s="1"/>
  <c r="U77" i="7"/>
  <c r="U142" i="7" s="1"/>
  <c r="U90" i="7"/>
  <c r="U155" i="7" s="1"/>
  <c r="T77" i="7"/>
  <c r="T142" i="7" s="1"/>
  <c r="S77" i="7"/>
  <c r="S142" i="7" s="1"/>
  <c r="R77" i="7"/>
  <c r="R142" i="7" s="1"/>
  <c r="Q77" i="7"/>
  <c r="Q142" i="7" s="1"/>
  <c r="P77" i="7"/>
  <c r="P142" i="7" s="1"/>
  <c r="O77" i="7"/>
  <c r="O142" i="7" s="1"/>
  <c r="N77" i="7"/>
  <c r="N142" i="7" s="1"/>
  <c r="M77" i="7"/>
  <c r="M142" i="7" s="1"/>
  <c r="L77" i="7"/>
  <c r="L142" i="7" s="1"/>
  <c r="K77" i="7"/>
  <c r="K142" i="7" s="1"/>
  <c r="J77" i="7"/>
  <c r="J142" i="7" s="1"/>
  <c r="I77" i="7"/>
  <c r="I142" i="7" s="1"/>
  <c r="H77" i="7"/>
  <c r="H142" i="7" s="1"/>
  <c r="G77" i="7"/>
  <c r="G142" i="7" s="1"/>
  <c r="F77" i="7"/>
  <c r="F142" i="7" s="1"/>
  <c r="E77" i="7"/>
  <c r="E142" i="7" s="1"/>
  <c r="D77" i="7"/>
  <c r="D142" i="7" s="1"/>
  <c r="V51" i="7"/>
  <c r="AB38" i="7"/>
  <c r="AP67" i="7" l="1"/>
  <c r="C77" i="7"/>
  <c r="C155" i="7"/>
  <c r="C142" i="7"/>
  <c r="AP90" i="7"/>
  <c r="AQ88" i="7"/>
  <c r="AQ89" i="7"/>
  <c r="AQ81" i="7"/>
  <c r="AQ87" i="7"/>
  <c r="AP68" i="7"/>
  <c r="AQ82" i="7"/>
  <c r="AQ80" i="7"/>
  <c r="AQ86" i="7"/>
  <c r="AQ85" i="7"/>
  <c r="AQ84" i="7"/>
  <c r="AQ83" i="7"/>
  <c r="AR53" i="7"/>
  <c r="AR40" i="7"/>
  <c r="AP77" i="7" l="1"/>
  <c r="AQ90" i="7"/>
  <c r="AA38" i="7"/>
  <c r="Z38" i="7"/>
  <c r="X38" i="7" l="1"/>
  <c r="Y38" i="7"/>
  <c r="L38" i="7" l="1"/>
  <c r="M38" i="7"/>
  <c r="N38" i="7"/>
  <c r="O38" i="7"/>
  <c r="P38" i="7"/>
  <c r="Q38" i="7"/>
  <c r="R38" i="7"/>
  <c r="S38" i="7"/>
  <c r="T38" i="7"/>
  <c r="U38" i="7"/>
  <c r="W38" i="7"/>
  <c r="K38" i="7"/>
  <c r="E38" i="7" l="1"/>
  <c r="F38" i="7"/>
  <c r="G38" i="7"/>
  <c r="H38" i="7"/>
  <c r="I38" i="7"/>
  <c r="J38" i="7"/>
  <c r="D38" i="7"/>
  <c r="AP15" i="7" l="1"/>
  <c r="AP49" i="7"/>
  <c r="AP48" i="7"/>
  <c r="AP47" i="7"/>
  <c r="AP46" i="7"/>
  <c r="AP45" i="7"/>
  <c r="AP44" i="7"/>
  <c r="AP43" i="7"/>
  <c r="AP42" i="7"/>
  <c r="AP23" i="7"/>
  <c r="AP22" i="7"/>
  <c r="C12" i="7"/>
  <c r="AP16" i="7"/>
  <c r="AP17" i="7"/>
  <c r="AP18" i="7"/>
  <c r="AP19" i="7"/>
  <c r="AP20" i="7"/>
  <c r="AP21" i="7"/>
  <c r="Q50" i="7" l="1"/>
  <c r="Q51" i="7" s="1"/>
  <c r="K50" i="7"/>
  <c r="K51" i="7" s="1"/>
  <c r="O50" i="7"/>
  <c r="O51" i="7" s="1"/>
  <c r="T89" i="7"/>
  <c r="T154" i="7" s="1"/>
  <c r="W50" i="7"/>
  <c r="W51" i="7" s="1"/>
  <c r="H89" i="7"/>
  <c r="H154" i="7" s="1"/>
  <c r="U50" i="7"/>
  <c r="U51" i="7" s="1"/>
  <c r="G50" i="7"/>
  <c r="G51" i="7" s="1"/>
  <c r="N50" i="7"/>
  <c r="N51" i="7" s="1"/>
  <c r="M89" i="7"/>
  <c r="M154" i="7" s="1"/>
  <c r="T50" i="7"/>
  <c r="T51" i="7" s="1"/>
  <c r="L89" i="7"/>
  <c r="L154" i="7" s="1"/>
  <c r="M50" i="7"/>
  <c r="M51" i="7" s="1"/>
  <c r="E50" i="7"/>
  <c r="E51" i="7" s="1"/>
  <c r="P89" i="7"/>
  <c r="P154" i="7" s="1"/>
  <c r="AA50" i="7"/>
  <c r="AA51" i="7" s="1"/>
  <c r="I89" i="7"/>
  <c r="I154" i="7" s="1"/>
  <c r="D50" i="7"/>
  <c r="D51" i="7" s="1"/>
  <c r="H50" i="7"/>
  <c r="D89" i="7"/>
  <c r="D154" i="7" s="1"/>
  <c r="K89" i="7"/>
  <c r="K154" i="7" s="1"/>
  <c r="O89" i="7"/>
  <c r="O154" i="7" s="1"/>
  <c r="J89" i="7"/>
  <c r="J154" i="7" s="1"/>
  <c r="F89" i="7"/>
  <c r="F154" i="7" s="1"/>
  <c r="Z50" i="7"/>
  <c r="Z51" i="7" s="1"/>
  <c r="N89" i="7"/>
  <c r="N154" i="7" s="1"/>
  <c r="S89" i="7"/>
  <c r="S154" i="7" s="1"/>
  <c r="Q89" i="7"/>
  <c r="Q154" i="7" s="1"/>
  <c r="Y50" i="7"/>
  <c r="Y51" i="7" s="1"/>
  <c r="S50" i="7"/>
  <c r="S51" i="7" s="1"/>
  <c r="L50" i="7"/>
  <c r="L51" i="7" s="1"/>
  <c r="J50" i="7"/>
  <c r="J51" i="7" s="1"/>
  <c r="F50" i="7"/>
  <c r="F51" i="7" s="1"/>
  <c r="G89" i="7"/>
  <c r="G154" i="7" s="1"/>
  <c r="R89" i="7"/>
  <c r="R154" i="7" s="1"/>
  <c r="E89" i="7"/>
  <c r="E154" i="7" s="1"/>
  <c r="R50" i="7"/>
  <c r="R51" i="7" s="1"/>
  <c r="P50" i="7"/>
  <c r="P51" i="7" s="1"/>
  <c r="X50" i="7"/>
  <c r="X51" i="7" s="1"/>
  <c r="C25" i="7"/>
  <c r="AP25" i="7" s="1"/>
  <c r="I50" i="7"/>
  <c r="I51" i="7" s="1"/>
  <c r="C50" i="7" l="1"/>
  <c r="C51" i="7" s="1"/>
  <c r="T90" i="7"/>
  <c r="T155" i="7" s="1"/>
  <c r="S90" i="7"/>
  <c r="S155" i="7" s="1"/>
  <c r="R90" i="7"/>
  <c r="R155" i="7" s="1"/>
  <c r="Q90" i="7"/>
  <c r="Q155" i="7" s="1"/>
  <c r="P90" i="7"/>
  <c r="P155" i="7" s="1"/>
  <c r="O90" i="7"/>
  <c r="O155" i="7" s="1"/>
  <c r="N90" i="7"/>
  <c r="N155" i="7" s="1"/>
  <c r="M90" i="7"/>
  <c r="M155" i="7" s="1"/>
  <c r="L90" i="7"/>
  <c r="L155" i="7" s="1"/>
  <c r="K90" i="7"/>
  <c r="K155" i="7" s="1"/>
  <c r="J90" i="7"/>
  <c r="J155" i="7" s="1"/>
  <c r="I90" i="7"/>
  <c r="I155" i="7" s="1"/>
  <c r="H90" i="7"/>
  <c r="H155" i="7" s="1"/>
  <c r="G90" i="7"/>
  <c r="G155" i="7" s="1"/>
  <c r="F90" i="7"/>
  <c r="F155" i="7" s="1"/>
  <c r="E90" i="7"/>
  <c r="E155" i="7" s="1"/>
  <c r="D90" i="7"/>
  <c r="D155" i="7" s="1"/>
  <c r="AR76" i="7"/>
  <c r="AS76" i="7"/>
  <c r="AQ76" i="7"/>
  <c r="AS78" i="7"/>
  <c r="AQ78" i="7"/>
  <c r="AR78" i="7"/>
  <c r="AR63" i="7"/>
  <c r="AS63" i="7"/>
  <c r="AQ63" i="7"/>
  <c r="AQ65" i="7"/>
  <c r="AR65" i="7"/>
  <c r="AS65" i="7"/>
  <c r="H51" i="7"/>
  <c r="AR50" i="7"/>
  <c r="AR52" i="7" s="1"/>
  <c r="AQ50" i="7"/>
  <c r="AQ52" i="7" s="1"/>
  <c r="AS50" i="7"/>
  <c r="AS52" i="7" s="1"/>
  <c r="AQ28" i="7"/>
  <c r="AQ29" i="7"/>
  <c r="AQ30" i="7"/>
  <c r="AP24" i="7"/>
  <c r="C90" i="7"/>
  <c r="AP50" i="7"/>
  <c r="AQ31" i="7" l="1"/>
  <c r="AS64" i="7"/>
  <c r="AR77" i="7"/>
  <c r="AQ77" i="7"/>
  <c r="AS77" i="7"/>
  <c r="AR64" i="7"/>
  <c r="AQ64" i="7"/>
  <c r="AQ51" i="7"/>
  <c r="AP51" i="7"/>
  <c r="AR51" i="7" s="1"/>
  <c r="AS51" i="7"/>
  <c r="AQ32" i="7"/>
</calcChain>
</file>

<file path=xl/sharedStrings.xml><?xml version="1.0" encoding="utf-8"?>
<sst xmlns="http://schemas.openxmlformats.org/spreadsheetml/2006/main" count="618" uniqueCount="83">
  <si>
    <t>Virtus</t>
  </si>
  <si>
    <t>Meca</t>
  </si>
  <si>
    <t>Stella</t>
  </si>
  <si>
    <t>Lupa</t>
  </si>
  <si>
    <t>Barcelloneta</t>
  </si>
  <si>
    <t>Atletico</t>
  </si>
  <si>
    <t>Turbolenta</t>
  </si>
  <si>
    <t>Real G.</t>
  </si>
  <si>
    <t>Anxanum</t>
  </si>
  <si>
    <t>Costantia</t>
  </si>
  <si>
    <t>Punteggi giornata: 6</t>
  </si>
  <si>
    <t>Punteggi giornata: 1</t>
  </si>
  <si>
    <t>Punteggi giornata: 2</t>
  </si>
  <si>
    <t>Punteggi giornata: 3</t>
  </si>
  <si>
    <t>Punteggi giornata: 4</t>
  </si>
  <si>
    <t>Punteggi giornata: 5</t>
  </si>
  <si>
    <t>Punteggi giornata: 7</t>
  </si>
  <si>
    <t>Punteggi giornata: 8</t>
  </si>
  <si>
    <t>Punteggi giornata: 9</t>
  </si>
  <si>
    <t>Punteggi giornata: 10</t>
  </si>
  <si>
    <t>Punteggi giornata: 11</t>
  </si>
  <si>
    <t>Punteggi giornata: 12</t>
  </si>
  <si>
    <t>Punteggi giornata: 13</t>
  </si>
  <si>
    <t>Punteggi giornata: 14</t>
  </si>
  <si>
    <t>Punteggi giornata: 15</t>
  </si>
  <si>
    <t>Punteggi giornata: 16</t>
  </si>
  <si>
    <t>Punteggi giornata: 17</t>
  </si>
  <si>
    <t>Punteggi giornata: 18</t>
  </si>
  <si>
    <t>Punteggi giornata: 19</t>
  </si>
  <si>
    <t>Punteggi giornata: 20</t>
  </si>
  <si>
    <t>&gt;0</t>
  </si>
  <si>
    <t>&lt;0</t>
  </si>
  <si>
    <t>Punteggi giornata: 21</t>
  </si>
  <si>
    <t>Punteggi giornata: 22</t>
  </si>
  <si>
    <t>Punteggi giornata: 23</t>
  </si>
  <si>
    <t>Punteggi giornata: 24</t>
  </si>
  <si>
    <t>Punteggi giornata: 25</t>
  </si>
  <si>
    <t>Punteggi giornata: 26</t>
  </si>
  <si>
    <t>Punteggi giornata: 27</t>
  </si>
  <si>
    <t>Punteggi giornata: 28</t>
  </si>
  <si>
    <t>Punteggi giornata: 29</t>
  </si>
  <si>
    <t>Punteggi giornata: 30</t>
  </si>
  <si>
    <t>Punteggi giornata: 31</t>
  </si>
  <si>
    <t>Punteggi giornata: 32</t>
  </si>
  <si>
    <t>Punteggi giornata: 33</t>
  </si>
  <si>
    <t>Punteggi giornata: 34</t>
  </si>
  <si>
    <t>Punteggi giornata: 35</t>
  </si>
  <si>
    <t>gio</t>
  </si>
  <si>
    <t>squadra</t>
  </si>
  <si>
    <t>gf</t>
  </si>
  <si>
    <t>gs</t>
  </si>
  <si>
    <t>ATALANTA</t>
  </si>
  <si>
    <t>BOLOGNA</t>
  </si>
  <si>
    <t>CAGLIARI</t>
  </si>
  <si>
    <t>COMO</t>
  </si>
  <si>
    <t>CREMONESE</t>
  </si>
  <si>
    <t>FIORENTINA</t>
  </si>
  <si>
    <t>GENOA</t>
  </si>
  <si>
    <t>INTER</t>
  </si>
  <si>
    <t>JUVENTUS</t>
  </si>
  <si>
    <t>LAZIO</t>
  </si>
  <si>
    <t>LECCE</t>
  </si>
  <si>
    <t>MILAN</t>
  </si>
  <si>
    <t>NAPOLI</t>
  </si>
  <si>
    <t>PARMA</t>
  </si>
  <si>
    <t>PISA</t>
  </si>
  <si>
    <t>ROMA</t>
  </si>
  <si>
    <t>SASSUOLO</t>
  </si>
  <si>
    <t>TORINO</t>
  </si>
  <si>
    <t>UDINESE</t>
  </si>
  <si>
    <t>VERONA</t>
  </si>
  <si>
    <t>Etichette di riga</t>
  </si>
  <si>
    <t>Totale complessivo</t>
  </si>
  <si>
    <t>Somma di gf</t>
  </si>
  <si>
    <t>Media di gf</t>
  </si>
  <si>
    <t>(vuoto)</t>
  </si>
  <si>
    <t>Somma di gs</t>
  </si>
  <si>
    <t>Media di gs2</t>
  </si>
  <si>
    <t>gfd</t>
  </si>
  <si>
    <t>gff</t>
  </si>
  <si>
    <t>gsd</t>
  </si>
  <si>
    <t>gsf</t>
  </si>
  <si>
    <t>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</si>
</sst>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1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indexed="8"/>
      <name val="Arial"/>
      <family val="2"/>
    </font>
    <font>
      <u/>
      <sz val="11"/>
      <color theme="1"/>
      <name val="Aptos Narrow"/>
      <family val="2"/>
      <scheme val="minor"/>
    </font>
    <font>
      <sz val="11"/>
      <color theme="1"/>
      <name val="Aptos Display"/>
      <scheme val="major"/>
    </font>
    <font>
      <sz val="11"/>
      <color rgb="FF000000"/>
      <name val="Aptos Narrow"/>
    </font>
    <font>
      <sz val="11"/>
      <color theme="1"/>
      <name val="Aptos Narrow"/>
      <scheme val="minor"/>
    </font>
    <font>
      <b/>
      <sz val="11"/>
      <color theme="1"/>
      <name val="Aptos Narrow"/>
      <scheme val="minor"/>
    </font>
    <font>
      <sz val="11"/>
      <name val="Aptos Narrow"/>
      <scheme val="minor"/>
    </font>
    <font>
      <sz val="11"/>
      <color indexed="8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2"/>
        <bgColor indexed="0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3" fillId="0" borderId="0"/>
  </cellStyleXfs>
  <cellXfs count="28">
    <xf numFmtId="0" fontId="0" fillId="0" borderId="0" xfId="0"/>
    <xf numFmtId="164" fontId="0" fillId="0" borderId="0" xfId="1" applyNumberFormat="1" applyFont="1"/>
    <xf numFmtId="10" fontId="0" fillId="0" borderId="0" xfId="1" applyNumberFormat="1" applyFont="1"/>
    <xf numFmtId="0" fontId="0" fillId="0" borderId="1" xfId="0" applyBorder="1"/>
    <xf numFmtId="0" fontId="2" fillId="0" borderId="1" xfId="0" applyFont="1" applyBorder="1"/>
    <xf numFmtId="9" fontId="0" fillId="0" borderId="0" xfId="1" applyFont="1"/>
    <xf numFmtId="0" fontId="4" fillId="0" borderId="0" xfId="0" applyFont="1"/>
    <xf numFmtId="0" fontId="5" fillId="0" borderId="0" xfId="0" applyFont="1"/>
    <xf numFmtId="9" fontId="0" fillId="2" borderId="0" xfId="0" applyNumberFormat="1" applyFill="1"/>
    <xf numFmtId="165" fontId="2" fillId="0" borderId="1" xfId="0" applyNumberFormat="1" applyFont="1" applyBorder="1"/>
    <xf numFmtId="9" fontId="0" fillId="0" borderId="0" xfId="1" applyNumberFormat="1" applyFont="1"/>
    <xf numFmtId="9" fontId="0" fillId="2" borderId="0" xfId="1" applyFont="1" applyFill="1"/>
    <xf numFmtId="9" fontId="0" fillId="3" borderId="0" xfId="1" applyFont="1" applyFill="1"/>
    <xf numFmtId="0" fontId="0" fillId="0" borderId="0" xfId="0" applyBorder="1"/>
    <xf numFmtId="0" fontId="0" fillId="2" borderId="1" xfId="0" applyFill="1" applyBorder="1"/>
    <xf numFmtId="0" fontId="7" fillId="0" borderId="1" xfId="0" applyFont="1" applyBorder="1"/>
    <xf numFmtId="0" fontId="8" fillId="0" borderId="1" xfId="0" applyFont="1" applyBorder="1"/>
    <xf numFmtId="164" fontId="0" fillId="0" borderId="1" xfId="1" applyNumberFormat="1" applyFont="1" applyBorder="1"/>
    <xf numFmtId="0" fontId="9" fillId="4" borderId="1" xfId="0" applyFont="1" applyFill="1" applyBorder="1"/>
    <xf numFmtId="164" fontId="9" fillId="4" borderId="1" xfId="1" applyNumberFormat="1" applyFont="1" applyFill="1" applyBorder="1"/>
    <xf numFmtId="0" fontId="7" fillId="4" borderId="1" xfId="0" applyFont="1" applyFill="1" applyBorder="1"/>
    <xf numFmtId="164" fontId="0" fillId="0" borderId="1" xfId="0" applyNumberFormat="1" applyBorder="1"/>
    <xf numFmtId="0" fontId="10" fillId="5" borderId="2" xfId="3" applyFont="1" applyFill="1" applyBorder="1" applyAlignment="1">
      <alignment horizontal="center"/>
    </xf>
    <xf numFmtId="0" fontId="10" fillId="0" borderId="3" xfId="3" applyFont="1" applyFill="1" applyBorder="1" applyAlignment="1">
      <alignment horizontal="right" wrapText="1"/>
    </xf>
    <xf numFmtId="0" fontId="10" fillId="0" borderId="3" xfId="3" applyFont="1" applyFill="1" applyBorder="1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">
    <cellStyle name="Normal_Sheet2" xfId="2" xr:uid="{0B09AB02-F2DB-4048-8983-23AB7ADA937E}"/>
    <cellStyle name="Normale" xfId="0" builtinId="0"/>
    <cellStyle name="Normale_Foglio2" xfId="3" xr:uid="{599CABB0-FB94-4620-BDCE-F26254CF4C29}"/>
    <cellStyle name="Percentuale" xfId="1" builtinId="5"/>
  </cellStyles>
  <dxfs count="41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190500</xdr:colOff>
          <xdr:row>3</xdr:row>
          <xdr:rowOff>123825</xdr:rowOff>
        </xdr:from>
        <xdr:to>
          <xdr:col>44</xdr:col>
          <xdr:colOff>609600</xdr:colOff>
          <xdr:row>6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Pulsante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628650</xdr:colOff>
      <xdr:row>7</xdr:row>
      <xdr:rowOff>38100</xdr:rowOff>
    </xdr:from>
    <xdr:to>
      <xdr:col>8</xdr:col>
      <xdr:colOff>571875</xdr:colOff>
      <xdr:row>21</xdr:row>
      <xdr:rowOff>57506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A3B3FFBE-5645-4356-B415-9866C9885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71850" y="1304925"/>
          <a:ext cx="2686425" cy="2553056"/>
        </a:xfrm>
        <a:prstGeom prst="rect">
          <a:avLst/>
        </a:prstGeom>
      </xdr:spPr>
    </xdr:pic>
    <xdr:clientData/>
  </xdr:twoCellAnchor>
  <xdr:twoCellAnchor editAs="oneCell">
    <xdr:from>
      <xdr:col>8</xdr:col>
      <xdr:colOff>333375</xdr:colOff>
      <xdr:row>6</xdr:row>
      <xdr:rowOff>161925</xdr:rowOff>
    </xdr:from>
    <xdr:to>
      <xdr:col>12</xdr:col>
      <xdr:colOff>47968</xdr:colOff>
      <xdr:row>20</xdr:row>
      <xdr:rowOff>19384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A699F6A9-8BA1-4032-A8DE-A1E40CFFA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19775" y="1247775"/>
          <a:ext cx="2457793" cy="2391109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rnando Iurisci" refreshedDate="46151.830465393519" createdVersion="6" refreshedVersion="6" minRefreshableVersion="3" recordCount="410" xr:uid="{498E0FB4-7119-4045-90E6-CEC5FED945B1}">
  <cacheSource type="worksheet">
    <worksheetSource ref="C2:F412" sheet="Foglio2"/>
  </cacheSource>
  <cacheFields count="4">
    <cacheField name="gio" numFmtId="0">
      <sharedItems containsString="0" containsBlank="1" containsNumber="1" containsInteger="1" minValue="15" maxValue="34"/>
    </cacheField>
    <cacheField name="squadra" numFmtId="0">
      <sharedItems containsBlank="1" count="21">
        <s v="ATALANTA"/>
        <s v="BOLOGNA"/>
        <s v="CAGLIARI"/>
        <s v="COMO"/>
        <s v="CREMONESE"/>
        <s v="FIORENTINA"/>
        <s v="GENOA"/>
        <s v="INTER"/>
        <s v="JUVENTUS"/>
        <s v="LAZIO"/>
        <s v="LECCE"/>
        <s v="MILAN"/>
        <s v="NAPOLI"/>
        <s v="PARMA"/>
        <s v="PISA"/>
        <s v="ROMA"/>
        <s v="SASSUOLO"/>
        <s v="TORINO"/>
        <s v="UDINESE"/>
        <s v="VERONA"/>
        <m/>
      </sharedItems>
    </cacheField>
    <cacheField name="gf" numFmtId="0">
      <sharedItems containsString="0" containsBlank="1" containsNumber="1" containsInteger="1" minValue="0" maxValue="6"/>
    </cacheField>
    <cacheField name="gs" numFmtId="0">
      <sharedItems containsString="0" containsBlank="1" containsNumber="1" containsInteger="1" minValue="0" maxValue="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0">
  <r>
    <n v="15"/>
    <x v="0"/>
    <n v="2"/>
    <n v="1"/>
  </r>
  <r>
    <n v="15"/>
    <x v="1"/>
    <n v="0"/>
    <n v="1"/>
  </r>
  <r>
    <n v="15"/>
    <x v="2"/>
    <n v="1"/>
    <n v="2"/>
  </r>
  <r>
    <n v="15"/>
    <x v="3"/>
    <n v="0"/>
    <n v="1"/>
  </r>
  <r>
    <n v="15"/>
    <x v="4"/>
    <n v="0"/>
    <n v="1"/>
  </r>
  <r>
    <n v="15"/>
    <x v="5"/>
    <n v="1"/>
    <n v="2"/>
  </r>
  <r>
    <n v="15"/>
    <x v="6"/>
    <n v="1"/>
    <n v="2"/>
  </r>
  <r>
    <n v="15"/>
    <x v="7"/>
    <n v="2"/>
    <n v="1"/>
  </r>
  <r>
    <n v="15"/>
    <x v="8"/>
    <n v="1"/>
    <n v="0"/>
  </r>
  <r>
    <n v="15"/>
    <x v="9"/>
    <n v="1"/>
    <n v="0"/>
  </r>
  <r>
    <n v="15"/>
    <x v="10"/>
    <n v="1"/>
    <n v="0"/>
  </r>
  <r>
    <n v="15"/>
    <x v="11"/>
    <n v="2"/>
    <n v="2"/>
  </r>
  <r>
    <n v="15"/>
    <x v="12"/>
    <n v="0"/>
    <n v="1"/>
  </r>
  <r>
    <n v="15"/>
    <x v="13"/>
    <n v="0"/>
    <n v="1"/>
  </r>
  <r>
    <n v="15"/>
    <x v="14"/>
    <n v="0"/>
    <n v="1"/>
  </r>
  <r>
    <n v="15"/>
    <x v="15"/>
    <n v="1"/>
    <n v="0"/>
  </r>
  <r>
    <n v="15"/>
    <x v="16"/>
    <n v="2"/>
    <n v="2"/>
  </r>
  <r>
    <n v="15"/>
    <x v="17"/>
    <n v="1"/>
    <n v="0"/>
  </r>
  <r>
    <n v="15"/>
    <x v="18"/>
    <n v="1"/>
    <n v="0"/>
  </r>
  <r>
    <n v="15"/>
    <x v="19"/>
    <n v="2"/>
    <n v="1"/>
  </r>
  <r>
    <n v="16"/>
    <x v="0"/>
    <n v="1"/>
    <n v="0"/>
  </r>
  <r>
    <n v="16"/>
    <x v="1"/>
    <n v="3"/>
    <n v="2"/>
  </r>
  <r>
    <n v="16"/>
    <x v="2"/>
    <n v="2"/>
    <n v="2"/>
  </r>
  <r>
    <n v="16"/>
    <x v="3"/>
    <n v="1"/>
    <n v="3"/>
  </r>
  <r>
    <n v="16"/>
    <x v="4"/>
    <n v="0"/>
    <n v="0"/>
  </r>
  <r>
    <n v="16"/>
    <x v="5"/>
    <n v="5"/>
    <n v="1"/>
  </r>
  <r>
    <n v="16"/>
    <x v="6"/>
    <n v="0"/>
    <n v="1"/>
  </r>
  <r>
    <n v="16"/>
    <x v="7"/>
    <n v="1"/>
    <n v="0"/>
  </r>
  <r>
    <n v="16"/>
    <x v="8"/>
    <n v="2"/>
    <n v="1"/>
  </r>
  <r>
    <n v="16"/>
    <x v="9"/>
    <n v="0"/>
    <n v="0"/>
  </r>
  <r>
    <n v="16"/>
    <x v="10"/>
    <n v="0"/>
    <n v="1"/>
  </r>
  <r>
    <n v="16"/>
    <x v="11"/>
    <n v="3"/>
    <n v="1"/>
  </r>
  <r>
    <n v="16"/>
    <x v="12"/>
    <n v="0"/>
    <n v="0"/>
  </r>
  <r>
    <n v="16"/>
    <x v="13"/>
    <n v="0"/>
    <n v="0"/>
  </r>
  <r>
    <n v="16"/>
    <x v="14"/>
    <n v="2"/>
    <n v="2"/>
  </r>
  <r>
    <n v="16"/>
    <x v="15"/>
    <n v="1"/>
    <n v="2"/>
  </r>
  <r>
    <n v="16"/>
    <x v="16"/>
    <n v="0"/>
    <n v="1"/>
  </r>
  <r>
    <n v="16"/>
    <x v="17"/>
    <n v="1"/>
    <n v="0"/>
  </r>
  <r>
    <n v="16"/>
    <x v="18"/>
    <n v="1"/>
    <n v="5"/>
  </r>
  <r>
    <n v="16"/>
    <x v="19"/>
    <n v="2"/>
    <n v="3"/>
  </r>
  <r>
    <n v="17"/>
    <x v="0"/>
    <n v="0"/>
    <n v="1"/>
  </r>
  <r>
    <n v="17"/>
    <x v="1"/>
    <n v="1"/>
    <n v="1"/>
  </r>
  <r>
    <n v="17"/>
    <x v="2"/>
    <n v="2"/>
    <n v="1"/>
  </r>
  <r>
    <n v="17"/>
    <x v="3"/>
    <n v="3"/>
    <n v="0"/>
  </r>
  <r>
    <n v="17"/>
    <x v="4"/>
    <n v="0"/>
    <n v="2"/>
  </r>
  <r>
    <n v="17"/>
    <x v="5"/>
    <n v="0"/>
    <n v="1"/>
  </r>
  <r>
    <n v="17"/>
    <x v="6"/>
    <n v="1"/>
    <n v="3"/>
  </r>
  <r>
    <n v="17"/>
    <x v="7"/>
    <n v="1"/>
    <n v="0"/>
  </r>
  <r>
    <n v="17"/>
    <x v="8"/>
    <n v="2"/>
    <n v="0"/>
  </r>
  <r>
    <n v="17"/>
    <x v="9"/>
    <n v="1"/>
    <n v="1"/>
  </r>
  <r>
    <n v="17"/>
    <x v="10"/>
    <n v="0"/>
    <n v="3"/>
  </r>
  <r>
    <n v="17"/>
    <x v="11"/>
    <n v="3"/>
    <n v="0"/>
  </r>
  <r>
    <n v="17"/>
    <x v="12"/>
    <n v="2"/>
    <n v="0"/>
  </r>
  <r>
    <n v="17"/>
    <x v="13"/>
    <n v="1"/>
    <n v="0"/>
  </r>
  <r>
    <n v="17"/>
    <x v="14"/>
    <n v="0"/>
    <n v="2"/>
  </r>
  <r>
    <n v="17"/>
    <x v="15"/>
    <n v="3"/>
    <n v="1"/>
  </r>
  <r>
    <n v="17"/>
    <x v="16"/>
    <n v="1"/>
    <n v="1"/>
  </r>
  <r>
    <n v="17"/>
    <x v="17"/>
    <n v="1"/>
    <n v="2"/>
  </r>
  <r>
    <n v="17"/>
    <x v="18"/>
    <n v="1"/>
    <n v="1"/>
  </r>
  <r>
    <n v="17"/>
    <x v="19"/>
    <n v="0"/>
    <n v="3"/>
  </r>
  <r>
    <n v="18"/>
    <x v="0"/>
    <n v="1"/>
    <n v="0"/>
  </r>
  <r>
    <n v="18"/>
    <x v="1"/>
    <n v="1"/>
    <n v="3"/>
  </r>
  <r>
    <n v="18"/>
    <x v="2"/>
    <n v="0"/>
    <n v="1"/>
  </r>
  <r>
    <n v="18"/>
    <x v="3"/>
    <n v="1"/>
    <n v="0"/>
  </r>
  <r>
    <n v="18"/>
    <x v="4"/>
    <n v="0"/>
    <n v="1"/>
  </r>
  <r>
    <n v="18"/>
    <x v="5"/>
    <n v="1"/>
    <n v="0"/>
  </r>
  <r>
    <n v="18"/>
    <x v="6"/>
    <n v="1"/>
    <n v="1"/>
  </r>
  <r>
    <n v="18"/>
    <x v="7"/>
    <n v="3"/>
    <n v="1"/>
  </r>
  <r>
    <n v="18"/>
    <x v="8"/>
    <n v="1"/>
    <n v="1"/>
  </r>
  <r>
    <n v="18"/>
    <x v="9"/>
    <n v="0"/>
    <n v="2"/>
  </r>
  <r>
    <n v="18"/>
    <x v="10"/>
    <n v="1"/>
    <n v="1"/>
  </r>
  <r>
    <n v="18"/>
    <x v="11"/>
    <n v="1"/>
    <n v="0"/>
  </r>
  <r>
    <n v="18"/>
    <x v="12"/>
    <n v="2"/>
    <n v="0"/>
  </r>
  <r>
    <n v="18"/>
    <x v="13"/>
    <n v="1"/>
    <n v="1"/>
  </r>
  <r>
    <n v="18"/>
    <x v="14"/>
    <n v="1"/>
    <n v="1"/>
  </r>
  <r>
    <n v="18"/>
    <x v="15"/>
    <n v="0"/>
    <n v="1"/>
  </r>
  <r>
    <n v="18"/>
    <x v="16"/>
    <n v="1"/>
    <n v="1"/>
  </r>
  <r>
    <n v="18"/>
    <x v="17"/>
    <n v="3"/>
    <n v="0"/>
  </r>
  <r>
    <n v="18"/>
    <x v="18"/>
    <n v="0"/>
    <n v="1"/>
  </r>
  <r>
    <n v="18"/>
    <x v="19"/>
    <n v="0"/>
    <n v="3"/>
  </r>
  <r>
    <n v="19"/>
    <x v="0"/>
    <n v="2"/>
    <n v="0"/>
  </r>
  <r>
    <n v="19"/>
    <x v="1"/>
    <n v="0"/>
    <n v="2"/>
  </r>
  <r>
    <n v="19"/>
    <x v="2"/>
    <n v="2"/>
    <n v="2"/>
  </r>
  <r>
    <n v="19"/>
    <x v="3"/>
    <n v="3"/>
    <n v="0"/>
  </r>
  <r>
    <n v="19"/>
    <x v="4"/>
    <n v="2"/>
    <n v="2"/>
  </r>
  <r>
    <n v="19"/>
    <x v="5"/>
    <n v="2"/>
    <n v="2"/>
  </r>
  <r>
    <n v="19"/>
    <x v="6"/>
    <n v="1"/>
    <n v="1"/>
  </r>
  <r>
    <n v="19"/>
    <x v="7"/>
    <n v="2"/>
    <n v="0"/>
  </r>
  <r>
    <n v="19"/>
    <x v="8"/>
    <n v="3"/>
    <n v="0"/>
  </r>
  <r>
    <n v="19"/>
    <x v="9"/>
    <n v="2"/>
    <n v="2"/>
  </r>
  <r>
    <n v="19"/>
    <x v="10"/>
    <n v="0"/>
    <n v="2"/>
  </r>
  <r>
    <n v="19"/>
    <x v="11"/>
    <n v="1"/>
    <n v="1"/>
  </r>
  <r>
    <n v="19"/>
    <x v="12"/>
    <n v="2"/>
    <n v="2"/>
  </r>
  <r>
    <n v="19"/>
    <x v="13"/>
    <n v="0"/>
    <n v="2"/>
  </r>
  <r>
    <n v="19"/>
    <x v="14"/>
    <n v="0"/>
    <n v="3"/>
  </r>
  <r>
    <n v="19"/>
    <x v="15"/>
    <n v="2"/>
    <n v="0"/>
  </r>
  <r>
    <n v="19"/>
    <x v="16"/>
    <n v="0"/>
    <n v="3"/>
  </r>
  <r>
    <n v="19"/>
    <x v="17"/>
    <n v="1"/>
    <n v="2"/>
  </r>
  <r>
    <n v="19"/>
    <x v="18"/>
    <n v="2"/>
    <n v="1"/>
  </r>
  <r>
    <n v="19"/>
    <x v="19"/>
    <n v="2"/>
    <n v="2"/>
  </r>
  <r>
    <n v="20"/>
    <x v="0"/>
    <n v="2"/>
    <n v="0"/>
  </r>
  <r>
    <n v="20"/>
    <x v="1"/>
    <n v="1"/>
    <n v="1"/>
  </r>
  <r>
    <n v="20"/>
    <x v="2"/>
    <n v="0"/>
    <n v="3"/>
  </r>
  <r>
    <n v="20"/>
    <x v="3"/>
    <n v="1"/>
    <n v="1"/>
  </r>
  <r>
    <n v="20"/>
    <x v="4"/>
    <n v="0"/>
    <n v="5"/>
  </r>
  <r>
    <n v="20"/>
    <x v="5"/>
    <n v="1"/>
    <n v="1"/>
  </r>
  <r>
    <n v="20"/>
    <x v="6"/>
    <n v="3"/>
    <n v="0"/>
  </r>
  <r>
    <n v="20"/>
    <x v="7"/>
    <n v="2"/>
    <n v="2"/>
  </r>
  <r>
    <n v="20"/>
    <x v="8"/>
    <n v="5"/>
    <n v="0"/>
  </r>
  <r>
    <n v="20"/>
    <x v="9"/>
    <n v="1"/>
    <n v="0"/>
  </r>
  <r>
    <n v="20"/>
    <x v="10"/>
    <n v="1"/>
    <n v="2"/>
  </r>
  <r>
    <n v="20"/>
    <x v="11"/>
    <n v="1"/>
    <n v="1"/>
  </r>
  <r>
    <n v="20"/>
    <x v="12"/>
    <n v="2"/>
    <n v="2"/>
  </r>
  <r>
    <n v="20"/>
    <x v="13"/>
    <n v="2"/>
    <n v="1"/>
  </r>
  <r>
    <n v="20"/>
    <x v="14"/>
    <n v="2"/>
    <n v="2"/>
  </r>
  <r>
    <n v="20"/>
    <x v="15"/>
    <n v="2"/>
    <n v="0"/>
  </r>
  <r>
    <n v="20"/>
    <x v="16"/>
    <n v="0"/>
    <n v="2"/>
  </r>
  <r>
    <n v="20"/>
    <x v="17"/>
    <n v="0"/>
    <n v="2"/>
  </r>
  <r>
    <n v="20"/>
    <x v="18"/>
    <n v="2"/>
    <n v="2"/>
  </r>
  <r>
    <n v="20"/>
    <x v="19"/>
    <n v="0"/>
    <n v="1"/>
  </r>
  <r>
    <n v="21"/>
    <x v="0"/>
    <n v="1"/>
    <n v="1"/>
  </r>
  <r>
    <n v="21"/>
    <x v="1"/>
    <n v="1"/>
    <n v="2"/>
  </r>
  <r>
    <n v="21"/>
    <x v="2"/>
    <n v="1"/>
    <n v="0"/>
  </r>
  <r>
    <n v="21"/>
    <x v="3"/>
    <n v="3"/>
    <n v="0"/>
  </r>
  <r>
    <n v="21"/>
    <x v="4"/>
    <n v="0"/>
    <n v="0"/>
  </r>
  <r>
    <n v="21"/>
    <x v="5"/>
    <n v="2"/>
    <n v="1"/>
  </r>
  <r>
    <n v="21"/>
    <x v="6"/>
    <n v="0"/>
    <n v="0"/>
  </r>
  <r>
    <n v="21"/>
    <x v="7"/>
    <n v="1"/>
    <n v="0"/>
  </r>
  <r>
    <n v="21"/>
    <x v="8"/>
    <n v="0"/>
    <n v="1"/>
  </r>
  <r>
    <n v="21"/>
    <x v="9"/>
    <n v="0"/>
    <n v="3"/>
  </r>
  <r>
    <n v="21"/>
    <x v="10"/>
    <n v="0"/>
    <n v="1"/>
  </r>
  <r>
    <n v="21"/>
    <x v="11"/>
    <n v="1"/>
    <n v="0"/>
  </r>
  <r>
    <n v="21"/>
    <x v="12"/>
    <n v="1"/>
    <n v="0"/>
  </r>
  <r>
    <n v="21"/>
    <x v="13"/>
    <n v="0"/>
    <n v="0"/>
  </r>
  <r>
    <n v="21"/>
    <x v="14"/>
    <n v="1"/>
    <n v="1"/>
  </r>
  <r>
    <n v="21"/>
    <x v="15"/>
    <n v="2"/>
    <n v="0"/>
  </r>
  <r>
    <n v="21"/>
    <x v="16"/>
    <n v="0"/>
    <n v="1"/>
  </r>
  <r>
    <n v="21"/>
    <x v="17"/>
    <n v="0"/>
    <n v="2"/>
  </r>
  <r>
    <n v="21"/>
    <x v="18"/>
    <n v="0"/>
    <n v="1"/>
  </r>
  <r>
    <n v="21"/>
    <x v="19"/>
    <n v="0"/>
    <n v="0"/>
  </r>
  <r>
    <n v="22"/>
    <x v="0"/>
    <n v="4"/>
    <n v="0"/>
  </r>
  <r>
    <n v="22"/>
    <x v="1"/>
    <n v="2"/>
    <n v="3"/>
  </r>
  <r>
    <n v="22"/>
    <x v="2"/>
    <n v="2"/>
    <n v="1"/>
  </r>
  <r>
    <n v="22"/>
    <x v="3"/>
    <n v="6"/>
    <n v="0"/>
  </r>
  <r>
    <n v="22"/>
    <x v="4"/>
    <n v="0"/>
    <n v="1"/>
  </r>
  <r>
    <n v="22"/>
    <x v="5"/>
    <n v="1"/>
    <n v="2"/>
  </r>
  <r>
    <n v="22"/>
    <x v="6"/>
    <n v="3"/>
    <n v="2"/>
  </r>
  <r>
    <n v="22"/>
    <x v="7"/>
    <n v="6"/>
    <n v="2"/>
  </r>
  <r>
    <n v="22"/>
    <x v="8"/>
    <n v="3"/>
    <n v="0"/>
  </r>
  <r>
    <n v="22"/>
    <x v="9"/>
    <n v="0"/>
    <n v="0"/>
  </r>
  <r>
    <n v="22"/>
    <x v="10"/>
    <n v="0"/>
    <n v="0"/>
  </r>
  <r>
    <n v="22"/>
    <x v="11"/>
    <n v="1"/>
    <n v="1"/>
  </r>
  <r>
    <n v="22"/>
    <x v="12"/>
    <n v="0"/>
    <n v="3"/>
  </r>
  <r>
    <n v="22"/>
    <x v="13"/>
    <n v="0"/>
    <n v="4"/>
  </r>
  <r>
    <n v="22"/>
    <x v="14"/>
    <n v="2"/>
    <n v="6"/>
  </r>
  <r>
    <n v="22"/>
    <x v="15"/>
    <n v="1"/>
    <n v="1"/>
  </r>
  <r>
    <n v="22"/>
    <x v="16"/>
    <n v="1"/>
    <n v="0"/>
  </r>
  <r>
    <n v="22"/>
    <x v="17"/>
    <n v="0"/>
    <n v="6"/>
  </r>
  <r>
    <n v="22"/>
    <x v="18"/>
    <n v="3"/>
    <n v="1"/>
  </r>
  <r>
    <n v="22"/>
    <x v="19"/>
    <n v="1"/>
    <n v="3"/>
  </r>
  <r>
    <n v="23"/>
    <x v="0"/>
    <n v="0"/>
    <n v="0"/>
  </r>
  <r>
    <n v="23"/>
    <x v="1"/>
    <n v="0"/>
    <n v="3"/>
  </r>
  <r>
    <n v="23"/>
    <x v="2"/>
    <n v="4"/>
    <n v="0"/>
  </r>
  <r>
    <n v="23"/>
    <x v="3"/>
    <n v="0"/>
    <n v="0"/>
  </r>
  <r>
    <n v="23"/>
    <x v="4"/>
    <n v="0"/>
    <n v="2"/>
  </r>
  <r>
    <n v="23"/>
    <x v="5"/>
    <n v="1"/>
    <n v="2"/>
  </r>
  <r>
    <n v="23"/>
    <x v="6"/>
    <n v="2"/>
    <n v="3"/>
  </r>
  <r>
    <n v="23"/>
    <x v="7"/>
    <n v="2"/>
    <n v="0"/>
  </r>
  <r>
    <n v="23"/>
    <x v="8"/>
    <n v="4"/>
    <n v="1"/>
  </r>
  <r>
    <n v="23"/>
    <x v="9"/>
    <n v="3"/>
    <n v="2"/>
  </r>
  <r>
    <n v="23"/>
    <x v="10"/>
    <n v="0"/>
    <n v="1"/>
  </r>
  <r>
    <n v="23"/>
    <x v="11"/>
    <n v="3"/>
    <n v="0"/>
  </r>
  <r>
    <n v="23"/>
    <x v="12"/>
    <n v="2"/>
    <n v="1"/>
  </r>
  <r>
    <n v="23"/>
    <x v="13"/>
    <n v="1"/>
    <n v="4"/>
  </r>
  <r>
    <n v="23"/>
    <x v="14"/>
    <n v="1"/>
    <n v="3"/>
  </r>
  <r>
    <n v="23"/>
    <x v="15"/>
    <n v="0"/>
    <n v="1"/>
  </r>
  <r>
    <n v="23"/>
    <x v="16"/>
    <n v="3"/>
    <n v="1"/>
  </r>
  <r>
    <n v="23"/>
    <x v="17"/>
    <n v="1"/>
    <n v="0"/>
  </r>
  <r>
    <n v="23"/>
    <x v="18"/>
    <n v="1"/>
    <n v="0"/>
  </r>
  <r>
    <n v="23"/>
    <x v="19"/>
    <n v="0"/>
    <n v="4"/>
  </r>
  <r>
    <n v="24"/>
    <x v="0"/>
    <n v="2"/>
    <n v="1"/>
  </r>
  <r>
    <n v="24"/>
    <x v="1"/>
    <n v="0"/>
    <n v="1"/>
  </r>
  <r>
    <n v="24"/>
    <x v="2"/>
    <n v="0"/>
    <n v="2"/>
  </r>
  <r>
    <n v="24"/>
    <x v="3"/>
    <n v="1"/>
    <n v="1"/>
  </r>
  <r>
    <n v="24"/>
    <x v="4"/>
    <n v="1"/>
    <n v="2"/>
  </r>
  <r>
    <n v="24"/>
    <x v="5"/>
    <n v="2"/>
    <n v="2"/>
  </r>
  <r>
    <n v="24"/>
    <x v="6"/>
    <n v="2"/>
    <n v="3"/>
  </r>
  <r>
    <n v="24"/>
    <x v="7"/>
    <n v="5"/>
    <n v="0"/>
  </r>
  <r>
    <n v="24"/>
    <x v="8"/>
    <n v="2"/>
    <n v="2"/>
  </r>
  <r>
    <n v="24"/>
    <x v="9"/>
    <n v="2"/>
    <n v="2"/>
  </r>
  <r>
    <n v="24"/>
    <x v="10"/>
    <n v="2"/>
    <n v="1"/>
  </r>
  <r>
    <n v="24"/>
    <x v="11"/>
    <n v="1"/>
    <n v="1"/>
  </r>
  <r>
    <n v="24"/>
    <x v="12"/>
    <n v="3"/>
    <n v="2"/>
  </r>
  <r>
    <n v="24"/>
    <x v="13"/>
    <n v="1"/>
    <n v="0"/>
  </r>
  <r>
    <n v="24"/>
    <x v="14"/>
    <n v="0"/>
    <n v="0"/>
  </r>
  <r>
    <n v="24"/>
    <x v="15"/>
    <n v="2"/>
    <n v="0"/>
  </r>
  <r>
    <n v="24"/>
    <x v="16"/>
    <n v="0"/>
    <n v="5"/>
  </r>
  <r>
    <n v="24"/>
    <x v="17"/>
    <n v="2"/>
    <n v="2"/>
  </r>
  <r>
    <n v="24"/>
    <x v="18"/>
    <n v="1"/>
    <n v="2"/>
  </r>
  <r>
    <n v="24"/>
    <x v="19"/>
    <n v="0"/>
    <n v="0"/>
  </r>
  <r>
    <n v="25"/>
    <x v="0"/>
    <n v="2"/>
    <n v="0"/>
  </r>
  <r>
    <n v="25"/>
    <x v="1"/>
    <n v="2"/>
    <n v="1"/>
  </r>
  <r>
    <n v="25"/>
    <x v="2"/>
    <n v="0"/>
    <n v="2"/>
  </r>
  <r>
    <n v="25"/>
    <x v="3"/>
    <n v="1"/>
    <n v="2"/>
  </r>
  <r>
    <n v="25"/>
    <x v="4"/>
    <n v="0"/>
    <n v="0"/>
  </r>
  <r>
    <n v="25"/>
    <x v="5"/>
    <n v="2"/>
    <n v="1"/>
  </r>
  <r>
    <n v="25"/>
    <x v="6"/>
    <n v="0"/>
    <n v="0"/>
  </r>
  <r>
    <n v="25"/>
    <x v="7"/>
    <n v="3"/>
    <n v="2"/>
  </r>
  <r>
    <n v="25"/>
    <x v="8"/>
    <n v="2"/>
    <n v="3"/>
  </r>
  <r>
    <n v="25"/>
    <x v="9"/>
    <n v="0"/>
    <n v="2"/>
  </r>
  <r>
    <n v="25"/>
    <x v="10"/>
    <n v="2"/>
    <n v="0"/>
  </r>
  <r>
    <n v="25"/>
    <x v="11"/>
    <n v="2"/>
    <n v="1"/>
  </r>
  <r>
    <n v="25"/>
    <x v="12"/>
    <n v="2"/>
    <n v="2"/>
  </r>
  <r>
    <n v="25"/>
    <x v="13"/>
    <n v="2"/>
    <n v="1"/>
  </r>
  <r>
    <n v="25"/>
    <x v="14"/>
    <n v="1"/>
    <n v="2"/>
  </r>
  <r>
    <n v="25"/>
    <x v="15"/>
    <n v="2"/>
    <n v="2"/>
  </r>
  <r>
    <n v="25"/>
    <x v="16"/>
    <n v="2"/>
    <n v="1"/>
  </r>
  <r>
    <n v="25"/>
    <x v="17"/>
    <n v="1"/>
    <n v="2"/>
  </r>
  <r>
    <n v="25"/>
    <x v="18"/>
    <n v="1"/>
    <n v="2"/>
  </r>
  <r>
    <n v="25"/>
    <x v="19"/>
    <n v="1"/>
    <n v="2"/>
  </r>
  <r>
    <n v="26"/>
    <x v="0"/>
    <n v="2"/>
    <n v="1"/>
  </r>
  <r>
    <n v="26"/>
    <x v="1"/>
    <n v="1"/>
    <n v="0"/>
  </r>
  <r>
    <n v="26"/>
    <x v="2"/>
    <n v="0"/>
    <n v="0"/>
  </r>
  <r>
    <n v="26"/>
    <x v="3"/>
    <n v="2"/>
    <n v="0"/>
  </r>
  <r>
    <n v="26"/>
    <x v="4"/>
    <n v="0"/>
    <n v="3"/>
  </r>
  <r>
    <n v="26"/>
    <x v="5"/>
    <n v="1"/>
    <n v="0"/>
  </r>
  <r>
    <n v="26"/>
    <x v="6"/>
    <n v="3"/>
    <n v="0"/>
  </r>
  <r>
    <n v="26"/>
    <x v="7"/>
    <n v="2"/>
    <n v="0"/>
  </r>
  <r>
    <n v="26"/>
    <x v="8"/>
    <n v="0"/>
    <n v="2"/>
  </r>
  <r>
    <n v="26"/>
    <x v="9"/>
    <n v="0"/>
    <n v="0"/>
  </r>
  <r>
    <n v="26"/>
    <x v="10"/>
    <n v="0"/>
    <n v="2"/>
  </r>
  <r>
    <n v="26"/>
    <x v="11"/>
    <n v="0"/>
    <n v="1"/>
  </r>
  <r>
    <n v="26"/>
    <x v="12"/>
    <n v="1"/>
    <n v="2"/>
  </r>
  <r>
    <n v="26"/>
    <x v="13"/>
    <n v="1"/>
    <n v="0"/>
  </r>
  <r>
    <n v="26"/>
    <x v="14"/>
    <n v="0"/>
    <n v="1"/>
  </r>
  <r>
    <n v="26"/>
    <x v="15"/>
    <n v="3"/>
    <n v="0"/>
  </r>
  <r>
    <n v="26"/>
    <x v="16"/>
    <n v="3"/>
    <n v="0"/>
  </r>
  <r>
    <n v="26"/>
    <x v="17"/>
    <n v="0"/>
    <n v="3"/>
  </r>
  <r>
    <n v="26"/>
    <x v="18"/>
    <n v="0"/>
    <n v="1"/>
  </r>
  <r>
    <n v="26"/>
    <x v="19"/>
    <n v="0"/>
    <n v="3"/>
  </r>
  <r>
    <n v="27"/>
    <x v="0"/>
    <n v="1"/>
    <n v="2"/>
  </r>
  <r>
    <n v="27"/>
    <x v="1"/>
    <n v="1"/>
    <n v="0"/>
  </r>
  <r>
    <n v="27"/>
    <x v="2"/>
    <n v="1"/>
    <n v="1"/>
  </r>
  <r>
    <n v="27"/>
    <x v="3"/>
    <n v="3"/>
    <n v="1"/>
  </r>
  <r>
    <n v="27"/>
    <x v="4"/>
    <n v="0"/>
    <n v="2"/>
  </r>
  <r>
    <n v="27"/>
    <x v="5"/>
    <n v="0"/>
    <n v="3"/>
  </r>
  <r>
    <n v="27"/>
    <x v="6"/>
    <n v="0"/>
    <n v="2"/>
  </r>
  <r>
    <n v="27"/>
    <x v="7"/>
    <n v="2"/>
    <n v="0"/>
  </r>
  <r>
    <n v="27"/>
    <x v="8"/>
    <n v="3"/>
    <n v="3"/>
  </r>
  <r>
    <n v="27"/>
    <x v="9"/>
    <n v="0"/>
    <n v="2"/>
  </r>
  <r>
    <n v="27"/>
    <x v="10"/>
    <n v="1"/>
    <n v="3"/>
  </r>
  <r>
    <n v="27"/>
    <x v="11"/>
    <n v="2"/>
    <n v="0"/>
  </r>
  <r>
    <n v="27"/>
    <x v="12"/>
    <n v="2"/>
    <n v="1"/>
  </r>
  <r>
    <n v="27"/>
    <x v="13"/>
    <n v="1"/>
    <n v="1"/>
  </r>
  <r>
    <n v="27"/>
    <x v="14"/>
    <n v="0"/>
    <n v="1"/>
  </r>
  <r>
    <n v="27"/>
    <x v="15"/>
    <n v="3"/>
    <n v="3"/>
  </r>
  <r>
    <n v="27"/>
    <x v="16"/>
    <n v="2"/>
    <n v="1"/>
  </r>
  <r>
    <n v="27"/>
    <x v="17"/>
    <n v="2"/>
    <n v="0"/>
  </r>
  <r>
    <n v="27"/>
    <x v="18"/>
    <n v="3"/>
    <n v="0"/>
  </r>
  <r>
    <n v="27"/>
    <x v="19"/>
    <n v="1"/>
    <n v="2"/>
  </r>
  <r>
    <n v="28"/>
    <x v="0"/>
    <n v="2"/>
    <n v="2"/>
  </r>
  <r>
    <n v="28"/>
    <x v="1"/>
    <n v="1"/>
    <n v="2"/>
  </r>
  <r>
    <n v="28"/>
    <x v="2"/>
    <n v="1"/>
    <n v="2"/>
  </r>
  <r>
    <n v="28"/>
    <x v="3"/>
    <n v="2"/>
    <n v="1"/>
  </r>
  <r>
    <n v="28"/>
    <x v="4"/>
    <n v="1"/>
    <n v="2"/>
  </r>
  <r>
    <n v="28"/>
    <x v="5"/>
    <n v="0"/>
    <n v="0"/>
  </r>
  <r>
    <n v="28"/>
    <x v="6"/>
    <n v="2"/>
    <n v="1"/>
  </r>
  <r>
    <n v="28"/>
    <x v="7"/>
    <n v="0"/>
    <n v="1"/>
  </r>
  <r>
    <n v="28"/>
    <x v="8"/>
    <n v="4"/>
    <n v="0"/>
  </r>
  <r>
    <n v="28"/>
    <x v="9"/>
    <n v="2"/>
    <n v="1"/>
  </r>
  <r>
    <n v="28"/>
    <x v="10"/>
    <n v="2"/>
    <n v="1"/>
  </r>
  <r>
    <n v="28"/>
    <x v="11"/>
    <n v="1"/>
    <n v="0"/>
  </r>
  <r>
    <n v="28"/>
    <x v="12"/>
    <n v="2"/>
    <n v="1"/>
  </r>
  <r>
    <n v="28"/>
    <x v="13"/>
    <n v="0"/>
    <n v="0"/>
  </r>
  <r>
    <n v="28"/>
    <x v="14"/>
    <n v="0"/>
    <n v="4"/>
  </r>
  <r>
    <n v="28"/>
    <x v="15"/>
    <n v="1"/>
    <n v="2"/>
  </r>
  <r>
    <n v="28"/>
    <x v="16"/>
    <n v="1"/>
    <n v="2"/>
  </r>
  <r>
    <n v="28"/>
    <x v="17"/>
    <n v="1"/>
    <n v="2"/>
  </r>
  <r>
    <n v="28"/>
    <x v="18"/>
    <n v="2"/>
    <n v="2"/>
  </r>
  <r>
    <n v="28"/>
    <x v="19"/>
    <n v="2"/>
    <n v="1"/>
  </r>
  <r>
    <n v="29"/>
    <x v="0"/>
    <n v="1"/>
    <n v="1"/>
  </r>
  <r>
    <n v="29"/>
    <x v="1"/>
    <n v="1"/>
    <n v="0"/>
  </r>
  <r>
    <n v="29"/>
    <x v="2"/>
    <n v="1"/>
    <n v="3"/>
  </r>
  <r>
    <n v="29"/>
    <x v="3"/>
    <n v="2"/>
    <n v="1"/>
  </r>
  <r>
    <n v="29"/>
    <x v="4"/>
    <n v="1"/>
    <n v="4"/>
  </r>
  <r>
    <n v="29"/>
    <x v="5"/>
    <n v="4"/>
    <n v="1"/>
  </r>
  <r>
    <n v="29"/>
    <x v="6"/>
    <n v="2"/>
    <n v="0"/>
  </r>
  <r>
    <n v="29"/>
    <x v="7"/>
    <n v="1"/>
    <n v="1"/>
  </r>
  <r>
    <n v="29"/>
    <x v="8"/>
    <n v="1"/>
    <n v="0"/>
  </r>
  <r>
    <n v="29"/>
    <x v="9"/>
    <n v="1"/>
    <n v="0"/>
  </r>
  <r>
    <n v="29"/>
    <x v="10"/>
    <n v="1"/>
    <n v="2"/>
  </r>
  <r>
    <n v="29"/>
    <x v="11"/>
    <n v="0"/>
    <n v="1"/>
  </r>
  <r>
    <n v="29"/>
    <x v="12"/>
    <n v="2"/>
    <n v="1"/>
  </r>
  <r>
    <n v="29"/>
    <x v="13"/>
    <n v="1"/>
    <n v="4"/>
  </r>
  <r>
    <n v="29"/>
    <x v="14"/>
    <n v="3"/>
    <n v="1"/>
  </r>
  <r>
    <n v="29"/>
    <x v="15"/>
    <n v="1"/>
    <n v="2"/>
  </r>
  <r>
    <n v="29"/>
    <x v="16"/>
    <n v="0"/>
    <n v="1"/>
  </r>
  <r>
    <n v="29"/>
    <x v="17"/>
    <n v="4"/>
    <n v="1"/>
  </r>
  <r>
    <n v="29"/>
    <x v="18"/>
    <n v="0"/>
    <n v="1"/>
  </r>
  <r>
    <n v="29"/>
    <x v="19"/>
    <n v="0"/>
    <n v="2"/>
  </r>
  <r>
    <n v="30"/>
    <x v="0"/>
    <n v="1"/>
    <n v="0"/>
  </r>
  <r>
    <n v="30"/>
    <x v="1"/>
    <n v="0"/>
    <n v="2"/>
  </r>
  <r>
    <n v="30"/>
    <x v="2"/>
    <n v="0"/>
    <n v="1"/>
  </r>
  <r>
    <n v="30"/>
    <x v="3"/>
    <n v="5"/>
    <n v="0"/>
  </r>
  <r>
    <n v="30"/>
    <x v="4"/>
    <n v="2"/>
    <n v="0"/>
  </r>
  <r>
    <n v="30"/>
    <x v="5"/>
    <n v="1"/>
    <n v="1"/>
  </r>
  <r>
    <n v="30"/>
    <x v="6"/>
    <n v="0"/>
    <n v="2"/>
  </r>
  <r>
    <n v="30"/>
    <x v="7"/>
    <n v="1"/>
    <n v="1"/>
  </r>
  <r>
    <n v="30"/>
    <x v="8"/>
    <n v="1"/>
    <n v="1"/>
  </r>
  <r>
    <n v="30"/>
    <x v="9"/>
    <n v="2"/>
    <n v="0"/>
  </r>
  <r>
    <n v="30"/>
    <x v="10"/>
    <n v="0"/>
    <n v="1"/>
  </r>
  <r>
    <n v="30"/>
    <x v="11"/>
    <n v="3"/>
    <n v="2"/>
  </r>
  <r>
    <n v="30"/>
    <x v="12"/>
    <n v="1"/>
    <n v="0"/>
  </r>
  <r>
    <n v="30"/>
    <x v="13"/>
    <n v="0"/>
    <n v="2"/>
  </r>
  <r>
    <n v="30"/>
    <x v="14"/>
    <n v="0"/>
    <n v="5"/>
  </r>
  <r>
    <n v="30"/>
    <x v="15"/>
    <n v="1"/>
    <n v="0"/>
  </r>
  <r>
    <n v="30"/>
    <x v="16"/>
    <n v="1"/>
    <n v="1"/>
  </r>
  <r>
    <n v="30"/>
    <x v="17"/>
    <n v="2"/>
    <n v="3"/>
  </r>
  <r>
    <n v="30"/>
    <x v="18"/>
    <n v="2"/>
    <n v="0"/>
  </r>
  <r>
    <n v="30"/>
    <x v="19"/>
    <n v="0"/>
    <n v="1"/>
  </r>
  <r>
    <n v="31"/>
    <x v="0"/>
    <n v="3"/>
    <n v="0"/>
  </r>
  <r>
    <n v="31"/>
    <x v="1"/>
    <n v="2"/>
    <n v="1"/>
  </r>
  <r>
    <n v="31"/>
    <x v="2"/>
    <n v="1"/>
    <n v="2"/>
  </r>
  <r>
    <n v="31"/>
    <x v="3"/>
    <n v="0"/>
    <n v="0"/>
  </r>
  <r>
    <n v="31"/>
    <x v="4"/>
    <n v="1"/>
    <n v="2"/>
  </r>
  <r>
    <n v="31"/>
    <x v="5"/>
    <n v="1"/>
    <n v="0"/>
  </r>
  <r>
    <n v="31"/>
    <x v="6"/>
    <n v="0"/>
    <n v="2"/>
  </r>
  <r>
    <n v="31"/>
    <x v="7"/>
    <n v="5"/>
    <n v="2"/>
  </r>
  <r>
    <n v="31"/>
    <x v="8"/>
    <n v="2"/>
    <n v="0"/>
  </r>
  <r>
    <n v="31"/>
    <x v="9"/>
    <n v="1"/>
    <n v="1"/>
  </r>
  <r>
    <n v="31"/>
    <x v="10"/>
    <n v="0"/>
    <n v="3"/>
  </r>
  <r>
    <n v="31"/>
    <x v="11"/>
    <n v="0"/>
    <n v="1"/>
  </r>
  <r>
    <n v="31"/>
    <x v="12"/>
    <n v="1"/>
    <n v="0"/>
  </r>
  <r>
    <n v="31"/>
    <x v="13"/>
    <n v="1"/>
    <n v="1"/>
  </r>
  <r>
    <n v="31"/>
    <x v="14"/>
    <n v="0"/>
    <n v="1"/>
  </r>
  <r>
    <n v="31"/>
    <x v="15"/>
    <n v="2"/>
    <n v="5"/>
  </r>
  <r>
    <n v="31"/>
    <x v="16"/>
    <n v="2"/>
    <n v="1"/>
  </r>
  <r>
    <n v="31"/>
    <x v="17"/>
    <n v="1"/>
    <n v="0"/>
  </r>
  <r>
    <n v="31"/>
    <x v="18"/>
    <n v="0"/>
    <n v="0"/>
  </r>
  <r>
    <n v="31"/>
    <x v="19"/>
    <n v="0"/>
    <n v="1"/>
  </r>
  <r>
    <n v="32"/>
    <x v="0"/>
    <n v="0"/>
    <n v="1"/>
  </r>
  <r>
    <n v="32"/>
    <x v="1"/>
    <n v="2"/>
    <n v="0"/>
  </r>
  <r>
    <n v="32"/>
    <x v="2"/>
    <n v="1"/>
    <n v="0"/>
  </r>
  <r>
    <n v="32"/>
    <x v="3"/>
    <n v="3"/>
    <n v="4"/>
  </r>
  <r>
    <n v="32"/>
    <x v="4"/>
    <n v="0"/>
    <n v="1"/>
  </r>
  <r>
    <n v="32"/>
    <x v="5"/>
    <n v="1"/>
    <n v="0"/>
  </r>
  <r>
    <n v="32"/>
    <x v="6"/>
    <n v="2"/>
    <n v="1"/>
  </r>
  <r>
    <n v="32"/>
    <x v="7"/>
    <n v="4"/>
    <n v="3"/>
  </r>
  <r>
    <n v="32"/>
    <x v="8"/>
    <n v="1"/>
    <n v="0"/>
  </r>
  <r>
    <n v="32"/>
    <x v="9"/>
    <n v="0"/>
    <n v="1"/>
  </r>
  <r>
    <n v="32"/>
    <x v="10"/>
    <n v="0"/>
    <n v="2"/>
  </r>
  <r>
    <n v="32"/>
    <x v="11"/>
    <n v="0"/>
    <n v="3"/>
  </r>
  <r>
    <n v="32"/>
    <x v="12"/>
    <n v="1"/>
    <n v="1"/>
  </r>
  <r>
    <n v="32"/>
    <x v="13"/>
    <n v="1"/>
    <n v="1"/>
  </r>
  <r>
    <n v="32"/>
    <x v="14"/>
    <n v="0"/>
    <n v="3"/>
  </r>
  <r>
    <n v="32"/>
    <x v="15"/>
    <n v="3"/>
    <n v="0"/>
  </r>
  <r>
    <n v="32"/>
    <x v="16"/>
    <n v="1"/>
    <n v="2"/>
  </r>
  <r>
    <n v="32"/>
    <x v="17"/>
    <n v="2"/>
    <n v="1"/>
  </r>
  <r>
    <n v="32"/>
    <x v="18"/>
    <n v="3"/>
    <n v="0"/>
  </r>
  <r>
    <n v="32"/>
    <x v="19"/>
    <n v="1"/>
    <n v="2"/>
  </r>
  <r>
    <n v="33"/>
    <x v="0"/>
    <n v="1"/>
    <n v="1"/>
  </r>
  <r>
    <n v="33"/>
    <x v="1"/>
    <n v="0"/>
    <n v="2"/>
  </r>
  <r>
    <n v="33"/>
    <x v="2"/>
    <n v="0"/>
    <n v="3"/>
  </r>
  <r>
    <n v="33"/>
    <x v="3"/>
    <n v="1"/>
    <n v="2"/>
  </r>
  <r>
    <n v="33"/>
    <x v="4"/>
    <n v="0"/>
    <n v="0"/>
  </r>
  <r>
    <n v="33"/>
    <x v="5"/>
    <n v="1"/>
    <n v="1"/>
  </r>
  <r>
    <n v="33"/>
    <x v="6"/>
    <n v="2"/>
    <n v="1"/>
  </r>
  <r>
    <n v="33"/>
    <x v="7"/>
    <n v="3"/>
    <n v="0"/>
  </r>
  <r>
    <n v="33"/>
    <x v="8"/>
    <n v="2"/>
    <n v="0"/>
  </r>
  <r>
    <n v="33"/>
    <x v="9"/>
    <n v="2"/>
    <n v="0"/>
  </r>
  <r>
    <n v="33"/>
    <x v="10"/>
    <n v="1"/>
    <n v="1"/>
  </r>
  <r>
    <n v="33"/>
    <x v="11"/>
    <n v="1"/>
    <n v="0"/>
  </r>
  <r>
    <n v="33"/>
    <x v="12"/>
    <n v="0"/>
    <n v="2"/>
  </r>
  <r>
    <n v="33"/>
    <x v="13"/>
    <n v="1"/>
    <n v="0"/>
  </r>
  <r>
    <n v="33"/>
    <x v="14"/>
    <n v="1"/>
    <n v="2"/>
  </r>
  <r>
    <n v="33"/>
    <x v="15"/>
    <n v="1"/>
    <n v="1"/>
  </r>
  <r>
    <n v="33"/>
    <x v="16"/>
    <n v="2"/>
    <n v="1"/>
  </r>
  <r>
    <n v="33"/>
    <x v="17"/>
    <n v="0"/>
    <n v="0"/>
  </r>
  <r>
    <n v="33"/>
    <x v="18"/>
    <n v="0"/>
    <n v="1"/>
  </r>
  <r>
    <n v="33"/>
    <x v="19"/>
    <n v="0"/>
    <n v="1"/>
  </r>
  <r>
    <n v="34"/>
    <x v="0"/>
    <n v="2"/>
    <n v="3"/>
  </r>
  <r>
    <n v="34"/>
    <x v="1"/>
    <n v="0"/>
    <n v="2"/>
  </r>
  <r>
    <n v="34"/>
    <x v="2"/>
    <n v="3"/>
    <n v="2"/>
  </r>
  <r>
    <n v="34"/>
    <x v="3"/>
    <n v="2"/>
    <n v="0"/>
  </r>
  <r>
    <n v="34"/>
    <x v="4"/>
    <n v="0"/>
    <n v="4"/>
  </r>
  <r>
    <n v="34"/>
    <x v="5"/>
    <n v="0"/>
    <n v="0"/>
  </r>
  <r>
    <n v="34"/>
    <x v="6"/>
    <n v="0"/>
    <n v="2"/>
  </r>
  <r>
    <n v="34"/>
    <x v="7"/>
    <n v="2"/>
    <n v="2"/>
  </r>
  <r>
    <n v="34"/>
    <x v="8"/>
    <n v="0"/>
    <n v="0"/>
  </r>
  <r>
    <n v="34"/>
    <x v="9"/>
    <n v="3"/>
    <n v="3"/>
  </r>
  <r>
    <n v="34"/>
    <x v="10"/>
    <n v="0"/>
    <n v="0"/>
  </r>
  <r>
    <n v="34"/>
    <x v="11"/>
    <n v="0"/>
    <n v="0"/>
  </r>
  <r>
    <n v="34"/>
    <x v="12"/>
    <n v="4"/>
    <n v="0"/>
  </r>
  <r>
    <n v="34"/>
    <x v="13"/>
    <n v="1"/>
    <n v="0"/>
  </r>
  <r>
    <n v="34"/>
    <x v="14"/>
    <n v="0"/>
    <n v="1"/>
  </r>
  <r>
    <n v="34"/>
    <x v="15"/>
    <n v="2"/>
    <n v="0"/>
  </r>
  <r>
    <n v="34"/>
    <x v="16"/>
    <n v="0"/>
    <n v="0"/>
  </r>
  <r>
    <n v="34"/>
    <x v="17"/>
    <n v="2"/>
    <n v="2"/>
  </r>
  <r>
    <n v="34"/>
    <x v="18"/>
    <n v="3"/>
    <n v="3"/>
  </r>
  <r>
    <n v="34"/>
    <x v="19"/>
    <n v="0"/>
    <n v="0"/>
  </r>
  <r>
    <m/>
    <x v="20"/>
    <m/>
    <m/>
  </r>
  <r>
    <m/>
    <x v="20"/>
    <m/>
    <m/>
  </r>
  <r>
    <m/>
    <x v="20"/>
    <m/>
    <m/>
  </r>
  <r>
    <m/>
    <x v="20"/>
    <m/>
    <m/>
  </r>
  <r>
    <m/>
    <x v="20"/>
    <m/>
    <m/>
  </r>
  <r>
    <m/>
    <x v="20"/>
    <m/>
    <m/>
  </r>
  <r>
    <m/>
    <x v="20"/>
    <m/>
    <m/>
  </r>
  <r>
    <m/>
    <x v="20"/>
    <m/>
    <m/>
  </r>
  <r>
    <m/>
    <x v="20"/>
    <m/>
    <m/>
  </r>
  <r>
    <m/>
    <x v="2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D3AA6C-82FE-493A-B9BE-978896CD5D74}" name="Tabella pivot1" cacheId="5" applyNumberFormats="0" applyBorderFormats="0" applyFontFormats="0" applyPatternFormats="0" applyAlignmentFormats="0" applyWidthHeightFormats="1" dataCaption="Valori" updatedVersion="6" minRefreshableVersion="3" useAutoFormatting="1" itemPrintTitles="1" createdVersion="6" indent="0" outline="1" outlineData="1" multipleFieldFilters="0">
  <location ref="I2:M24" firstHeaderRow="0" firstDataRow="1" firstDataCol="1"/>
  <pivotFields count="4">
    <pivotField showAll="0"/>
    <pivotField axis="axisRow" showAll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dataField="1" showAll="0"/>
    <pivotField dataField="1" showAll="0"/>
  </pivotFields>
  <rowFields count="1">
    <field x="1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omma di gf" fld="2" baseField="0" baseItem="0"/>
    <dataField name="Media di gf" fld="2" subtotal="average" baseField="1" baseItem="0"/>
    <dataField name="Somma di gs" fld="3" baseField="0" baseItem="0"/>
    <dataField name="Media di gs2" fld="3" subtotal="average" baseField="1" baseItem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6D43E-1FF7-40AF-A862-0BD3290F523F}">
  <sheetPr codeName="Sheet5"/>
  <dimension ref="A1:BF386"/>
  <sheetViews>
    <sheetView tabSelected="1" zoomScale="70" zoomScaleNormal="70" workbookViewId="0">
      <selection activeCell="AJ20" sqref="AJ20"/>
    </sheetView>
  </sheetViews>
  <sheetFormatPr defaultRowHeight="14.25"/>
  <cols>
    <col min="1" max="1" width="4.875" customWidth="1"/>
    <col min="2" max="2" width="10.625" bestFit="1" customWidth="1"/>
    <col min="3" max="4" width="7.25" customWidth="1"/>
    <col min="5" max="5" width="6.75" customWidth="1"/>
    <col min="6" max="41" width="7.25" customWidth="1"/>
    <col min="43" max="43" width="9.75" bestFit="1" customWidth="1"/>
    <col min="44" max="44" width="8.5" bestFit="1" customWidth="1"/>
    <col min="45" max="45" width="6.625" customWidth="1"/>
  </cols>
  <sheetData>
    <row r="1" spans="1:57">
      <c r="D1" s="14">
        <v>1</v>
      </c>
      <c r="E1" s="14">
        <v>2</v>
      </c>
      <c r="F1" s="14">
        <v>3</v>
      </c>
      <c r="G1" s="14">
        <v>4</v>
      </c>
      <c r="H1" s="14">
        <v>5</v>
      </c>
      <c r="I1" s="14">
        <v>6</v>
      </c>
      <c r="J1" s="14">
        <v>7</v>
      </c>
      <c r="K1" s="14">
        <v>8</v>
      </c>
      <c r="L1" s="14">
        <v>9</v>
      </c>
      <c r="M1" s="14">
        <v>10</v>
      </c>
      <c r="N1" s="14">
        <v>11</v>
      </c>
      <c r="O1" s="14">
        <v>12</v>
      </c>
      <c r="P1" s="14">
        <v>13</v>
      </c>
      <c r="Q1" s="14">
        <v>14</v>
      </c>
      <c r="R1" s="14">
        <v>15</v>
      </c>
      <c r="S1" s="14">
        <v>16</v>
      </c>
      <c r="T1" s="14">
        <v>17</v>
      </c>
      <c r="U1" s="14">
        <v>18</v>
      </c>
      <c r="V1" s="14">
        <v>19</v>
      </c>
      <c r="W1" s="14">
        <v>20</v>
      </c>
      <c r="X1" s="14">
        <v>21</v>
      </c>
      <c r="Y1" s="14">
        <v>22</v>
      </c>
      <c r="Z1" s="14">
        <v>23</v>
      </c>
      <c r="AA1" s="14">
        <v>24</v>
      </c>
      <c r="AB1" s="14">
        <v>25</v>
      </c>
      <c r="AC1" s="14">
        <v>26</v>
      </c>
      <c r="AD1" s="14">
        <v>27</v>
      </c>
      <c r="AE1" s="14">
        <v>28</v>
      </c>
      <c r="AF1" s="14">
        <v>29</v>
      </c>
      <c r="AG1" s="14">
        <v>30</v>
      </c>
      <c r="AH1" s="14">
        <v>31</v>
      </c>
      <c r="AI1" s="14">
        <v>32</v>
      </c>
      <c r="AJ1" s="14">
        <v>33</v>
      </c>
      <c r="AK1" s="14">
        <v>34</v>
      </c>
      <c r="AL1" s="14">
        <v>35</v>
      </c>
      <c r="AM1" s="14">
        <v>36</v>
      </c>
      <c r="AN1" s="14">
        <v>37</v>
      </c>
      <c r="AO1" s="14">
        <v>38</v>
      </c>
    </row>
    <row r="2" spans="1:57">
      <c r="A2">
        <v>0</v>
      </c>
      <c r="B2" s="3" t="s">
        <v>0</v>
      </c>
      <c r="C2" s="3">
        <f>SUM(W2:AI2)</f>
        <v>904.5</v>
      </c>
      <c r="D2" s="3">
        <v>67</v>
      </c>
      <c r="E2" s="3">
        <v>72.5</v>
      </c>
      <c r="F2" s="3">
        <v>58</v>
      </c>
      <c r="G2" s="3">
        <v>69</v>
      </c>
      <c r="H2" s="3">
        <v>77.5</v>
      </c>
      <c r="I2" s="3">
        <v>73.5</v>
      </c>
      <c r="J2" s="3">
        <v>73</v>
      </c>
      <c r="K2" s="3">
        <v>63</v>
      </c>
      <c r="L2" s="3">
        <v>67</v>
      </c>
      <c r="M2" s="3">
        <v>66.5</v>
      </c>
      <c r="N2" s="3">
        <v>59</v>
      </c>
      <c r="O2" s="3">
        <v>87.5</v>
      </c>
      <c r="P2" s="3">
        <v>66.5</v>
      </c>
      <c r="Q2" s="3">
        <v>71.5</v>
      </c>
      <c r="R2" s="3">
        <v>69</v>
      </c>
      <c r="S2" s="3">
        <v>71.5</v>
      </c>
      <c r="T2" s="3">
        <v>82.5</v>
      </c>
      <c r="U2" s="3">
        <v>66</v>
      </c>
      <c r="V2" s="3">
        <v>75.5</v>
      </c>
      <c r="W2" s="3">
        <v>73</v>
      </c>
      <c r="X2" s="3">
        <v>66.5</v>
      </c>
      <c r="Y2" s="3">
        <v>75.5</v>
      </c>
      <c r="Z2" s="3">
        <v>60</v>
      </c>
      <c r="AA2" s="3">
        <v>63.5</v>
      </c>
      <c r="AB2" s="3">
        <v>64.5</v>
      </c>
      <c r="AC2" s="3">
        <v>67</v>
      </c>
      <c r="AD2" s="3">
        <v>71.5</v>
      </c>
      <c r="AE2" s="3">
        <v>73</v>
      </c>
      <c r="AF2" s="3">
        <v>71.5</v>
      </c>
      <c r="AG2" s="3">
        <v>86.5</v>
      </c>
      <c r="AH2" s="3">
        <v>65</v>
      </c>
      <c r="AI2" s="3">
        <v>67</v>
      </c>
      <c r="AJ2" s="3">
        <v>61.5</v>
      </c>
      <c r="AK2" s="3">
        <v>82</v>
      </c>
      <c r="AL2" s="3">
        <v>67</v>
      </c>
      <c r="AM2" s="3"/>
      <c r="AN2" s="3"/>
      <c r="AO2" s="3"/>
      <c r="AQ2">
        <f>COUNTIF(W2:AJ11,"&gt;70")</f>
        <v>67</v>
      </c>
      <c r="AT2" t="s">
        <v>11</v>
      </c>
    </row>
    <row r="3" spans="1:57">
      <c r="A3">
        <v>1</v>
      </c>
      <c r="B3" s="3" t="s">
        <v>1</v>
      </c>
      <c r="C3" s="3">
        <f t="shared" ref="C3:C11" si="0">SUM(W3:AI3)</f>
        <v>926</v>
      </c>
      <c r="D3" s="3">
        <v>67.5</v>
      </c>
      <c r="E3" s="3">
        <v>72</v>
      </c>
      <c r="F3" s="3">
        <v>69.5</v>
      </c>
      <c r="G3" s="3">
        <v>72.5</v>
      </c>
      <c r="H3" s="3">
        <v>82</v>
      </c>
      <c r="I3" s="3">
        <v>64</v>
      </c>
      <c r="J3" s="3">
        <v>65.5</v>
      </c>
      <c r="K3" s="3">
        <v>65.5</v>
      </c>
      <c r="L3" s="3">
        <v>70</v>
      </c>
      <c r="M3" s="3">
        <v>77.5</v>
      </c>
      <c r="N3" s="3">
        <v>61</v>
      </c>
      <c r="O3" s="3">
        <v>70.5</v>
      </c>
      <c r="P3" s="3">
        <v>71</v>
      </c>
      <c r="Q3" s="3">
        <v>67</v>
      </c>
      <c r="R3" s="3">
        <v>66.5</v>
      </c>
      <c r="S3" s="3">
        <v>63.5</v>
      </c>
      <c r="T3" s="3">
        <v>62.5</v>
      </c>
      <c r="U3" s="3">
        <v>65</v>
      </c>
      <c r="V3" s="3">
        <v>67</v>
      </c>
      <c r="W3" s="3">
        <v>69.5</v>
      </c>
      <c r="X3" s="3">
        <v>67</v>
      </c>
      <c r="Y3" s="3">
        <v>73</v>
      </c>
      <c r="Z3" s="3">
        <v>72</v>
      </c>
      <c r="AA3" s="3">
        <v>82.5</v>
      </c>
      <c r="AB3" s="3">
        <v>71.5</v>
      </c>
      <c r="AC3" s="3">
        <v>63.5</v>
      </c>
      <c r="AD3" s="3">
        <v>73.5</v>
      </c>
      <c r="AE3" s="3">
        <v>63</v>
      </c>
      <c r="AF3" s="3">
        <v>77.5</v>
      </c>
      <c r="AG3" s="3">
        <v>68</v>
      </c>
      <c r="AH3" s="3">
        <v>62.5</v>
      </c>
      <c r="AI3" s="3">
        <v>82.5</v>
      </c>
      <c r="AJ3" s="3">
        <v>71</v>
      </c>
      <c r="AK3" s="3">
        <v>74</v>
      </c>
      <c r="AL3" s="3">
        <v>78</v>
      </c>
      <c r="AM3" s="3"/>
      <c r="AN3" s="3"/>
      <c r="AO3" s="3"/>
      <c r="AQ3">
        <f>COUNTIF(W2:AJ11,"&lt;"&amp;VALUE(65))</f>
        <v>26</v>
      </c>
      <c r="AT3">
        <v>68.5</v>
      </c>
      <c r="AU3">
        <v>67</v>
      </c>
      <c r="AV3">
        <v>80</v>
      </c>
      <c r="AW3">
        <v>11</v>
      </c>
      <c r="AX3">
        <v>54.5</v>
      </c>
      <c r="AY3">
        <v>54.5</v>
      </c>
      <c r="AZ3">
        <v>0</v>
      </c>
      <c r="BA3">
        <v>0</v>
      </c>
      <c r="BB3">
        <v>2</v>
      </c>
      <c r="BE3">
        <v>110</v>
      </c>
    </row>
    <row r="4" spans="1:57">
      <c r="A4">
        <v>2</v>
      </c>
      <c r="B4" s="3" t="s">
        <v>2</v>
      </c>
      <c r="C4" s="3">
        <f t="shared" si="0"/>
        <v>949</v>
      </c>
      <c r="D4" s="3">
        <v>72.5</v>
      </c>
      <c r="E4" s="3">
        <v>69</v>
      </c>
      <c r="F4" s="3">
        <v>82</v>
      </c>
      <c r="G4" s="3">
        <v>68</v>
      </c>
      <c r="H4" s="3">
        <v>74.5</v>
      </c>
      <c r="I4" s="3">
        <v>74</v>
      </c>
      <c r="J4" s="3">
        <v>72.5</v>
      </c>
      <c r="K4" s="3">
        <v>77.5</v>
      </c>
      <c r="L4" s="3">
        <v>72</v>
      </c>
      <c r="M4" s="3">
        <v>78</v>
      </c>
      <c r="N4" s="3">
        <v>67</v>
      </c>
      <c r="O4" s="3">
        <v>65</v>
      </c>
      <c r="P4" s="3">
        <v>85.5</v>
      </c>
      <c r="Q4" s="3">
        <v>63.5</v>
      </c>
      <c r="R4" s="3">
        <v>65</v>
      </c>
      <c r="S4" s="3">
        <v>66.5</v>
      </c>
      <c r="T4" s="3">
        <v>75</v>
      </c>
      <c r="U4" s="3">
        <v>70</v>
      </c>
      <c r="V4" s="3">
        <v>78.5</v>
      </c>
      <c r="W4" s="3">
        <v>79.5</v>
      </c>
      <c r="X4" s="3">
        <v>69</v>
      </c>
      <c r="Y4" s="3">
        <v>87</v>
      </c>
      <c r="Z4" s="3">
        <v>81.5</v>
      </c>
      <c r="AA4" s="3">
        <v>73.5</v>
      </c>
      <c r="AB4" s="3">
        <v>75.5</v>
      </c>
      <c r="AC4" s="3">
        <v>63</v>
      </c>
      <c r="AD4" s="3">
        <v>82.5</v>
      </c>
      <c r="AE4" s="3">
        <v>77.5</v>
      </c>
      <c r="AF4" s="3">
        <v>63</v>
      </c>
      <c r="AG4" s="3">
        <v>64.5</v>
      </c>
      <c r="AH4" s="3">
        <v>70</v>
      </c>
      <c r="AI4" s="3">
        <v>62.5</v>
      </c>
      <c r="AJ4" s="3">
        <v>73.5</v>
      </c>
      <c r="AK4" s="3">
        <v>69</v>
      </c>
      <c r="AL4" s="3">
        <v>58</v>
      </c>
      <c r="AM4" s="3"/>
      <c r="AN4" s="3"/>
      <c r="AO4" s="3"/>
      <c r="AT4">
        <v>69</v>
      </c>
      <c r="AU4">
        <v>67.5</v>
      </c>
      <c r="AV4">
        <v>76</v>
      </c>
      <c r="AW4">
        <v>11</v>
      </c>
      <c r="AX4">
        <v>72.7</v>
      </c>
      <c r="AY4">
        <v>72.7</v>
      </c>
      <c r="AZ4">
        <v>0</v>
      </c>
      <c r="BA4">
        <v>0</v>
      </c>
      <c r="BB4">
        <v>3</v>
      </c>
      <c r="BE4">
        <v>40</v>
      </c>
    </row>
    <row r="5" spans="1:57">
      <c r="A5">
        <v>3</v>
      </c>
      <c r="B5" s="3" t="s">
        <v>3</v>
      </c>
      <c r="C5" s="3">
        <f t="shared" si="0"/>
        <v>920.5</v>
      </c>
      <c r="D5" s="3">
        <v>70</v>
      </c>
      <c r="E5" s="3">
        <v>65</v>
      </c>
      <c r="F5" s="3">
        <v>63</v>
      </c>
      <c r="G5" s="3">
        <v>63.5</v>
      </c>
      <c r="H5" s="3">
        <v>62.5</v>
      </c>
      <c r="I5" s="3">
        <v>64</v>
      </c>
      <c r="J5" s="3">
        <v>66.5</v>
      </c>
      <c r="K5" s="3">
        <v>64</v>
      </c>
      <c r="L5" s="3">
        <v>70</v>
      </c>
      <c r="M5" s="3">
        <v>63.5</v>
      </c>
      <c r="N5" s="3">
        <v>66</v>
      </c>
      <c r="O5" s="3">
        <v>82</v>
      </c>
      <c r="P5" s="3">
        <v>68.5</v>
      </c>
      <c r="Q5" s="3">
        <v>69.5</v>
      </c>
      <c r="R5" s="3">
        <v>75</v>
      </c>
      <c r="S5" s="3">
        <v>66</v>
      </c>
      <c r="T5" s="3">
        <v>85.5</v>
      </c>
      <c r="U5" s="3">
        <v>61.5</v>
      </c>
      <c r="V5" s="3">
        <v>71</v>
      </c>
      <c r="W5" s="3">
        <v>75.5</v>
      </c>
      <c r="X5" s="3">
        <v>61.5</v>
      </c>
      <c r="Y5" s="3">
        <v>82</v>
      </c>
      <c r="Z5" s="3">
        <v>72</v>
      </c>
      <c r="AA5" s="3">
        <v>72</v>
      </c>
      <c r="AB5" s="3">
        <v>59.5</v>
      </c>
      <c r="AC5" s="3">
        <v>67.5</v>
      </c>
      <c r="AD5" s="3">
        <v>74.5</v>
      </c>
      <c r="AE5" s="3">
        <v>71.5</v>
      </c>
      <c r="AF5" s="3">
        <v>71</v>
      </c>
      <c r="AG5" s="3">
        <v>65.5</v>
      </c>
      <c r="AH5" s="3">
        <v>74</v>
      </c>
      <c r="AI5" s="3">
        <v>74</v>
      </c>
      <c r="AJ5" s="3">
        <v>67</v>
      </c>
      <c r="AK5" s="3">
        <v>73.5</v>
      </c>
      <c r="AL5" s="3">
        <v>65.5</v>
      </c>
      <c r="AM5" s="3"/>
      <c r="AN5" s="3"/>
      <c r="AO5" s="3"/>
      <c r="AT5">
        <v>73.5</v>
      </c>
      <c r="AU5">
        <v>72.5</v>
      </c>
      <c r="AV5">
        <v>79.5</v>
      </c>
      <c r="AW5">
        <v>11</v>
      </c>
      <c r="AX5">
        <v>90.9</v>
      </c>
      <c r="AY5">
        <v>81.8</v>
      </c>
      <c r="AZ5">
        <v>0</v>
      </c>
      <c r="BA5">
        <v>0</v>
      </c>
      <c r="BB5">
        <v>0</v>
      </c>
      <c r="BE5">
        <v>3</v>
      </c>
    </row>
    <row r="6" spans="1:57">
      <c r="A6">
        <v>4</v>
      </c>
      <c r="B6" s="3" t="s">
        <v>5</v>
      </c>
      <c r="C6" s="3">
        <f t="shared" si="0"/>
        <v>934</v>
      </c>
      <c r="D6" s="3">
        <v>72</v>
      </c>
      <c r="E6" s="3">
        <v>75</v>
      </c>
      <c r="F6" s="3">
        <v>71</v>
      </c>
      <c r="G6" s="3">
        <v>62.5</v>
      </c>
      <c r="H6" s="3">
        <v>67.5</v>
      </c>
      <c r="I6" s="3">
        <v>66.5</v>
      </c>
      <c r="J6" s="3">
        <v>62</v>
      </c>
      <c r="K6" s="3">
        <v>58.5</v>
      </c>
      <c r="L6" s="3">
        <v>68</v>
      </c>
      <c r="M6" s="3">
        <v>60.5</v>
      </c>
      <c r="N6" s="3">
        <v>63</v>
      </c>
      <c r="O6" s="3">
        <v>66.5</v>
      </c>
      <c r="P6" s="3">
        <v>75.5</v>
      </c>
      <c r="Q6" s="3">
        <v>70</v>
      </c>
      <c r="R6" s="3">
        <v>78</v>
      </c>
      <c r="S6" s="3">
        <v>71</v>
      </c>
      <c r="T6" s="3">
        <v>70</v>
      </c>
      <c r="U6" s="3">
        <v>73</v>
      </c>
      <c r="V6" s="3">
        <v>66.5</v>
      </c>
      <c r="W6" s="3">
        <v>73</v>
      </c>
      <c r="X6" s="3">
        <v>67.5</v>
      </c>
      <c r="Y6" s="3">
        <v>73.5</v>
      </c>
      <c r="Z6" s="3">
        <v>74.5</v>
      </c>
      <c r="AA6" s="3">
        <v>75</v>
      </c>
      <c r="AB6" s="3">
        <v>64</v>
      </c>
      <c r="AC6" s="3">
        <v>71</v>
      </c>
      <c r="AD6" s="3">
        <v>69.5</v>
      </c>
      <c r="AE6" s="3">
        <v>66.5</v>
      </c>
      <c r="AF6" s="3">
        <v>70</v>
      </c>
      <c r="AG6" s="3">
        <v>71.5</v>
      </c>
      <c r="AH6" s="3">
        <v>79.5</v>
      </c>
      <c r="AI6" s="3">
        <v>78.5</v>
      </c>
      <c r="AJ6" s="3">
        <v>62</v>
      </c>
      <c r="AK6" s="3">
        <v>67</v>
      </c>
      <c r="AL6" s="3">
        <v>76.5</v>
      </c>
      <c r="AM6" s="3"/>
      <c r="AN6" s="3"/>
      <c r="AO6" s="3"/>
      <c r="AT6">
        <v>73</v>
      </c>
      <c r="AU6">
        <v>70</v>
      </c>
      <c r="AV6">
        <v>78.5</v>
      </c>
      <c r="AW6">
        <v>11</v>
      </c>
      <c r="AX6">
        <v>72.7</v>
      </c>
      <c r="AY6">
        <v>63.6</v>
      </c>
      <c r="AZ6">
        <v>0</v>
      </c>
      <c r="BA6">
        <v>0</v>
      </c>
      <c r="BB6">
        <v>2</v>
      </c>
      <c r="BE6">
        <v>2</v>
      </c>
    </row>
    <row r="7" spans="1:57">
      <c r="A7">
        <v>5</v>
      </c>
      <c r="B7" s="3" t="s">
        <v>4</v>
      </c>
      <c r="C7" s="3">
        <f t="shared" si="0"/>
        <v>908</v>
      </c>
      <c r="D7" s="3">
        <v>61.5</v>
      </c>
      <c r="E7" s="3">
        <v>85.5</v>
      </c>
      <c r="F7" s="3">
        <v>74</v>
      </c>
      <c r="G7" s="3">
        <v>74</v>
      </c>
      <c r="H7" s="3">
        <v>74</v>
      </c>
      <c r="I7" s="3">
        <v>66.5</v>
      </c>
      <c r="J7" s="3">
        <v>61</v>
      </c>
      <c r="K7" s="3">
        <v>65.5</v>
      </c>
      <c r="L7" s="3">
        <v>66</v>
      </c>
      <c r="M7" s="3">
        <v>66</v>
      </c>
      <c r="N7" s="3">
        <v>79</v>
      </c>
      <c r="O7" s="3">
        <v>68.5</v>
      </c>
      <c r="P7" s="3">
        <v>62.5</v>
      </c>
      <c r="Q7" s="3">
        <v>70.5</v>
      </c>
      <c r="R7" s="3">
        <v>65.5</v>
      </c>
      <c r="S7" s="3">
        <v>76</v>
      </c>
      <c r="T7" s="3">
        <v>71</v>
      </c>
      <c r="U7" s="3">
        <v>66</v>
      </c>
      <c r="V7" s="3">
        <v>70</v>
      </c>
      <c r="W7" s="3">
        <v>75</v>
      </c>
      <c r="X7" s="3">
        <v>68</v>
      </c>
      <c r="Y7" s="3">
        <v>69.5</v>
      </c>
      <c r="Z7" s="3">
        <v>71</v>
      </c>
      <c r="AA7" s="3">
        <v>73</v>
      </c>
      <c r="AB7" s="3">
        <v>72</v>
      </c>
      <c r="AC7" s="3">
        <v>76.5</v>
      </c>
      <c r="AD7" s="3">
        <v>64.5</v>
      </c>
      <c r="AE7" s="3">
        <v>64</v>
      </c>
      <c r="AF7" s="3">
        <v>65.5</v>
      </c>
      <c r="AG7" s="3">
        <v>66</v>
      </c>
      <c r="AH7" s="3">
        <v>73.5</v>
      </c>
      <c r="AI7" s="3">
        <v>69.5</v>
      </c>
      <c r="AJ7" s="3">
        <v>69</v>
      </c>
      <c r="AK7" s="3">
        <v>63</v>
      </c>
      <c r="AL7" s="3">
        <v>76.5</v>
      </c>
      <c r="AM7" s="3"/>
      <c r="AN7" s="3"/>
      <c r="AO7" s="3"/>
      <c r="AT7">
        <v>72</v>
      </c>
      <c r="AU7">
        <v>72</v>
      </c>
      <c r="AV7">
        <v>77</v>
      </c>
      <c r="AW7">
        <v>11</v>
      </c>
      <c r="AX7">
        <v>72.7</v>
      </c>
      <c r="AY7">
        <v>72.7</v>
      </c>
      <c r="AZ7">
        <v>1</v>
      </c>
      <c r="BA7">
        <v>1</v>
      </c>
      <c r="BB7">
        <v>3</v>
      </c>
      <c r="BE7">
        <v>30</v>
      </c>
    </row>
    <row r="8" spans="1:57">
      <c r="A8">
        <v>6</v>
      </c>
      <c r="B8" s="3" t="s">
        <v>6</v>
      </c>
      <c r="C8" s="3">
        <f t="shared" si="0"/>
        <v>895.5</v>
      </c>
      <c r="D8" s="3">
        <v>67.5</v>
      </c>
      <c r="E8" s="3">
        <v>72.5</v>
      </c>
      <c r="F8" s="3">
        <v>66.5</v>
      </c>
      <c r="G8" s="3">
        <v>71</v>
      </c>
      <c r="H8" s="3">
        <v>77</v>
      </c>
      <c r="I8" s="3">
        <v>61</v>
      </c>
      <c r="J8" s="3">
        <v>68.5</v>
      </c>
      <c r="K8" s="3">
        <v>72</v>
      </c>
      <c r="L8" s="3">
        <v>69.5</v>
      </c>
      <c r="M8" s="3">
        <v>71</v>
      </c>
      <c r="N8" s="3">
        <v>72</v>
      </c>
      <c r="O8" s="3">
        <v>73</v>
      </c>
      <c r="P8" s="3">
        <v>68</v>
      </c>
      <c r="Q8" s="3">
        <v>71</v>
      </c>
      <c r="R8" s="3">
        <v>61.5</v>
      </c>
      <c r="S8" s="3">
        <v>70.5</v>
      </c>
      <c r="T8" s="3">
        <v>69</v>
      </c>
      <c r="U8" s="3">
        <v>72.5</v>
      </c>
      <c r="V8" s="3">
        <v>67.5</v>
      </c>
      <c r="W8" s="3">
        <v>66.5</v>
      </c>
      <c r="X8" s="3">
        <v>80</v>
      </c>
      <c r="Y8" s="3">
        <v>61.5</v>
      </c>
      <c r="Z8" s="3">
        <v>69.5</v>
      </c>
      <c r="AA8" s="3">
        <v>62</v>
      </c>
      <c r="AB8" s="3">
        <v>65.5</v>
      </c>
      <c r="AC8" s="3">
        <v>66.5</v>
      </c>
      <c r="AD8" s="3">
        <v>64.5</v>
      </c>
      <c r="AE8" s="3">
        <v>68.5</v>
      </c>
      <c r="AF8" s="3">
        <v>74</v>
      </c>
      <c r="AG8" s="3">
        <v>83.5</v>
      </c>
      <c r="AH8" s="3">
        <v>61.5</v>
      </c>
      <c r="AI8" s="3">
        <v>72</v>
      </c>
      <c r="AJ8" s="3">
        <v>73</v>
      </c>
      <c r="AK8" s="3">
        <v>74.5</v>
      </c>
      <c r="AL8" s="3">
        <v>66</v>
      </c>
      <c r="AM8" s="3"/>
      <c r="AN8" s="3"/>
      <c r="AO8" s="3"/>
      <c r="AT8">
        <v>62.5</v>
      </c>
      <c r="AU8">
        <v>61.5</v>
      </c>
      <c r="AV8">
        <v>72.5</v>
      </c>
      <c r="AW8">
        <v>11</v>
      </c>
      <c r="AX8">
        <v>63.6</v>
      </c>
      <c r="AY8">
        <v>63.6</v>
      </c>
      <c r="AZ8">
        <v>1</v>
      </c>
      <c r="BA8">
        <v>0</v>
      </c>
      <c r="BB8">
        <v>3</v>
      </c>
      <c r="BE8">
        <v>-17</v>
      </c>
    </row>
    <row r="9" spans="1:57">
      <c r="A9">
        <v>7</v>
      </c>
      <c r="B9" s="3" t="s">
        <v>9</v>
      </c>
      <c r="C9" s="3">
        <f t="shared" si="0"/>
        <v>894</v>
      </c>
      <c r="D9" s="3">
        <v>76</v>
      </c>
      <c r="E9" s="3">
        <v>70</v>
      </c>
      <c r="F9" s="3">
        <v>61.5</v>
      </c>
      <c r="G9" s="3">
        <v>80</v>
      </c>
      <c r="H9" s="3">
        <v>70.5</v>
      </c>
      <c r="I9" s="3">
        <v>69.5</v>
      </c>
      <c r="J9" s="3">
        <v>66.5</v>
      </c>
      <c r="K9" s="3">
        <v>66</v>
      </c>
      <c r="L9" s="3">
        <v>65</v>
      </c>
      <c r="M9" s="3">
        <v>68</v>
      </c>
      <c r="N9" s="3">
        <v>69</v>
      </c>
      <c r="O9" s="3">
        <v>86</v>
      </c>
      <c r="P9" s="3">
        <v>73.5</v>
      </c>
      <c r="Q9" s="3">
        <v>68</v>
      </c>
      <c r="R9" s="3">
        <v>72</v>
      </c>
      <c r="S9" s="3">
        <v>67</v>
      </c>
      <c r="T9" s="3">
        <v>65.5</v>
      </c>
      <c r="U9" s="3">
        <v>69</v>
      </c>
      <c r="V9" s="3">
        <v>67</v>
      </c>
      <c r="W9" s="3">
        <v>67.5</v>
      </c>
      <c r="X9" s="3">
        <v>64</v>
      </c>
      <c r="Y9" s="3">
        <v>75</v>
      </c>
      <c r="Z9" s="3">
        <v>59.5</v>
      </c>
      <c r="AA9" s="3">
        <v>69.5</v>
      </c>
      <c r="AB9" s="3">
        <v>66</v>
      </c>
      <c r="AC9" s="3">
        <v>69.5</v>
      </c>
      <c r="AD9" s="3">
        <v>65.5</v>
      </c>
      <c r="AE9" s="3">
        <v>68</v>
      </c>
      <c r="AF9" s="3">
        <v>73.5</v>
      </c>
      <c r="AG9" s="3">
        <v>67.5</v>
      </c>
      <c r="AH9" s="3">
        <v>74.5</v>
      </c>
      <c r="AI9" s="3">
        <v>74</v>
      </c>
      <c r="AJ9" s="3">
        <v>65</v>
      </c>
      <c r="AK9" s="3">
        <v>62</v>
      </c>
      <c r="AL9" s="3">
        <v>65</v>
      </c>
      <c r="AM9" s="3"/>
      <c r="AN9" s="3"/>
      <c r="AO9" s="3"/>
      <c r="AT9">
        <v>67.5</v>
      </c>
      <c r="AU9">
        <v>67.5</v>
      </c>
      <c r="AV9">
        <v>79.5</v>
      </c>
      <c r="AW9">
        <v>11</v>
      </c>
      <c r="AX9">
        <v>72.7</v>
      </c>
      <c r="AY9">
        <v>72.7</v>
      </c>
      <c r="AZ9">
        <v>0</v>
      </c>
      <c r="BA9">
        <v>0</v>
      </c>
      <c r="BB9">
        <v>3</v>
      </c>
      <c r="BE9">
        <v>4</v>
      </c>
    </row>
    <row r="10" spans="1:57">
      <c r="A10">
        <v>8</v>
      </c>
      <c r="B10" s="3" t="s">
        <v>7</v>
      </c>
      <c r="C10" s="3">
        <f t="shared" si="0"/>
        <v>886</v>
      </c>
      <c r="D10" s="3">
        <v>73</v>
      </c>
      <c r="E10" s="3">
        <v>71.5</v>
      </c>
      <c r="F10" s="3">
        <v>65.5</v>
      </c>
      <c r="G10" s="3">
        <v>68.5</v>
      </c>
      <c r="H10" s="3">
        <v>68.5</v>
      </c>
      <c r="I10" s="3">
        <v>66.5</v>
      </c>
      <c r="J10" s="3">
        <v>68</v>
      </c>
      <c r="K10" s="3">
        <v>66</v>
      </c>
      <c r="L10" s="3">
        <v>78</v>
      </c>
      <c r="M10" s="3">
        <v>60</v>
      </c>
      <c r="N10" s="3">
        <v>68.5</v>
      </c>
      <c r="O10" s="3">
        <v>64</v>
      </c>
      <c r="P10" s="3">
        <v>69</v>
      </c>
      <c r="Q10" s="3">
        <v>71</v>
      </c>
      <c r="R10" s="3">
        <v>63</v>
      </c>
      <c r="S10" s="3">
        <v>68</v>
      </c>
      <c r="T10" s="3">
        <v>75</v>
      </c>
      <c r="U10" s="3">
        <v>66.5</v>
      </c>
      <c r="V10" s="3">
        <v>65</v>
      </c>
      <c r="W10" s="3">
        <v>69</v>
      </c>
      <c r="X10" s="3">
        <v>63.5</v>
      </c>
      <c r="Y10" s="3">
        <v>68</v>
      </c>
      <c r="Z10" s="3">
        <v>79</v>
      </c>
      <c r="AA10" s="3">
        <v>77</v>
      </c>
      <c r="AB10" s="3">
        <v>56</v>
      </c>
      <c r="AC10" s="3">
        <v>69</v>
      </c>
      <c r="AD10" s="3">
        <v>66.5</v>
      </c>
      <c r="AE10" s="3">
        <v>68</v>
      </c>
      <c r="AF10" s="3">
        <v>66.5</v>
      </c>
      <c r="AG10" s="3">
        <v>72.5</v>
      </c>
      <c r="AH10" s="3">
        <v>65.5</v>
      </c>
      <c r="AI10" s="3">
        <v>65.5</v>
      </c>
      <c r="AJ10" s="3">
        <v>69</v>
      </c>
      <c r="AK10" s="3">
        <v>65.5</v>
      </c>
      <c r="AL10" s="3">
        <v>65.5</v>
      </c>
      <c r="AM10" s="3"/>
      <c r="AN10" s="3"/>
      <c r="AO10" s="3"/>
      <c r="AT10">
        <v>70</v>
      </c>
      <c r="AU10">
        <v>76</v>
      </c>
      <c r="AV10">
        <v>80.5</v>
      </c>
      <c r="AW10">
        <v>11</v>
      </c>
      <c r="AX10">
        <v>63.6</v>
      </c>
      <c r="AY10">
        <v>81.8</v>
      </c>
      <c r="AZ10">
        <v>0</v>
      </c>
      <c r="BA10">
        <v>1</v>
      </c>
      <c r="BB10">
        <v>3</v>
      </c>
    </row>
    <row r="11" spans="1:57">
      <c r="A11">
        <v>9</v>
      </c>
      <c r="B11" s="3" t="s">
        <v>8</v>
      </c>
      <c r="C11" s="3">
        <f t="shared" si="0"/>
        <v>948</v>
      </c>
      <c r="D11" s="3">
        <v>74</v>
      </c>
      <c r="E11" s="3">
        <v>69</v>
      </c>
      <c r="F11" s="3">
        <v>82</v>
      </c>
      <c r="G11" s="3">
        <v>67</v>
      </c>
      <c r="H11" s="3">
        <v>66</v>
      </c>
      <c r="I11" s="3">
        <v>86.5</v>
      </c>
      <c r="J11" s="3">
        <v>67.5</v>
      </c>
      <c r="K11" s="3">
        <v>79</v>
      </c>
      <c r="L11" s="3">
        <v>85.5</v>
      </c>
      <c r="M11" s="3">
        <v>57.5</v>
      </c>
      <c r="N11" s="3">
        <v>65.5</v>
      </c>
      <c r="O11" s="3">
        <v>59.5</v>
      </c>
      <c r="P11" s="3">
        <v>70</v>
      </c>
      <c r="Q11" s="3">
        <v>68</v>
      </c>
      <c r="R11" s="3">
        <v>65</v>
      </c>
      <c r="S11" s="3">
        <v>74.5</v>
      </c>
      <c r="T11" s="3">
        <v>65.5</v>
      </c>
      <c r="U11" s="3">
        <v>76</v>
      </c>
      <c r="V11" s="3">
        <v>74.5</v>
      </c>
      <c r="W11" s="3">
        <v>76</v>
      </c>
      <c r="X11" s="3">
        <v>68.5</v>
      </c>
      <c r="Y11" s="3">
        <v>81</v>
      </c>
      <c r="Z11" s="3">
        <v>74</v>
      </c>
      <c r="AA11" s="3">
        <v>71.5</v>
      </c>
      <c r="AB11" s="3">
        <v>75.5</v>
      </c>
      <c r="AC11" s="3">
        <v>70.5</v>
      </c>
      <c r="AD11" s="3">
        <v>67</v>
      </c>
      <c r="AE11" s="3">
        <v>78.5</v>
      </c>
      <c r="AF11" s="3">
        <v>67.5</v>
      </c>
      <c r="AG11" s="3">
        <v>62.5</v>
      </c>
      <c r="AH11" s="3">
        <v>78.5</v>
      </c>
      <c r="AI11" s="3">
        <v>77</v>
      </c>
      <c r="AJ11" s="3">
        <v>86</v>
      </c>
      <c r="AK11" s="3">
        <v>74</v>
      </c>
      <c r="AL11" s="3">
        <v>76</v>
      </c>
      <c r="AM11" s="3"/>
      <c r="AN11" s="3"/>
      <c r="AO11" s="3"/>
      <c r="AT11">
        <v>71</v>
      </c>
      <c r="AU11">
        <v>73</v>
      </c>
      <c r="AV11">
        <v>83</v>
      </c>
      <c r="AW11">
        <v>11</v>
      </c>
      <c r="AX11">
        <v>54.5</v>
      </c>
      <c r="AY11">
        <v>63.6</v>
      </c>
      <c r="AZ11">
        <v>0</v>
      </c>
      <c r="BA11">
        <v>0</v>
      </c>
      <c r="BB11">
        <v>1</v>
      </c>
    </row>
    <row r="12" spans="1:57" ht="15">
      <c r="C12" s="16">
        <f>SUM(C2:C11)</f>
        <v>9165.5</v>
      </c>
      <c r="D12" s="16">
        <f t="shared" ref="D12:AL12" si="1">SUM(D2:D11)</f>
        <v>701</v>
      </c>
      <c r="E12" s="16">
        <f t="shared" si="1"/>
        <v>722</v>
      </c>
      <c r="F12" s="16">
        <f t="shared" si="1"/>
        <v>693</v>
      </c>
      <c r="G12" s="16">
        <f t="shared" si="1"/>
        <v>696</v>
      </c>
      <c r="H12" s="16">
        <f t="shared" si="1"/>
        <v>720</v>
      </c>
      <c r="I12" s="16">
        <f t="shared" si="1"/>
        <v>692</v>
      </c>
      <c r="J12" s="16">
        <f t="shared" si="1"/>
        <v>671</v>
      </c>
      <c r="K12" s="16">
        <f t="shared" si="1"/>
        <v>677</v>
      </c>
      <c r="L12" s="16">
        <f t="shared" si="1"/>
        <v>711</v>
      </c>
      <c r="M12" s="16">
        <f t="shared" si="1"/>
        <v>668.5</v>
      </c>
      <c r="N12" s="16">
        <f t="shared" si="1"/>
        <v>670</v>
      </c>
      <c r="O12" s="16">
        <f t="shared" si="1"/>
        <v>722.5</v>
      </c>
      <c r="P12" s="16">
        <f t="shared" si="1"/>
        <v>710</v>
      </c>
      <c r="Q12" s="16">
        <f t="shared" si="1"/>
        <v>690</v>
      </c>
      <c r="R12" s="16">
        <f t="shared" si="1"/>
        <v>680.5</v>
      </c>
      <c r="S12" s="16">
        <f t="shared" si="1"/>
        <v>694.5</v>
      </c>
      <c r="T12" s="16">
        <f t="shared" si="1"/>
        <v>721.5</v>
      </c>
      <c r="U12" s="16">
        <f t="shared" si="1"/>
        <v>685.5</v>
      </c>
      <c r="V12" s="16">
        <f t="shared" si="1"/>
        <v>702.5</v>
      </c>
      <c r="W12" s="16">
        <f t="shared" si="1"/>
        <v>724.5</v>
      </c>
      <c r="X12" s="16">
        <f t="shared" si="1"/>
        <v>675.5</v>
      </c>
      <c r="Y12" s="16">
        <f t="shared" si="1"/>
        <v>746</v>
      </c>
      <c r="Z12" s="16">
        <f t="shared" si="1"/>
        <v>713</v>
      </c>
      <c r="AA12" s="16">
        <f t="shared" si="1"/>
        <v>719.5</v>
      </c>
      <c r="AB12" s="16">
        <f t="shared" si="1"/>
        <v>670</v>
      </c>
      <c r="AC12" s="16">
        <f t="shared" si="1"/>
        <v>684</v>
      </c>
      <c r="AD12" s="16">
        <f t="shared" si="1"/>
        <v>699.5</v>
      </c>
      <c r="AE12" s="16">
        <f t="shared" si="1"/>
        <v>698.5</v>
      </c>
      <c r="AF12" s="16">
        <f t="shared" si="1"/>
        <v>700</v>
      </c>
      <c r="AG12" s="16">
        <f t="shared" si="1"/>
        <v>708</v>
      </c>
      <c r="AH12" s="16">
        <f t="shared" si="1"/>
        <v>704.5</v>
      </c>
      <c r="AI12" s="16">
        <f t="shared" si="1"/>
        <v>722.5</v>
      </c>
      <c r="AJ12" s="16">
        <f t="shared" si="1"/>
        <v>697</v>
      </c>
      <c r="AK12" s="16">
        <f t="shared" si="1"/>
        <v>704.5</v>
      </c>
      <c r="AL12" s="16">
        <f t="shared" si="1"/>
        <v>694</v>
      </c>
      <c r="AM12" s="16"/>
      <c r="AN12" s="16"/>
      <c r="AO12" s="16"/>
      <c r="AT12">
        <v>72</v>
      </c>
      <c r="AU12">
        <v>74</v>
      </c>
      <c r="AV12">
        <v>76.5</v>
      </c>
      <c r="AW12">
        <v>11</v>
      </c>
      <c r="AX12">
        <v>72.7</v>
      </c>
      <c r="AY12">
        <v>81.8</v>
      </c>
      <c r="AZ12">
        <v>0</v>
      </c>
      <c r="BA12">
        <v>0</v>
      </c>
      <c r="BB12">
        <v>0</v>
      </c>
    </row>
    <row r="13" spans="1:57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T13" t="s">
        <v>12</v>
      </c>
    </row>
    <row r="14" spans="1:57">
      <c r="D14" s="14">
        <v>1</v>
      </c>
      <c r="E14" s="14">
        <v>2</v>
      </c>
      <c r="F14" s="14">
        <v>3</v>
      </c>
      <c r="G14" s="14">
        <v>4</v>
      </c>
      <c r="H14" s="14">
        <v>5</v>
      </c>
      <c r="I14" s="14">
        <v>6</v>
      </c>
      <c r="J14" s="14">
        <v>7</v>
      </c>
      <c r="K14" s="14">
        <v>8</v>
      </c>
      <c r="L14" s="14">
        <v>9</v>
      </c>
      <c r="M14" s="14">
        <v>10</v>
      </c>
      <c r="N14" s="14">
        <v>11</v>
      </c>
      <c r="O14" s="14">
        <v>12</v>
      </c>
      <c r="P14" s="14">
        <v>13</v>
      </c>
      <c r="Q14" s="14">
        <v>14</v>
      </c>
      <c r="R14" s="14">
        <v>15</v>
      </c>
      <c r="S14" s="14">
        <v>16</v>
      </c>
      <c r="T14" s="14">
        <v>17</v>
      </c>
      <c r="U14" s="14">
        <v>18</v>
      </c>
      <c r="V14" s="14">
        <v>19</v>
      </c>
      <c r="W14" s="14">
        <v>20</v>
      </c>
      <c r="X14" s="14">
        <v>21</v>
      </c>
      <c r="Y14" s="14">
        <v>22</v>
      </c>
      <c r="Z14" s="14">
        <v>23</v>
      </c>
      <c r="AA14" s="14">
        <v>24</v>
      </c>
      <c r="AB14" s="14">
        <v>25</v>
      </c>
      <c r="AC14" s="14">
        <v>26</v>
      </c>
      <c r="AD14" s="14">
        <v>27</v>
      </c>
      <c r="AE14" s="14">
        <v>28</v>
      </c>
      <c r="AF14" s="14">
        <v>29</v>
      </c>
      <c r="AG14" s="14">
        <v>30</v>
      </c>
      <c r="AH14" s="14">
        <v>31</v>
      </c>
      <c r="AI14" s="14">
        <v>32</v>
      </c>
      <c r="AJ14" s="14">
        <v>33</v>
      </c>
      <c r="AK14" s="14">
        <v>34</v>
      </c>
      <c r="AL14" s="14">
        <v>35</v>
      </c>
      <c r="AM14" s="14">
        <v>36</v>
      </c>
      <c r="AN14" s="14">
        <v>37</v>
      </c>
      <c r="AO14" s="14">
        <v>38</v>
      </c>
      <c r="AT14">
        <v>70.5</v>
      </c>
      <c r="AU14">
        <v>72.5</v>
      </c>
      <c r="AV14">
        <v>75</v>
      </c>
      <c r="AW14">
        <v>11</v>
      </c>
      <c r="AX14">
        <v>63.6</v>
      </c>
      <c r="AY14">
        <v>90.9</v>
      </c>
      <c r="AZ14">
        <v>2</v>
      </c>
      <c r="BA14">
        <v>2</v>
      </c>
      <c r="BB14">
        <v>3</v>
      </c>
    </row>
    <row r="15" spans="1:57">
      <c r="A15">
        <v>0</v>
      </c>
      <c r="B15" s="3" t="s">
        <v>0</v>
      </c>
      <c r="C15" s="3">
        <f>SUM(W15:AI15)</f>
        <v>930.5</v>
      </c>
      <c r="D15" s="3">
        <v>68.5</v>
      </c>
      <c r="E15" s="3">
        <v>70.5</v>
      </c>
      <c r="F15" s="3">
        <v>62</v>
      </c>
      <c r="G15" s="3">
        <v>62.5</v>
      </c>
      <c r="H15" s="3">
        <v>83.5</v>
      </c>
      <c r="I15" s="3">
        <v>74.5</v>
      </c>
      <c r="J15" s="3">
        <v>65.5</v>
      </c>
      <c r="K15" s="3">
        <v>64.5</v>
      </c>
      <c r="L15" s="3">
        <v>70.5</v>
      </c>
      <c r="M15" s="3">
        <v>66.5</v>
      </c>
      <c r="N15" s="3">
        <v>59.5</v>
      </c>
      <c r="O15" s="3">
        <v>80</v>
      </c>
      <c r="P15" s="3">
        <v>64</v>
      </c>
      <c r="Q15" s="3">
        <v>64.5</v>
      </c>
      <c r="R15" s="3">
        <v>70.5</v>
      </c>
      <c r="S15" s="3">
        <v>69.5</v>
      </c>
      <c r="T15" s="3">
        <v>81</v>
      </c>
      <c r="U15" s="3">
        <v>70</v>
      </c>
      <c r="V15" s="3">
        <v>80.5</v>
      </c>
      <c r="W15" s="3">
        <v>72.5</v>
      </c>
      <c r="X15" s="3">
        <v>67</v>
      </c>
      <c r="Y15" s="3">
        <v>81</v>
      </c>
      <c r="Z15" s="3">
        <v>59.5</v>
      </c>
      <c r="AA15" s="3">
        <v>68.5</v>
      </c>
      <c r="AB15" s="3">
        <v>70</v>
      </c>
      <c r="AC15" s="3">
        <v>66.5</v>
      </c>
      <c r="AD15" s="3">
        <v>71.5</v>
      </c>
      <c r="AE15" s="3">
        <v>77</v>
      </c>
      <c r="AF15" s="3">
        <v>77.5</v>
      </c>
      <c r="AG15" s="3">
        <v>89.5</v>
      </c>
      <c r="AH15" s="3">
        <v>67</v>
      </c>
      <c r="AI15" s="3">
        <v>63</v>
      </c>
      <c r="AJ15" s="3">
        <v>61</v>
      </c>
      <c r="AK15" s="3">
        <v>83</v>
      </c>
      <c r="AL15" s="3">
        <v>68</v>
      </c>
      <c r="AM15" s="3"/>
      <c r="AN15" s="3"/>
      <c r="AO15" s="3"/>
      <c r="AP15" s="2">
        <f t="shared" ref="AP15:AP25" si="2">(C15-C2)/C15</f>
        <v>2.7941966684578184E-2</v>
      </c>
      <c r="AQ15">
        <f>COUNTIF(W15:AO24,"&gt;70")</f>
        <v>86</v>
      </c>
      <c r="AT15">
        <v>71</v>
      </c>
      <c r="AU15">
        <v>72</v>
      </c>
      <c r="AV15">
        <v>76.5</v>
      </c>
      <c r="AW15">
        <v>11</v>
      </c>
      <c r="AX15">
        <v>100</v>
      </c>
      <c r="AY15">
        <v>90.9</v>
      </c>
      <c r="AZ15">
        <v>0</v>
      </c>
      <c r="BA15">
        <v>1</v>
      </c>
      <c r="BB15">
        <v>3</v>
      </c>
    </row>
    <row r="16" spans="1:57">
      <c r="A16">
        <v>1</v>
      </c>
      <c r="B16" s="3" t="s">
        <v>1</v>
      </c>
      <c r="C16" s="3">
        <f t="shared" ref="C16:C24" si="3">SUM(W16:AI16)</f>
        <v>931</v>
      </c>
      <c r="D16" s="3">
        <v>69</v>
      </c>
      <c r="E16" s="3">
        <v>71</v>
      </c>
      <c r="F16" s="3">
        <v>68</v>
      </c>
      <c r="G16" s="3">
        <v>67</v>
      </c>
      <c r="H16" s="3">
        <v>81</v>
      </c>
      <c r="I16" s="3">
        <v>62.5</v>
      </c>
      <c r="J16" s="3">
        <v>64</v>
      </c>
      <c r="K16" s="3">
        <v>68.5</v>
      </c>
      <c r="L16" s="3">
        <v>69</v>
      </c>
      <c r="M16" s="3">
        <v>76</v>
      </c>
      <c r="N16" s="3">
        <v>60</v>
      </c>
      <c r="O16" s="3">
        <v>71.5</v>
      </c>
      <c r="P16" s="3">
        <v>66.5</v>
      </c>
      <c r="Q16" s="3">
        <v>68</v>
      </c>
      <c r="R16" s="3">
        <v>67.5</v>
      </c>
      <c r="S16" s="3">
        <v>64</v>
      </c>
      <c r="T16" s="3">
        <v>65</v>
      </c>
      <c r="U16" s="3">
        <v>52</v>
      </c>
      <c r="V16" s="3">
        <v>68</v>
      </c>
      <c r="W16" s="3">
        <v>69.5</v>
      </c>
      <c r="X16" s="3">
        <v>73</v>
      </c>
      <c r="Y16" s="3">
        <v>73</v>
      </c>
      <c r="Z16" s="3">
        <v>71.5</v>
      </c>
      <c r="AA16" s="3">
        <v>82.5</v>
      </c>
      <c r="AB16" s="3">
        <v>71</v>
      </c>
      <c r="AC16" s="3">
        <v>64</v>
      </c>
      <c r="AD16" s="3">
        <v>71.5</v>
      </c>
      <c r="AE16" s="3">
        <v>63</v>
      </c>
      <c r="AF16" s="3">
        <v>77</v>
      </c>
      <c r="AG16" s="3">
        <v>68</v>
      </c>
      <c r="AH16" s="3">
        <v>62.5</v>
      </c>
      <c r="AI16" s="3">
        <v>84.5</v>
      </c>
      <c r="AJ16" s="3">
        <v>75.5</v>
      </c>
      <c r="AK16" s="3">
        <v>72.5</v>
      </c>
      <c r="AL16" s="3">
        <v>78</v>
      </c>
      <c r="AM16" s="3"/>
      <c r="AN16" s="3"/>
      <c r="AO16" s="3"/>
      <c r="AP16" s="2">
        <f t="shared" si="2"/>
        <v>5.3705692803437165E-3</v>
      </c>
      <c r="AQ16">
        <f>COUNTIF(W15:AO24,"&lt;65")</f>
        <v>17</v>
      </c>
      <c r="AT16">
        <v>62</v>
      </c>
      <c r="AU16">
        <v>69</v>
      </c>
      <c r="AV16">
        <v>75.5</v>
      </c>
      <c r="AW16">
        <v>11</v>
      </c>
      <c r="AX16">
        <v>45.5</v>
      </c>
      <c r="AY16">
        <v>63.6</v>
      </c>
      <c r="AZ16">
        <v>0</v>
      </c>
      <c r="BA16">
        <v>0</v>
      </c>
      <c r="BB16">
        <v>3</v>
      </c>
    </row>
    <row r="17" spans="1:54">
      <c r="A17">
        <v>2</v>
      </c>
      <c r="B17" s="3" t="s">
        <v>2</v>
      </c>
      <c r="C17" s="3">
        <f t="shared" si="3"/>
        <v>965</v>
      </c>
      <c r="D17" s="3">
        <v>73.5</v>
      </c>
      <c r="E17" s="3">
        <v>62</v>
      </c>
      <c r="F17" s="3">
        <v>80</v>
      </c>
      <c r="G17" s="3">
        <v>71.5</v>
      </c>
      <c r="H17" s="3">
        <v>72.5</v>
      </c>
      <c r="I17" s="3">
        <v>78</v>
      </c>
      <c r="J17" s="3">
        <v>67</v>
      </c>
      <c r="K17" s="3">
        <v>71.5</v>
      </c>
      <c r="L17" s="3">
        <v>72.5</v>
      </c>
      <c r="M17" s="3">
        <v>80</v>
      </c>
      <c r="N17" s="3">
        <v>70</v>
      </c>
      <c r="O17" s="3">
        <v>69.5</v>
      </c>
      <c r="P17" s="3">
        <v>80.5</v>
      </c>
      <c r="Q17" s="3">
        <v>69.5</v>
      </c>
      <c r="R17" s="3">
        <v>63</v>
      </c>
      <c r="S17" s="3">
        <v>66.5</v>
      </c>
      <c r="T17" s="3">
        <v>73.5</v>
      </c>
      <c r="U17" s="3">
        <v>70.5</v>
      </c>
      <c r="V17" s="3">
        <v>74.5</v>
      </c>
      <c r="W17" s="3">
        <v>78.5</v>
      </c>
      <c r="X17" s="3">
        <v>70</v>
      </c>
      <c r="Y17" s="3">
        <v>83.5</v>
      </c>
      <c r="Z17" s="3">
        <v>81</v>
      </c>
      <c r="AA17" s="3">
        <v>73</v>
      </c>
      <c r="AB17" s="3">
        <v>68</v>
      </c>
      <c r="AC17" s="3">
        <v>71</v>
      </c>
      <c r="AD17" s="3">
        <v>80.5</v>
      </c>
      <c r="AE17" s="3">
        <v>80</v>
      </c>
      <c r="AF17" s="3">
        <v>69</v>
      </c>
      <c r="AG17" s="3">
        <v>68</v>
      </c>
      <c r="AH17" s="3">
        <v>72</v>
      </c>
      <c r="AI17" s="3">
        <v>70.5</v>
      </c>
      <c r="AJ17" s="3">
        <v>75</v>
      </c>
      <c r="AK17" s="3">
        <v>67.5</v>
      </c>
      <c r="AL17" s="3">
        <v>60.5</v>
      </c>
      <c r="AM17" s="3"/>
      <c r="AN17" s="3"/>
      <c r="AO17" s="3"/>
      <c r="AP17" s="2">
        <f t="shared" si="2"/>
        <v>1.6580310880829015E-2</v>
      </c>
      <c r="AT17">
        <v>65.5</v>
      </c>
      <c r="AU17">
        <v>65</v>
      </c>
      <c r="AV17">
        <v>77</v>
      </c>
      <c r="AW17">
        <v>11</v>
      </c>
      <c r="AX17">
        <v>63.6</v>
      </c>
      <c r="AY17">
        <v>63.6</v>
      </c>
      <c r="AZ17">
        <v>0</v>
      </c>
      <c r="BA17">
        <v>0</v>
      </c>
      <c r="BB17">
        <v>3</v>
      </c>
    </row>
    <row r="18" spans="1:54">
      <c r="A18">
        <v>3</v>
      </c>
      <c r="B18" s="3" t="s">
        <v>3</v>
      </c>
      <c r="C18" s="3">
        <f t="shared" si="3"/>
        <v>930.5</v>
      </c>
      <c r="D18" s="3">
        <v>73</v>
      </c>
      <c r="E18" s="3">
        <v>65.5</v>
      </c>
      <c r="F18" s="3">
        <v>64</v>
      </c>
      <c r="G18" s="3">
        <v>62.5</v>
      </c>
      <c r="H18" s="3">
        <v>56</v>
      </c>
      <c r="I18" s="3">
        <v>66</v>
      </c>
      <c r="J18" s="3">
        <v>66</v>
      </c>
      <c r="K18" s="3">
        <v>64.5</v>
      </c>
      <c r="L18" s="3">
        <v>68.5</v>
      </c>
      <c r="M18" s="3">
        <v>62.5</v>
      </c>
      <c r="N18" s="3">
        <v>66</v>
      </c>
      <c r="O18" s="3">
        <v>82</v>
      </c>
      <c r="P18" s="3">
        <v>67</v>
      </c>
      <c r="Q18" s="3">
        <v>69</v>
      </c>
      <c r="R18" s="3">
        <v>75</v>
      </c>
      <c r="S18" s="3">
        <v>66</v>
      </c>
      <c r="T18" s="3">
        <v>89</v>
      </c>
      <c r="U18" s="3">
        <v>62.5</v>
      </c>
      <c r="V18" s="3">
        <v>71.5</v>
      </c>
      <c r="W18" s="3">
        <v>75</v>
      </c>
      <c r="X18" s="3">
        <v>65.5</v>
      </c>
      <c r="Y18" s="3">
        <v>83.5</v>
      </c>
      <c r="Z18" s="3">
        <v>73</v>
      </c>
      <c r="AA18" s="3">
        <v>76</v>
      </c>
      <c r="AB18" s="3">
        <v>60</v>
      </c>
      <c r="AC18" s="3">
        <v>69.5</v>
      </c>
      <c r="AD18" s="3">
        <v>73</v>
      </c>
      <c r="AE18" s="3">
        <v>69.5</v>
      </c>
      <c r="AF18" s="3">
        <v>72.5</v>
      </c>
      <c r="AG18" s="3">
        <v>65.5</v>
      </c>
      <c r="AH18" s="3">
        <v>73.5</v>
      </c>
      <c r="AI18" s="3">
        <v>74</v>
      </c>
      <c r="AJ18" s="3">
        <v>72.5</v>
      </c>
      <c r="AK18" s="3">
        <v>80</v>
      </c>
      <c r="AL18" s="3">
        <v>65.5</v>
      </c>
      <c r="AM18" s="3"/>
      <c r="AN18" s="3"/>
      <c r="AO18" s="3"/>
      <c r="AP18" s="2">
        <f t="shared" si="2"/>
        <v>1.0746910263299301E-2</v>
      </c>
      <c r="AS18" s="6"/>
      <c r="AT18">
        <v>69.5</v>
      </c>
      <c r="AU18">
        <v>75</v>
      </c>
      <c r="AV18">
        <v>85</v>
      </c>
      <c r="AW18">
        <v>11</v>
      </c>
      <c r="AX18">
        <v>54.5</v>
      </c>
      <c r="AY18">
        <v>63.6</v>
      </c>
      <c r="AZ18">
        <v>0</v>
      </c>
      <c r="BA18">
        <v>0</v>
      </c>
      <c r="BB18">
        <v>3</v>
      </c>
    </row>
    <row r="19" spans="1:54">
      <c r="A19">
        <v>4</v>
      </c>
      <c r="B19" s="3" t="s">
        <v>5</v>
      </c>
      <c r="C19" s="3">
        <f t="shared" si="3"/>
        <v>959.5</v>
      </c>
      <c r="D19" s="3">
        <v>72</v>
      </c>
      <c r="E19" s="3">
        <v>69.5</v>
      </c>
      <c r="F19" s="3">
        <v>71.5</v>
      </c>
      <c r="G19" s="3">
        <v>64.5</v>
      </c>
      <c r="H19" s="3">
        <v>68</v>
      </c>
      <c r="I19" s="3">
        <v>67</v>
      </c>
      <c r="J19" s="3">
        <v>62</v>
      </c>
      <c r="K19" s="3">
        <v>58.5</v>
      </c>
      <c r="L19" s="3">
        <v>69</v>
      </c>
      <c r="M19" s="3">
        <v>61</v>
      </c>
      <c r="N19" s="3">
        <v>64</v>
      </c>
      <c r="O19" s="3">
        <v>65</v>
      </c>
      <c r="P19" s="3">
        <v>75.5</v>
      </c>
      <c r="Q19" s="3">
        <v>71.5</v>
      </c>
      <c r="R19" s="3">
        <v>79</v>
      </c>
      <c r="S19" s="3">
        <v>71</v>
      </c>
      <c r="T19" s="3">
        <v>71</v>
      </c>
      <c r="U19" s="3">
        <v>71.5</v>
      </c>
      <c r="V19" s="3">
        <v>47</v>
      </c>
      <c r="W19" s="3">
        <v>73</v>
      </c>
      <c r="X19" s="3">
        <v>69.5</v>
      </c>
      <c r="Y19" s="3">
        <v>73.5</v>
      </c>
      <c r="Z19" s="3">
        <v>72.5</v>
      </c>
      <c r="AA19" s="3">
        <v>79</v>
      </c>
      <c r="AB19" s="3">
        <v>69.5</v>
      </c>
      <c r="AC19" s="3">
        <v>81.5</v>
      </c>
      <c r="AD19" s="3">
        <v>75.5</v>
      </c>
      <c r="AE19" s="3">
        <v>66.5</v>
      </c>
      <c r="AF19" s="3">
        <v>68</v>
      </c>
      <c r="AG19" s="3">
        <v>71.5</v>
      </c>
      <c r="AH19" s="3">
        <v>79.5</v>
      </c>
      <c r="AI19" s="3">
        <v>80</v>
      </c>
      <c r="AJ19" s="3">
        <v>68.5</v>
      </c>
      <c r="AK19" s="3">
        <v>67</v>
      </c>
      <c r="AL19" s="3">
        <v>79.5</v>
      </c>
      <c r="AM19" s="3"/>
      <c r="AN19" s="3"/>
      <c r="AO19" s="3"/>
      <c r="AP19" s="2">
        <f t="shared" si="2"/>
        <v>2.6576341844710787E-2</v>
      </c>
      <c r="AT19">
        <v>75</v>
      </c>
      <c r="AU19">
        <v>85.5</v>
      </c>
      <c r="AV19">
        <v>91</v>
      </c>
      <c r="AW19">
        <v>11</v>
      </c>
      <c r="AX19">
        <v>63.6</v>
      </c>
      <c r="AY19">
        <v>72.7</v>
      </c>
      <c r="AZ19">
        <v>0</v>
      </c>
      <c r="BA19">
        <v>0</v>
      </c>
      <c r="BB19">
        <v>2</v>
      </c>
    </row>
    <row r="20" spans="1:54">
      <c r="A20">
        <v>5</v>
      </c>
      <c r="B20" s="3" t="s">
        <v>4</v>
      </c>
      <c r="C20" s="3">
        <f t="shared" si="3"/>
        <v>920.5</v>
      </c>
      <c r="D20" s="3">
        <v>62.5</v>
      </c>
      <c r="E20" s="3">
        <v>75</v>
      </c>
      <c r="F20" s="3">
        <v>72.5</v>
      </c>
      <c r="G20" s="3">
        <v>75</v>
      </c>
      <c r="H20" s="3">
        <v>76</v>
      </c>
      <c r="I20" s="3">
        <v>69</v>
      </c>
      <c r="J20" s="3">
        <v>61</v>
      </c>
      <c r="K20" s="3">
        <v>62.5</v>
      </c>
      <c r="L20" s="3">
        <v>67.5</v>
      </c>
      <c r="M20" s="3">
        <v>63.5</v>
      </c>
      <c r="N20" s="3">
        <v>70</v>
      </c>
      <c r="O20" s="3">
        <v>71.5</v>
      </c>
      <c r="P20" s="3">
        <v>62.5</v>
      </c>
      <c r="Q20" s="3">
        <v>73</v>
      </c>
      <c r="R20" s="3">
        <v>66</v>
      </c>
      <c r="S20" s="3">
        <v>72</v>
      </c>
      <c r="T20" s="3">
        <v>73.5</v>
      </c>
      <c r="U20" s="3">
        <v>78.5</v>
      </c>
      <c r="V20" s="3">
        <v>66.5</v>
      </c>
      <c r="W20" s="3">
        <v>76</v>
      </c>
      <c r="X20" s="3">
        <v>66.5</v>
      </c>
      <c r="Y20" s="3">
        <v>70.5</v>
      </c>
      <c r="Z20" s="3">
        <v>74</v>
      </c>
      <c r="AA20" s="3">
        <v>80</v>
      </c>
      <c r="AB20" s="3">
        <v>68</v>
      </c>
      <c r="AC20" s="3">
        <v>76.5</v>
      </c>
      <c r="AD20" s="3">
        <v>64.5</v>
      </c>
      <c r="AE20" s="3">
        <v>68.5</v>
      </c>
      <c r="AF20" s="3">
        <v>68.5</v>
      </c>
      <c r="AG20" s="3">
        <v>65</v>
      </c>
      <c r="AH20" s="3">
        <v>74.5</v>
      </c>
      <c r="AI20" s="3">
        <v>68</v>
      </c>
      <c r="AJ20" s="3">
        <v>68</v>
      </c>
      <c r="AK20" s="3">
        <v>63</v>
      </c>
      <c r="AL20" s="3">
        <v>77</v>
      </c>
      <c r="AM20" s="3"/>
      <c r="AN20" s="3"/>
      <c r="AO20" s="3"/>
      <c r="AP20" s="2">
        <f t="shared" si="2"/>
        <v>1.3579576317218903E-2</v>
      </c>
      <c r="AT20">
        <v>63.5</v>
      </c>
      <c r="AU20">
        <v>72.5</v>
      </c>
      <c r="AV20">
        <v>75.5</v>
      </c>
      <c r="AW20">
        <v>11</v>
      </c>
      <c r="AX20">
        <v>90.9</v>
      </c>
      <c r="AY20">
        <v>90.9</v>
      </c>
      <c r="AZ20">
        <v>0</v>
      </c>
      <c r="BA20">
        <v>1</v>
      </c>
      <c r="BB20">
        <v>2</v>
      </c>
    </row>
    <row r="21" spans="1:54">
      <c r="A21">
        <v>6</v>
      </c>
      <c r="B21" s="3" t="s">
        <v>6</v>
      </c>
      <c r="C21" s="3">
        <f t="shared" si="3"/>
        <v>909.5</v>
      </c>
      <c r="D21" s="3">
        <v>67.5</v>
      </c>
      <c r="E21" s="3">
        <v>63.5</v>
      </c>
      <c r="F21" s="3">
        <v>72</v>
      </c>
      <c r="G21" s="3">
        <v>71</v>
      </c>
      <c r="H21" s="3">
        <v>78.5</v>
      </c>
      <c r="I21" s="3">
        <v>61</v>
      </c>
      <c r="J21" s="3">
        <v>68.5</v>
      </c>
      <c r="K21" s="3">
        <v>71.5</v>
      </c>
      <c r="L21" s="3">
        <v>77.5</v>
      </c>
      <c r="M21" s="3">
        <v>69</v>
      </c>
      <c r="N21" s="3">
        <v>67</v>
      </c>
      <c r="O21" s="3">
        <v>74</v>
      </c>
      <c r="P21" s="3">
        <v>69</v>
      </c>
      <c r="Q21" s="3">
        <v>65.5</v>
      </c>
      <c r="R21" s="3">
        <v>60</v>
      </c>
      <c r="S21" s="3">
        <v>70</v>
      </c>
      <c r="T21" s="3">
        <v>68</v>
      </c>
      <c r="U21" s="3">
        <v>72.5</v>
      </c>
      <c r="V21" s="3">
        <v>67.5</v>
      </c>
      <c r="W21" s="3">
        <v>72</v>
      </c>
      <c r="X21" s="3">
        <v>80.5</v>
      </c>
      <c r="Y21" s="3">
        <v>61</v>
      </c>
      <c r="Z21" s="3">
        <v>70</v>
      </c>
      <c r="AA21" s="3">
        <v>62</v>
      </c>
      <c r="AB21" s="3">
        <v>64.5</v>
      </c>
      <c r="AC21" s="3">
        <v>67.5</v>
      </c>
      <c r="AD21" s="3">
        <v>63.5</v>
      </c>
      <c r="AE21" s="3">
        <v>69</v>
      </c>
      <c r="AF21" s="3">
        <v>75.5</v>
      </c>
      <c r="AG21" s="3">
        <v>83.5</v>
      </c>
      <c r="AH21" s="3">
        <v>66.5</v>
      </c>
      <c r="AI21" s="3">
        <v>74</v>
      </c>
      <c r="AJ21" s="3">
        <v>72.5</v>
      </c>
      <c r="AK21" s="3">
        <v>74.5</v>
      </c>
      <c r="AL21" s="3">
        <v>66.5</v>
      </c>
      <c r="AM21" s="3"/>
      <c r="AN21" s="3"/>
      <c r="AO21" s="3"/>
      <c r="AP21" s="2">
        <f t="shared" si="2"/>
        <v>1.5393073117097306E-2</v>
      </c>
      <c r="AT21">
        <v>68.5</v>
      </c>
      <c r="AU21">
        <v>70</v>
      </c>
      <c r="AV21">
        <v>80.5</v>
      </c>
      <c r="AW21">
        <v>11</v>
      </c>
      <c r="AX21">
        <v>63.6</v>
      </c>
      <c r="AY21">
        <v>63.6</v>
      </c>
      <c r="AZ21">
        <v>0</v>
      </c>
      <c r="BA21">
        <v>0</v>
      </c>
      <c r="BB21">
        <v>3</v>
      </c>
    </row>
    <row r="22" spans="1:54">
      <c r="A22">
        <v>7</v>
      </c>
      <c r="B22" s="3" t="s">
        <v>9</v>
      </c>
      <c r="C22" s="3">
        <f t="shared" si="3"/>
        <v>914.5</v>
      </c>
      <c r="D22" s="3">
        <v>70</v>
      </c>
      <c r="E22" s="3">
        <v>68.5</v>
      </c>
      <c r="F22" s="3">
        <v>60</v>
      </c>
      <c r="G22" s="3">
        <v>77</v>
      </c>
      <c r="H22" s="3">
        <v>66</v>
      </c>
      <c r="I22" s="3">
        <v>71</v>
      </c>
      <c r="J22" s="3">
        <v>71.5</v>
      </c>
      <c r="K22" s="3">
        <v>65.5</v>
      </c>
      <c r="L22" s="3">
        <v>65.5</v>
      </c>
      <c r="M22" s="3">
        <v>71.5</v>
      </c>
      <c r="N22" s="3">
        <v>69.5</v>
      </c>
      <c r="O22" s="3">
        <v>76</v>
      </c>
      <c r="P22" s="3">
        <v>71.5</v>
      </c>
      <c r="Q22" s="3">
        <v>66</v>
      </c>
      <c r="R22" s="3">
        <v>73</v>
      </c>
      <c r="S22" s="3">
        <v>70.5</v>
      </c>
      <c r="T22" s="3">
        <v>68.5</v>
      </c>
      <c r="U22" s="3">
        <v>71</v>
      </c>
      <c r="V22" s="3">
        <v>57.5</v>
      </c>
      <c r="W22" s="3">
        <v>69</v>
      </c>
      <c r="X22" s="3">
        <v>70.5</v>
      </c>
      <c r="Y22" s="3">
        <v>77.5</v>
      </c>
      <c r="Z22" s="3">
        <v>63</v>
      </c>
      <c r="AA22" s="3">
        <v>72.5</v>
      </c>
      <c r="AB22" s="3">
        <v>66</v>
      </c>
      <c r="AC22" s="3">
        <v>69.5</v>
      </c>
      <c r="AD22" s="3">
        <v>65</v>
      </c>
      <c r="AE22" s="3">
        <v>67</v>
      </c>
      <c r="AF22" s="3">
        <v>75.5</v>
      </c>
      <c r="AG22" s="3">
        <v>70</v>
      </c>
      <c r="AH22" s="3">
        <v>74</v>
      </c>
      <c r="AI22" s="3">
        <v>75</v>
      </c>
      <c r="AJ22" s="3">
        <v>63.5</v>
      </c>
      <c r="AK22" s="3">
        <v>69.5</v>
      </c>
      <c r="AL22" s="3">
        <v>69</v>
      </c>
      <c r="AM22" s="3"/>
      <c r="AN22" s="3"/>
      <c r="AO22" s="3"/>
      <c r="AP22" s="2">
        <f t="shared" si="2"/>
        <v>2.2416621104428651E-2</v>
      </c>
      <c r="AT22">
        <v>68</v>
      </c>
      <c r="AU22">
        <v>71.5</v>
      </c>
      <c r="AV22">
        <v>75</v>
      </c>
      <c r="AW22">
        <v>11</v>
      </c>
      <c r="AX22">
        <v>81.8</v>
      </c>
      <c r="AY22">
        <v>81.8</v>
      </c>
      <c r="AZ22">
        <v>0</v>
      </c>
      <c r="BA22">
        <v>0</v>
      </c>
      <c r="BB22">
        <v>1</v>
      </c>
    </row>
    <row r="23" spans="1:54">
      <c r="A23">
        <v>8</v>
      </c>
      <c r="B23" s="3" t="s">
        <v>7</v>
      </c>
      <c r="C23" s="3">
        <f t="shared" si="3"/>
        <v>936</v>
      </c>
      <c r="D23" s="3">
        <v>71</v>
      </c>
      <c r="E23" s="3">
        <v>68</v>
      </c>
      <c r="F23" s="3">
        <v>79</v>
      </c>
      <c r="G23" s="3">
        <v>71.5</v>
      </c>
      <c r="H23" s="3">
        <v>66.5</v>
      </c>
      <c r="I23" s="3">
        <v>67</v>
      </c>
      <c r="J23" s="3">
        <v>72.5</v>
      </c>
      <c r="K23" s="3">
        <v>59.5</v>
      </c>
      <c r="L23" s="3">
        <v>68</v>
      </c>
      <c r="M23" s="3">
        <v>54.5</v>
      </c>
      <c r="N23" s="3">
        <v>62</v>
      </c>
      <c r="O23" s="3">
        <v>67</v>
      </c>
      <c r="P23" s="3">
        <v>68</v>
      </c>
      <c r="Q23" s="3">
        <v>74.5</v>
      </c>
      <c r="R23" s="3">
        <v>65</v>
      </c>
      <c r="S23" s="3">
        <v>71.5</v>
      </c>
      <c r="T23" s="3">
        <v>76.5</v>
      </c>
      <c r="U23" s="3">
        <v>68</v>
      </c>
      <c r="V23" s="3">
        <v>67</v>
      </c>
      <c r="W23" s="3">
        <v>72.5</v>
      </c>
      <c r="X23" s="3">
        <v>69</v>
      </c>
      <c r="Y23" s="3">
        <v>69.5</v>
      </c>
      <c r="Z23" s="3">
        <v>80.5</v>
      </c>
      <c r="AA23" s="3">
        <v>83</v>
      </c>
      <c r="AB23" s="3">
        <v>68</v>
      </c>
      <c r="AC23" s="3">
        <v>67.5</v>
      </c>
      <c r="AD23" s="3">
        <v>75</v>
      </c>
      <c r="AE23" s="3">
        <v>70</v>
      </c>
      <c r="AF23" s="3">
        <v>68</v>
      </c>
      <c r="AG23" s="3">
        <v>77.5</v>
      </c>
      <c r="AH23" s="3">
        <v>70</v>
      </c>
      <c r="AI23" s="3">
        <v>65.5</v>
      </c>
      <c r="AJ23" s="3">
        <v>69</v>
      </c>
      <c r="AK23" s="3">
        <v>65</v>
      </c>
      <c r="AL23" s="3">
        <v>66</v>
      </c>
      <c r="AM23" s="3"/>
      <c r="AN23" s="3"/>
      <c r="AO23" s="3"/>
      <c r="AP23" s="2">
        <f t="shared" si="2"/>
        <v>5.3418803418803416E-2</v>
      </c>
      <c r="AT23">
        <v>69.5</v>
      </c>
      <c r="AU23">
        <v>69</v>
      </c>
      <c r="AV23">
        <v>74</v>
      </c>
      <c r="AW23">
        <v>11</v>
      </c>
      <c r="AX23">
        <v>90.9</v>
      </c>
      <c r="AY23">
        <v>81.8</v>
      </c>
      <c r="AZ23">
        <v>0</v>
      </c>
      <c r="BA23">
        <v>0</v>
      </c>
      <c r="BB23">
        <v>1</v>
      </c>
    </row>
    <row r="24" spans="1:54">
      <c r="A24">
        <v>9</v>
      </c>
      <c r="B24" s="3" t="s">
        <v>8</v>
      </c>
      <c r="C24" s="3">
        <f t="shared" si="3"/>
        <v>960</v>
      </c>
      <c r="D24" s="3">
        <v>72</v>
      </c>
      <c r="E24" s="3">
        <v>69.5</v>
      </c>
      <c r="F24" s="3">
        <v>72.5</v>
      </c>
      <c r="G24" s="3">
        <v>66.5</v>
      </c>
      <c r="H24" s="3">
        <v>66</v>
      </c>
      <c r="I24" s="3">
        <v>79</v>
      </c>
      <c r="J24" s="3">
        <v>66.5</v>
      </c>
      <c r="K24" s="3">
        <v>84.5</v>
      </c>
      <c r="L24" s="3">
        <v>88</v>
      </c>
      <c r="M24" s="3">
        <v>60</v>
      </c>
      <c r="N24" s="3">
        <v>65</v>
      </c>
      <c r="O24" s="3">
        <v>61</v>
      </c>
      <c r="P24" s="3">
        <v>66</v>
      </c>
      <c r="Q24" s="3">
        <v>65</v>
      </c>
      <c r="R24" s="3">
        <v>62</v>
      </c>
      <c r="S24" s="3">
        <v>67</v>
      </c>
      <c r="T24" s="3">
        <v>60.5</v>
      </c>
      <c r="U24" s="3">
        <v>61.5</v>
      </c>
      <c r="V24" s="3">
        <v>69.5</v>
      </c>
      <c r="W24" s="3">
        <v>76</v>
      </c>
      <c r="X24" s="3">
        <v>69.5</v>
      </c>
      <c r="Y24" s="3">
        <v>80.5</v>
      </c>
      <c r="Z24" s="3">
        <v>79</v>
      </c>
      <c r="AA24" s="3">
        <v>70.5</v>
      </c>
      <c r="AB24" s="3">
        <v>75</v>
      </c>
      <c r="AC24" s="3">
        <v>73</v>
      </c>
      <c r="AD24" s="3">
        <v>70.5</v>
      </c>
      <c r="AE24" s="3">
        <v>81.5</v>
      </c>
      <c r="AF24" s="3">
        <v>66.5</v>
      </c>
      <c r="AG24" s="3">
        <v>61.5</v>
      </c>
      <c r="AH24" s="3">
        <v>80.5</v>
      </c>
      <c r="AI24" s="3">
        <v>76</v>
      </c>
      <c r="AJ24" s="3">
        <v>83.5</v>
      </c>
      <c r="AK24" s="3">
        <v>74</v>
      </c>
      <c r="AL24" s="3">
        <v>75.5</v>
      </c>
      <c r="AM24" s="3"/>
      <c r="AN24" s="3"/>
      <c r="AO24" s="3"/>
      <c r="AP24" s="2">
        <f t="shared" si="2"/>
        <v>1.2500000000000001E-2</v>
      </c>
      <c r="AT24" t="s">
        <v>13</v>
      </c>
    </row>
    <row r="25" spans="1:54" ht="15">
      <c r="C25" s="16">
        <f>SUM(C15:C24)</f>
        <v>9357</v>
      </c>
      <c r="D25" s="16">
        <f t="shared" ref="D25:AA25" si="4">SUM(D15:D24)</f>
        <v>699</v>
      </c>
      <c r="E25" s="16">
        <f t="shared" si="4"/>
        <v>683</v>
      </c>
      <c r="F25" s="16">
        <f t="shared" si="4"/>
        <v>701.5</v>
      </c>
      <c r="G25" s="16">
        <f t="shared" si="4"/>
        <v>689</v>
      </c>
      <c r="H25" s="16">
        <f t="shared" si="4"/>
        <v>714</v>
      </c>
      <c r="I25" s="16">
        <f t="shared" si="4"/>
        <v>695</v>
      </c>
      <c r="J25" s="16">
        <f t="shared" si="4"/>
        <v>664.5</v>
      </c>
      <c r="K25" s="16">
        <f t="shared" si="4"/>
        <v>671</v>
      </c>
      <c r="L25" s="16">
        <f t="shared" si="4"/>
        <v>716</v>
      </c>
      <c r="M25" s="16">
        <f t="shared" si="4"/>
        <v>664.5</v>
      </c>
      <c r="N25" s="16">
        <f t="shared" si="4"/>
        <v>653</v>
      </c>
      <c r="O25" s="16">
        <f t="shared" si="4"/>
        <v>717.5</v>
      </c>
      <c r="P25" s="16">
        <f t="shared" si="4"/>
        <v>690.5</v>
      </c>
      <c r="Q25" s="16">
        <f t="shared" si="4"/>
        <v>686.5</v>
      </c>
      <c r="R25" s="16">
        <f t="shared" si="4"/>
        <v>681</v>
      </c>
      <c r="S25" s="16">
        <f t="shared" si="4"/>
        <v>688</v>
      </c>
      <c r="T25" s="16">
        <f t="shared" si="4"/>
        <v>726.5</v>
      </c>
      <c r="U25" s="16">
        <f t="shared" si="4"/>
        <v>678</v>
      </c>
      <c r="V25" s="16">
        <f t="shared" si="4"/>
        <v>669.5</v>
      </c>
      <c r="W25" s="16">
        <f t="shared" si="4"/>
        <v>734</v>
      </c>
      <c r="X25" s="16">
        <f t="shared" si="4"/>
        <v>701</v>
      </c>
      <c r="Y25" s="16">
        <f t="shared" si="4"/>
        <v>753.5</v>
      </c>
      <c r="Z25" s="16">
        <f t="shared" si="4"/>
        <v>724</v>
      </c>
      <c r="AA25" s="16">
        <f t="shared" si="4"/>
        <v>747</v>
      </c>
      <c r="AB25" s="16">
        <f t="shared" ref="AB25:AO25" si="5">SUM(AB15:AB24)</f>
        <v>680</v>
      </c>
      <c r="AC25" s="16">
        <f t="shared" si="5"/>
        <v>706.5</v>
      </c>
      <c r="AD25" s="16">
        <f t="shared" si="5"/>
        <v>710.5</v>
      </c>
      <c r="AE25" s="16">
        <f t="shared" si="5"/>
        <v>712</v>
      </c>
      <c r="AF25" s="16">
        <f t="shared" si="5"/>
        <v>718</v>
      </c>
      <c r="AG25" s="16">
        <f t="shared" si="5"/>
        <v>720</v>
      </c>
      <c r="AH25" s="16">
        <f t="shared" si="5"/>
        <v>720</v>
      </c>
      <c r="AI25" s="16">
        <f t="shared" si="5"/>
        <v>730.5</v>
      </c>
      <c r="AJ25" s="16">
        <f t="shared" si="5"/>
        <v>709</v>
      </c>
      <c r="AK25" s="16">
        <f t="shared" si="5"/>
        <v>716</v>
      </c>
      <c r="AL25" s="16">
        <f t="shared" si="5"/>
        <v>705.5</v>
      </c>
      <c r="AM25" s="16">
        <f t="shared" si="5"/>
        <v>0</v>
      </c>
      <c r="AN25" s="16">
        <f t="shared" si="5"/>
        <v>0</v>
      </c>
      <c r="AO25" s="16">
        <f t="shared" si="5"/>
        <v>0</v>
      </c>
      <c r="AP25" s="2">
        <f t="shared" si="2"/>
        <v>2.0465961312386448E-2</v>
      </c>
      <c r="AT25">
        <v>62</v>
      </c>
      <c r="AU25">
        <v>58</v>
      </c>
      <c r="AV25">
        <v>65.5</v>
      </c>
      <c r="AW25">
        <v>11</v>
      </c>
      <c r="AX25">
        <v>72.7</v>
      </c>
      <c r="AY25">
        <v>54.5</v>
      </c>
      <c r="AZ25">
        <v>0</v>
      </c>
      <c r="BA25">
        <v>0</v>
      </c>
      <c r="BB25">
        <v>0</v>
      </c>
    </row>
    <row r="26" spans="1:54">
      <c r="C26" s="13"/>
      <c r="AP26" s="2"/>
      <c r="AT26">
        <v>68</v>
      </c>
      <c r="AU26">
        <v>69.5</v>
      </c>
      <c r="AV26">
        <v>74</v>
      </c>
      <c r="AW26">
        <v>11</v>
      </c>
      <c r="AX26">
        <v>90.9</v>
      </c>
      <c r="AY26">
        <v>100</v>
      </c>
      <c r="AZ26">
        <v>0</v>
      </c>
      <c r="BA26">
        <v>0</v>
      </c>
      <c r="BB26">
        <v>3</v>
      </c>
    </row>
    <row r="27" spans="1:54">
      <c r="D27" s="14">
        <v>1</v>
      </c>
      <c r="E27" s="14">
        <v>2</v>
      </c>
      <c r="F27" s="14">
        <v>3</v>
      </c>
      <c r="G27" s="14">
        <v>4</v>
      </c>
      <c r="H27" s="14">
        <v>5</v>
      </c>
      <c r="I27" s="14">
        <v>6</v>
      </c>
      <c r="J27" s="14">
        <v>7</v>
      </c>
      <c r="K27" s="14">
        <v>8</v>
      </c>
      <c r="L27" s="14">
        <v>9</v>
      </c>
      <c r="M27" s="14">
        <v>10</v>
      </c>
      <c r="N27" s="14">
        <v>11</v>
      </c>
      <c r="O27" s="14">
        <v>12</v>
      </c>
      <c r="P27" s="14">
        <v>13</v>
      </c>
      <c r="Q27" s="14">
        <v>14</v>
      </c>
      <c r="R27" s="14">
        <v>15</v>
      </c>
      <c r="S27" s="14">
        <v>16</v>
      </c>
      <c r="T27" s="14">
        <v>17</v>
      </c>
      <c r="U27" s="14">
        <v>18</v>
      </c>
      <c r="V27" s="14">
        <v>19</v>
      </c>
      <c r="W27" s="14">
        <v>20</v>
      </c>
      <c r="X27" s="14">
        <v>21</v>
      </c>
      <c r="Y27" s="14">
        <v>22</v>
      </c>
      <c r="Z27" s="14">
        <v>23</v>
      </c>
      <c r="AA27" s="14">
        <v>24</v>
      </c>
      <c r="AB27" s="14">
        <v>25</v>
      </c>
      <c r="AC27" s="14">
        <v>26</v>
      </c>
      <c r="AD27" s="14">
        <v>27</v>
      </c>
      <c r="AE27" s="14">
        <v>28</v>
      </c>
      <c r="AF27" s="14">
        <v>29</v>
      </c>
      <c r="AG27" s="14">
        <v>30</v>
      </c>
      <c r="AH27" s="14">
        <v>31</v>
      </c>
      <c r="AI27" s="14">
        <v>32</v>
      </c>
      <c r="AJ27" s="14">
        <v>33</v>
      </c>
      <c r="AK27" s="14">
        <v>34</v>
      </c>
      <c r="AL27" s="14">
        <v>35</v>
      </c>
      <c r="AM27" s="14">
        <v>36</v>
      </c>
      <c r="AN27" s="14">
        <v>37</v>
      </c>
      <c r="AO27" s="14">
        <v>38</v>
      </c>
      <c r="AT27">
        <v>80</v>
      </c>
      <c r="AU27">
        <v>82</v>
      </c>
      <c r="AV27">
        <v>87.5</v>
      </c>
      <c r="AW27">
        <v>11</v>
      </c>
      <c r="AX27">
        <v>81.8</v>
      </c>
      <c r="AY27">
        <v>81.8</v>
      </c>
      <c r="AZ27">
        <v>1</v>
      </c>
      <c r="BA27">
        <v>1</v>
      </c>
      <c r="BB27">
        <v>3</v>
      </c>
    </row>
    <row r="28" spans="1:54">
      <c r="A28">
        <v>0</v>
      </c>
      <c r="B28" s="3" t="s">
        <v>0</v>
      </c>
      <c r="C28" s="15">
        <f>COUNTIF(D28:AO28,"&lt;11")</f>
        <v>0</v>
      </c>
      <c r="D28" s="3">
        <v>11</v>
      </c>
      <c r="E28" s="3">
        <v>11</v>
      </c>
      <c r="F28" s="3">
        <v>11</v>
      </c>
      <c r="G28" s="3">
        <v>11</v>
      </c>
      <c r="H28" s="3">
        <v>11</v>
      </c>
      <c r="I28" s="3">
        <v>11</v>
      </c>
      <c r="J28" s="3">
        <v>11</v>
      </c>
      <c r="K28" s="3">
        <v>11</v>
      </c>
      <c r="L28" s="3">
        <v>11</v>
      </c>
      <c r="M28" s="3">
        <v>11</v>
      </c>
      <c r="N28" s="3">
        <v>11</v>
      </c>
      <c r="O28" s="3">
        <v>11</v>
      </c>
      <c r="P28" s="3">
        <v>11</v>
      </c>
      <c r="Q28" s="3">
        <v>11</v>
      </c>
      <c r="R28" s="3">
        <v>11</v>
      </c>
      <c r="S28" s="3">
        <v>11</v>
      </c>
      <c r="T28" s="3">
        <v>11</v>
      </c>
      <c r="U28" s="3">
        <v>11</v>
      </c>
      <c r="V28" s="3">
        <v>11</v>
      </c>
      <c r="W28" s="3">
        <v>11</v>
      </c>
      <c r="X28" s="3">
        <v>11</v>
      </c>
      <c r="Y28" s="3">
        <v>11</v>
      </c>
      <c r="Z28" s="3">
        <v>11</v>
      </c>
      <c r="AA28" s="3">
        <v>11</v>
      </c>
      <c r="AB28" s="3">
        <v>11</v>
      </c>
      <c r="AC28" s="3">
        <v>11</v>
      </c>
      <c r="AD28" s="3">
        <v>11</v>
      </c>
      <c r="AE28" s="3">
        <v>11</v>
      </c>
      <c r="AF28" s="3">
        <v>11</v>
      </c>
      <c r="AG28" s="3">
        <v>11</v>
      </c>
      <c r="AH28" s="3">
        <v>11</v>
      </c>
      <c r="AI28" s="3">
        <v>11</v>
      </c>
      <c r="AJ28" s="3">
        <v>11</v>
      </c>
      <c r="AK28" s="3">
        <v>11</v>
      </c>
      <c r="AL28" s="3">
        <v>11</v>
      </c>
      <c r="AM28" s="3"/>
      <c r="AN28" s="3"/>
      <c r="AO28" s="3"/>
      <c r="AQ28">
        <f>COUNTIF(H41:AA50,"&gt;0")</f>
        <v>99</v>
      </c>
      <c r="AT28">
        <v>64</v>
      </c>
      <c r="AU28">
        <v>63</v>
      </c>
      <c r="AV28">
        <v>74.5</v>
      </c>
      <c r="AW28">
        <v>11</v>
      </c>
      <c r="AX28">
        <v>63.6</v>
      </c>
      <c r="AY28">
        <v>63.6</v>
      </c>
      <c r="AZ28">
        <v>1</v>
      </c>
      <c r="BA28">
        <v>0</v>
      </c>
      <c r="BB28">
        <v>3</v>
      </c>
    </row>
    <row r="29" spans="1:54">
      <c r="A29">
        <v>1</v>
      </c>
      <c r="B29" s="3" t="s">
        <v>1</v>
      </c>
      <c r="C29" s="15">
        <f>COUNTIF(D29:AO29,"&lt;11")</f>
        <v>3</v>
      </c>
      <c r="D29" s="3">
        <v>11</v>
      </c>
      <c r="E29" s="3">
        <v>11</v>
      </c>
      <c r="F29" s="3">
        <v>11</v>
      </c>
      <c r="G29" s="3">
        <v>10</v>
      </c>
      <c r="H29" s="3">
        <v>11</v>
      </c>
      <c r="I29" s="3">
        <v>11</v>
      </c>
      <c r="J29" s="3">
        <v>11</v>
      </c>
      <c r="K29" s="3">
        <v>11</v>
      </c>
      <c r="L29" s="3">
        <v>11</v>
      </c>
      <c r="M29" s="3">
        <v>11</v>
      </c>
      <c r="N29" s="3">
        <v>11</v>
      </c>
      <c r="O29" s="3">
        <v>11</v>
      </c>
      <c r="P29" s="3">
        <v>11</v>
      </c>
      <c r="Q29" s="3">
        <v>11</v>
      </c>
      <c r="R29" s="3">
        <v>11</v>
      </c>
      <c r="S29" s="3">
        <v>11</v>
      </c>
      <c r="T29" s="3">
        <v>10</v>
      </c>
      <c r="U29" s="3">
        <v>9</v>
      </c>
      <c r="V29" s="3">
        <v>11</v>
      </c>
      <c r="W29" s="3">
        <v>11</v>
      </c>
      <c r="X29" s="3">
        <v>11</v>
      </c>
      <c r="Y29" s="3">
        <v>11</v>
      </c>
      <c r="Z29" s="3">
        <v>11</v>
      </c>
      <c r="AA29" s="3">
        <v>11</v>
      </c>
      <c r="AB29" s="3">
        <v>11</v>
      </c>
      <c r="AC29" s="3">
        <v>11</v>
      </c>
      <c r="AD29" s="3">
        <v>11</v>
      </c>
      <c r="AE29" s="3">
        <v>11</v>
      </c>
      <c r="AF29" s="3">
        <v>11</v>
      </c>
      <c r="AG29" s="3">
        <v>11</v>
      </c>
      <c r="AH29" s="3">
        <v>11</v>
      </c>
      <c r="AI29" s="3">
        <v>11</v>
      </c>
      <c r="AJ29" s="3">
        <v>11</v>
      </c>
      <c r="AK29" s="3">
        <v>11</v>
      </c>
      <c r="AL29" s="3">
        <v>11</v>
      </c>
      <c r="AM29" s="3"/>
      <c r="AN29" s="3"/>
      <c r="AO29" s="3"/>
      <c r="AQ29">
        <f>COUNTIF(H41:AA50,"&lt;0")</f>
        <v>77</v>
      </c>
      <c r="AT29">
        <v>71.5</v>
      </c>
      <c r="AU29">
        <v>71</v>
      </c>
      <c r="AV29">
        <v>76.5</v>
      </c>
      <c r="AW29">
        <v>11</v>
      </c>
      <c r="AX29">
        <v>90.9</v>
      </c>
      <c r="AY29">
        <v>81.8</v>
      </c>
      <c r="AZ29">
        <v>0</v>
      </c>
      <c r="BA29">
        <v>0</v>
      </c>
      <c r="BB29">
        <v>0</v>
      </c>
    </row>
    <row r="30" spans="1:54">
      <c r="A30">
        <v>2</v>
      </c>
      <c r="B30" s="3" t="s">
        <v>2</v>
      </c>
      <c r="C30" s="15">
        <f t="shared" ref="C30:C36" si="6">COUNTIF(D30:AO30,"&lt;11")</f>
        <v>0</v>
      </c>
      <c r="D30" s="3">
        <v>11</v>
      </c>
      <c r="E30" s="3">
        <v>11</v>
      </c>
      <c r="F30" s="3">
        <v>11</v>
      </c>
      <c r="G30" s="3">
        <v>11</v>
      </c>
      <c r="H30" s="3">
        <v>11</v>
      </c>
      <c r="I30" s="3">
        <v>11</v>
      </c>
      <c r="J30" s="3">
        <v>11</v>
      </c>
      <c r="K30" s="3">
        <v>11</v>
      </c>
      <c r="L30" s="3">
        <v>11</v>
      </c>
      <c r="M30" s="3">
        <v>11</v>
      </c>
      <c r="N30" s="3">
        <v>11</v>
      </c>
      <c r="O30" s="3">
        <v>11</v>
      </c>
      <c r="P30" s="3">
        <v>11</v>
      </c>
      <c r="Q30" s="3">
        <v>11</v>
      </c>
      <c r="R30" s="3">
        <v>11</v>
      </c>
      <c r="S30" s="3">
        <v>11</v>
      </c>
      <c r="T30" s="3">
        <v>11</v>
      </c>
      <c r="U30" s="3">
        <v>11</v>
      </c>
      <c r="V30" s="3">
        <v>11</v>
      </c>
      <c r="W30" s="3">
        <v>11</v>
      </c>
      <c r="X30" s="3">
        <v>11</v>
      </c>
      <c r="Y30" s="3">
        <v>11</v>
      </c>
      <c r="Z30" s="3">
        <v>11</v>
      </c>
      <c r="AA30" s="3">
        <v>11</v>
      </c>
      <c r="AB30" s="3">
        <v>11</v>
      </c>
      <c r="AC30" s="3">
        <v>11</v>
      </c>
      <c r="AD30" s="3">
        <v>11</v>
      </c>
      <c r="AE30" s="3">
        <v>11</v>
      </c>
      <c r="AF30" s="3">
        <v>11</v>
      </c>
      <c r="AG30" s="3">
        <v>11</v>
      </c>
      <c r="AH30" s="3">
        <v>11</v>
      </c>
      <c r="AI30" s="3">
        <v>11</v>
      </c>
      <c r="AJ30" s="3">
        <v>11</v>
      </c>
      <c r="AK30" s="3">
        <v>11</v>
      </c>
      <c r="AL30" s="3">
        <v>11</v>
      </c>
      <c r="AM30" s="3"/>
      <c r="AN30" s="3"/>
      <c r="AO30" s="3"/>
      <c r="AQ30">
        <f>COUNTIF(H41:AA50,"0")</f>
        <v>24</v>
      </c>
      <c r="AT30">
        <v>72.5</v>
      </c>
      <c r="AU30">
        <v>74</v>
      </c>
      <c r="AV30">
        <v>77</v>
      </c>
      <c r="AW30">
        <v>11</v>
      </c>
      <c r="AX30">
        <v>63.6</v>
      </c>
      <c r="AY30">
        <v>81.8</v>
      </c>
      <c r="AZ30">
        <v>1</v>
      </c>
      <c r="BA30">
        <v>1</v>
      </c>
      <c r="BB30">
        <v>3</v>
      </c>
    </row>
    <row r="31" spans="1:54">
      <c r="A31">
        <v>3</v>
      </c>
      <c r="B31" s="3" t="s">
        <v>3</v>
      </c>
      <c r="C31" s="15">
        <f t="shared" si="6"/>
        <v>1</v>
      </c>
      <c r="D31" s="3">
        <v>11</v>
      </c>
      <c r="E31" s="3">
        <v>11</v>
      </c>
      <c r="F31" s="3">
        <v>11</v>
      </c>
      <c r="G31" s="3">
        <v>11</v>
      </c>
      <c r="H31" s="3">
        <v>10</v>
      </c>
      <c r="I31" s="3">
        <v>11</v>
      </c>
      <c r="J31" s="3">
        <v>11</v>
      </c>
      <c r="K31" s="3">
        <v>11</v>
      </c>
      <c r="L31" s="3">
        <v>11</v>
      </c>
      <c r="M31" s="3">
        <v>11</v>
      </c>
      <c r="N31" s="3">
        <v>11</v>
      </c>
      <c r="O31" s="3">
        <v>11</v>
      </c>
      <c r="P31" s="3">
        <v>11</v>
      </c>
      <c r="Q31" s="3">
        <v>11</v>
      </c>
      <c r="R31" s="3">
        <v>11</v>
      </c>
      <c r="S31" s="3">
        <v>11</v>
      </c>
      <c r="T31" s="3">
        <v>11</v>
      </c>
      <c r="U31" s="3">
        <v>11</v>
      </c>
      <c r="V31" s="3">
        <v>11</v>
      </c>
      <c r="W31" s="3">
        <v>11</v>
      </c>
      <c r="X31" s="3">
        <v>11</v>
      </c>
      <c r="Y31" s="3">
        <v>11</v>
      </c>
      <c r="Z31" s="3">
        <v>11</v>
      </c>
      <c r="AA31" s="3">
        <v>11</v>
      </c>
      <c r="AB31" s="3">
        <v>11</v>
      </c>
      <c r="AC31" s="3">
        <v>11</v>
      </c>
      <c r="AD31" s="3">
        <v>11</v>
      </c>
      <c r="AE31" s="3">
        <v>11</v>
      </c>
      <c r="AF31" s="3">
        <v>11</v>
      </c>
      <c r="AG31" s="3">
        <v>11</v>
      </c>
      <c r="AH31" s="3">
        <v>11</v>
      </c>
      <c r="AI31" s="3">
        <v>11</v>
      </c>
      <c r="AJ31" s="3">
        <v>11</v>
      </c>
      <c r="AK31" s="3">
        <v>11</v>
      </c>
      <c r="AL31" s="3">
        <v>11</v>
      </c>
      <c r="AM31" s="3"/>
      <c r="AN31" s="3"/>
      <c r="AO31" s="3"/>
      <c r="AQ31" s="1">
        <f>AQ28/SUM(AQ28:AQ30)</f>
        <v>0.495</v>
      </c>
      <c r="AT31">
        <v>72</v>
      </c>
      <c r="AU31">
        <v>66.5</v>
      </c>
      <c r="AV31">
        <v>81</v>
      </c>
      <c r="AW31">
        <v>11</v>
      </c>
      <c r="AX31">
        <v>54.5</v>
      </c>
      <c r="AY31">
        <v>36.4</v>
      </c>
      <c r="AZ31">
        <v>0</v>
      </c>
      <c r="BA31">
        <v>0</v>
      </c>
      <c r="BB31">
        <v>0</v>
      </c>
    </row>
    <row r="32" spans="1:54">
      <c r="A32">
        <v>4</v>
      </c>
      <c r="B32" s="3" t="s">
        <v>5</v>
      </c>
      <c r="C32" s="15">
        <f t="shared" si="6"/>
        <v>1</v>
      </c>
      <c r="D32" s="3">
        <v>11</v>
      </c>
      <c r="E32" s="3">
        <v>11</v>
      </c>
      <c r="F32" s="3">
        <v>11</v>
      </c>
      <c r="G32" s="3">
        <v>11</v>
      </c>
      <c r="H32" s="3">
        <v>11</v>
      </c>
      <c r="I32" s="3">
        <v>11</v>
      </c>
      <c r="J32" s="3">
        <v>11</v>
      </c>
      <c r="K32" s="3">
        <v>11</v>
      </c>
      <c r="L32" s="3">
        <v>11</v>
      </c>
      <c r="M32" s="3">
        <v>11</v>
      </c>
      <c r="N32" s="3">
        <v>11</v>
      </c>
      <c r="O32" s="3">
        <v>11</v>
      </c>
      <c r="P32" s="3">
        <v>11</v>
      </c>
      <c r="Q32" s="3">
        <v>11</v>
      </c>
      <c r="R32" s="3">
        <v>11</v>
      </c>
      <c r="S32" s="3">
        <v>11</v>
      </c>
      <c r="T32" s="3">
        <v>11</v>
      </c>
      <c r="U32" s="3">
        <v>11</v>
      </c>
      <c r="V32" s="3">
        <v>8</v>
      </c>
      <c r="W32" s="3">
        <v>11</v>
      </c>
      <c r="X32" s="3">
        <v>11</v>
      </c>
      <c r="Y32" s="3">
        <v>11</v>
      </c>
      <c r="Z32" s="3">
        <v>11</v>
      </c>
      <c r="AA32" s="3">
        <v>11</v>
      </c>
      <c r="AB32" s="3">
        <v>11</v>
      </c>
      <c r="AC32" s="3">
        <v>11</v>
      </c>
      <c r="AD32" s="3">
        <v>11</v>
      </c>
      <c r="AE32" s="3">
        <v>11</v>
      </c>
      <c r="AF32" s="3">
        <v>11</v>
      </c>
      <c r="AG32" s="3">
        <v>11</v>
      </c>
      <c r="AH32" s="3">
        <v>11</v>
      </c>
      <c r="AI32" s="3">
        <v>11</v>
      </c>
      <c r="AJ32" s="3">
        <v>11</v>
      </c>
      <c r="AK32" s="3">
        <v>11</v>
      </c>
      <c r="AL32" s="3">
        <v>11</v>
      </c>
      <c r="AM32" s="3"/>
      <c r="AN32" s="3"/>
      <c r="AO32" s="3"/>
      <c r="AQ32" s="1">
        <f>AQ29/SUM(AQ28:AQ30)</f>
        <v>0.38500000000000001</v>
      </c>
      <c r="AT32">
        <v>60</v>
      </c>
      <c r="AU32">
        <v>61.5</v>
      </c>
      <c r="AV32">
        <v>66.5</v>
      </c>
      <c r="AW32">
        <v>11</v>
      </c>
      <c r="AX32">
        <v>54.5</v>
      </c>
      <c r="AY32">
        <v>72.7</v>
      </c>
      <c r="AZ32">
        <v>0</v>
      </c>
      <c r="BA32">
        <v>0</v>
      </c>
      <c r="BB32">
        <v>1</v>
      </c>
    </row>
    <row r="33" spans="1:58">
      <c r="A33">
        <v>5</v>
      </c>
      <c r="B33" s="3" t="s">
        <v>4</v>
      </c>
      <c r="C33" s="15">
        <f t="shared" si="6"/>
        <v>1</v>
      </c>
      <c r="D33" s="3">
        <v>11</v>
      </c>
      <c r="E33" s="3">
        <v>11</v>
      </c>
      <c r="F33" s="3">
        <v>11</v>
      </c>
      <c r="G33" s="3">
        <v>11</v>
      </c>
      <c r="H33" s="3">
        <v>11</v>
      </c>
      <c r="I33" s="3">
        <v>11</v>
      </c>
      <c r="J33" s="3">
        <v>11</v>
      </c>
      <c r="K33" s="3">
        <v>11</v>
      </c>
      <c r="L33" s="3">
        <v>11</v>
      </c>
      <c r="M33" s="3">
        <v>11</v>
      </c>
      <c r="N33" s="3">
        <v>11</v>
      </c>
      <c r="O33" s="3">
        <v>11</v>
      </c>
      <c r="P33" s="3">
        <v>10</v>
      </c>
      <c r="Q33" s="3">
        <v>11</v>
      </c>
      <c r="R33" s="3">
        <v>11</v>
      </c>
      <c r="S33" s="3">
        <v>11</v>
      </c>
      <c r="T33" s="3">
        <v>11</v>
      </c>
      <c r="U33" s="3">
        <v>11</v>
      </c>
      <c r="V33" s="3">
        <v>11</v>
      </c>
      <c r="W33" s="3">
        <v>11</v>
      </c>
      <c r="X33" s="3">
        <v>11</v>
      </c>
      <c r="Y33" s="3">
        <v>11</v>
      </c>
      <c r="Z33" s="3">
        <v>11</v>
      </c>
      <c r="AA33" s="3">
        <v>11</v>
      </c>
      <c r="AB33" s="3">
        <v>11</v>
      </c>
      <c r="AC33" s="3">
        <v>11</v>
      </c>
      <c r="AD33" s="3">
        <v>11</v>
      </c>
      <c r="AE33" s="3">
        <v>11</v>
      </c>
      <c r="AF33" s="3">
        <v>11</v>
      </c>
      <c r="AG33" s="3">
        <v>11</v>
      </c>
      <c r="AH33" s="3">
        <v>11</v>
      </c>
      <c r="AI33" s="3">
        <v>11</v>
      </c>
      <c r="AJ33" s="3">
        <v>11</v>
      </c>
      <c r="AK33" s="3">
        <v>11</v>
      </c>
      <c r="AL33" s="3">
        <v>11</v>
      </c>
      <c r="AM33" s="3"/>
      <c r="AN33" s="3"/>
      <c r="AO33" s="3"/>
      <c r="AT33">
        <v>79</v>
      </c>
      <c r="AU33">
        <v>65.5</v>
      </c>
      <c r="AV33">
        <v>82</v>
      </c>
      <c r="AW33">
        <v>11</v>
      </c>
      <c r="AX33">
        <v>72.7</v>
      </c>
      <c r="AY33">
        <v>63.6</v>
      </c>
      <c r="AZ33">
        <v>2</v>
      </c>
      <c r="BA33">
        <v>0</v>
      </c>
      <c r="BB33">
        <v>3</v>
      </c>
      <c r="BE33">
        <v>85</v>
      </c>
      <c r="BF33">
        <v>94</v>
      </c>
    </row>
    <row r="34" spans="1:58">
      <c r="A34">
        <v>6</v>
      </c>
      <c r="B34" s="3" t="s">
        <v>6</v>
      </c>
      <c r="C34" s="15">
        <f t="shared" si="6"/>
        <v>0</v>
      </c>
      <c r="D34" s="3">
        <v>11</v>
      </c>
      <c r="E34" s="3">
        <v>11</v>
      </c>
      <c r="F34" s="3">
        <v>11</v>
      </c>
      <c r="G34" s="3">
        <v>11</v>
      </c>
      <c r="H34" s="3">
        <v>11</v>
      </c>
      <c r="I34" s="3">
        <v>11</v>
      </c>
      <c r="J34" s="3">
        <v>11</v>
      </c>
      <c r="K34" s="3">
        <v>11</v>
      </c>
      <c r="L34" s="3">
        <v>11</v>
      </c>
      <c r="M34" s="3">
        <v>11</v>
      </c>
      <c r="N34" s="3">
        <v>11</v>
      </c>
      <c r="O34" s="3">
        <v>11</v>
      </c>
      <c r="P34" s="3">
        <v>11</v>
      </c>
      <c r="Q34" s="3">
        <v>11</v>
      </c>
      <c r="R34" s="3">
        <v>11</v>
      </c>
      <c r="S34" s="3">
        <v>11</v>
      </c>
      <c r="T34" s="3">
        <v>11</v>
      </c>
      <c r="U34" s="3">
        <v>11</v>
      </c>
      <c r="V34" s="3">
        <v>11</v>
      </c>
      <c r="W34" s="3">
        <v>11</v>
      </c>
      <c r="X34" s="3">
        <v>11</v>
      </c>
      <c r="Y34" s="3">
        <v>11</v>
      </c>
      <c r="Z34" s="3">
        <v>11</v>
      </c>
      <c r="AA34" s="3">
        <v>11</v>
      </c>
      <c r="AB34" s="3">
        <v>11</v>
      </c>
      <c r="AC34" s="3">
        <v>11</v>
      </c>
      <c r="AD34" s="3">
        <v>11</v>
      </c>
      <c r="AE34" s="3">
        <v>11</v>
      </c>
      <c r="AF34" s="3">
        <v>11</v>
      </c>
      <c r="AG34" s="3">
        <v>11</v>
      </c>
      <c r="AH34" s="3">
        <v>11</v>
      </c>
      <c r="AI34" s="3">
        <v>11</v>
      </c>
      <c r="AJ34" s="3">
        <v>11</v>
      </c>
      <c r="AK34" s="3">
        <v>11</v>
      </c>
      <c r="AL34" s="3">
        <v>11</v>
      </c>
      <c r="AM34" s="3"/>
      <c r="AN34" s="3"/>
      <c r="AO34" s="3"/>
      <c r="AT34">
        <v>72.5</v>
      </c>
      <c r="AU34">
        <v>82</v>
      </c>
      <c r="AV34">
        <v>93</v>
      </c>
      <c r="AW34">
        <v>10</v>
      </c>
      <c r="AX34">
        <v>81.8</v>
      </c>
      <c r="AY34">
        <v>90.9</v>
      </c>
      <c r="AZ34">
        <v>0</v>
      </c>
      <c r="BA34">
        <v>0</v>
      </c>
      <c r="BB34">
        <v>2</v>
      </c>
      <c r="BE34">
        <v>90</v>
      </c>
      <c r="BF34">
        <v>84</v>
      </c>
    </row>
    <row r="35" spans="1:58">
      <c r="A35">
        <v>7</v>
      </c>
      <c r="B35" s="3" t="s">
        <v>9</v>
      </c>
      <c r="C35" s="15">
        <f t="shared" si="6"/>
        <v>2</v>
      </c>
      <c r="D35" s="3">
        <v>11</v>
      </c>
      <c r="E35" s="3">
        <v>11</v>
      </c>
      <c r="F35" s="3">
        <v>11</v>
      </c>
      <c r="G35" s="3">
        <v>11</v>
      </c>
      <c r="H35" s="3">
        <v>11</v>
      </c>
      <c r="I35" s="3">
        <v>11</v>
      </c>
      <c r="J35" s="3">
        <v>11</v>
      </c>
      <c r="K35" s="3">
        <v>11</v>
      </c>
      <c r="L35" s="3">
        <v>11</v>
      </c>
      <c r="M35" s="3">
        <v>11</v>
      </c>
      <c r="N35" s="3">
        <v>11</v>
      </c>
      <c r="O35" s="3">
        <v>11</v>
      </c>
      <c r="P35" s="3">
        <v>11</v>
      </c>
      <c r="Q35" s="3">
        <v>11</v>
      </c>
      <c r="R35" s="3">
        <v>11</v>
      </c>
      <c r="S35" s="3">
        <v>11</v>
      </c>
      <c r="T35" s="3">
        <v>11</v>
      </c>
      <c r="U35" s="3">
        <v>11</v>
      </c>
      <c r="V35" s="3">
        <v>10</v>
      </c>
      <c r="W35" s="3">
        <v>11</v>
      </c>
      <c r="X35" s="3">
        <v>11</v>
      </c>
      <c r="Y35" s="3">
        <v>11</v>
      </c>
      <c r="Z35" s="3">
        <v>11</v>
      </c>
      <c r="AA35" s="3">
        <v>11</v>
      </c>
      <c r="AB35" s="3">
        <v>10</v>
      </c>
      <c r="AC35" s="3">
        <v>11</v>
      </c>
      <c r="AD35" s="3">
        <v>11</v>
      </c>
      <c r="AE35" s="3">
        <v>11</v>
      </c>
      <c r="AF35" s="3">
        <v>11</v>
      </c>
      <c r="AG35" s="3">
        <v>11</v>
      </c>
      <c r="AH35" s="3">
        <v>11</v>
      </c>
      <c r="AI35" s="3">
        <v>11</v>
      </c>
      <c r="AJ35" s="3">
        <v>11</v>
      </c>
      <c r="AK35" s="3">
        <v>11</v>
      </c>
      <c r="AL35" s="3">
        <v>11</v>
      </c>
      <c r="AM35" s="3"/>
      <c r="AN35" s="3"/>
      <c r="AO35" s="3"/>
      <c r="AT35" t="s">
        <v>14</v>
      </c>
      <c r="BE35">
        <v>15</v>
      </c>
      <c r="BF35">
        <v>12</v>
      </c>
    </row>
    <row r="36" spans="1:58">
      <c r="A36">
        <v>8</v>
      </c>
      <c r="B36" s="3" t="s">
        <v>7</v>
      </c>
      <c r="C36" s="15">
        <f t="shared" si="6"/>
        <v>3</v>
      </c>
      <c r="D36" s="3">
        <v>11</v>
      </c>
      <c r="E36" s="3">
        <v>11</v>
      </c>
      <c r="F36" s="3">
        <v>11</v>
      </c>
      <c r="G36" s="3">
        <v>11</v>
      </c>
      <c r="H36" s="3">
        <v>11</v>
      </c>
      <c r="I36" s="3">
        <v>11</v>
      </c>
      <c r="J36" s="3">
        <v>11</v>
      </c>
      <c r="K36" s="3">
        <v>10</v>
      </c>
      <c r="L36" s="3">
        <v>11</v>
      </c>
      <c r="M36" s="3">
        <v>10</v>
      </c>
      <c r="N36" s="3">
        <v>10</v>
      </c>
      <c r="O36" s="3">
        <v>11</v>
      </c>
      <c r="P36" s="3">
        <v>11</v>
      </c>
      <c r="Q36" s="3">
        <v>11</v>
      </c>
      <c r="R36" s="3">
        <v>11</v>
      </c>
      <c r="S36" s="3">
        <v>11</v>
      </c>
      <c r="T36" s="3">
        <v>11</v>
      </c>
      <c r="U36" s="3">
        <v>11</v>
      </c>
      <c r="V36" s="3">
        <v>11</v>
      </c>
      <c r="W36" s="3">
        <v>11</v>
      </c>
      <c r="X36" s="3">
        <v>11</v>
      </c>
      <c r="Y36" s="3">
        <v>11</v>
      </c>
      <c r="Z36" s="3">
        <v>11</v>
      </c>
      <c r="AA36" s="3">
        <v>11</v>
      </c>
      <c r="AB36" s="3">
        <v>11</v>
      </c>
      <c r="AC36" s="3">
        <v>11</v>
      </c>
      <c r="AD36" s="3">
        <v>11</v>
      </c>
      <c r="AE36" s="3">
        <v>11</v>
      </c>
      <c r="AF36" s="3">
        <v>11</v>
      </c>
      <c r="AG36" s="3">
        <v>11</v>
      </c>
      <c r="AH36" s="3">
        <v>11</v>
      </c>
      <c r="AI36" s="3">
        <v>11</v>
      </c>
      <c r="AJ36" s="3">
        <v>11</v>
      </c>
      <c r="AK36" s="3">
        <v>11</v>
      </c>
      <c r="AL36" s="3">
        <v>11</v>
      </c>
      <c r="AM36" s="3"/>
      <c r="AN36" s="3"/>
      <c r="AO36" s="3"/>
      <c r="AT36">
        <v>62.5</v>
      </c>
      <c r="AU36">
        <v>69</v>
      </c>
      <c r="AV36">
        <v>74.5</v>
      </c>
      <c r="AW36">
        <v>11</v>
      </c>
      <c r="AX36">
        <v>63.6</v>
      </c>
      <c r="AY36">
        <v>72.7</v>
      </c>
      <c r="AZ36">
        <v>0</v>
      </c>
      <c r="BA36">
        <v>0</v>
      </c>
      <c r="BB36">
        <v>0</v>
      </c>
    </row>
    <row r="37" spans="1:58">
      <c r="A37">
        <v>9</v>
      </c>
      <c r="B37" s="3" t="s">
        <v>8</v>
      </c>
      <c r="C37" s="15">
        <f>COUNTIF(D37:AO37,"&lt;11")</f>
        <v>6</v>
      </c>
      <c r="D37" s="3">
        <v>11</v>
      </c>
      <c r="E37" s="3">
        <v>11</v>
      </c>
      <c r="F37" s="3">
        <v>10</v>
      </c>
      <c r="G37" s="3">
        <v>11</v>
      </c>
      <c r="H37" s="3">
        <v>11</v>
      </c>
      <c r="I37" s="3">
        <v>10</v>
      </c>
      <c r="J37" s="3">
        <v>11</v>
      </c>
      <c r="K37" s="3">
        <v>11</v>
      </c>
      <c r="L37" s="3">
        <v>11</v>
      </c>
      <c r="M37" s="3">
        <v>11</v>
      </c>
      <c r="N37" s="3">
        <v>11</v>
      </c>
      <c r="O37" s="3">
        <v>11</v>
      </c>
      <c r="P37" s="3">
        <v>11</v>
      </c>
      <c r="Q37" s="3">
        <v>10</v>
      </c>
      <c r="R37" s="3">
        <v>10</v>
      </c>
      <c r="S37" s="3">
        <v>11</v>
      </c>
      <c r="T37" s="3">
        <v>10</v>
      </c>
      <c r="U37" s="3">
        <v>10</v>
      </c>
      <c r="V37" s="3">
        <v>11</v>
      </c>
      <c r="W37" s="3">
        <v>11</v>
      </c>
      <c r="X37" s="3">
        <v>11</v>
      </c>
      <c r="Y37" s="3">
        <v>11</v>
      </c>
      <c r="Z37" s="3">
        <v>11</v>
      </c>
      <c r="AA37" s="3">
        <v>11</v>
      </c>
      <c r="AB37" s="3">
        <v>11</v>
      </c>
      <c r="AC37" s="3">
        <v>11</v>
      </c>
      <c r="AD37" s="3">
        <v>11</v>
      </c>
      <c r="AE37" s="3">
        <v>11</v>
      </c>
      <c r="AF37" s="3">
        <v>11</v>
      </c>
      <c r="AG37" s="3">
        <v>11</v>
      </c>
      <c r="AH37" s="3">
        <v>11</v>
      </c>
      <c r="AI37" s="3">
        <v>11</v>
      </c>
      <c r="AJ37" s="3">
        <v>11</v>
      </c>
      <c r="AK37" s="3">
        <v>11</v>
      </c>
      <c r="AL37" s="3">
        <v>11</v>
      </c>
      <c r="AM37" s="3"/>
      <c r="AN37" s="3"/>
      <c r="AO37" s="3"/>
      <c r="AT37">
        <v>67</v>
      </c>
      <c r="AU37">
        <v>72.5</v>
      </c>
      <c r="AV37">
        <v>77.5</v>
      </c>
      <c r="AW37">
        <v>10</v>
      </c>
      <c r="AX37">
        <v>81.8</v>
      </c>
      <c r="AY37">
        <v>90.9</v>
      </c>
      <c r="AZ37">
        <v>0</v>
      </c>
      <c r="BA37">
        <v>0</v>
      </c>
      <c r="BB37">
        <v>3</v>
      </c>
    </row>
    <row r="38" spans="1:58" ht="15">
      <c r="C38" s="16">
        <f>SUM(C28:C37)</f>
        <v>17</v>
      </c>
      <c r="D38" s="4">
        <f xml:space="preserve"> COUNTIF(D28:D37,"&lt;11")</f>
        <v>0</v>
      </c>
      <c r="E38" s="4">
        <f t="shared" ref="E38:K38" si="7" xml:space="preserve"> COUNTIF(E28:E37,"&lt;11")</f>
        <v>0</v>
      </c>
      <c r="F38" s="4">
        <f t="shared" si="7"/>
        <v>1</v>
      </c>
      <c r="G38" s="4">
        <f t="shared" si="7"/>
        <v>1</v>
      </c>
      <c r="H38" s="4">
        <f t="shared" si="7"/>
        <v>1</v>
      </c>
      <c r="I38" s="4">
        <f t="shared" si="7"/>
        <v>1</v>
      </c>
      <c r="J38" s="4">
        <f t="shared" si="7"/>
        <v>0</v>
      </c>
      <c r="K38" s="4">
        <f t="shared" si="7"/>
        <v>1</v>
      </c>
      <c r="L38" s="4">
        <f t="shared" ref="L38:AA38" si="8" xml:space="preserve"> COUNTIF(L28:L37,"&lt;11")</f>
        <v>0</v>
      </c>
      <c r="M38" s="4">
        <f t="shared" si="8"/>
        <v>1</v>
      </c>
      <c r="N38" s="4">
        <f t="shared" si="8"/>
        <v>1</v>
      </c>
      <c r="O38" s="4">
        <f t="shared" si="8"/>
        <v>0</v>
      </c>
      <c r="P38" s="4">
        <f t="shared" si="8"/>
        <v>1</v>
      </c>
      <c r="Q38" s="4">
        <f t="shared" si="8"/>
        <v>1</v>
      </c>
      <c r="R38" s="4">
        <f t="shared" si="8"/>
        <v>1</v>
      </c>
      <c r="S38" s="4">
        <f t="shared" si="8"/>
        <v>0</v>
      </c>
      <c r="T38" s="4">
        <f t="shared" si="8"/>
        <v>2</v>
      </c>
      <c r="U38" s="4">
        <f t="shared" si="8"/>
        <v>2</v>
      </c>
      <c r="V38" s="4">
        <f t="shared" si="8"/>
        <v>2</v>
      </c>
      <c r="W38" s="4">
        <f t="shared" si="8"/>
        <v>0</v>
      </c>
      <c r="X38" s="4">
        <f t="shared" si="8"/>
        <v>0</v>
      </c>
      <c r="Y38" s="4">
        <f t="shared" si="8"/>
        <v>0</v>
      </c>
      <c r="Z38" s="4">
        <f t="shared" si="8"/>
        <v>0</v>
      </c>
      <c r="AA38" s="4">
        <f t="shared" si="8"/>
        <v>0</v>
      </c>
      <c r="AB38" s="4">
        <f t="shared" ref="AB38:AO38" si="9" xml:space="preserve"> COUNTIF(AB28:AB37,"&lt;11")</f>
        <v>1</v>
      </c>
      <c r="AC38" s="4">
        <f t="shared" si="9"/>
        <v>0</v>
      </c>
      <c r="AD38" s="4">
        <f t="shared" si="9"/>
        <v>0</v>
      </c>
      <c r="AE38" s="4">
        <f t="shared" si="9"/>
        <v>0</v>
      </c>
      <c r="AF38" s="4">
        <f t="shared" si="9"/>
        <v>0</v>
      </c>
      <c r="AG38" s="4">
        <f t="shared" si="9"/>
        <v>0</v>
      </c>
      <c r="AH38" s="4">
        <f t="shared" si="9"/>
        <v>0</v>
      </c>
      <c r="AI38" s="4">
        <f t="shared" si="9"/>
        <v>0</v>
      </c>
      <c r="AJ38" s="4">
        <f t="shared" si="9"/>
        <v>0</v>
      </c>
      <c r="AK38" s="4">
        <f t="shared" si="9"/>
        <v>0</v>
      </c>
      <c r="AL38" s="4">
        <f t="shared" si="9"/>
        <v>0</v>
      </c>
      <c r="AM38" s="4">
        <f t="shared" si="9"/>
        <v>0</v>
      </c>
      <c r="AN38" s="4">
        <f t="shared" si="9"/>
        <v>0</v>
      </c>
      <c r="AO38" s="4">
        <f t="shared" si="9"/>
        <v>0</v>
      </c>
      <c r="AT38">
        <v>71.5</v>
      </c>
      <c r="AU38">
        <v>68</v>
      </c>
      <c r="AV38">
        <v>74</v>
      </c>
      <c r="AW38">
        <v>11</v>
      </c>
      <c r="AX38">
        <v>90.9</v>
      </c>
      <c r="AY38">
        <v>72.7</v>
      </c>
      <c r="AZ38">
        <v>1</v>
      </c>
      <c r="BA38">
        <v>0</v>
      </c>
      <c r="BB38">
        <v>2</v>
      </c>
    </row>
    <row r="39" spans="1:58">
      <c r="AT39">
        <v>62.5</v>
      </c>
      <c r="AU39">
        <v>63.5</v>
      </c>
      <c r="AV39">
        <v>72</v>
      </c>
      <c r="AW39">
        <v>11</v>
      </c>
      <c r="AX39">
        <v>72.7</v>
      </c>
      <c r="AY39">
        <v>72.7</v>
      </c>
      <c r="AZ39">
        <v>0</v>
      </c>
      <c r="BA39">
        <v>0</v>
      </c>
      <c r="BB39">
        <v>2</v>
      </c>
    </row>
    <row r="40" spans="1:58">
      <c r="D40" s="14">
        <v>1</v>
      </c>
      <c r="E40" s="14">
        <v>2</v>
      </c>
      <c r="F40" s="14">
        <v>3</v>
      </c>
      <c r="G40" s="14">
        <v>4</v>
      </c>
      <c r="H40" s="14">
        <v>5</v>
      </c>
      <c r="I40" s="14">
        <v>6</v>
      </c>
      <c r="J40" s="14">
        <v>7</v>
      </c>
      <c r="K40" s="14">
        <v>8</v>
      </c>
      <c r="L40" s="14">
        <v>9</v>
      </c>
      <c r="M40" s="14">
        <v>10</v>
      </c>
      <c r="N40" s="14">
        <v>11</v>
      </c>
      <c r="O40" s="14">
        <v>12</v>
      </c>
      <c r="P40" s="14">
        <v>13</v>
      </c>
      <c r="Q40" s="14">
        <v>14</v>
      </c>
      <c r="R40" s="14">
        <v>15</v>
      </c>
      <c r="S40" s="14">
        <v>16</v>
      </c>
      <c r="T40" s="14">
        <v>17</v>
      </c>
      <c r="U40" s="14">
        <v>18</v>
      </c>
      <c r="V40" s="14">
        <v>19</v>
      </c>
      <c r="W40" s="14">
        <v>20</v>
      </c>
      <c r="X40" s="14">
        <v>21</v>
      </c>
      <c r="Y40" s="14">
        <v>22</v>
      </c>
      <c r="Z40" s="14">
        <v>23</v>
      </c>
      <c r="AA40" s="14">
        <v>24</v>
      </c>
      <c r="AB40" s="14">
        <v>25</v>
      </c>
      <c r="AC40" s="14">
        <v>26</v>
      </c>
      <c r="AD40" s="14">
        <v>27</v>
      </c>
      <c r="AE40" s="14">
        <v>28</v>
      </c>
      <c r="AF40" s="14">
        <v>29</v>
      </c>
      <c r="AG40" s="14">
        <v>30</v>
      </c>
      <c r="AH40" s="14">
        <v>31</v>
      </c>
      <c r="AI40" s="14">
        <v>32</v>
      </c>
      <c r="AJ40" s="14">
        <v>33</v>
      </c>
      <c r="AK40" s="14">
        <v>34</v>
      </c>
      <c r="AL40" s="14">
        <v>35</v>
      </c>
      <c r="AM40" s="14">
        <v>36</v>
      </c>
      <c r="AN40" s="14">
        <v>37</v>
      </c>
      <c r="AO40" s="14">
        <v>38</v>
      </c>
      <c r="AQ40" t="s">
        <v>30</v>
      </c>
      <c r="AR40">
        <f>0</f>
        <v>0</v>
      </c>
      <c r="AS40" t="s">
        <v>31</v>
      </c>
      <c r="AT40">
        <v>64.5</v>
      </c>
      <c r="AU40">
        <v>62.5</v>
      </c>
      <c r="AV40">
        <v>68.5</v>
      </c>
      <c r="AW40">
        <v>11</v>
      </c>
      <c r="AX40">
        <v>72.7</v>
      </c>
      <c r="AY40">
        <v>63.6</v>
      </c>
      <c r="AZ40">
        <v>0</v>
      </c>
      <c r="BA40">
        <v>0</v>
      </c>
      <c r="BB40">
        <v>1</v>
      </c>
    </row>
    <row r="41" spans="1:58">
      <c r="A41">
        <v>0</v>
      </c>
      <c r="B41" s="3" t="s">
        <v>0</v>
      </c>
      <c r="C41" s="3">
        <f>SUM(W41:AO41)</f>
        <v>27.5</v>
      </c>
      <c r="D41" s="3">
        <f t="shared" ref="D41:X41" si="10">D15-D2</f>
        <v>1.5</v>
      </c>
      <c r="E41" s="3">
        <f t="shared" si="10"/>
        <v>-2</v>
      </c>
      <c r="F41" s="3">
        <f t="shared" si="10"/>
        <v>4</v>
      </c>
      <c r="G41" s="3">
        <f t="shared" si="10"/>
        <v>-6.5</v>
      </c>
      <c r="H41" s="3">
        <f t="shared" si="10"/>
        <v>6</v>
      </c>
      <c r="I41" s="3">
        <f t="shared" si="10"/>
        <v>1</v>
      </c>
      <c r="J41" s="3">
        <f t="shared" si="10"/>
        <v>-7.5</v>
      </c>
      <c r="K41" s="3">
        <f t="shared" si="10"/>
        <v>1.5</v>
      </c>
      <c r="L41" s="3">
        <f t="shared" si="10"/>
        <v>3.5</v>
      </c>
      <c r="M41" s="3">
        <f t="shared" si="10"/>
        <v>0</v>
      </c>
      <c r="N41" s="3">
        <f t="shared" si="10"/>
        <v>0.5</v>
      </c>
      <c r="O41" s="3">
        <f t="shared" si="10"/>
        <v>-7.5</v>
      </c>
      <c r="P41" s="3">
        <f t="shared" si="10"/>
        <v>-2.5</v>
      </c>
      <c r="Q41" s="3">
        <f t="shared" si="10"/>
        <v>-7</v>
      </c>
      <c r="R41" s="3">
        <f t="shared" si="10"/>
        <v>1.5</v>
      </c>
      <c r="S41" s="3">
        <f t="shared" si="10"/>
        <v>-2</v>
      </c>
      <c r="T41" s="3">
        <f t="shared" si="10"/>
        <v>-1.5</v>
      </c>
      <c r="U41" s="3">
        <f t="shared" si="10"/>
        <v>4</v>
      </c>
      <c r="V41" s="3">
        <f t="shared" ref="V41" si="11">V15-V2</f>
        <v>5</v>
      </c>
      <c r="W41" s="3">
        <f t="shared" si="10"/>
        <v>-0.5</v>
      </c>
      <c r="X41" s="3">
        <f t="shared" si="10"/>
        <v>0.5</v>
      </c>
      <c r="Y41" s="3">
        <f t="shared" ref="Y41:AA41" si="12">Y15-Y2</f>
        <v>5.5</v>
      </c>
      <c r="Z41" s="3">
        <f t="shared" si="12"/>
        <v>-0.5</v>
      </c>
      <c r="AA41" s="3">
        <f t="shared" si="12"/>
        <v>5</v>
      </c>
      <c r="AB41" s="3">
        <f t="shared" ref="AB41:AC41" si="13">AB15-AB2</f>
        <v>5.5</v>
      </c>
      <c r="AC41" s="3">
        <f t="shared" si="13"/>
        <v>-0.5</v>
      </c>
      <c r="AD41" s="3">
        <f t="shared" ref="AD41:AE41" si="14">AD15-AD2</f>
        <v>0</v>
      </c>
      <c r="AE41" s="3">
        <f t="shared" si="14"/>
        <v>4</v>
      </c>
      <c r="AF41" s="3">
        <f t="shared" ref="AF41:AG41" si="15">AF15-AF2</f>
        <v>6</v>
      </c>
      <c r="AG41" s="3">
        <f t="shared" si="15"/>
        <v>3</v>
      </c>
      <c r="AH41" s="3">
        <f t="shared" ref="AH41:AI41" si="16">AH15-AH2</f>
        <v>2</v>
      </c>
      <c r="AI41" s="3">
        <f t="shared" si="16"/>
        <v>-4</v>
      </c>
      <c r="AJ41" s="3">
        <f t="shared" ref="AJ41:AK41" si="17">AJ15-AJ2</f>
        <v>-0.5</v>
      </c>
      <c r="AK41" s="3">
        <f t="shared" si="17"/>
        <v>1</v>
      </c>
      <c r="AL41" s="3">
        <f t="shared" ref="AL41" si="18">AL15-AL2</f>
        <v>1</v>
      </c>
      <c r="AM41" s="3"/>
      <c r="AN41" s="3"/>
      <c r="AO41" s="3"/>
      <c r="AP41">
        <f>COUNTIF(H41:AA41,"&gt;0")</f>
        <v>11</v>
      </c>
      <c r="AQ41" s="5">
        <f>COUNTIF(H41:AO41,"&gt;0")/COUNT(H41:AO41)</f>
        <v>0.58064516129032262</v>
      </c>
      <c r="AR41" s="5">
        <f>COUNTIF(H41:AO41,"=0")/COUNT(H41:AO41)</f>
        <v>6.4516129032258063E-2</v>
      </c>
      <c r="AS41" s="5">
        <f>COUNTIF(H41:AO41,"&lt;0")/COUNT(H41:AO41)</f>
        <v>0.35483870967741937</v>
      </c>
      <c r="AT41">
        <v>75</v>
      </c>
      <c r="AU41">
        <v>74</v>
      </c>
      <c r="AV41">
        <v>86</v>
      </c>
      <c r="AW41">
        <v>11</v>
      </c>
      <c r="AX41">
        <v>45.5</v>
      </c>
      <c r="AY41">
        <v>54.5</v>
      </c>
      <c r="AZ41">
        <v>0</v>
      </c>
      <c r="BA41">
        <v>0</v>
      </c>
      <c r="BB41">
        <v>3</v>
      </c>
    </row>
    <row r="42" spans="1:58">
      <c r="A42">
        <v>1</v>
      </c>
      <c r="B42" s="3" t="s">
        <v>1</v>
      </c>
      <c r="C42" s="3">
        <f t="shared" ref="C42:C47" si="19">SUM(W42:AO42)</f>
        <v>8</v>
      </c>
      <c r="D42" s="3">
        <f t="shared" ref="D42:X42" si="20">D16-D3</f>
        <v>1.5</v>
      </c>
      <c r="E42" s="3">
        <f t="shared" si="20"/>
        <v>-1</v>
      </c>
      <c r="F42" s="3">
        <f t="shared" si="20"/>
        <v>-1.5</v>
      </c>
      <c r="G42" s="3">
        <f t="shared" si="20"/>
        <v>-5.5</v>
      </c>
      <c r="H42" s="3">
        <f t="shared" si="20"/>
        <v>-1</v>
      </c>
      <c r="I42" s="3">
        <f t="shared" si="20"/>
        <v>-1.5</v>
      </c>
      <c r="J42" s="3">
        <f t="shared" si="20"/>
        <v>-1.5</v>
      </c>
      <c r="K42" s="3">
        <f t="shared" si="20"/>
        <v>3</v>
      </c>
      <c r="L42" s="3">
        <f t="shared" si="20"/>
        <v>-1</v>
      </c>
      <c r="M42" s="3">
        <f t="shared" si="20"/>
        <v>-1.5</v>
      </c>
      <c r="N42" s="3">
        <f t="shared" si="20"/>
        <v>-1</v>
      </c>
      <c r="O42" s="3">
        <f t="shared" si="20"/>
        <v>1</v>
      </c>
      <c r="P42" s="3">
        <f t="shared" si="20"/>
        <v>-4.5</v>
      </c>
      <c r="Q42" s="3">
        <f t="shared" si="20"/>
        <v>1</v>
      </c>
      <c r="R42" s="3">
        <f t="shared" si="20"/>
        <v>1</v>
      </c>
      <c r="S42" s="3">
        <f t="shared" si="20"/>
        <v>0.5</v>
      </c>
      <c r="T42" s="3">
        <f t="shared" si="20"/>
        <v>2.5</v>
      </c>
      <c r="U42" s="3">
        <f t="shared" si="20"/>
        <v>-13</v>
      </c>
      <c r="V42" s="3">
        <f>V16-V3</f>
        <v>1</v>
      </c>
      <c r="W42" s="3">
        <f t="shared" si="20"/>
        <v>0</v>
      </c>
      <c r="X42" s="3">
        <f t="shared" si="20"/>
        <v>6</v>
      </c>
      <c r="Y42" s="3">
        <f t="shared" ref="Y42:AA42" si="21">Y16-Y3</f>
        <v>0</v>
      </c>
      <c r="Z42" s="3">
        <f t="shared" si="21"/>
        <v>-0.5</v>
      </c>
      <c r="AA42" s="3">
        <f t="shared" si="21"/>
        <v>0</v>
      </c>
      <c r="AB42" s="3">
        <f t="shared" ref="AB42:AC42" si="22">AB16-AB3</f>
        <v>-0.5</v>
      </c>
      <c r="AC42" s="3">
        <f t="shared" si="22"/>
        <v>0.5</v>
      </c>
      <c r="AD42" s="3">
        <f t="shared" ref="AD42:AE42" si="23">AD16-AD3</f>
        <v>-2</v>
      </c>
      <c r="AE42" s="3">
        <f t="shared" si="23"/>
        <v>0</v>
      </c>
      <c r="AF42" s="3">
        <f t="shared" ref="AF42:AG42" si="24">AF16-AF3</f>
        <v>-0.5</v>
      </c>
      <c r="AG42" s="3">
        <f t="shared" si="24"/>
        <v>0</v>
      </c>
      <c r="AH42" s="3">
        <f t="shared" ref="AH42:AI42" si="25">AH16-AH3</f>
        <v>0</v>
      </c>
      <c r="AI42" s="3">
        <f t="shared" si="25"/>
        <v>2</v>
      </c>
      <c r="AJ42" s="3">
        <f t="shared" ref="AJ42:AK42" si="26">AJ16-AJ3</f>
        <v>4.5</v>
      </c>
      <c r="AK42" s="3">
        <f t="shared" si="26"/>
        <v>-1.5</v>
      </c>
      <c r="AL42" s="3">
        <f t="shared" ref="AL42" si="27">AL16-AL3</f>
        <v>0</v>
      </c>
      <c r="AM42" s="3"/>
      <c r="AN42" s="3"/>
      <c r="AO42" s="3"/>
      <c r="AP42">
        <f t="shared" ref="AP42:AP51" si="28">COUNTIF(H42:AA42,"&gt;0")</f>
        <v>8</v>
      </c>
      <c r="AQ42" s="5">
        <f t="shared" ref="AQ42:AQ50" si="29">COUNTIF(H42:AO42,"&gt;0")/COUNT(H42:AO42)</f>
        <v>0.35483870967741937</v>
      </c>
      <c r="AR42" s="5">
        <f t="shared" ref="AR42:AR50" si="30">COUNTIF(H42:AO42,"=0")/COUNT(H42:AO42)</f>
        <v>0.22580645161290322</v>
      </c>
      <c r="AS42" s="5">
        <f t="shared" ref="AS42:AS50" si="31">COUNTIF(H42:AO42,"&lt;0")/COUNT(H42:AO42)</f>
        <v>0.41935483870967744</v>
      </c>
      <c r="AT42">
        <v>71</v>
      </c>
      <c r="AU42">
        <v>71</v>
      </c>
      <c r="AV42">
        <v>80.5</v>
      </c>
      <c r="AW42">
        <v>11</v>
      </c>
      <c r="AX42">
        <v>72.7</v>
      </c>
      <c r="AY42">
        <v>72.7</v>
      </c>
      <c r="AZ42">
        <v>0</v>
      </c>
      <c r="BA42">
        <v>1</v>
      </c>
      <c r="BB42">
        <v>2</v>
      </c>
    </row>
    <row r="43" spans="1:58">
      <c r="A43">
        <v>2</v>
      </c>
      <c r="B43" s="3" t="s">
        <v>2</v>
      </c>
      <c r="C43" s="3">
        <f t="shared" si="19"/>
        <v>18.5</v>
      </c>
      <c r="D43" s="3">
        <f t="shared" ref="D43:X43" si="32">D17-D4</f>
        <v>1</v>
      </c>
      <c r="E43" s="3">
        <f t="shared" si="32"/>
        <v>-7</v>
      </c>
      <c r="F43" s="3">
        <f t="shared" si="32"/>
        <v>-2</v>
      </c>
      <c r="G43" s="3">
        <f t="shared" si="32"/>
        <v>3.5</v>
      </c>
      <c r="H43" s="3">
        <f t="shared" si="32"/>
        <v>-2</v>
      </c>
      <c r="I43" s="3">
        <f t="shared" si="32"/>
        <v>4</v>
      </c>
      <c r="J43" s="3">
        <f t="shared" si="32"/>
        <v>-5.5</v>
      </c>
      <c r="K43" s="3">
        <f t="shared" si="32"/>
        <v>-6</v>
      </c>
      <c r="L43" s="3">
        <f t="shared" si="32"/>
        <v>0.5</v>
      </c>
      <c r="M43" s="3">
        <f t="shared" si="32"/>
        <v>2</v>
      </c>
      <c r="N43" s="3">
        <f t="shared" si="32"/>
        <v>3</v>
      </c>
      <c r="O43" s="3">
        <f t="shared" si="32"/>
        <v>4.5</v>
      </c>
      <c r="P43" s="3">
        <f t="shared" si="32"/>
        <v>-5</v>
      </c>
      <c r="Q43" s="3">
        <f t="shared" si="32"/>
        <v>6</v>
      </c>
      <c r="R43" s="3">
        <f t="shared" si="32"/>
        <v>-2</v>
      </c>
      <c r="S43" s="3">
        <f t="shared" si="32"/>
        <v>0</v>
      </c>
      <c r="T43" s="3">
        <f t="shared" si="32"/>
        <v>-1.5</v>
      </c>
      <c r="U43" s="3">
        <f t="shared" si="32"/>
        <v>0.5</v>
      </c>
      <c r="V43" s="3">
        <f t="shared" ref="V43" si="33">V17-V4</f>
        <v>-4</v>
      </c>
      <c r="W43" s="3">
        <f t="shared" si="32"/>
        <v>-1</v>
      </c>
      <c r="X43" s="3">
        <f t="shared" si="32"/>
        <v>1</v>
      </c>
      <c r="Y43" s="3">
        <f t="shared" ref="Y43:AA43" si="34">Y17-Y4</f>
        <v>-3.5</v>
      </c>
      <c r="Z43" s="3">
        <f t="shared" si="34"/>
        <v>-0.5</v>
      </c>
      <c r="AA43" s="3">
        <f t="shared" si="34"/>
        <v>-0.5</v>
      </c>
      <c r="AB43" s="3">
        <f t="shared" ref="AB43:AC43" si="35">AB17-AB4</f>
        <v>-7.5</v>
      </c>
      <c r="AC43" s="3">
        <f t="shared" si="35"/>
        <v>8</v>
      </c>
      <c r="AD43" s="3">
        <f t="shared" ref="AD43:AE43" si="36">AD17-AD4</f>
        <v>-2</v>
      </c>
      <c r="AE43" s="3">
        <f t="shared" si="36"/>
        <v>2.5</v>
      </c>
      <c r="AF43" s="3">
        <f t="shared" ref="AF43:AG43" si="37">AF17-AF4</f>
        <v>6</v>
      </c>
      <c r="AG43" s="3">
        <f t="shared" si="37"/>
        <v>3.5</v>
      </c>
      <c r="AH43" s="3">
        <f t="shared" ref="AH43:AI43" si="38">AH17-AH4</f>
        <v>2</v>
      </c>
      <c r="AI43" s="3">
        <f t="shared" si="38"/>
        <v>8</v>
      </c>
      <c r="AJ43" s="3">
        <f t="shared" ref="AJ43:AK43" si="39">AJ17-AJ4</f>
        <v>1.5</v>
      </c>
      <c r="AK43" s="3">
        <f t="shared" si="39"/>
        <v>-1.5</v>
      </c>
      <c r="AL43" s="3">
        <f t="shared" ref="AL43" si="40">AL17-AL4</f>
        <v>2.5</v>
      </c>
      <c r="AM43" s="3"/>
      <c r="AN43" s="3"/>
      <c r="AO43" s="3"/>
      <c r="AP43">
        <f t="shared" si="28"/>
        <v>8</v>
      </c>
      <c r="AQ43" s="5">
        <f t="shared" si="29"/>
        <v>0.5161290322580645</v>
      </c>
      <c r="AR43" s="5">
        <f t="shared" si="30"/>
        <v>3.2258064516129031E-2</v>
      </c>
      <c r="AS43" s="5">
        <f t="shared" si="31"/>
        <v>0.45161290322580644</v>
      </c>
      <c r="AT43">
        <v>77</v>
      </c>
      <c r="AU43">
        <v>80</v>
      </c>
      <c r="AV43">
        <v>85.5</v>
      </c>
      <c r="AW43">
        <v>11</v>
      </c>
      <c r="AX43">
        <v>63.6</v>
      </c>
      <c r="AY43">
        <v>72.7</v>
      </c>
      <c r="AZ43">
        <v>0</v>
      </c>
      <c r="BA43">
        <v>0</v>
      </c>
      <c r="BB43">
        <v>3</v>
      </c>
    </row>
    <row r="44" spans="1:58">
      <c r="A44">
        <v>3</v>
      </c>
      <c r="B44" s="3" t="s">
        <v>3</v>
      </c>
      <c r="C44" s="3">
        <f t="shared" si="19"/>
        <v>22</v>
      </c>
      <c r="D44" s="3">
        <f t="shared" ref="D44:X44" si="41">D18-D5</f>
        <v>3</v>
      </c>
      <c r="E44" s="3">
        <f t="shared" si="41"/>
        <v>0.5</v>
      </c>
      <c r="F44" s="3">
        <f t="shared" si="41"/>
        <v>1</v>
      </c>
      <c r="G44" s="3">
        <f t="shared" si="41"/>
        <v>-1</v>
      </c>
      <c r="H44" s="3">
        <f t="shared" si="41"/>
        <v>-6.5</v>
      </c>
      <c r="I44" s="3">
        <f t="shared" si="41"/>
        <v>2</v>
      </c>
      <c r="J44" s="3">
        <f t="shared" si="41"/>
        <v>-0.5</v>
      </c>
      <c r="K44" s="3">
        <f t="shared" si="41"/>
        <v>0.5</v>
      </c>
      <c r="L44" s="3">
        <f t="shared" si="41"/>
        <v>-1.5</v>
      </c>
      <c r="M44" s="3">
        <f t="shared" si="41"/>
        <v>-1</v>
      </c>
      <c r="N44" s="3">
        <f t="shared" si="41"/>
        <v>0</v>
      </c>
      <c r="O44" s="3">
        <f t="shared" si="41"/>
        <v>0</v>
      </c>
      <c r="P44" s="3">
        <f t="shared" si="41"/>
        <v>-1.5</v>
      </c>
      <c r="Q44" s="3">
        <f t="shared" si="41"/>
        <v>-0.5</v>
      </c>
      <c r="R44" s="3">
        <f t="shared" si="41"/>
        <v>0</v>
      </c>
      <c r="S44" s="3">
        <f t="shared" si="41"/>
        <v>0</v>
      </c>
      <c r="T44" s="3">
        <f t="shared" si="41"/>
        <v>3.5</v>
      </c>
      <c r="U44" s="3">
        <f t="shared" si="41"/>
        <v>1</v>
      </c>
      <c r="V44" s="3">
        <f t="shared" ref="V44" si="42">V18-V5</f>
        <v>0.5</v>
      </c>
      <c r="W44" s="3">
        <f t="shared" si="41"/>
        <v>-0.5</v>
      </c>
      <c r="X44" s="3">
        <f t="shared" si="41"/>
        <v>4</v>
      </c>
      <c r="Y44" s="3">
        <f t="shared" ref="Y44:AA44" si="43">Y18-Y5</f>
        <v>1.5</v>
      </c>
      <c r="Z44" s="3">
        <f t="shared" si="43"/>
        <v>1</v>
      </c>
      <c r="AA44" s="3">
        <f t="shared" si="43"/>
        <v>4</v>
      </c>
      <c r="AB44" s="3">
        <f t="shared" ref="AB44:AC44" si="44">AB18-AB5</f>
        <v>0.5</v>
      </c>
      <c r="AC44" s="3">
        <f t="shared" si="44"/>
        <v>2</v>
      </c>
      <c r="AD44" s="3">
        <f t="shared" ref="AD44:AE44" si="45">AD18-AD5</f>
        <v>-1.5</v>
      </c>
      <c r="AE44" s="3">
        <f t="shared" si="45"/>
        <v>-2</v>
      </c>
      <c r="AF44" s="3">
        <f t="shared" ref="AF44:AG44" si="46">AF18-AF5</f>
        <v>1.5</v>
      </c>
      <c r="AG44" s="3">
        <f t="shared" si="46"/>
        <v>0</v>
      </c>
      <c r="AH44" s="3">
        <f t="shared" ref="AH44:AI44" si="47">AH18-AH5</f>
        <v>-0.5</v>
      </c>
      <c r="AI44" s="3">
        <f t="shared" si="47"/>
        <v>0</v>
      </c>
      <c r="AJ44" s="3">
        <f t="shared" ref="AJ44:AK44" si="48">AJ18-AJ5</f>
        <v>5.5</v>
      </c>
      <c r="AK44" s="3">
        <f t="shared" si="48"/>
        <v>6.5</v>
      </c>
      <c r="AL44" s="3">
        <f t="shared" ref="AL44" si="49">AL18-AL5</f>
        <v>0</v>
      </c>
      <c r="AM44" s="3"/>
      <c r="AN44" s="3"/>
      <c r="AO44" s="3"/>
      <c r="AP44">
        <f t="shared" si="28"/>
        <v>9</v>
      </c>
      <c r="AQ44" s="5">
        <f t="shared" si="29"/>
        <v>0.45161290322580644</v>
      </c>
      <c r="AR44" s="5">
        <f t="shared" si="30"/>
        <v>0.22580645161290322</v>
      </c>
      <c r="AS44" s="5">
        <f t="shared" si="31"/>
        <v>0.32258064516129031</v>
      </c>
      <c r="AT44">
        <v>71.5</v>
      </c>
      <c r="AU44">
        <v>68.5</v>
      </c>
      <c r="AV44">
        <v>78</v>
      </c>
      <c r="AW44">
        <v>11</v>
      </c>
      <c r="AX44">
        <v>72.7</v>
      </c>
      <c r="AY44">
        <v>63.6</v>
      </c>
      <c r="AZ44">
        <v>0</v>
      </c>
      <c r="BA44">
        <v>0</v>
      </c>
      <c r="BB44">
        <v>2</v>
      </c>
    </row>
    <row r="45" spans="1:58">
      <c r="A45">
        <v>4</v>
      </c>
      <c r="B45" s="3" t="s">
        <v>5</v>
      </c>
      <c r="C45" s="3">
        <f t="shared" si="19"/>
        <v>35</v>
      </c>
      <c r="D45" s="3">
        <f t="shared" ref="D45:X45" si="50">D19-D6</f>
        <v>0</v>
      </c>
      <c r="E45" s="3">
        <f t="shared" si="50"/>
        <v>-5.5</v>
      </c>
      <c r="F45" s="3">
        <f t="shared" si="50"/>
        <v>0.5</v>
      </c>
      <c r="G45" s="3">
        <f t="shared" si="50"/>
        <v>2</v>
      </c>
      <c r="H45" s="3">
        <f t="shared" si="50"/>
        <v>0.5</v>
      </c>
      <c r="I45" s="3">
        <f t="shared" si="50"/>
        <v>0.5</v>
      </c>
      <c r="J45" s="3">
        <f t="shared" si="50"/>
        <v>0</v>
      </c>
      <c r="K45" s="3">
        <f t="shared" si="50"/>
        <v>0</v>
      </c>
      <c r="L45" s="3">
        <f t="shared" si="50"/>
        <v>1</v>
      </c>
      <c r="M45" s="3">
        <f t="shared" si="50"/>
        <v>0.5</v>
      </c>
      <c r="N45" s="3">
        <f t="shared" si="50"/>
        <v>1</v>
      </c>
      <c r="O45" s="3">
        <f t="shared" si="50"/>
        <v>-1.5</v>
      </c>
      <c r="P45" s="3">
        <f t="shared" si="50"/>
        <v>0</v>
      </c>
      <c r="Q45" s="3">
        <f t="shared" si="50"/>
        <v>1.5</v>
      </c>
      <c r="R45" s="3">
        <f t="shared" si="50"/>
        <v>1</v>
      </c>
      <c r="S45" s="3">
        <f t="shared" si="50"/>
        <v>0</v>
      </c>
      <c r="T45" s="3">
        <f t="shared" si="50"/>
        <v>1</v>
      </c>
      <c r="U45" s="3">
        <f t="shared" si="50"/>
        <v>-1.5</v>
      </c>
      <c r="V45" s="3">
        <f t="shared" ref="V45" si="51">V19-V6</f>
        <v>-19.5</v>
      </c>
      <c r="W45" s="3">
        <f t="shared" si="50"/>
        <v>0</v>
      </c>
      <c r="X45" s="3">
        <f t="shared" si="50"/>
        <v>2</v>
      </c>
      <c r="Y45" s="3">
        <f t="shared" ref="Y45:AA45" si="52">Y19-Y6</f>
        <v>0</v>
      </c>
      <c r="Z45" s="3">
        <f t="shared" si="52"/>
        <v>-2</v>
      </c>
      <c r="AA45" s="3">
        <f t="shared" si="52"/>
        <v>4</v>
      </c>
      <c r="AB45" s="3">
        <f t="shared" ref="AB45:AC45" si="53">AB19-AB6</f>
        <v>5.5</v>
      </c>
      <c r="AC45" s="3">
        <f t="shared" si="53"/>
        <v>10.5</v>
      </c>
      <c r="AD45" s="3">
        <f t="shared" ref="AD45:AE45" si="54">AD19-AD6</f>
        <v>6</v>
      </c>
      <c r="AE45" s="3">
        <f t="shared" si="54"/>
        <v>0</v>
      </c>
      <c r="AF45" s="3">
        <f t="shared" ref="AF45:AG45" si="55">AF19-AF6</f>
        <v>-2</v>
      </c>
      <c r="AG45" s="3">
        <f t="shared" si="55"/>
        <v>0</v>
      </c>
      <c r="AH45" s="3">
        <f t="shared" ref="AH45:AI45" si="56">AH19-AH6</f>
        <v>0</v>
      </c>
      <c r="AI45" s="3">
        <f t="shared" si="56"/>
        <v>1.5</v>
      </c>
      <c r="AJ45" s="3">
        <f t="shared" ref="AJ45:AK45" si="57">AJ19-AJ6</f>
        <v>6.5</v>
      </c>
      <c r="AK45" s="3">
        <f t="shared" si="57"/>
        <v>0</v>
      </c>
      <c r="AL45" s="3">
        <f t="shared" ref="AL45" si="58">AL19-AL6</f>
        <v>3</v>
      </c>
      <c r="AM45" s="3"/>
      <c r="AN45" s="3"/>
      <c r="AO45" s="3"/>
      <c r="AP45">
        <f t="shared" si="28"/>
        <v>10</v>
      </c>
      <c r="AQ45" s="5">
        <f t="shared" si="29"/>
        <v>0.5161290322580645</v>
      </c>
      <c r="AR45" s="5">
        <f t="shared" si="30"/>
        <v>0.32258064516129031</v>
      </c>
      <c r="AS45" s="5">
        <f t="shared" si="31"/>
        <v>0.16129032258064516</v>
      </c>
      <c r="AT45">
        <v>66.5</v>
      </c>
      <c r="AU45">
        <v>67</v>
      </c>
      <c r="AV45">
        <v>68</v>
      </c>
      <c r="AW45">
        <v>11</v>
      </c>
      <c r="AX45">
        <v>81.8</v>
      </c>
      <c r="AY45">
        <v>90.9</v>
      </c>
      <c r="AZ45">
        <v>0</v>
      </c>
      <c r="BA45">
        <v>0</v>
      </c>
      <c r="BB45">
        <v>0</v>
      </c>
    </row>
    <row r="46" spans="1:58">
      <c r="A46">
        <v>5</v>
      </c>
      <c r="B46" s="3" t="s">
        <v>4</v>
      </c>
      <c r="C46" s="3">
        <f t="shared" si="19"/>
        <v>12</v>
      </c>
      <c r="D46" s="3">
        <f t="shared" ref="D46:X46" si="59">D20-D7</f>
        <v>1</v>
      </c>
      <c r="E46" s="3">
        <f t="shared" si="59"/>
        <v>-10.5</v>
      </c>
      <c r="F46" s="3">
        <f t="shared" si="59"/>
        <v>-1.5</v>
      </c>
      <c r="G46" s="3">
        <f t="shared" si="59"/>
        <v>1</v>
      </c>
      <c r="H46" s="3">
        <f t="shared" si="59"/>
        <v>2</v>
      </c>
      <c r="I46" s="3">
        <f t="shared" si="59"/>
        <v>2.5</v>
      </c>
      <c r="J46" s="3">
        <f t="shared" si="59"/>
        <v>0</v>
      </c>
      <c r="K46" s="3">
        <f t="shared" si="59"/>
        <v>-3</v>
      </c>
      <c r="L46" s="3">
        <f t="shared" si="59"/>
        <v>1.5</v>
      </c>
      <c r="M46" s="3">
        <f t="shared" si="59"/>
        <v>-2.5</v>
      </c>
      <c r="N46" s="3">
        <f t="shared" si="59"/>
        <v>-9</v>
      </c>
      <c r="O46" s="3">
        <f t="shared" si="59"/>
        <v>3</v>
      </c>
      <c r="P46" s="3">
        <f t="shared" si="59"/>
        <v>0</v>
      </c>
      <c r="Q46" s="3">
        <f t="shared" si="59"/>
        <v>2.5</v>
      </c>
      <c r="R46" s="3">
        <f t="shared" si="59"/>
        <v>0.5</v>
      </c>
      <c r="S46" s="3">
        <f t="shared" si="59"/>
        <v>-4</v>
      </c>
      <c r="T46" s="3">
        <f t="shared" si="59"/>
        <v>2.5</v>
      </c>
      <c r="U46" s="3">
        <f t="shared" si="59"/>
        <v>12.5</v>
      </c>
      <c r="V46" s="3">
        <f t="shared" ref="V46" si="60">V20-V7</f>
        <v>-3.5</v>
      </c>
      <c r="W46" s="3">
        <f t="shared" si="59"/>
        <v>1</v>
      </c>
      <c r="X46" s="3">
        <f t="shared" si="59"/>
        <v>-1.5</v>
      </c>
      <c r="Y46" s="3">
        <f t="shared" ref="Y46:AA46" si="61">Y20-Y7</f>
        <v>1</v>
      </c>
      <c r="Z46" s="3">
        <f t="shared" si="61"/>
        <v>3</v>
      </c>
      <c r="AA46" s="3">
        <f t="shared" si="61"/>
        <v>7</v>
      </c>
      <c r="AB46" s="3">
        <f t="shared" ref="AB46:AC46" si="62">AB20-AB7</f>
        <v>-4</v>
      </c>
      <c r="AC46" s="3">
        <f t="shared" si="62"/>
        <v>0</v>
      </c>
      <c r="AD46" s="3">
        <f t="shared" ref="AD46:AE46" si="63">AD20-AD7</f>
        <v>0</v>
      </c>
      <c r="AE46" s="3">
        <f t="shared" si="63"/>
        <v>4.5</v>
      </c>
      <c r="AF46" s="3">
        <f t="shared" ref="AF46:AG46" si="64">AF20-AF7</f>
        <v>3</v>
      </c>
      <c r="AG46" s="3">
        <f t="shared" si="64"/>
        <v>-1</v>
      </c>
      <c r="AH46" s="3">
        <f t="shared" ref="AH46:AI46" si="65">AH20-AH7</f>
        <v>1</v>
      </c>
      <c r="AI46" s="3">
        <f t="shared" si="65"/>
        <v>-1.5</v>
      </c>
      <c r="AJ46" s="3">
        <f t="shared" ref="AJ46:AK46" si="66">AJ20-AJ7</f>
        <v>-1</v>
      </c>
      <c r="AK46" s="3">
        <f t="shared" si="66"/>
        <v>0</v>
      </c>
      <c r="AL46" s="3">
        <f>AL20-AL7</f>
        <v>0.5</v>
      </c>
      <c r="AM46" s="3"/>
      <c r="AN46" s="3"/>
      <c r="AO46" s="3"/>
      <c r="AP46">
        <f t="shared" si="28"/>
        <v>12</v>
      </c>
      <c r="AQ46" s="5">
        <f t="shared" si="29"/>
        <v>0.5161290322580645</v>
      </c>
      <c r="AR46" s="5">
        <f t="shared" si="30"/>
        <v>0.16129032258064516</v>
      </c>
      <c r="AS46" s="5">
        <f t="shared" si="31"/>
        <v>0.32258064516129031</v>
      </c>
      <c r="AT46" t="s">
        <v>15</v>
      </c>
    </row>
    <row r="47" spans="1:58">
      <c r="A47">
        <v>6</v>
      </c>
      <c r="B47" s="3" t="s">
        <v>6</v>
      </c>
      <c r="C47" s="3">
        <f t="shared" si="19"/>
        <v>14</v>
      </c>
      <c r="D47" s="3">
        <f t="shared" ref="D47:X47" si="67">D21-D8</f>
        <v>0</v>
      </c>
      <c r="E47" s="3">
        <f t="shared" si="67"/>
        <v>-9</v>
      </c>
      <c r="F47" s="3">
        <f t="shared" si="67"/>
        <v>5.5</v>
      </c>
      <c r="G47" s="3">
        <f t="shared" si="67"/>
        <v>0</v>
      </c>
      <c r="H47" s="3">
        <f t="shared" si="67"/>
        <v>1.5</v>
      </c>
      <c r="I47" s="3">
        <f t="shared" si="67"/>
        <v>0</v>
      </c>
      <c r="J47" s="3">
        <f t="shared" si="67"/>
        <v>0</v>
      </c>
      <c r="K47" s="3">
        <f t="shared" si="67"/>
        <v>-0.5</v>
      </c>
      <c r="L47" s="3">
        <f t="shared" si="67"/>
        <v>8</v>
      </c>
      <c r="M47" s="3">
        <f t="shared" si="67"/>
        <v>-2</v>
      </c>
      <c r="N47" s="3">
        <f t="shared" si="67"/>
        <v>-5</v>
      </c>
      <c r="O47" s="3">
        <f t="shared" si="67"/>
        <v>1</v>
      </c>
      <c r="P47" s="3">
        <f t="shared" si="67"/>
        <v>1</v>
      </c>
      <c r="Q47" s="3">
        <f t="shared" si="67"/>
        <v>-5.5</v>
      </c>
      <c r="R47" s="3">
        <f t="shared" si="67"/>
        <v>-1.5</v>
      </c>
      <c r="S47" s="3">
        <f t="shared" si="67"/>
        <v>-0.5</v>
      </c>
      <c r="T47" s="3">
        <f t="shared" si="67"/>
        <v>-1</v>
      </c>
      <c r="U47" s="3">
        <f t="shared" si="67"/>
        <v>0</v>
      </c>
      <c r="V47" s="3">
        <f t="shared" ref="V47" si="68">V21-V8</f>
        <v>0</v>
      </c>
      <c r="W47" s="3">
        <f t="shared" si="67"/>
        <v>5.5</v>
      </c>
      <c r="X47" s="3">
        <f t="shared" si="67"/>
        <v>0.5</v>
      </c>
      <c r="Y47" s="3">
        <f t="shared" ref="Y47:Z47" si="69">Y21-Y8</f>
        <v>-0.5</v>
      </c>
      <c r="Z47" s="3">
        <f t="shared" si="69"/>
        <v>0.5</v>
      </c>
      <c r="AA47" s="3">
        <f>AA21-AA8</f>
        <v>0</v>
      </c>
      <c r="AB47" s="3">
        <f t="shared" ref="AB47:AC47" si="70">AB21-AB8</f>
        <v>-1</v>
      </c>
      <c r="AC47" s="3">
        <f t="shared" si="70"/>
        <v>1</v>
      </c>
      <c r="AD47" s="3">
        <f t="shared" ref="AD47:AE47" si="71">AD21-AD8</f>
        <v>-1</v>
      </c>
      <c r="AE47" s="3">
        <f t="shared" si="71"/>
        <v>0.5</v>
      </c>
      <c r="AF47" s="3">
        <f t="shared" ref="AF47:AG47" si="72">AF21-AF8</f>
        <v>1.5</v>
      </c>
      <c r="AG47" s="3">
        <f t="shared" si="72"/>
        <v>0</v>
      </c>
      <c r="AH47" s="3">
        <f t="shared" ref="AH47:AI47" si="73">AH21-AH8</f>
        <v>5</v>
      </c>
      <c r="AI47" s="3">
        <f t="shared" si="73"/>
        <v>2</v>
      </c>
      <c r="AJ47" s="3">
        <f t="shared" ref="AJ47:AK47" si="74">AJ21-AJ8</f>
        <v>-0.5</v>
      </c>
      <c r="AK47" s="3">
        <f t="shared" si="74"/>
        <v>0</v>
      </c>
      <c r="AL47" s="3">
        <f t="shared" ref="AL47" si="75">AL21-AL8</f>
        <v>0.5</v>
      </c>
      <c r="AM47" s="3"/>
      <c r="AN47" s="3"/>
      <c r="AO47" s="3"/>
      <c r="AP47">
        <f t="shared" si="28"/>
        <v>7</v>
      </c>
      <c r="AQ47" s="5">
        <f t="shared" si="29"/>
        <v>0.41935483870967744</v>
      </c>
      <c r="AR47" s="5">
        <f t="shared" si="30"/>
        <v>0.22580645161290322</v>
      </c>
      <c r="AS47" s="5">
        <f t="shared" si="31"/>
        <v>0.35483870967741937</v>
      </c>
      <c r="AT47">
        <v>83.5</v>
      </c>
      <c r="AU47">
        <v>77.5</v>
      </c>
      <c r="AV47">
        <v>86</v>
      </c>
      <c r="AW47">
        <v>11</v>
      </c>
      <c r="AX47">
        <v>90.9</v>
      </c>
      <c r="AY47">
        <v>72.7</v>
      </c>
      <c r="AZ47">
        <v>0</v>
      </c>
      <c r="BA47">
        <v>0</v>
      </c>
      <c r="BB47">
        <v>1</v>
      </c>
    </row>
    <row r="48" spans="1:58">
      <c r="A48">
        <v>7</v>
      </c>
      <c r="B48" s="3" t="s">
        <v>9</v>
      </c>
      <c r="C48" s="3">
        <f>SUM(W48:AO48)</f>
        <v>30.5</v>
      </c>
      <c r="D48" s="3">
        <f t="shared" ref="D48:Z48" si="76">D22-D9</f>
        <v>-6</v>
      </c>
      <c r="E48" s="3">
        <f t="shared" si="76"/>
        <v>-1.5</v>
      </c>
      <c r="F48" s="3">
        <f t="shared" si="76"/>
        <v>-1.5</v>
      </c>
      <c r="G48" s="3">
        <f t="shared" si="76"/>
        <v>-3</v>
      </c>
      <c r="H48" s="3">
        <f t="shared" si="76"/>
        <v>-4.5</v>
      </c>
      <c r="I48" s="3">
        <f t="shared" si="76"/>
        <v>1.5</v>
      </c>
      <c r="J48" s="3">
        <f t="shared" si="76"/>
        <v>5</v>
      </c>
      <c r="K48" s="3">
        <f t="shared" si="76"/>
        <v>-0.5</v>
      </c>
      <c r="L48" s="3">
        <f t="shared" si="76"/>
        <v>0.5</v>
      </c>
      <c r="M48" s="3">
        <f t="shared" si="76"/>
        <v>3.5</v>
      </c>
      <c r="N48" s="3">
        <f t="shared" si="76"/>
        <v>0.5</v>
      </c>
      <c r="O48" s="3">
        <f t="shared" si="76"/>
        <v>-10</v>
      </c>
      <c r="P48" s="3">
        <f t="shared" si="76"/>
        <v>-2</v>
      </c>
      <c r="Q48" s="3">
        <f t="shared" si="76"/>
        <v>-2</v>
      </c>
      <c r="R48" s="3">
        <f t="shared" si="76"/>
        <v>1</v>
      </c>
      <c r="S48" s="3">
        <f t="shared" si="76"/>
        <v>3.5</v>
      </c>
      <c r="T48" s="3">
        <f t="shared" si="76"/>
        <v>3</v>
      </c>
      <c r="U48" s="3">
        <f t="shared" si="76"/>
        <v>2</v>
      </c>
      <c r="V48" s="3">
        <f t="shared" si="76"/>
        <v>-9.5</v>
      </c>
      <c r="W48" s="3">
        <f t="shared" si="76"/>
        <v>1.5</v>
      </c>
      <c r="X48" s="3">
        <f t="shared" si="76"/>
        <v>6.5</v>
      </c>
      <c r="Y48" s="3">
        <f t="shared" si="76"/>
        <v>2.5</v>
      </c>
      <c r="Z48" s="3">
        <f t="shared" si="76"/>
        <v>3.5</v>
      </c>
      <c r="AA48" s="3">
        <f>AA22-AA9</f>
        <v>3</v>
      </c>
      <c r="AB48" s="3">
        <f t="shared" ref="AB48:AG48" si="77">AB22-AB9</f>
        <v>0</v>
      </c>
      <c r="AC48" s="3">
        <f t="shared" si="77"/>
        <v>0</v>
      </c>
      <c r="AD48" s="3">
        <f t="shared" si="77"/>
        <v>-0.5</v>
      </c>
      <c r="AE48" s="3">
        <f t="shared" si="77"/>
        <v>-1</v>
      </c>
      <c r="AF48" s="3">
        <f t="shared" si="77"/>
        <v>2</v>
      </c>
      <c r="AG48" s="3">
        <f t="shared" si="77"/>
        <v>2.5</v>
      </c>
      <c r="AH48" s="3">
        <f t="shared" ref="AH48:AI48" si="78">AH22-AH9</f>
        <v>-0.5</v>
      </c>
      <c r="AI48" s="3">
        <f t="shared" si="78"/>
        <v>1</v>
      </c>
      <c r="AJ48" s="3">
        <f t="shared" ref="AJ48:AK48" si="79">AJ22-AJ9</f>
        <v>-1.5</v>
      </c>
      <c r="AK48" s="3">
        <f t="shared" si="79"/>
        <v>7.5</v>
      </c>
      <c r="AL48" s="3">
        <f t="shared" ref="AL48" si="80">AL22-AL9</f>
        <v>4</v>
      </c>
      <c r="AM48" s="3"/>
      <c r="AN48" s="3"/>
      <c r="AO48" s="3"/>
      <c r="AP48">
        <f>COUNTIF(H48:AA48,"&gt;0")</f>
        <v>14</v>
      </c>
      <c r="AQ48" s="5">
        <f>COUNTIF(H48:AO48,"&gt;0")/COUNT(H48:AO48)</f>
        <v>0.61290322580645162</v>
      </c>
      <c r="AR48" s="5">
        <f>COUNTIF(H48:AO48,"=0")/COUNT(H48:AO48)</f>
        <v>6.4516129032258063E-2</v>
      </c>
      <c r="AS48" s="5">
        <f>COUNTIF(H48:AO48,"&lt;0")/COUNT(H48:AO48)</f>
        <v>0.32258064516129031</v>
      </c>
      <c r="AT48">
        <v>81</v>
      </c>
      <c r="AU48">
        <v>82</v>
      </c>
      <c r="AV48">
        <v>85</v>
      </c>
      <c r="AW48">
        <v>11</v>
      </c>
      <c r="AX48">
        <v>90.9</v>
      </c>
      <c r="AY48">
        <v>90.9</v>
      </c>
      <c r="AZ48">
        <v>0</v>
      </c>
      <c r="BA48">
        <v>1</v>
      </c>
      <c r="BB48">
        <v>2</v>
      </c>
    </row>
    <row r="49" spans="1:54">
      <c r="A49">
        <v>8</v>
      </c>
      <c r="B49" s="3" t="s">
        <v>7</v>
      </c>
      <c r="C49" s="3">
        <f>SUM(W49:AO49)</f>
        <v>50</v>
      </c>
      <c r="D49" s="3">
        <f t="shared" ref="D49:X49" si="81">D23-D10</f>
        <v>-2</v>
      </c>
      <c r="E49" s="3">
        <f t="shared" si="81"/>
        <v>-3.5</v>
      </c>
      <c r="F49" s="3">
        <f t="shared" si="81"/>
        <v>13.5</v>
      </c>
      <c r="G49" s="3">
        <f t="shared" si="81"/>
        <v>3</v>
      </c>
      <c r="H49" s="3">
        <f t="shared" si="81"/>
        <v>-2</v>
      </c>
      <c r="I49" s="3">
        <f t="shared" si="81"/>
        <v>0.5</v>
      </c>
      <c r="J49" s="3">
        <f t="shared" si="81"/>
        <v>4.5</v>
      </c>
      <c r="K49" s="3">
        <f t="shared" si="81"/>
        <v>-6.5</v>
      </c>
      <c r="L49" s="3">
        <f t="shared" si="81"/>
        <v>-10</v>
      </c>
      <c r="M49" s="3">
        <f t="shared" si="81"/>
        <v>-5.5</v>
      </c>
      <c r="N49" s="3">
        <f t="shared" si="81"/>
        <v>-6.5</v>
      </c>
      <c r="O49" s="3">
        <f t="shared" si="81"/>
        <v>3</v>
      </c>
      <c r="P49" s="3">
        <f t="shared" si="81"/>
        <v>-1</v>
      </c>
      <c r="Q49" s="3">
        <f t="shared" si="81"/>
        <v>3.5</v>
      </c>
      <c r="R49" s="3">
        <f t="shared" si="81"/>
        <v>2</v>
      </c>
      <c r="S49" s="3">
        <f t="shared" si="81"/>
        <v>3.5</v>
      </c>
      <c r="T49" s="3">
        <f t="shared" si="81"/>
        <v>1.5</v>
      </c>
      <c r="U49" s="3">
        <f t="shared" si="81"/>
        <v>1.5</v>
      </c>
      <c r="V49" s="3">
        <f t="shared" ref="V49" si="82">V23-V10</f>
        <v>2</v>
      </c>
      <c r="W49" s="3">
        <f t="shared" si="81"/>
        <v>3.5</v>
      </c>
      <c r="X49" s="3">
        <f t="shared" si="81"/>
        <v>5.5</v>
      </c>
      <c r="Y49" s="3">
        <f t="shared" ref="Y49:AA49" si="83">Y23-Y10</f>
        <v>1.5</v>
      </c>
      <c r="Z49" s="3">
        <f t="shared" si="83"/>
        <v>1.5</v>
      </c>
      <c r="AA49" s="3">
        <f t="shared" si="83"/>
        <v>6</v>
      </c>
      <c r="AB49" s="3">
        <f t="shared" ref="AB49:AC49" si="84">AB23-AB10</f>
        <v>12</v>
      </c>
      <c r="AC49" s="3">
        <f t="shared" si="84"/>
        <v>-1.5</v>
      </c>
      <c r="AD49" s="3">
        <f t="shared" ref="AD49:AE49" si="85">AD23-AD10</f>
        <v>8.5</v>
      </c>
      <c r="AE49" s="3">
        <f t="shared" si="85"/>
        <v>2</v>
      </c>
      <c r="AF49" s="3">
        <f t="shared" ref="AF49:AG49" si="86">AF23-AF10</f>
        <v>1.5</v>
      </c>
      <c r="AG49" s="3">
        <f t="shared" si="86"/>
        <v>5</v>
      </c>
      <c r="AH49" s="3">
        <f t="shared" ref="AH49:AI49" si="87">AH23-AH10</f>
        <v>4.5</v>
      </c>
      <c r="AI49" s="3">
        <f t="shared" si="87"/>
        <v>0</v>
      </c>
      <c r="AJ49" s="3">
        <f t="shared" ref="AJ49:AK49" si="88">AJ23-AJ10</f>
        <v>0</v>
      </c>
      <c r="AK49" s="3">
        <f t="shared" si="88"/>
        <v>-0.5</v>
      </c>
      <c r="AL49" s="3">
        <f t="shared" ref="AL49" si="89">AL23-AL10</f>
        <v>0.5</v>
      </c>
      <c r="AM49" s="3"/>
      <c r="AN49" s="3"/>
      <c r="AO49" s="3"/>
      <c r="AP49">
        <f t="shared" si="28"/>
        <v>14</v>
      </c>
      <c r="AQ49" s="5">
        <f t="shared" si="29"/>
        <v>0.67741935483870963</v>
      </c>
      <c r="AR49" s="5">
        <f t="shared" si="30"/>
        <v>6.4516129032258063E-2</v>
      </c>
      <c r="AS49" s="5">
        <f>COUNTIF(H49:AO49,"&lt;0")/COUNT(H49:AO49)</f>
        <v>0.25806451612903225</v>
      </c>
      <c r="AT49">
        <v>72.5</v>
      </c>
      <c r="AU49">
        <v>74.5</v>
      </c>
      <c r="AV49">
        <v>83</v>
      </c>
      <c r="AW49">
        <v>11</v>
      </c>
      <c r="AX49">
        <v>81.8</v>
      </c>
      <c r="AY49">
        <v>81.8</v>
      </c>
      <c r="AZ49">
        <v>0</v>
      </c>
      <c r="BA49">
        <v>0</v>
      </c>
      <c r="BB49">
        <v>3</v>
      </c>
    </row>
    <row r="50" spans="1:54">
      <c r="A50">
        <v>9</v>
      </c>
      <c r="B50" s="3" t="s">
        <v>8</v>
      </c>
      <c r="C50" s="3">
        <f>SUM(W50:AO50)</f>
        <v>9</v>
      </c>
      <c r="D50" s="3">
        <f t="shared" ref="D50:X50" si="90">D24-D11</f>
        <v>-2</v>
      </c>
      <c r="E50" s="3">
        <f t="shared" si="90"/>
        <v>0.5</v>
      </c>
      <c r="F50" s="3">
        <f t="shared" si="90"/>
        <v>-9.5</v>
      </c>
      <c r="G50" s="3">
        <f t="shared" si="90"/>
        <v>-0.5</v>
      </c>
      <c r="H50" s="3">
        <f t="shared" si="90"/>
        <v>0</v>
      </c>
      <c r="I50" s="3">
        <f t="shared" si="90"/>
        <v>-7.5</v>
      </c>
      <c r="J50" s="3">
        <f t="shared" si="90"/>
        <v>-1</v>
      </c>
      <c r="K50" s="3">
        <f t="shared" si="90"/>
        <v>5.5</v>
      </c>
      <c r="L50" s="3">
        <f t="shared" si="90"/>
        <v>2.5</v>
      </c>
      <c r="M50" s="3">
        <f t="shared" si="90"/>
        <v>2.5</v>
      </c>
      <c r="N50" s="3">
        <f t="shared" si="90"/>
        <v>-0.5</v>
      </c>
      <c r="O50" s="3">
        <f t="shared" si="90"/>
        <v>1.5</v>
      </c>
      <c r="P50" s="3">
        <f t="shared" si="90"/>
        <v>-4</v>
      </c>
      <c r="Q50" s="3">
        <f t="shared" si="90"/>
        <v>-3</v>
      </c>
      <c r="R50" s="3">
        <f t="shared" si="90"/>
        <v>-3</v>
      </c>
      <c r="S50" s="3">
        <f t="shared" si="90"/>
        <v>-7.5</v>
      </c>
      <c r="T50" s="3">
        <f t="shared" si="90"/>
        <v>-5</v>
      </c>
      <c r="U50" s="3">
        <f t="shared" si="90"/>
        <v>-14.5</v>
      </c>
      <c r="V50" s="3">
        <f t="shared" ref="V50" si="91">V24-V11</f>
        <v>-5</v>
      </c>
      <c r="W50" s="3">
        <f t="shared" si="90"/>
        <v>0</v>
      </c>
      <c r="X50" s="3">
        <f t="shared" si="90"/>
        <v>1</v>
      </c>
      <c r="Y50" s="3">
        <f t="shared" ref="Y50" si="92">Y24-Y11</f>
        <v>-0.5</v>
      </c>
      <c r="Z50" s="3">
        <f t="shared" ref="Z50:AA50" si="93">Z24-Z11</f>
        <v>5</v>
      </c>
      <c r="AA50" s="3">
        <f t="shared" si="93"/>
        <v>-1</v>
      </c>
      <c r="AB50" s="3">
        <f t="shared" ref="AB50:AC50" si="94">AB24-AB11</f>
        <v>-0.5</v>
      </c>
      <c r="AC50" s="3">
        <f t="shared" si="94"/>
        <v>2.5</v>
      </c>
      <c r="AD50" s="3">
        <f t="shared" ref="AD50:AE50" si="95">AD24-AD11</f>
        <v>3.5</v>
      </c>
      <c r="AE50" s="3">
        <f t="shared" si="95"/>
        <v>3</v>
      </c>
      <c r="AF50" s="3">
        <f t="shared" ref="AF50:AG50" si="96">AF24-AF11</f>
        <v>-1</v>
      </c>
      <c r="AG50" s="3">
        <f t="shared" si="96"/>
        <v>-1</v>
      </c>
      <c r="AH50" s="3">
        <f t="shared" ref="AH50:AI50" si="97">AH24-AH11</f>
        <v>2</v>
      </c>
      <c r="AI50" s="3">
        <f t="shared" si="97"/>
        <v>-1</v>
      </c>
      <c r="AJ50" s="3">
        <f t="shared" ref="AJ50:AK50" si="98">AJ24-AJ11</f>
        <v>-2.5</v>
      </c>
      <c r="AK50" s="3">
        <f t="shared" si="98"/>
        <v>0</v>
      </c>
      <c r="AL50" s="3">
        <f t="shared" ref="AL50" si="99">AL24-AL11</f>
        <v>-0.5</v>
      </c>
      <c r="AM50" s="3"/>
      <c r="AN50" s="3"/>
      <c r="AO50" s="3"/>
      <c r="AP50">
        <f t="shared" si="28"/>
        <v>6</v>
      </c>
      <c r="AQ50" s="5">
        <f t="shared" si="29"/>
        <v>0.32258064516129031</v>
      </c>
      <c r="AR50" s="5">
        <f t="shared" si="30"/>
        <v>9.6774193548387094E-2</v>
      </c>
      <c r="AS50" s="5">
        <f t="shared" si="31"/>
        <v>0.58064516129032262</v>
      </c>
      <c r="AT50">
        <v>56</v>
      </c>
      <c r="AU50">
        <v>62.5</v>
      </c>
      <c r="AV50">
        <v>70.5</v>
      </c>
      <c r="AW50">
        <v>10</v>
      </c>
      <c r="AX50">
        <v>72.7</v>
      </c>
      <c r="AY50">
        <v>81.8</v>
      </c>
      <c r="AZ50">
        <v>0</v>
      </c>
      <c r="BA50">
        <v>0</v>
      </c>
      <c r="BB50">
        <v>1</v>
      </c>
    </row>
    <row r="51" spans="1:54" ht="15">
      <c r="C51" s="4">
        <f>SUM(C41:C50)</f>
        <v>226.5</v>
      </c>
      <c r="D51" s="9">
        <f t="shared" ref="D51:AL51" si="100">SUM(D41:D50)</f>
        <v>-2</v>
      </c>
      <c r="E51" s="9">
        <f t="shared" si="100"/>
        <v>-39</v>
      </c>
      <c r="F51" s="9">
        <f t="shared" si="100"/>
        <v>8.5</v>
      </c>
      <c r="G51" s="9">
        <f t="shared" si="100"/>
        <v>-7</v>
      </c>
      <c r="H51" s="9">
        <f t="shared" si="100"/>
        <v>-6</v>
      </c>
      <c r="I51" s="9">
        <f t="shared" si="100"/>
        <v>3</v>
      </c>
      <c r="J51" s="9">
        <f t="shared" si="100"/>
        <v>-6.5</v>
      </c>
      <c r="K51" s="9">
        <f t="shared" si="100"/>
        <v>-6</v>
      </c>
      <c r="L51" s="9">
        <f t="shared" si="100"/>
        <v>5</v>
      </c>
      <c r="M51" s="9">
        <f t="shared" si="100"/>
        <v>-4</v>
      </c>
      <c r="N51" s="9">
        <f t="shared" si="100"/>
        <v>-17</v>
      </c>
      <c r="O51" s="9">
        <f t="shared" si="100"/>
        <v>-5</v>
      </c>
      <c r="P51" s="9">
        <f t="shared" si="100"/>
        <v>-19.5</v>
      </c>
      <c r="Q51" s="9">
        <f t="shared" si="100"/>
        <v>-3.5</v>
      </c>
      <c r="R51" s="9">
        <f t="shared" si="100"/>
        <v>0.5</v>
      </c>
      <c r="S51" s="9">
        <f t="shared" si="100"/>
        <v>-6.5</v>
      </c>
      <c r="T51" s="9">
        <f t="shared" si="100"/>
        <v>5</v>
      </c>
      <c r="U51" s="9">
        <f t="shared" si="100"/>
        <v>-7.5</v>
      </c>
      <c r="V51" s="9">
        <f t="shared" ref="V51" si="101">SUM(V41:V50)</f>
        <v>-33</v>
      </c>
      <c r="W51" s="9">
        <f t="shared" si="100"/>
        <v>9.5</v>
      </c>
      <c r="X51" s="9">
        <f t="shared" si="100"/>
        <v>25.5</v>
      </c>
      <c r="Y51" s="9">
        <f t="shared" si="100"/>
        <v>7.5</v>
      </c>
      <c r="Z51" s="9">
        <f t="shared" si="100"/>
        <v>11</v>
      </c>
      <c r="AA51" s="9">
        <f t="shared" si="100"/>
        <v>27.5</v>
      </c>
      <c r="AB51" s="9">
        <f t="shared" si="100"/>
        <v>10</v>
      </c>
      <c r="AC51" s="9">
        <f t="shared" si="100"/>
        <v>22.5</v>
      </c>
      <c r="AD51" s="9">
        <f t="shared" si="100"/>
        <v>11</v>
      </c>
      <c r="AE51" s="9">
        <f t="shared" si="100"/>
        <v>13.5</v>
      </c>
      <c r="AF51" s="9">
        <f t="shared" si="100"/>
        <v>18</v>
      </c>
      <c r="AG51" s="9">
        <f t="shared" si="100"/>
        <v>12</v>
      </c>
      <c r="AH51" s="9">
        <f t="shared" si="100"/>
        <v>15.5</v>
      </c>
      <c r="AI51" s="9">
        <f t="shared" si="100"/>
        <v>8</v>
      </c>
      <c r="AJ51" s="9">
        <f t="shared" si="100"/>
        <v>12</v>
      </c>
      <c r="AK51" s="9">
        <f t="shared" si="100"/>
        <v>11.5</v>
      </c>
      <c r="AL51" s="9">
        <f t="shared" si="100"/>
        <v>11.5</v>
      </c>
      <c r="AM51" s="9"/>
      <c r="AN51" s="9"/>
      <c r="AO51" s="9"/>
      <c r="AP51">
        <f t="shared" si="28"/>
        <v>9</v>
      </c>
      <c r="AQ51" s="12">
        <f t="shared" ref="AQ51" si="102">COUNTIF(H51:AA51,"&gt;0")/COUNT(H51:AA51)</f>
        <v>0.45</v>
      </c>
      <c r="AR51" s="12">
        <f t="shared" ref="AR51" si="103">COUNTIF(I51:AP51,"=0")/COUNT(I51:AP51)</f>
        <v>0</v>
      </c>
      <c r="AS51" s="12">
        <f t="shared" ref="AS51" si="104">COUNTIF(H51:AA51,"&lt;0")/COUNT(H51:AA51)</f>
        <v>0.55000000000000004</v>
      </c>
      <c r="AT51">
        <v>68</v>
      </c>
      <c r="AU51">
        <v>67.5</v>
      </c>
      <c r="AV51">
        <v>72</v>
      </c>
      <c r="AW51">
        <v>11</v>
      </c>
      <c r="AX51">
        <v>90.9</v>
      </c>
      <c r="AY51">
        <v>90.9</v>
      </c>
      <c r="AZ51">
        <v>0</v>
      </c>
      <c r="BA51">
        <v>0</v>
      </c>
      <c r="BB51">
        <v>3</v>
      </c>
    </row>
    <row r="52" spans="1:54">
      <c r="AH52">
        <v>13</v>
      </c>
      <c r="AI52">
        <v>3.5</v>
      </c>
      <c r="AJ52">
        <v>9</v>
      </c>
      <c r="AK52">
        <v>-2</v>
      </c>
      <c r="AL52">
        <v>4.5</v>
      </c>
      <c r="AQ52" s="8">
        <f>AVERAGE(AQ41:AQ50)</f>
        <v>0.49677419354838709</v>
      </c>
      <c r="AR52" s="8">
        <f>AVERAGE(AR41:AR50)</f>
        <v>0.14838709677419354</v>
      </c>
      <c r="AS52" s="8">
        <f>AVERAGE(AS41:AS50)</f>
        <v>0.35483870967741937</v>
      </c>
      <c r="AT52">
        <v>76</v>
      </c>
      <c r="AU52">
        <v>74</v>
      </c>
      <c r="AV52">
        <v>80.5</v>
      </c>
      <c r="AW52">
        <v>11</v>
      </c>
      <c r="AX52">
        <v>72.7</v>
      </c>
      <c r="AY52">
        <v>63.6</v>
      </c>
      <c r="AZ52">
        <v>0</v>
      </c>
      <c r="BA52">
        <v>0</v>
      </c>
      <c r="BB52">
        <v>2</v>
      </c>
    </row>
    <row r="53" spans="1:54">
      <c r="D53" s="14">
        <v>1</v>
      </c>
      <c r="E53" s="14">
        <v>2</v>
      </c>
      <c r="F53" s="14">
        <v>3</v>
      </c>
      <c r="G53" s="14">
        <v>4</v>
      </c>
      <c r="H53" s="14">
        <v>5</v>
      </c>
      <c r="I53" s="14">
        <v>6</v>
      </c>
      <c r="J53" s="14">
        <v>7</v>
      </c>
      <c r="K53" s="14">
        <v>8</v>
      </c>
      <c r="L53" s="14">
        <v>9</v>
      </c>
      <c r="M53" s="14">
        <v>10</v>
      </c>
      <c r="N53" s="14">
        <v>11</v>
      </c>
      <c r="O53" s="14">
        <v>12</v>
      </c>
      <c r="P53" s="14">
        <v>13</v>
      </c>
      <c r="Q53" s="14">
        <v>14</v>
      </c>
      <c r="R53" s="14">
        <v>15</v>
      </c>
      <c r="S53" s="14">
        <v>16</v>
      </c>
      <c r="T53" s="14">
        <v>17</v>
      </c>
      <c r="U53" s="14">
        <v>18</v>
      </c>
      <c r="V53" s="14">
        <v>19</v>
      </c>
      <c r="W53" s="14">
        <v>20</v>
      </c>
      <c r="X53" s="14">
        <v>21</v>
      </c>
      <c r="Y53" s="14">
        <v>22</v>
      </c>
      <c r="Z53" s="14">
        <v>23</v>
      </c>
      <c r="AA53" s="14">
        <v>24</v>
      </c>
      <c r="AB53" s="14">
        <v>25</v>
      </c>
      <c r="AC53" s="14">
        <v>26</v>
      </c>
      <c r="AD53" s="14">
        <v>27</v>
      </c>
      <c r="AE53" s="14">
        <v>28</v>
      </c>
      <c r="AF53" s="14">
        <v>29</v>
      </c>
      <c r="AG53" s="14">
        <v>30</v>
      </c>
      <c r="AH53" s="14">
        <v>31</v>
      </c>
      <c r="AI53" s="14">
        <v>32</v>
      </c>
      <c r="AJ53" s="14">
        <v>33</v>
      </c>
      <c r="AK53" s="14">
        <v>34</v>
      </c>
      <c r="AL53" s="14">
        <v>34</v>
      </c>
      <c r="AM53" s="14">
        <v>36</v>
      </c>
      <c r="AN53" s="14">
        <v>37</v>
      </c>
      <c r="AO53" s="14">
        <v>38</v>
      </c>
      <c r="AQ53" t="s">
        <v>30</v>
      </c>
      <c r="AR53">
        <f>0</f>
        <v>0</v>
      </c>
      <c r="AS53" t="s">
        <v>31</v>
      </c>
      <c r="AT53">
        <v>78.5</v>
      </c>
      <c r="AU53">
        <v>77</v>
      </c>
      <c r="AV53">
        <v>88</v>
      </c>
      <c r="AW53">
        <v>11</v>
      </c>
      <c r="AX53">
        <v>81.8</v>
      </c>
      <c r="AY53">
        <v>72.7</v>
      </c>
      <c r="AZ53">
        <v>0</v>
      </c>
      <c r="BA53">
        <v>0</v>
      </c>
      <c r="BB53">
        <v>0</v>
      </c>
    </row>
    <row r="54" spans="1:54">
      <c r="A54">
        <v>0</v>
      </c>
      <c r="B54" s="3" t="s">
        <v>0</v>
      </c>
      <c r="C54" s="3">
        <f>SUM(W54:AO54)</f>
        <v>1240</v>
      </c>
      <c r="D54" s="3">
        <v>80</v>
      </c>
      <c r="E54" s="3">
        <v>75</v>
      </c>
      <c r="F54" s="3">
        <v>65.5</v>
      </c>
      <c r="G54" s="3">
        <v>74.5</v>
      </c>
      <c r="H54" s="3">
        <v>86</v>
      </c>
      <c r="I54" s="3">
        <v>75.5</v>
      </c>
      <c r="J54" s="3">
        <v>78</v>
      </c>
      <c r="K54" s="3">
        <v>71.5</v>
      </c>
      <c r="L54" s="3">
        <v>74</v>
      </c>
      <c r="M54" s="3">
        <v>73</v>
      </c>
      <c r="N54" s="3">
        <v>71.5</v>
      </c>
      <c r="O54" s="3">
        <v>90</v>
      </c>
      <c r="P54" s="3">
        <v>72.5</v>
      </c>
      <c r="Q54" s="3">
        <v>75.5</v>
      </c>
      <c r="R54" s="3">
        <v>79</v>
      </c>
      <c r="S54" s="3">
        <v>78</v>
      </c>
      <c r="T54" s="3">
        <v>84</v>
      </c>
      <c r="U54" s="3">
        <v>75</v>
      </c>
      <c r="V54" s="3">
        <v>89</v>
      </c>
      <c r="W54" s="3">
        <v>79</v>
      </c>
      <c r="X54" s="3">
        <v>72</v>
      </c>
      <c r="Y54" s="3">
        <v>81</v>
      </c>
      <c r="Z54" s="3">
        <v>64.5</v>
      </c>
      <c r="AA54" s="3">
        <v>71.5</v>
      </c>
      <c r="AB54" s="3">
        <v>80.5</v>
      </c>
      <c r="AC54" s="3">
        <v>72.5</v>
      </c>
      <c r="AD54" s="3">
        <v>79.5</v>
      </c>
      <c r="AE54" s="3">
        <v>83</v>
      </c>
      <c r="AF54" s="3">
        <v>85.5</v>
      </c>
      <c r="AG54" s="3">
        <v>95.5</v>
      </c>
      <c r="AH54" s="3">
        <v>72.5</v>
      </c>
      <c r="AI54" s="3">
        <v>71</v>
      </c>
      <c r="AJ54" s="3">
        <v>74.5</v>
      </c>
      <c r="AK54" s="3">
        <v>89</v>
      </c>
      <c r="AL54" s="3">
        <v>68.5</v>
      </c>
      <c r="AM54" s="3"/>
      <c r="AN54" s="3"/>
      <c r="AO54" s="3"/>
      <c r="AP54">
        <f>SUM(AG54:AL54)</f>
        <v>471</v>
      </c>
      <c r="AQ54" s="10">
        <f t="shared" ref="AQ54:AQ64" si="105">COUNTIF(W41:AO41,"&gt;0")/COUNT(W41:AO41)</f>
        <v>0.625</v>
      </c>
      <c r="AR54" s="5">
        <f t="shared" ref="AR54:AR63" si="106">COUNTIF(W41:AO41,"0")/COUNT(W41:AO41)</f>
        <v>6.25E-2</v>
      </c>
      <c r="AS54" s="5">
        <f t="shared" ref="AS54:AS64" si="107">COUNTIF(W41:AO41,"&lt;0")/COUNT(W41:AO41)</f>
        <v>0.3125</v>
      </c>
      <c r="AT54">
        <v>66</v>
      </c>
      <c r="AU54">
        <v>70.5</v>
      </c>
      <c r="AV54">
        <v>74.5</v>
      </c>
      <c r="AW54">
        <v>11</v>
      </c>
      <c r="AX54">
        <v>81.8</v>
      </c>
      <c r="AY54">
        <v>90.9</v>
      </c>
      <c r="AZ54">
        <v>0</v>
      </c>
      <c r="BA54">
        <v>0</v>
      </c>
      <c r="BB54">
        <v>1</v>
      </c>
    </row>
    <row r="55" spans="1:54">
      <c r="A55">
        <v>1</v>
      </c>
      <c r="B55" s="3" t="s">
        <v>1</v>
      </c>
      <c r="C55" s="3">
        <f t="shared" ref="C55:C63" si="108">SUM(W55:AO55)</f>
        <v>1209</v>
      </c>
      <c r="D55" s="3">
        <v>76</v>
      </c>
      <c r="E55" s="3">
        <v>76.5</v>
      </c>
      <c r="F55" s="3">
        <v>74</v>
      </c>
      <c r="G55" s="3">
        <v>77.5</v>
      </c>
      <c r="H55" s="3">
        <v>85</v>
      </c>
      <c r="I55" s="3">
        <v>67.5</v>
      </c>
      <c r="J55" s="3">
        <v>71</v>
      </c>
      <c r="K55" s="3">
        <v>71</v>
      </c>
      <c r="L55" s="3">
        <v>75</v>
      </c>
      <c r="M55" s="3">
        <v>82</v>
      </c>
      <c r="N55" s="3">
        <v>65</v>
      </c>
      <c r="O55" s="3">
        <v>73</v>
      </c>
      <c r="P55" s="3">
        <v>72</v>
      </c>
      <c r="Q55" s="3">
        <v>70</v>
      </c>
      <c r="R55" s="3">
        <v>71</v>
      </c>
      <c r="S55" s="3">
        <v>66.5</v>
      </c>
      <c r="T55" s="3">
        <v>69.5</v>
      </c>
      <c r="U55" s="3">
        <v>65</v>
      </c>
      <c r="V55" s="3">
        <v>71</v>
      </c>
      <c r="W55" s="3">
        <v>69.5</v>
      </c>
      <c r="X55" s="3">
        <v>77.5</v>
      </c>
      <c r="Y55" s="3">
        <v>75</v>
      </c>
      <c r="Z55" s="3">
        <v>75.5</v>
      </c>
      <c r="AA55" s="3">
        <v>83.5</v>
      </c>
      <c r="AB55" s="3">
        <v>72.5</v>
      </c>
      <c r="AC55" s="3">
        <v>67</v>
      </c>
      <c r="AD55" s="3">
        <v>75.5</v>
      </c>
      <c r="AE55" s="3">
        <v>67</v>
      </c>
      <c r="AF55" s="3">
        <v>81</v>
      </c>
      <c r="AG55" s="3">
        <v>71</v>
      </c>
      <c r="AH55" s="3">
        <v>64.5</v>
      </c>
      <c r="AI55" s="3">
        <v>91</v>
      </c>
      <c r="AJ55" s="3">
        <v>76.5</v>
      </c>
      <c r="AK55" s="3">
        <v>79.5</v>
      </c>
      <c r="AL55" s="3">
        <v>82.5</v>
      </c>
      <c r="AM55" s="3"/>
      <c r="AN55" s="3"/>
      <c r="AO55" s="3"/>
      <c r="AP55">
        <f t="shared" ref="AP55:AP63" si="109">SUM(AG55:AL55)</f>
        <v>465</v>
      </c>
      <c r="AQ55" s="10">
        <f t="shared" si="105"/>
        <v>0.25</v>
      </c>
      <c r="AR55" s="5">
        <f t="shared" si="106"/>
        <v>0.4375</v>
      </c>
      <c r="AS55" s="5">
        <f t="shared" si="107"/>
        <v>0.3125</v>
      </c>
      <c r="AT55">
        <v>66.5</v>
      </c>
      <c r="AU55">
        <v>68.5</v>
      </c>
      <c r="AV55">
        <v>73</v>
      </c>
      <c r="AW55">
        <v>11</v>
      </c>
      <c r="AX55">
        <v>81.8</v>
      </c>
      <c r="AY55">
        <v>90.9</v>
      </c>
      <c r="AZ55">
        <v>0</v>
      </c>
      <c r="BA55">
        <v>1</v>
      </c>
      <c r="BB55">
        <v>3</v>
      </c>
    </row>
    <row r="56" spans="1:54">
      <c r="A56">
        <v>2</v>
      </c>
      <c r="B56" s="3" t="s">
        <v>2</v>
      </c>
      <c r="C56" s="3">
        <f t="shared" si="108"/>
        <v>1287.5</v>
      </c>
      <c r="D56" s="3">
        <v>79.5</v>
      </c>
      <c r="E56" s="3">
        <v>75.5</v>
      </c>
      <c r="F56" s="3">
        <v>87.5</v>
      </c>
      <c r="G56" s="3">
        <v>74</v>
      </c>
      <c r="H56" s="3">
        <v>83</v>
      </c>
      <c r="I56" s="3">
        <v>82</v>
      </c>
      <c r="J56" s="3">
        <v>77.5</v>
      </c>
      <c r="K56" s="3">
        <v>86</v>
      </c>
      <c r="L56" s="3">
        <v>77.5</v>
      </c>
      <c r="M56" s="3">
        <v>86</v>
      </c>
      <c r="N56" s="3">
        <v>79</v>
      </c>
      <c r="O56" s="3">
        <v>81.5</v>
      </c>
      <c r="P56" s="3">
        <v>90.5</v>
      </c>
      <c r="Q56" s="3">
        <v>75</v>
      </c>
      <c r="R56" s="3">
        <v>78</v>
      </c>
      <c r="S56" s="3">
        <v>71.5</v>
      </c>
      <c r="T56" s="3">
        <v>77</v>
      </c>
      <c r="U56" s="3">
        <v>75</v>
      </c>
      <c r="V56" s="3">
        <v>86.5</v>
      </c>
      <c r="W56" s="3">
        <v>82</v>
      </c>
      <c r="X56" s="3">
        <v>71</v>
      </c>
      <c r="Y56" s="3">
        <v>89.5</v>
      </c>
      <c r="Z56" s="3">
        <v>85</v>
      </c>
      <c r="AA56" s="3">
        <v>79.5</v>
      </c>
      <c r="AB56" s="3">
        <v>80.5</v>
      </c>
      <c r="AC56" s="3">
        <v>78</v>
      </c>
      <c r="AD56" s="3">
        <v>92.5</v>
      </c>
      <c r="AE56" s="3">
        <v>88.5</v>
      </c>
      <c r="AF56" s="3">
        <v>77.5</v>
      </c>
      <c r="AG56" s="3">
        <v>76</v>
      </c>
      <c r="AH56" s="3">
        <v>79.5</v>
      </c>
      <c r="AI56" s="3">
        <v>78.5</v>
      </c>
      <c r="AJ56" s="3">
        <v>76</v>
      </c>
      <c r="AK56" s="3">
        <v>74.5</v>
      </c>
      <c r="AL56" s="3">
        <v>79</v>
      </c>
      <c r="AM56" s="3"/>
      <c r="AN56" s="3"/>
      <c r="AO56" s="3"/>
      <c r="AP56">
        <f t="shared" si="109"/>
        <v>463.5</v>
      </c>
      <c r="AQ56" s="10">
        <f t="shared" si="105"/>
        <v>0.5625</v>
      </c>
      <c r="AR56" s="5">
        <f t="shared" si="106"/>
        <v>0</v>
      </c>
      <c r="AS56" s="5">
        <f t="shared" si="107"/>
        <v>0.4375</v>
      </c>
      <c r="AT56">
        <v>66</v>
      </c>
      <c r="AU56">
        <v>66</v>
      </c>
      <c r="AV56">
        <v>68</v>
      </c>
      <c r="AW56">
        <v>11</v>
      </c>
      <c r="AX56">
        <v>72.7</v>
      </c>
      <c r="AY56">
        <v>63.6</v>
      </c>
      <c r="AZ56">
        <v>0</v>
      </c>
      <c r="BA56">
        <v>0</v>
      </c>
      <c r="BB56">
        <v>0</v>
      </c>
    </row>
    <row r="57" spans="1:54">
      <c r="A57">
        <v>3</v>
      </c>
      <c r="B57" s="3" t="s">
        <v>3</v>
      </c>
      <c r="C57" s="3">
        <f t="shared" si="108"/>
        <v>1221</v>
      </c>
      <c r="D57" s="3">
        <v>78.5</v>
      </c>
      <c r="E57" s="3">
        <v>77</v>
      </c>
      <c r="F57" s="3">
        <v>74.5</v>
      </c>
      <c r="G57" s="3">
        <v>72</v>
      </c>
      <c r="H57" s="3">
        <v>70.5</v>
      </c>
      <c r="I57" s="3">
        <v>70</v>
      </c>
      <c r="J57" s="3">
        <v>77</v>
      </c>
      <c r="K57" s="3">
        <v>70</v>
      </c>
      <c r="L57" s="3">
        <v>74</v>
      </c>
      <c r="M57" s="3">
        <v>68</v>
      </c>
      <c r="N57" s="3">
        <v>76</v>
      </c>
      <c r="O57" s="3">
        <v>84</v>
      </c>
      <c r="P57" s="3">
        <v>74</v>
      </c>
      <c r="Q57" s="3">
        <v>82</v>
      </c>
      <c r="R57" s="3">
        <v>82</v>
      </c>
      <c r="S57" s="3">
        <v>68.5</v>
      </c>
      <c r="T57" s="3">
        <v>91</v>
      </c>
      <c r="U57" s="3">
        <v>73.5</v>
      </c>
      <c r="V57" s="3">
        <v>76.5</v>
      </c>
      <c r="W57" s="3">
        <v>78.5</v>
      </c>
      <c r="X57" s="3">
        <v>73.5</v>
      </c>
      <c r="Y57" s="3">
        <v>86.5</v>
      </c>
      <c r="Z57" s="3">
        <v>75.5</v>
      </c>
      <c r="AA57" s="3">
        <v>79</v>
      </c>
      <c r="AB57" s="3">
        <v>66.5</v>
      </c>
      <c r="AC57" s="3">
        <v>76.5</v>
      </c>
      <c r="AD57" s="3">
        <v>77.5</v>
      </c>
      <c r="AE57" s="3">
        <v>76.5</v>
      </c>
      <c r="AF57" s="3">
        <v>75</v>
      </c>
      <c r="AG57" s="3">
        <v>67</v>
      </c>
      <c r="AH57" s="3">
        <v>83.5</v>
      </c>
      <c r="AI57" s="3">
        <v>78.5</v>
      </c>
      <c r="AJ57" s="3">
        <v>78.5</v>
      </c>
      <c r="AK57" s="3">
        <v>81.5</v>
      </c>
      <c r="AL57" s="3">
        <v>67</v>
      </c>
      <c r="AM57" s="3"/>
      <c r="AN57" s="3"/>
      <c r="AO57" s="3"/>
      <c r="AP57">
        <f t="shared" si="109"/>
        <v>456</v>
      </c>
      <c r="AQ57" s="10">
        <f t="shared" si="105"/>
        <v>0.5625</v>
      </c>
      <c r="AR57" s="5">
        <f t="shared" si="106"/>
        <v>0.1875</v>
      </c>
      <c r="AS57" s="5">
        <f t="shared" si="107"/>
        <v>0.25</v>
      </c>
      <c r="AT57" t="s">
        <v>10</v>
      </c>
    </row>
    <row r="58" spans="1:54">
      <c r="A58">
        <v>4</v>
      </c>
      <c r="B58" s="3" t="s">
        <v>5</v>
      </c>
      <c r="C58" s="3">
        <f t="shared" si="108"/>
        <v>1235.5</v>
      </c>
      <c r="D58" s="3">
        <v>77</v>
      </c>
      <c r="E58" s="3">
        <v>85</v>
      </c>
      <c r="F58" s="3">
        <v>76.5</v>
      </c>
      <c r="G58" s="3">
        <v>68.5</v>
      </c>
      <c r="H58" s="3">
        <v>72</v>
      </c>
      <c r="I58" s="3">
        <v>68</v>
      </c>
      <c r="J58" s="3">
        <v>66</v>
      </c>
      <c r="K58" s="3">
        <v>63.5</v>
      </c>
      <c r="L58" s="3">
        <v>70.5</v>
      </c>
      <c r="M58" s="3">
        <v>64.5</v>
      </c>
      <c r="N58" s="3">
        <v>71</v>
      </c>
      <c r="O58" s="3">
        <v>70.5</v>
      </c>
      <c r="P58" s="3">
        <v>78</v>
      </c>
      <c r="Q58" s="3">
        <v>76</v>
      </c>
      <c r="R58" s="3">
        <v>82</v>
      </c>
      <c r="S58" s="3">
        <v>74</v>
      </c>
      <c r="T58" s="3">
        <v>76.5</v>
      </c>
      <c r="U58" s="3">
        <v>75</v>
      </c>
      <c r="V58" s="3">
        <v>67</v>
      </c>
      <c r="W58" s="3">
        <v>74.5</v>
      </c>
      <c r="X58" s="3">
        <v>74</v>
      </c>
      <c r="Y58" s="3">
        <v>75.5</v>
      </c>
      <c r="Z58" s="3">
        <v>77</v>
      </c>
      <c r="AA58" s="3">
        <v>81.5</v>
      </c>
      <c r="AB58" s="3">
        <v>73.5</v>
      </c>
      <c r="AC58" s="3">
        <v>82</v>
      </c>
      <c r="AD58" s="3">
        <v>78</v>
      </c>
      <c r="AE58" s="3">
        <v>75.5</v>
      </c>
      <c r="AF58" s="3">
        <v>74.5</v>
      </c>
      <c r="AG58" s="3">
        <v>79.5</v>
      </c>
      <c r="AH58" s="3">
        <v>84.5</v>
      </c>
      <c r="AI58" s="3">
        <v>83.5</v>
      </c>
      <c r="AJ58" s="3">
        <v>70.5</v>
      </c>
      <c r="AK58" s="3">
        <v>69</v>
      </c>
      <c r="AL58" s="3">
        <v>82.5</v>
      </c>
      <c r="AM58" s="3"/>
      <c r="AN58" s="3"/>
      <c r="AO58" s="3"/>
      <c r="AP58">
        <f t="shared" si="109"/>
        <v>469.5</v>
      </c>
      <c r="AQ58" s="10">
        <f t="shared" si="105"/>
        <v>0.5</v>
      </c>
      <c r="AR58" s="5">
        <f t="shared" si="106"/>
        <v>0.375</v>
      </c>
      <c r="AS58" s="5">
        <f t="shared" si="107"/>
        <v>0.125</v>
      </c>
      <c r="AT58">
        <v>74.5</v>
      </c>
      <c r="AU58">
        <v>73.5</v>
      </c>
      <c r="AV58">
        <v>75.5</v>
      </c>
      <c r="AW58">
        <v>11</v>
      </c>
      <c r="AX58">
        <v>81.8</v>
      </c>
      <c r="AY58">
        <v>81.8</v>
      </c>
      <c r="AZ58">
        <v>0</v>
      </c>
      <c r="BA58">
        <v>0</v>
      </c>
      <c r="BB58">
        <v>0</v>
      </c>
    </row>
    <row r="59" spans="1:54">
      <c r="A59">
        <v>5</v>
      </c>
      <c r="B59" s="3" t="s">
        <v>4</v>
      </c>
      <c r="C59" s="3">
        <f t="shared" si="108"/>
        <v>1222</v>
      </c>
      <c r="D59" s="3">
        <v>72.5</v>
      </c>
      <c r="E59" s="3">
        <v>91</v>
      </c>
      <c r="F59" s="3">
        <v>77</v>
      </c>
      <c r="G59" s="3">
        <v>86</v>
      </c>
      <c r="H59" s="3">
        <v>80.5</v>
      </c>
      <c r="I59" s="3">
        <v>81.5</v>
      </c>
      <c r="J59" s="3">
        <v>70.5</v>
      </c>
      <c r="K59" s="3">
        <v>67.5</v>
      </c>
      <c r="L59" s="3">
        <v>75</v>
      </c>
      <c r="M59" s="3">
        <v>75.5</v>
      </c>
      <c r="N59" s="3">
        <v>89.5</v>
      </c>
      <c r="O59" s="3">
        <v>78</v>
      </c>
      <c r="P59" s="3">
        <v>74.5</v>
      </c>
      <c r="Q59" s="3">
        <v>75.5</v>
      </c>
      <c r="R59" s="3">
        <v>70.5</v>
      </c>
      <c r="S59" s="3">
        <v>81</v>
      </c>
      <c r="T59" s="3">
        <v>77.5</v>
      </c>
      <c r="U59" s="3">
        <v>86</v>
      </c>
      <c r="V59" s="3">
        <v>86</v>
      </c>
      <c r="W59" s="3">
        <v>81</v>
      </c>
      <c r="X59" s="3">
        <v>72.5</v>
      </c>
      <c r="Y59" s="3">
        <v>73</v>
      </c>
      <c r="Z59" s="3">
        <v>83.5</v>
      </c>
      <c r="AA59" s="3">
        <v>83.5</v>
      </c>
      <c r="AB59" s="3">
        <v>81</v>
      </c>
      <c r="AC59" s="3">
        <v>78</v>
      </c>
      <c r="AD59" s="3">
        <v>71</v>
      </c>
      <c r="AE59" s="3">
        <v>72.5</v>
      </c>
      <c r="AF59" s="3">
        <v>71</v>
      </c>
      <c r="AG59" s="3">
        <v>74</v>
      </c>
      <c r="AH59" s="3">
        <v>80.5</v>
      </c>
      <c r="AI59" s="3">
        <v>76.5</v>
      </c>
      <c r="AJ59" s="3">
        <v>78</v>
      </c>
      <c r="AK59" s="3">
        <v>64.5</v>
      </c>
      <c r="AL59" s="3">
        <v>81.5</v>
      </c>
      <c r="AM59" s="3"/>
      <c r="AN59" s="3"/>
      <c r="AO59" s="3"/>
      <c r="AP59">
        <f t="shared" si="109"/>
        <v>455</v>
      </c>
      <c r="AQ59" s="10">
        <f>COUNTIF(W46:AO46,"&gt;0")/COUNT(W46:AO46)</f>
        <v>0.5</v>
      </c>
      <c r="AR59" s="5">
        <f t="shared" si="106"/>
        <v>0.1875</v>
      </c>
      <c r="AS59" s="5">
        <f t="shared" si="107"/>
        <v>0.3125</v>
      </c>
      <c r="AT59">
        <v>62.5</v>
      </c>
      <c r="AU59">
        <v>64</v>
      </c>
      <c r="AV59">
        <v>67.5</v>
      </c>
      <c r="AW59">
        <v>11</v>
      </c>
      <c r="AX59">
        <v>72.7</v>
      </c>
      <c r="AY59">
        <v>81.8</v>
      </c>
      <c r="AZ59">
        <v>0</v>
      </c>
      <c r="BA59">
        <v>0</v>
      </c>
      <c r="BB59">
        <v>3</v>
      </c>
    </row>
    <row r="60" spans="1:54">
      <c r="A60">
        <v>6</v>
      </c>
      <c r="B60" s="3" t="s">
        <v>6</v>
      </c>
      <c r="C60" s="3">
        <f t="shared" si="108"/>
        <v>1177</v>
      </c>
      <c r="D60" s="3">
        <v>79.5</v>
      </c>
      <c r="E60" s="3">
        <v>75.5</v>
      </c>
      <c r="F60" s="3">
        <v>81</v>
      </c>
      <c r="G60" s="3">
        <v>80.5</v>
      </c>
      <c r="H60" s="3">
        <v>88</v>
      </c>
      <c r="I60" s="3">
        <v>79</v>
      </c>
      <c r="J60" s="3">
        <v>75.5</v>
      </c>
      <c r="K60" s="3">
        <v>72</v>
      </c>
      <c r="L60" s="3">
        <v>79</v>
      </c>
      <c r="M60" s="3">
        <v>77.5</v>
      </c>
      <c r="N60" s="3">
        <v>75</v>
      </c>
      <c r="O60" s="3">
        <v>77</v>
      </c>
      <c r="P60" s="3">
        <v>71.5</v>
      </c>
      <c r="Q60" s="3">
        <v>73.5</v>
      </c>
      <c r="R60" s="3">
        <v>67.5</v>
      </c>
      <c r="S60" s="3">
        <v>74.5</v>
      </c>
      <c r="T60" s="3">
        <v>70.5</v>
      </c>
      <c r="U60" s="3">
        <v>75</v>
      </c>
      <c r="V60" s="3">
        <v>72</v>
      </c>
      <c r="W60" s="3">
        <v>77</v>
      </c>
      <c r="X60" s="3">
        <v>83.5</v>
      </c>
      <c r="Y60" s="3">
        <v>66</v>
      </c>
      <c r="Z60" s="3">
        <v>74.5</v>
      </c>
      <c r="AA60" s="3">
        <v>66</v>
      </c>
      <c r="AB60" s="3">
        <v>72</v>
      </c>
      <c r="AC60" s="3">
        <v>71</v>
      </c>
      <c r="AD60" s="3">
        <v>64.5</v>
      </c>
      <c r="AE60" s="3">
        <v>76</v>
      </c>
      <c r="AF60" s="3">
        <v>79.5</v>
      </c>
      <c r="AG60" s="3">
        <v>85.5</v>
      </c>
      <c r="AH60" s="3">
        <v>66.5</v>
      </c>
      <c r="AI60" s="3">
        <v>76</v>
      </c>
      <c r="AJ60" s="3">
        <v>75.5</v>
      </c>
      <c r="AK60" s="3">
        <v>76</v>
      </c>
      <c r="AL60" s="3">
        <v>67.5</v>
      </c>
      <c r="AM60" s="3"/>
      <c r="AN60" s="3"/>
      <c r="AO60" s="3"/>
      <c r="AP60">
        <f t="shared" si="109"/>
        <v>447</v>
      </c>
      <c r="AQ60" s="10">
        <f t="shared" si="105"/>
        <v>0.5625</v>
      </c>
      <c r="AR60" s="5">
        <f t="shared" si="106"/>
        <v>0.1875</v>
      </c>
      <c r="AS60" s="5">
        <f t="shared" si="107"/>
        <v>0.25</v>
      </c>
      <c r="AT60">
        <v>78</v>
      </c>
      <c r="AU60">
        <v>74</v>
      </c>
      <c r="AV60">
        <v>82</v>
      </c>
      <c r="AW60">
        <v>11</v>
      </c>
      <c r="AX60">
        <v>81.8</v>
      </c>
      <c r="AY60">
        <v>54.5</v>
      </c>
      <c r="AZ60">
        <v>1</v>
      </c>
      <c r="BA60">
        <v>1</v>
      </c>
      <c r="BB60">
        <v>3</v>
      </c>
    </row>
    <row r="61" spans="1:54">
      <c r="A61">
        <v>7</v>
      </c>
      <c r="B61" s="3" t="s">
        <v>9</v>
      </c>
      <c r="C61" s="3">
        <f t="shared" si="108"/>
        <v>1187.5</v>
      </c>
      <c r="D61" s="3">
        <v>80.5</v>
      </c>
      <c r="E61" s="3">
        <v>80.5</v>
      </c>
      <c r="F61" s="3">
        <v>66.5</v>
      </c>
      <c r="G61" s="3">
        <v>85.5</v>
      </c>
      <c r="H61" s="3">
        <v>74.5</v>
      </c>
      <c r="I61" s="3">
        <v>73.5</v>
      </c>
      <c r="J61" s="3">
        <v>74.5</v>
      </c>
      <c r="K61" s="3">
        <v>70.5</v>
      </c>
      <c r="L61" s="3">
        <v>73.5</v>
      </c>
      <c r="M61" s="3">
        <v>75.5</v>
      </c>
      <c r="N61" s="3">
        <v>73.5</v>
      </c>
      <c r="O61" s="3">
        <v>91.5</v>
      </c>
      <c r="P61" s="3">
        <v>81</v>
      </c>
      <c r="Q61" s="3">
        <v>76</v>
      </c>
      <c r="R61" s="3">
        <v>77</v>
      </c>
      <c r="S61" s="3">
        <v>73</v>
      </c>
      <c r="T61" s="3">
        <v>75</v>
      </c>
      <c r="U61" s="3">
        <v>77</v>
      </c>
      <c r="V61" s="3">
        <v>70</v>
      </c>
      <c r="W61" s="3">
        <v>71.5</v>
      </c>
      <c r="X61" s="3">
        <v>78</v>
      </c>
      <c r="Y61" s="3">
        <v>79.5</v>
      </c>
      <c r="Z61" s="3">
        <v>64.5</v>
      </c>
      <c r="AA61" s="3">
        <v>74</v>
      </c>
      <c r="AB61" s="3">
        <v>67.5</v>
      </c>
      <c r="AC61" s="3">
        <v>71.5</v>
      </c>
      <c r="AD61" s="3">
        <v>68.5</v>
      </c>
      <c r="AE61" s="3">
        <v>77.5</v>
      </c>
      <c r="AF61" s="3">
        <v>79</v>
      </c>
      <c r="AG61" s="3">
        <v>72</v>
      </c>
      <c r="AH61" s="3">
        <v>85.5</v>
      </c>
      <c r="AI61" s="3">
        <v>83.5</v>
      </c>
      <c r="AJ61" s="3">
        <v>69</v>
      </c>
      <c r="AK61" s="3">
        <v>74</v>
      </c>
      <c r="AL61" s="3">
        <v>72</v>
      </c>
      <c r="AM61" s="3"/>
      <c r="AN61" s="3"/>
      <c r="AO61" s="3"/>
      <c r="AP61">
        <f t="shared" si="109"/>
        <v>456</v>
      </c>
      <c r="AQ61" s="10">
        <f>COUNTIF(W48:AO48,"&gt;0")/COUNT(W48:AO48)</f>
        <v>0.625</v>
      </c>
      <c r="AR61" s="5">
        <f>COUNTIF(W48:AO48,"0")/COUNT(W48:AO48)</f>
        <v>0.125</v>
      </c>
      <c r="AS61" s="5">
        <f>COUNTIF(W48:AO48,"&lt;0")/COUNT(W48:AO48)</f>
        <v>0.25</v>
      </c>
      <c r="AT61">
        <v>66</v>
      </c>
      <c r="AU61">
        <v>64</v>
      </c>
      <c r="AV61">
        <v>70</v>
      </c>
      <c r="AW61">
        <v>11</v>
      </c>
      <c r="AX61">
        <v>81.8</v>
      </c>
      <c r="AY61">
        <v>72.7</v>
      </c>
      <c r="AZ61">
        <v>1</v>
      </c>
      <c r="BA61">
        <v>0</v>
      </c>
      <c r="BB61">
        <v>2</v>
      </c>
    </row>
    <row r="62" spans="1:54">
      <c r="A62">
        <v>8</v>
      </c>
      <c r="B62" s="3" t="s">
        <v>7</v>
      </c>
      <c r="C62" s="3">
        <f t="shared" si="108"/>
        <v>1222.5</v>
      </c>
      <c r="D62" s="3">
        <v>83</v>
      </c>
      <c r="E62" s="3">
        <v>75</v>
      </c>
      <c r="F62" s="3">
        <v>82</v>
      </c>
      <c r="G62" s="3">
        <v>78</v>
      </c>
      <c r="H62" s="3">
        <v>73</v>
      </c>
      <c r="I62" s="3">
        <v>73.5</v>
      </c>
      <c r="J62" s="3">
        <v>74</v>
      </c>
      <c r="K62" s="3">
        <v>66.5</v>
      </c>
      <c r="L62" s="3">
        <v>81.5</v>
      </c>
      <c r="M62" s="3">
        <v>65.5</v>
      </c>
      <c r="N62" s="3">
        <v>75</v>
      </c>
      <c r="O62" s="3">
        <v>75</v>
      </c>
      <c r="P62" s="3">
        <v>73.5</v>
      </c>
      <c r="Q62" s="3">
        <v>93</v>
      </c>
      <c r="R62" s="3">
        <v>69.5</v>
      </c>
      <c r="S62" s="3">
        <v>72.5</v>
      </c>
      <c r="T62" s="3">
        <v>83</v>
      </c>
      <c r="U62" s="3">
        <v>74</v>
      </c>
      <c r="V62" s="3">
        <v>73</v>
      </c>
      <c r="W62" s="3">
        <v>75</v>
      </c>
      <c r="X62" s="3">
        <v>74.5</v>
      </c>
      <c r="Y62" s="3">
        <v>79.5</v>
      </c>
      <c r="Z62" s="3">
        <v>82.5</v>
      </c>
      <c r="AA62" s="3">
        <v>84</v>
      </c>
      <c r="AB62" s="3">
        <v>75.5</v>
      </c>
      <c r="AC62" s="3">
        <v>77.5</v>
      </c>
      <c r="AD62" s="3">
        <v>79.5</v>
      </c>
      <c r="AE62" s="3">
        <v>76</v>
      </c>
      <c r="AF62" s="3">
        <v>71.5</v>
      </c>
      <c r="AG62" s="3">
        <v>84.5</v>
      </c>
      <c r="AH62" s="3">
        <v>71.5</v>
      </c>
      <c r="AI62" s="3">
        <v>72</v>
      </c>
      <c r="AJ62" s="3">
        <v>77</v>
      </c>
      <c r="AK62" s="3">
        <v>71</v>
      </c>
      <c r="AL62" s="3">
        <v>71</v>
      </c>
      <c r="AM62" s="3"/>
      <c r="AN62" s="3"/>
      <c r="AO62" s="3"/>
      <c r="AP62">
        <f t="shared" si="109"/>
        <v>447</v>
      </c>
      <c r="AQ62" s="10">
        <f>COUNTIF(W49:AO49,"&gt;0")/COUNT(W49:AO49)</f>
        <v>0.75</v>
      </c>
      <c r="AR62" s="5">
        <f t="shared" si="106"/>
        <v>0.125</v>
      </c>
      <c r="AS62" s="5">
        <f t="shared" si="107"/>
        <v>0.125</v>
      </c>
      <c r="AT62">
        <v>67</v>
      </c>
      <c r="AU62">
        <v>66.5</v>
      </c>
      <c r="AV62">
        <v>68</v>
      </c>
      <c r="AW62">
        <v>11</v>
      </c>
      <c r="AX62">
        <v>81.8</v>
      </c>
      <c r="AY62">
        <v>81.8</v>
      </c>
      <c r="AZ62">
        <v>0</v>
      </c>
      <c r="BA62">
        <v>0</v>
      </c>
      <c r="BB62">
        <v>0</v>
      </c>
    </row>
    <row r="63" spans="1:54">
      <c r="A63">
        <v>9</v>
      </c>
      <c r="B63" s="3" t="s">
        <v>8</v>
      </c>
      <c r="C63" s="3">
        <f t="shared" si="108"/>
        <v>1266</v>
      </c>
      <c r="D63" s="3">
        <v>76.5</v>
      </c>
      <c r="E63" s="3">
        <v>74</v>
      </c>
      <c r="F63" s="3">
        <v>93</v>
      </c>
      <c r="G63" s="3">
        <v>68</v>
      </c>
      <c r="H63" s="3">
        <v>68</v>
      </c>
      <c r="I63" s="3">
        <v>91</v>
      </c>
      <c r="J63" s="3">
        <v>72.5</v>
      </c>
      <c r="K63" s="3">
        <v>94</v>
      </c>
      <c r="L63" s="3">
        <v>92</v>
      </c>
      <c r="M63" s="3">
        <v>69.5</v>
      </c>
      <c r="N63" s="3">
        <v>71.5</v>
      </c>
      <c r="O63" s="3">
        <v>67.5</v>
      </c>
      <c r="P63" s="3">
        <v>71.5</v>
      </c>
      <c r="Q63" s="3">
        <v>74</v>
      </c>
      <c r="R63" s="3">
        <v>76.5</v>
      </c>
      <c r="S63" s="3">
        <v>82.5</v>
      </c>
      <c r="T63" s="3">
        <v>68.5</v>
      </c>
      <c r="U63" s="3">
        <v>81</v>
      </c>
      <c r="V63" s="3">
        <v>79</v>
      </c>
      <c r="W63" s="3">
        <v>79.5</v>
      </c>
      <c r="X63" s="3">
        <v>72.5</v>
      </c>
      <c r="Y63" s="3">
        <v>83</v>
      </c>
      <c r="Z63" s="3">
        <v>80.5</v>
      </c>
      <c r="AA63" s="3">
        <v>78.5</v>
      </c>
      <c r="AB63" s="3">
        <v>82.5</v>
      </c>
      <c r="AC63" s="3">
        <v>75</v>
      </c>
      <c r="AD63" s="3">
        <v>74</v>
      </c>
      <c r="AE63" s="3">
        <v>81.5</v>
      </c>
      <c r="AF63" s="3">
        <v>74</v>
      </c>
      <c r="AG63" s="3">
        <v>70.5</v>
      </c>
      <c r="AH63" s="3">
        <v>88</v>
      </c>
      <c r="AI63" s="3">
        <v>81.5</v>
      </c>
      <c r="AJ63" s="3">
        <v>86</v>
      </c>
      <c r="AK63" s="3">
        <v>80</v>
      </c>
      <c r="AL63" s="3">
        <v>79</v>
      </c>
      <c r="AM63" s="3"/>
      <c r="AN63" s="3"/>
      <c r="AO63" s="3"/>
      <c r="AP63">
        <f t="shared" si="109"/>
        <v>485</v>
      </c>
      <c r="AQ63" s="10">
        <f t="shared" si="105"/>
        <v>0.375</v>
      </c>
      <c r="AR63" s="5">
        <f t="shared" si="106"/>
        <v>0.125</v>
      </c>
      <c r="AS63" s="5">
        <f t="shared" si="107"/>
        <v>0.5</v>
      </c>
      <c r="AT63">
        <v>69</v>
      </c>
      <c r="AU63">
        <v>66.5</v>
      </c>
      <c r="AV63">
        <v>81.5</v>
      </c>
      <c r="AW63">
        <v>11</v>
      </c>
      <c r="AX63">
        <v>81.8</v>
      </c>
      <c r="AY63">
        <v>72.7</v>
      </c>
      <c r="AZ63">
        <v>1</v>
      </c>
      <c r="BA63">
        <v>1</v>
      </c>
      <c r="BB63">
        <v>2</v>
      </c>
    </row>
    <row r="64" spans="1:54">
      <c r="C64" s="20">
        <f>SUM(C54:C63)</f>
        <v>12268</v>
      </c>
      <c r="D64" s="20">
        <f>SUM(D54:D63)</f>
        <v>783</v>
      </c>
      <c r="E64" s="20">
        <f t="shared" ref="E64:Z64" si="110">SUM(E54:E63)</f>
        <v>785</v>
      </c>
      <c r="F64" s="20">
        <f t="shared" si="110"/>
        <v>777.5</v>
      </c>
      <c r="G64" s="20">
        <f t="shared" si="110"/>
        <v>764.5</v>
      </c>
      <c r="H64" s="20">
        <f t="shared" si="110"/>
        <v>780.5</v>
      </c>
      <c r="I64" s="20">
        <f t="shared" si="110"/>
        <v>761.5</v>
      </c>
      <c r="J64" s="20">
        <f t="shared" si="110"/>
        <v>736.5</v>
      </c>
      <c r="K64" s="20">
        <f t="shared" si="110"/>
        <v>732.5</v>
      </c>
      <c r="L64" s="20">
        <f t="shared" si="110"/>
        <v>772</v>
      </c>
      <c r="M64" s="20">
        <f t="shared" si="110"/>
        <v>737</v>
      </c>
      <c r="N64" s="20">
        <f t="shared" si="110"/>
        <v>747</v>
      </c>
      <c r="O64" s="20">
        <f t="shared" si="110"/>
        <v>788</v>
      </c>
      <c r="P64" s="20">
        <f t="shared" si="110"/>
        <v>759</v>
      </c>
      <c r="Q64" s="20">
        <f t="shared" si="110"/>
        <v>770.5</v>
      </c>
      <c r="R64" s="20">
        <f t="shared" si="110"/>
        <v>753</v>
      </c>
      <c r="S64" s="20">
        <f t="shared" si="110"/>
        <v>742</v>
      </c>
      <c r="T64" s="20">
        <f t="shared" si="110"/>
        <v>772.5</v>
      </c>
      <c r="U64" s="20">
        <f t="shared" si="110"/>
        <v>756.5</v>
      </c>
      <c r="V64" s="20">
        <f t="shared" si="110"/>
        <v>770</v>
      </c>
      <c r="W64" s="20">
        <f t="shared" si="110"/>
        <v>767.5</v>
      </c>
      <c r="X64" s="20">
        <f t="shared" si="110"/>
        <v>749</v>
      </c>
      <c r="Y64" s="20">
        <f t="shared" si="110"/>
        <v>788.5</v>
      </c>
      <c r="Z64" s="20">
        <f t="shared" si="110"/>
        <v>763</v>
      </c>
      <c r="AA64" s="20">
        <f>SUM(AA54:AA63)</f>
        <v>781</v>
      </c>
      <c r="AB64" s="20">
        <f t="shared" ref="AB64:AO64" si="111">SUM(AB54:AB63)</f>
        <v>752</v>
      </c>
      <c r="AC64" s="20">
        <f t="shared" si="111"/>
        <v>749</v>
      </c>
      <c r="AD64" s="20">
        <f t="shared" si="111"/>
        <v>760.5</v>
      </c>
      <c r="AE64" s="20">
        <f t="shared" si="111"/>
        <v>774</v>
      </c>
      <c r="AF64" s="20">
        <f t="shared" si="111"/>
        <v>768.5</v>
      </c>
      <c r="AG64" s="20">
        <f t="shared" si="111"/>
        <v>775.5</v>
      </c>
      <c r="AH64" s="20">
        <f t="shared" si="111"/>
        <v>776.5</v>
      </c>
      <c r="AI64" s="20">
        <f t="shared" si="111"/>
        <v>792</v>
      </c>
      <c r="AJ64" s="20">
        <f t="shared" si="111"/>
        <v>761.5</v>
      </c>
      <c r="AK64" s="20">
        <f t="shared" si="111"/>
        <v>759</v>
      </c>
      <c r="AL64" s="20">
        <f t="shared" ref="AL64" si="112">SUM(AL54:AL63)</f>
        <v>750.5</v>
      </c>
      <c r="AM64" s="20">
        <f t="shared" si="111"/>
        <v>0</v>
      </c>
      <c r="AN64" s="20">
        <f t="shared" si="111"/>
        <v>0</v>
      </c>
      <c r="AO64" s="20">
        <f t="shared" si="111"/>
        <v>0</v>
      </c>
      <c r="AQ64" s="12">
        <f t="shared" si="105"/>
        <v>1</v>
      </c>
      <c r="AR64" s="12">
        <f>COUNTIF(W51:AO51,"0")/COUNT(W51:AA51)</f>
        <v>0</v>
      </c>
      <c r="AS64" s="12">
        <f t="shared" si="107"/>
        <v>0</v>
      </c>
      <c r="AT64">
        <v>61</v>
      </c>
      <c r="AU64">
        <v>61</v>
      </c>
      <c r="AV64">
        <v>79</v>
      </c>
      <c r="AW64">
        <v>11</v>
      </c>
      <c r="AX64">
        <v>54.5</v>
      </c>
      <c r="AY64">
        <v>54.5</v>
      </c>
      <c r="AZ64">
        <v>0</v>
      </c>
      <c r="BA64">
        <v>0</v>
      </c>
      <c r="BB64">
        <v>1</v>
      </c>
    </row>
    <row r="65" spans="1:54">
      <c r="AQ65" s="11">
        <f>COUNTIF(W41:AO50,"&gt;0")/COUNT(W41:AO50)</f>
        <v>0.53125</v>
      </c>
      <c r="AR65" s="11">
        <f>COUNTIF(W41:AO50,"0")/COUNT(W41:AO50)</f>
        <v>0.18124999999999999</v>
      </c>
      <c r="AS65" s="11">
        <f>COUNTIF(W41:AO50,"&lt;0")/COUNT(W41:AO50)</f>
        <v>0.28749999999999998</v>
      </c>
      <c r="AT65">
        <v>71</v>
      </c>
      <c r="AU65">
        <v>69.5</v>
      </c>
      <c r="AV65">
        <v>73.5</v>
      </c>
      <c r="AW65">
        <v>11</v>
      </c>
      <c r="AX65">
        <v>90.9</v>
      </c>
      <c r="AY65">
        <v>81.8</v>
      </c>
      <c r="AZ65">
        <v>0</v>
      </c>
      <c r="BA65">
        <v>0</v>
      </c>
      <c r="BB65">
        <v>1</v>
      </c>
    </row>
    <row r="66" spans="1:54">
      <c r="D66" s="14">
        <v>1</v>
      </c>
      <c r="E66" s="14">
        <v>2</v>
      </c>
      <c r="F66" s="14">
        <v>3</v>
      </c>
      <c r="G66" s="14">
        <v>4</v>
      </c>
      <c r="H66" s="14">
        <v>5</v>
      </c>
      <c r="I66" s="14">
        <v>6</v>
      </c>
      <c r="J66" s="14">
        <v>7</v>
      </c>
      <c r="K66" s="14">
        <v>8</v>
      </c>
      <c r="L66" s="14">
        <v>9</v>
      </c>
      <c r="M66" s="14">
        <v>10</v>
      </c>
      <c r="N66" s="14">
        <v>11</v>
      </c>
      <c r="O66" s="14">
        <v>12</v>
      </c>
      <c r="P66" s="14">
        <v>13</v>
      </c>
      <c r="Q66" s="14">
        <v>14</v>
      </c>
      <c r="R66" s="14">
        <v>15</v>
      </c>
      <c r="S66" s="14">
        <v>16</v>
      </c>
      <c r="T66" s="14">
        <v>17</v>
      </c>
      <c r="U66" s="14">
        <v>18</v>
      </c>
      <c r="V66" s="14">
        <v>19</v>
      </c>
      <c r="W66" s="14">
        <v>20</v>
      </c>
      <c r="X66" s="14">
        <v>21</v>
      </c>
      <c r="Y66" s="14">
        <v>22</v>
      </c>
      <c r="Z66" s="14">
        <v>23</v>
      </c>
      <c r="AA66" s="14">
        <v>24</v>
      </c>
      <c r="AB66" s="14">
        <v>25</v>
      </c>
      <c r="AC66" s="14">
        <v>26</v>
      </c>
      <c r="AD66" s="14">
        <v>27</v>
      </c>
      <c r="AE66" s="14">
        <v>28</v>
      </c>
      <c r="AF66" s="14">
        <v>29</v>
      </c>
      <c r="AG66" s="14">
        <v>30</v>
      </c>
      <c r="AH66" s="14">
        <v>31</v>
      </c>
      <c r="AI66" s="14">
        <v>32</v>
      </c>
      <c r="AJ66" s="14">
        <v>33</v>
      </c>
      <c r="AK66" s="14">
        <v>34</v>
      </c>
      <c r="AL66" s="14">
        <v>35</v>
      </c>
      <c r="AM66" s="14">
        <v>36</v>
      </c>
      <c r="AN66" s="14">
        <v>37</v>
      </c>
      <c r="AO66" s="14">
        <v>38</v>
      </c>
      <c r="AT66">
        <v>67</v>
      </c>
      <c r="AU66">
        <v>66.5</v>
      </c>
      <c r="AV66">
        <v>73.5</v>
      </c>
      <c r="AW66">
        <v>11</v>
      </c>
      <c r="AX66">
        <v>72.7</v>
      </c>
      <c r="AY66">
        <v>72.7</v>
      </c>
      <c r="AZ66">
        <v>0</v>
      </c>
      <c r="BA66">
        <v>0</v>
      </c>
      <c r="BB66">
        <v>3</v>
      </c>
    </row>
    <row r="67" spans="1:54">
      <c r="A67">
        <v>0</v>
      </c>
      <c r="B67" s="3" t="s">
        <v>0</v>
      </c>
      <c r="C67" s="3">
        <f>SUM(W67:AO67)</f>
        <v>125</v>
      </c>
      <c r="D67" s="3">
        <f t="shared" ref="D67:U67" si="113">D54-D2</f>
        <v>13</v>
      </c>
      <c r="E67" s="3">
        <f t="shared" si="113"/>
        <v>2.5</v>
      </c>
      <c r="F67" s="3">
        <f t="shared" si="113"/>
        <v>7.5</v>
      </c>
      <c r="G67" s="3">
        <f t="shared" si="113"/>
        <v>5.5</v>
      </c>
      <c r="H67" s="3">
        <f t="shared" si="113"/>
        <v>8.5</v>
      </c>
      <c r="I67" s="3">
        <f t="shared" si="113"/>
        <v>2</v>
      </c>
      <c r="J67" s="3">
        <f t="shared" si="113"/>
        <v>5</v>
      </c>
      <c r="K67" s="3">
        <f t="shared" si="113"/>
        <v>8.5</v>
      </c>
      <c r="L67" s="3">
        <f t="shared" si="113"/>
        <v>7</v>
      </c>
      <c r="M67" s="3">
        <f t="shared" si="113"/>
        <v>6.5</v>
      </c>
      <c r="N67" s="3">
        <f t="shared" si="113"/>
        <v>12.5</v>
      </c>
      <c r="O67" s="3">
        <f t="shared" si="113"/>
        <v>2.5</v>
      </c>
      <c r="P67" s="3">
        <f t="shared" si="113"/>
        <v>6</v>
      </c>
      <c r="Q67" s="3">
        <f t="shared" si="113"/>
        <v>4</v>
      </c>
      <c r="R67" s="3">
        <f>R54-R2</f>
        <v>10</v>
      </c>
      <c r="S67" s="3">
        <f t="shared" si="113"/>
        <v>6.5</v>
      </c>
      <c r="T67" s="3">
        <f t="shared" si="113"/>
        <v>1.5</v>
      </c>
      <c r="U67" s="3">
        <f t="shared" si="113"/>
        <v>9</v>
      </c>
      <c r="V67" s="3">
        <f t="shared" ref="V67:AA67" si="114">V54-V2</f>
        <v>13.5</v>
      </c>
      <c r="W67" s="3">
        <f t="shared" si="114"/>
        <v>6</v>
      </c>
      <c r="X67" s="3">
        <f t="shared" si="114"/>
        <v>5.5</v>
      </c>
      <c r="Y67" s="3">
        <f t="shared" si="114"/>
        <v>5.5</v>
      </c>
      <c r="Z67" s="3">
        <f t="shared" si="114"/>
        <v>4.5</v>
      </c>
      <c r="AA67" s="3">
        <f t="shared" si="114"/>
        <v>8</v>
      </c>
      <c r="AB67" s="3">
        <f t="shared" ref="AB67:AC67" si="115">AB54-AB2</f>
        <v>16</v>
      </c>
      <c r="AC67" s="3">
        <f t="shared" si="115"/>
        <v>5.5</v>
      </c>
      <c r="AD67" s="3">
        <f t="shared" ref="AD67:AE67" si="116">AD54-AD2</f>
        <v>8</v>
      </c>
      <c r="AE67" s="3">
        <f t="shared" si="116"/>
        <v>10</v>
      </c>
      <c r="AF67" s="3">
        <f t="shared" ref="AF67:AG67" si="117">AF54-AF2</f>
        <v>14</v>
      </c>
      <c r="AG67" s="3">
        <f t="shared" si="117"/>
        <v>9</v>
      </c>
      <c r="AH67" s="3">
        <f t="shared" ref="AH67:AI67" si="118">AH54-AH2</f>
        <v>7.5</v>
      </c>
      <c r="AI67" s="3">
        <f t="shared" si="118"/>
        <v>4</v>
      </c>
      <c r="AJ67" s="3">
        <f t="shared" ref="AJ67:AK67" si="119">AJ54-AJ2</f>
        <v>13</v>
      </c>
      <c r="AK67" s="3">
        <f t="shared" si="119"/>
        <v>7</v>
      </c>
      <c r="AL67" s="3">
        <f>AL54-AL2</f>
        <v>1.5</v>
      </c>
      <c r="AM67" s="3"/>
      <c r="AN67" s="3"/>
      <c r="AO67" s="3"/>
      <c r="AP67" s="5">
        <f>C67/C54</f>
        <v>0.10080645161290322</v>
      </c>
      <c r="AQ67" s="10">
        <f>COUNTIF(W41:AO41,"&gt;0,5")/COUNT(W54:AO54)</f>
        <v>0.5625</v>
      </c>
      <c r="AR67" s="5">
        <f>COUNTIFS(W41:AO41,"&gt;=-0,5",W41:AO41,"&lt;=0,5")/COUNT(W41:AO41)</f>
        <v>0.375</v>
      </c>
      <c r="AS67" s="5">
        <f>COUNTIF(W41:AO41,"&lt;-0,5")/COUNT(W54:AO54)</f>
        <v>6.25E-2</v>
      </c>
      <c r="AT67">
        <v>79</v>
      </c>
      <c r="AU67">
        <v>86.5</v>
      </c>
      <c r="AV67">
        <v>91</v>
      </c>
      <c r="AW67">
        <v>10</v>
      </c>
      <c r="AX67">
        <v>72.7</v>
      </c>
      <c r="AY67">
        <v>72.7</v>
      </c>
      <c r="AZ67">
        <v>0</v>
      </c>
      <c r="BA67">
        <v>0</v>
      </c>
      <c r="BB67">
        <v>1</v>
      </c>
    </row>
    <row r="68" spans="1:54">
      <c r="A68">
        <v>1</v>
      </c>
      <c r="B68" s="3" t="s">
        <v>1</v>
      </c>
      <c r="C68" s="3">
        <f t="shared" ref="C68:C74" si="120">SUM(W68:AO68)</f>
        <v>60</v>
      </c>
      <c r="D68" s="3">
        <f t="shared" ref="D68:U68" si="121">D55-D3</f>
        <v>8.5</v>
      </c>
      <c r="E68" s="3">
        <f t="shared" si="121"/>
        <v>4.5</v>
      </c>
      <c r="F68" s="3">
        <f t="shared" si="121"/>
        <v>4.5</v>
      </c>
      <c r="G68" s="3">
        <f t="shared" si="121"/>
        <v>5</v>
      </c>
      <c r="H68" s="3">
        <f t="shared" si="121"/>
        <v>3</v>
      </c>
      <c r="I68" s="3">
        <f t="shared" si="121"/>
        <v>3.5</v>
      </c>
      <c r="J68" s="3">
        <f t="shared" si="121"/>
        <v>5.5</v>
      </c>
      <c r="K68" s="3">
        <f t="shared" si="121"/>
        <v>5.5</v>
      </c>
      <c r="L68" s="3">
        <f t="shared" si="121"/>
        <v>5</v>
      </c>
      <c r="M68" s="3">
        <f t="shared" si="121"/>
        <v>4.5</v>
      </c>
      <c r="N68" s="3">
        <f t="shared" si="121"/>
        <v>4</v>
      </c>
      <c r="O68" s="3">
        <f t="shared" si="121"/>
        <v>2.5</v>
      </c>
      <c r="P68" s="3">
        <f t="shared" si="121"/>
        <v>1</v>
      </c>
      <c r="Q68" s="3">
        <f t="shared" si="121"/>
        <v>3</v>
      </c>
      <c r="R68" s="3">
        <f t="shared" si="121"/>
        <v>4.5</v>
      </c>
      <c r="S68" s="3">
        <f t="shared" si="121"/>
        <v>3</v>
      </c>
      <c r="T68" s="3">
        <f t="shared" si="121"/>
        <v>7</v>
      </c>
      <c r="U68" s="3">
        <f t="shared" si="121"/>
        <v>0</v>
      </c>
      <c r="V68" s="3">
        <f t="shared" ref="V68:AA68" si="122">V55-V3</f>
        <v>4</v>
      </c>
      <c r="W68" s="3">
        <f t="shared" si="122"/>
        <v>0</v>
      </c>
      <c r="X68" s="3">
        <f t="shared" si="122"/>
        <v>10.5</v>
      </c>
      <c r="Y68" s="3">
        <f t="shared" si="122"/>
        <v>2</v>
      </c>
      <c r="Z68" s="3">
        <f t="shared" si="122"/>
        <v>3.5</v>
      </c>
      <c r="AA68" s="3">
        <f t="shared" si="122"/>
        <v>1</v>
      </c>
      <c r="AB68" s="3">
        <f t="shared" ref="AB68:AC68" si="123">AB55-AB3</f>
        <v>1</v>
      </c>
      <c r="AC68" s="3">
        <f t="shared" si="123"/>
        <v>3.5</v>
      </c>
      <c r="AD68" s="3">
        <f t="shared" ref="AD68:AE68" si="124">AD55-AD3</f>
        <v>2</v>
      </c>
      <c r="AE68" s="3">
        <f t="shared" si="124"/>
        <v>4</v>
      </c>
      <c r="AF68" s="3">
        <f t="shared" ref="AF68:AG68" si="125">AF55-AF3</f>
        <v>3.5</v>
      </c>
      <c r="AG68" s="3">
        <f t="shared" si="125"/>
        <v>3</v>
      </c>
      <c r="AH68" s="3">
        <f t="shared" ref="AH68:AI68" si="126">AH55-AH3</f>
        <v>2</v>
      </c>
      <c r="AI68" s="3">
        <f t="shared" si="126"/>
        <v>8.5</v>
      </c>
      <c r="AJ68" s="3">
        <f t="shared" ref="AJ68:AK68" si="127">AJ55-AJ3</f>
        <v>5.5</v>
      </c>
      <c r="AK68" s="3">
        <f t="shared" si="127"/>
        <v>5.5</v>
      </c>
      <c r="AL68" s="3">
        <f t="shared" ref="AL68" si="128">AL55-AL3</f>
        <v>4.5</v>
      </c>
      <c r="AM68" s="3"/>
      <c r="AN68" s="3"/>
      <c r="AO68" s="3"/>
      <c r="AP68" s="5">
        <f t="shared" ref="AP68:AP76" si="129">C68/C55</f>
        <v>4.9627791563275438E-2</v>
      </c>
      <c r="AQ68" s="10">
        <f t="shared" ref="AQ68:AQ76" si="130">COUNTIF(W42:AO42,"&gt;0,5")/COUNT(W55:AO55)</f>
        <v>0.1875</v>
      </c>
      <c r="AR68" s="5">
        <f t="shared" ref="AR68:AR76" si="131">COUNTIFS(W42:AO42,"&gt;=-0,5",W42:AO42,"&lt;=0,5")/COUNT(W42:AO42)</f>
        <v>0.6875</v>
      </c>
      <c r="AS68" s="5">
        <f t="shared" ref="AS68:AS76" si="132">COUNTIF(W42:AO42,"&lt;-0,5")/COUNT(W55:AO55)</f>
        <v>0.125</v>
      </c>
      <c r="AT68" t="s">
        <v>16</v>
      </c>
    </row>
    <row r="69" spans="1:54">
      <c r="A69">
        <v>2</v>
      </c>
      <c r="B69" s="3" t="s">
        <v>2</v>
      </c>
      <c r="C69" s="3">
        <f t="shared" si="120"/>
        <v>138</v>
      </c>
      <c r="D69" s="3">
        <f t="shared" ref="D69:U69" si="133">D56-D4</f>
        <v>7</v>
      </c>
      <c r="E69" s="3">
        <f t="shared" si="133"/>
        <v>6.5</v>
      </c>
      <c r="F69" s="3">
        <f t="shared" si="133"/>
        <v>5.5</v>
      </c>
      <c r="G69" s="3">
        <f t="shared" si="133"/>
        <v>6</v>
      </c>
      <c r="H69" s="3">
        <f t="shared" si="133"/>
        <v>8.5</v>
      </c>
      <c r="I69" s="3">
        <f t="shared" si="133"/>
        <v>8</v>
      </c>
      <c r="J69" s="3">
        <f t="shared" si="133"/>
        <v>5</v>
      </c>
      <c r="K69" s="3">
        <f t="shared" si="133"/>
        <v>8.5</v>
      </c>
      <c r="L69" s="3">
        <f t="shared" si="133"/>
        <v>5.5</v>
      </c>
      <c r="M69" s="3">
        <f t="shared" si="133"/>
        <v>8</v>
      </c>
      <c r="N69" s="3">
        <f t="shared" si="133"/>
        <v>12</v>
      </c>
      <c r="O69" s="3">
        <f t="shared" si="133"/>
        <v>16.5</v>
      </c>
      <c r="P69" s="3">
        <f t="shared" si="133"/>
        <v>5</v>
      </c>
      <c r="Q69" s="3">
        <f t="shared" si="133"/>
        <v>11.5</v>
      </c>
      <c r="R69" s="3">
        <f t="shared" si="133"/>
        <v>13</v>
      </c>
      <c r="S69" s="3">
        <f t="shared" si="133"/>
        <v>5</v>
      </c>
      <c r="T69" s="3">
        <f t="shared" si="133"/>
        <v>2</v>
      </c>
      <c r="U69" s="3">
        <f t="shared" si="133"/>
        <v>5</v>
      </c>
      <c r="V69" s="3">
        <f t="shared" ref="V69:AA69" si="134">V56-V4</f>
        <v>8</v>
      </c>
      <c r="W69" s="3">
        <f t="shared" si="134"/>
        <v>2.5</v>
      </c>
      <c r="X69" s="3">
        <f t="shared" si="134"/>
        <v>2</v>
      </c>
      <c r="Y69" s="3">
        <f t="shared" si="134"/>
        <v>2.5</v>
      </c>
      <c r="Z69" s="3">
        <f t="shared" si="134"/>
        <v>3.5</v>
      </c>
      <c r="AA69" s="3">
        <f t="shared" si="134"/>
        <v>6</v>
      </c>
      <c r="AB69" s="3">
        <f t="shared" ref="AB69:AD69" si="135">AB56-AB4</f>
        <v>5</v>
      </c>
      <c r="AC69" s="3">
        <f t="shared" si="135"/>
        <v>15</v>
      </c>
      <c r="AD69" s="3">
        <f t="shared" si="135"/>
        <v>10</v>
      </c>
      <c r="AE69" s="3">
        <f t="shared" ref="AE69" si="136">AE56-AE4</f>
        <v>11</v>
      </c>
      <c r="AF69" s="3">
        <f t="shared" ref="AF69:AG69" si="137">AF56-AF4</f>
        <v>14.5</v>
      </c>
      <c r="AG69" s="3">
        <f t="shared" si="137"/>
        <v>11.5</v>
      </c>
      <c r="AH69" s="3">
        <f t="shared" ref="AH69:AI69" si="138">AH56-AH4</f>
        <v>9.5</v>
      </c>
      <c r="AI69" s="3">
        <f t="shared" si="138"/>
        <v>16</v>
      </c>
      <c r="AJ69" s="3">
        <f t="shared" ref="AJ69:AK69" si="139">AJ56-AJ4</f>
        <v>2.5</v>
      </c>
      <c r="AK69" s="3">
        <f t="shared" si="139"/>
        <v>5.5</v>
      </c>
      <c r="AL69" s="3">
        <f t="shared" ref="AL69" si="140">AL56-AL4</f>
        <v>21</v>
      </c>
      <c r="AM69" s="3"/>
      <c r="AN69" s="3"/>
      <c r="AO69" s="3"/>
      <c r="AP69" s="5">
        <f t="shared" si="129"/>
        <v>0.10718446601941747</v>
      </c>
      <c r="AQ69" s="10">
        <f t="shared" si="130"/>
        <v>0.5625</v>
      </c>
      <c r="AR69" s="5">
        <f t="shared" si="131"/>
        <v>0.125</v>
      </c>
      <c r="AS69" s="5">
        <f t="shared" si="132"/>
        <v>0.3125</v>
      </c>
      <c r="AT69">
        <v>65.5</v>
      </c>
      <c r="AU69">
        <v>73</v>
      </c>
      <c r="AV69">
        <v>78</v>
      </c>
      <c r="AW69">
        <v>11</v>
      </c>
      <c r="AX69">
        <v>63.6</v>
      </c>
      <c r="AY69">
        <v>72.7</v>
      </c>
      <c r="AZ69">
        <v>0</v>
      </c>
      <c r="BA69">
        <v>1</v>
      </c>
      <c r="BB69">
        <v>2</v>
      </c>
    </row>
    <row r="70" spans="1:54">
      <c r="A70">
        <v>3</v>
      </c>
      <c r="B70" s="3" t="s">
        <v>3</v>
      </c>
      <c r="C70" s="3">
        <f t="shared" si="120"/>
        <v>94.5</v>
      </c>
      <c r="D70" s="3">
        <f t="shared" ref="D70:U70" si="141">D57-D5</f>
        <v>8.5</v>
      </c>
      <c r="E70" s="3">
        <f t="shared" si="141"/>
        <v>12</v>
      </c>
      <c r="F70" s="3">
        <f t="shared" si="141"/>
        <v>11.5</v>
      </c>
      <c r="G70" s="3">
        <f t="shared" si="141"/>
        <v>8.5</v>
      </c>
      <c r="H70" s="3">
        <f t="shared" si="141"/>
        <v>8</v>
      </c>
      <c r="I70" s="3">
        <f t="shared" si="141"/>
        <v>6</v>
      </c>
      <c r="J70" s="3">
        <f t="shared" si="141"/>
        <v>10.5</v>
      </c>
      <c r="K70" s="3">
        <f t="shared" si="141"/>
        <v>6</v>
      </c>
      <c r="L70" s="3">
        <f t="shared" si="141"/>
        <v>4</v>
      </c>
      <c r="M70" s="3">
        <f t="shared" si="141"/>
        <v>4.5</v>
      </c>
      <c r="N70" s="3">
        <f t="shared" si="141"/>
        <v>10</v>
      </c>
      <c r="O70" s="3">
        <f t="shared" si="141"/>
        <v>2</v>
      </c>
      <c r="P70" s="3">
        <f t="shared" si="141"/>
        <v>5.5</v>
      </c>
      <c r="Q70" s="3">
        <f t="shared" si="141"/>
        <v>12.5</v>
      </c>
      <c r="R70" s="3">
        <f t="shared" si="141"/>
        <v>7</v>
      </c>
      <c r="S70" s="3">
        <f t="shared" si="141"/>
        <v>2.5</v>
      </c>
      <c r="T70" s="3">
        <f t="shared" si="141"/>
        <v>5.5</v>
      </c>
      <c r="U70" s="3">
        <f t="shared" si="141"/>
        <v>12</v>
      </c>
      <c r="V70" s="3">
        <f t="shared" ref="V70:AA70" si="142">V57-V5</f>
        <v>5.5</v>
      </c>
      <c r="W70" s="3">
        <f t="shared" si="142"/>
        <v>3</v>
      </c>
      <c r="X70" s="3">
        <f t="shared" si="142"/>
        <v>12</v>
      </c>
      <c r="Y70" s="3">
        <f t="shared" si="142"/>
        <v>4.5</v>
      </c>
      <c r="Z70" s="3">
        <f t="shared" si="142"/>
        <v>3.5</v>
      </c>
      <c r="AA70" s="3">
        <f t="shared" si="142"/>
        <v>7</v>
      </c>
      <c r="AB70" s="3">
        <f t="shared" ref="AB70:AC70" si="143">AB57-AB5</f>
        <v>7</v>
      </c>
      <c r="AC70" s="3">
        <f t="shared" si="143"/>
        <v>9</v>
      </c>
      <c r="AD70" s="3">
        <f t="shared" ref="AD70:AE70" si="144">AD57-AD5</f>
        <v>3</v>
      </c>
      <c r="AE70" s="3">
        <f t="shared" si="144"/>
        <v>5</v>
      </c>
      <c r="AF70" s="3">
        <f t="shared" ref="AF70:AG70" si="145">AF57-AF5</f>
        <v>4</v>
      </c>
      <c r="AG70" s="3">
        <f t="shared" si="145"/>
        <v>1.5</v>
      </c>
      <c r="AH70" s="3">
        <f t="shared" ref="AH70:AI70" si="146">AH57-AH5</f>
        <v>9.5</v>
      </c>
      <c r="AI70" s="3">
        <f t="shared" si="146"/>
        <v>4.5</v>
      </c>
      <c r="AJ70" s="3">
        <f t="shared" ref="AJ70:AK70" si="147">AJ57-AJ5</f>
        <v>11.5</v>
      </c>
      <c r="AK70" s="3">
        <f t="shared" si="147"/>
        <v>8</v>
      </c>
      <c r="AL70" s="3">
        <f t="shared" ref="AL70" si="148">AL57-AL5</f>
        <v>1.5</v>
      </c>
      <c r="AM70" s="3"/>
      <c r="AN70" s="3"/>
      <c r="AO70" s="3"/>
      <c r="AP70" s="5">
        <f t="shared" si="129"/>
        <v>7.7395577395577397E-2</v>
      </c>
      <c r="AQ70" s="10">
        <f t="shared" si="130"/>
        <v>0.5</v>
      </c>
      <c r="AR70" s="5">
        <f t="shared" si="131"/>
        <v>0.375</v>
      </c>
      <c r="AS70" s="5">
        <f t="shared" si="132"/>
        <v>0.125</v>
      </c>
      <c r="AT70">
        <v>64</v>
      </c>
      <c r="AU70">
        <v>65.5</v>
      </c>
      <c r="AV70">
        <v>71</v>
      </c>
      <c r="AW70">
        <v>11</v>
      </c>
      <c r="AX70">
        <v>54.5</v>
      </c>
      <c r="AY70">
        <v>63.6</v>
      </c>
      <c r="AZ70">
        <v>0</v>
      </c>
      <c r="BA70">
        <v>1</v>
      </c>
      <c r="BB70">
        <v>3</v>
      </c>
    </row>
    <row r="71" spans="1:54">
      <c r="A71">
        <v>4</v>
      </c>
      <c r="B71" s="3" t="s">
        <v>5</v>
      </c>
      <c r="C71" s="3">
        <f t="shared" si="120"/>
        <v>96</v>
      </c>
      <c r="D71" s="3">
        <f t="shared" ref="D71:U71" si="149">D58-D6</f>
        <v>5</v>
      </c>
      <c r="E71" s="3">
        <f t="shared" si="149"/>
        <v>10</v>
      </c>
      <c r="F71" s="3">
        <f t="shared" si="149"/>
        <v>5.5</v>
      </c>
      <c r="G71" s="3">
        <f t="shared" si="149"/>
        <v>6</v>
      </c>
      <c r="H71" s="3">
        <f t="shared" si="149"/>
        <v>4.5</v>
      </c>
      <c r="I71" s="3">
        <f t="shared" si="149"/>
        <v>1.5</v>
      </c>
      <c r="J71" s="3">
        <f t="shared" si="149"/>
        <v>4</v>
      </c>
      <c r="K71" s="3">
        <f t="shared" si="149"/>
        <v>5</v>
      </c>
      <c r="L71" s="3">
        <f t="shared" si="149"/>
        <v>2.5</v>
      </c>
      <c r="M71" s="3">
        <f t="shared" si="149"/>
        <v>4</v>
      </c>
      <c r="N71" s="3">
        <f t="shared" si="149"/>
        <v>8</v>
      </c>
      <c r="O71" s="3">
        <f t="shared" si="149"/>
        <v>4</v>
      </c>
      <c r="P71" s="3">
        <f t="shared" si="149"/>
        <v>2.5</v>
      </c>
      <c r="Q71" s="3">
        <f t="shared" si="149"/>
        <v>6</v>
      </c>
      <c r="R71" s="3">
        <f t="shared" si="149"/>
        <v>4</v>
      </c>
      <c r="S71" s="3">
        <f t="shared" si="149"/>
        <v>3</v>
      </c>
      <c r="T71" s="3">
        <f t="shared" si="149"/>
        <v>6.5</v>
      </c>
      <c r="U71" s="3">
        <f t="shared" si="149"/>
        <v>2</v>
      </c>
      <c r="V71" s="3">
        <f t="shared" ref="V71:AA71" si="150">V58-V6</f>
        <v>0.5</v>
      </c>
      <c r="W71" s="3">
        <f t="shared" si="150"/>
        <v>1.5</v>
      </c>
      <c r="X71" s="3">
        <f t="shared" si="150"/>
        <v>6.5</v>
      </c>
      <c r="Y71" s="3">
        <f t="shared" si="150"/>
        <v>2</v>
      </c>
      <c r="Z71" s="3">
        <f t="shared" si="150"/>
        <v>2.5</v>
      </c>
      <c r="AA71" s="3">
        <f t="shared" si="150"/>
        <v>6.5</v>
      </c>
      <c r="AB71" s="3">
        <f t="shared" ref="AB71:AC71" si="151">AB58-AB6</f>
        <v>9.5</v>
      </c>
      <c r="AC71" s="3">
        <f t="shared" si="151"/>
        <v>11</v>
      </c>
      <c r="AD71" s="3">
        <f t="shared" ref="AD71:AE71" si="152">AD58-AD6</f>
        <v>8.5</v>
      </c>
      <c r="AE71" s="3">
        <f t="shared" si="152"/>
        <v>9</v>
      </c>
      <c r="AF71" s="3">
        <f t="shared" ref="AF71:AG71" si="153">AF58-AF6</f>
        <v>4.5</v>
      </c>
      <c r="AG71" s="3">
        <f t="shared" si="153"/>
        <v>8</v>
      </c>
      <c r="AH71" s="3">
        <f t="shared" ref="AH71:AI71" si="154">AH58-AH6</f>
        <v>5</v>
      </c>
      <c r="AI71" s="3">
        <f t="shared" si="154"/>
        <v>5</v>
      </c>
      <c r="AJ71" s="3">
        <f t="shared" ref="AJ71:AK71" si="155">AJ58-AJ6</f>
        <v>8.5</v>
      </c>
      <c r="AK71" s="3">
        <f t="shared" si="155"/>
        <v>2</v>
      </c>
      <c r="AL71" s="3">
        <f t="shared" ref="AL71" si="156">AL58-AL6</f>
        <v>6</v>
      </c>
      <c r="AM71" s="3"/>
      <c r="AN71" s="3"/>
      <c r="AO71" s="3"/>
      <c r="AP71" s="5">
        <f t="shared" si="129"/>
        <v>7.7701335491703757E-2</v>
      </c>
      <c r="AQ71" s="10">
        <f t="shared" si="130"/>
        <v>0.5</v>
      </c>
      <c r="AR71" s="5">
        <f t="shared" si="131"/>
        <v>0.375</v>
      </c>
      <c r="AS71" s="5">
        <f t="shared" si="132"/>
        <v>0.125</v>
      </c>
      <c r="AT71">
        <v>67</v>
      </c>
      <c r="AU71">
        <v>72.5</v>
      </c>
      <c r="AV71">
        <v>77.5</v>
      </c>
      <c r="AW71">
        <v>11</v>
      </c>
      <c r="AX71">
        <v>81.8</v>
      </c>
      <c r="AY71">
        <v>81.8</v>
      </c>
      <c r="AZ71">
        <v>1</v>
      </c>
      <c r="BA71">
        <v>1</v>
      </c>
      <c r="BB71">
        <v>1</v>
      </c>
    </row>
    <row r="72" spans="1:54">
      <c r="A72">
        <v>5</v>
      </c>
      <c r="B72" s="3" t="s">
        <v>4</v>
      </c>
      <c r="C72" s="3">
        <f t="shared" si="120"/>
        <v>105.5</v>
      </c>
      <c r="D72" s="3">
        <f t="shared" ref="D72:U72" si="157">D59-D7</f>
        <v>11</v>
      </c>
      <c r="E72" s="3">
        <f t="shared" si="157"/>
        <v>5.5</v>
      </c>
      <c r="F72" s="3">
        <f t="shared" si="157"/>
        <v>3</v>
      </c>
      <c r="G72" s="3">
        <f t="shared" si="157"/>
        <v>12</v>
      </c>
      <c r="H72" s="3">
        <f t="shared" si="157"/>
        <v>6.5</v>
      </c>
      <c r="I72" s="3">
        <f t="shared" si="157"/>
        <v>15</v>
      </c>
      <c r="J72" s="3">
        <f t="shared" si="157"/>
        <v>9.5</v>
      </c>
      <c r="K72" s="3">
        <f t="shared" si="157"/>
        <v>2</v>
      </c>
      <c r="L72" s="3">
        <f t="shared" si="157"/>
        <v>9</v>
      </c>
      <c r="M72" s="3">
        <f t="shared" si="157"/>
        <v>9.5</v>
      </c>
      <c r="N72" s="3">
        <f t="shared" si="157"/>
        <v>10.5</v>
      </c>
      <c r="O72" s="3">
        <f t="shared" si="157"/>
        <v>9.5</v>
      </c>
      <c r="P72" s="3">
        <f t="shared" si="157"/>
        <v>12</v>
      </c>
      <c r="Q72" s="3">
        <f t="shared" si="157"/>
        <v>5</v>
      </c>
      <c r="R72" s="3">
        <f t="shared" si="157"/>
        <v>5</v>
      </c>
      <c r="S72" s="3">
        <f t="shared" si="157"/>
        <v>5</v>
      </c>
      <c r="T72" s="3">
        <f t="shared" si="157"/>
        <v>6.5</v>
      </c>
      <c r="U72" s="3">
        <f t="shared" si="157"/>
        <v>20</v>
      </c>
      <c r="V72" s="3">
        <f t="shared" ref="V72:AA72" si="158">V59-V7</f>
        <v>16</v>
      </c>
      <c r="W72" s="3">
        <f t="shared" si="158"/>
        <v>6</v>
      </c>
      <c r="X72" s="3">
        <f t="shared" si="158"/>
        <v>4.5</v>
      </c>
      <c r="Y72" s="3">
        <f t="shared" si="158"/>
        <v>3.5</v>
      </c>
      <c r="Z72" s="3">
        <f t="shared" si="158"/>
        <v>12.5</v>
      </c>
      <c r="AA72" s="3">
        <f t="shared" si="158"/>
        <v>10.5</v>
      </c>
      <c r="AB72" s="3">
        <f t="shared" ref="AB72:AC72" si="159">AB59-AB7</f>
        <v>9</v>
      </c>
      <c r="AC72" s="3">
        <f t="shared" si="159"/>
        <v>1.5</v>
      </c>
      <c r="AD72" s="3">
        <f t="shared" ref="AD72:AE72" si="160">AD59-AD7</f>
        <v>6.5</v>
      </c>
      <c r="AE72" s="3">
        <f t="shared" si="160"/>
        <v>8.5</v>
      </c>
      <c r="AF72" s="3">
        <f t="shared" ref="AF72:AG72" si="161">AF59-AF7</f>
        <v>5.5</v>
      </c>
      <c r="AG72" s="3">
        <f t="shared" si="161"/>
        <v>8</v>
      </c>
      <c r="AH72" s="3">
        <f t="shared" ref="AH72:AI72" si="162">AH59-AH7</f>
        <v>7</v>
      </c>
      <c r="AI72" s="3">
        <f t="shared" si="162"/>
        <v>7</v>
      </c>
      <c r="AJ72" s="3">
        <f t="shared" ref="AJ72:AK72" si="163">AJ59-AJ7</f>
        <v>9</v>
      </c>
      <c r="AK72" s="3">
        <f t="shared" si="163"/>
        <v>1.5</v>
      </c>
      <c r="AL72" s="3">
        <f t="shared" ref="AL72" si="164">AL59-AL7</f>
        <v>5</v>
      </c>
      <c r="AM72" s="3"/>
      <c r="AN72" s="3"/>
      <c r="AO72" s="3"/>
      <c r="AP72" s="5">
        <f t="shared" si="129"/>
        <v>8.6333878887070378E-2</v>
      </c>
      <c r="AQ72" s="10">
        <f t="shared" si="130"/>
        <v>0.4375</v>
      </c>
      <c r="AR72" s="5">
        <f t="shared" si="131"/>
        <v>0.25</v>
      </c>
      <c r="AS72" s="5">
        <f t="shared" si="132"/>
        <v>0.3125</v>
      </c>
      <c r="AT72">
        <v>66</v>
      </c>
      <c r="AU72">
        <v>66.5</v>
      </c>
      <c r="AV72">
        <v>77</v>
      </c>
      <c r="AW72">
        <v>11</v>
      </c>
      <c r="AX72">
        <v>90.9</v>
      </c>
      <c r="AY72">
        <v>90.9</v>
      </c>
      <c r="AZ72">
        <v>1</v>
      </c>
      <c r="BA72">
        <v>1</v>
      </c>
      <c r="BB72">
        <v>3</v>
      </c>
    </row>
    <row r="73" spans="1:54">
      <c r="A73">
        <v>6</v>
      </c>
      <c r="B73" s="3" t="s">
        <v>6</v>
      </c>
      <c r="C73" s="3">
        <f t="shared" si="120"/>
        <v>68</v>
      </c>
      <c r="D73" s="3">
        <f t="shared" ref="D73:U73" si="165">D60-D8</f>
        <v>12</v>
      </c>
      <c r="E73" s="3">
        <f t="shared" si="165"/>
        <v>3</v>
      </c>
      <c r="F73" s="3">
        <f t="shared" si="165"/>
        <v>14.5</v>
      </c>
      <c r="G73" s="3">
        <f t="shared" si="165"/>
        <v>9.5</v>
      </c>
      <c r="H73" s="3">
        <f t="shared" si="165"/>
        <v>11</v>
      </c>
      <c r="I73" s="3">
        <f t="shared" si="165"/>
        <v>18</v>
      </c>
      <c r="J73" s="3">
        <f t="shared" si="165"/>
        <v>7</v>
      </c>
      <c r="K73" s="3">
        <f t="shared" si="165"/>
        <v>0</v>
      </c>
      <c r="L73" s="3">
        <f t="shared" si="165"/>
        <v>9.5</v>
      </c>
      <c r="M73" s="3">
        <f t="shared" si="165"/>
        <v>6.5</v>
      </c>
      <c r="N73" s="3">
        <f t="shared" si="165"/>
        <v>3</v>
      </c>
      <c r="O73" s="3">
        <f t="shared" si="165"/>
        <v>4</v>
      </c>
      <c r="P73" s="3">
        <f t="shared" si="165"/>
        <v>3.5</v>
      </c>
      <c r="Q73" s="3">
        <f t="shared" si="165"/>
        <v>2.5</v>
      </c>
      <c r="R73" s="3">
        <f t="shared" si="165"/>
        <v>6</v>
      </c>
      <c r="S73" s="3">
        <f t="shared" si="165"/>
        <v>4</v>
      </c>
      <c r="T73" s="3">
        <f t="shared" si="165"/>
        <v>1.5</v>
      </c>
      <c r="U73" s="3">
        <f t="shared" si="165"/>
        <v>2.5</v>
      </c>
      <c r="V73" s="3">
        <f t="shared" ref="V73:AA73" si="166">V60-V8</f>
        <v>4.5</v>
      </c>
      <c r="W73" s="3">
        <f t="shared" si="166"/>
        <v>10.5</v>
      </c>
      <c r="X73" s="3">
        <f t="shared" si="166"/>
        <v>3.5</v>
      </c>
      <c r="Y73" s="3">
        <f t="shared" si="166"/>
        <v>4.5</v>
      </c>
      <c r="Z73" s="3">
        <f t="shared" si="166"/>
        <v>5</v>
      </c>
      <c r="AA73" s="3">
        <f t="shared" si="166"/>
        <v>4</v>
      </c>
      <c r="AB73" s="3">
        <f t="shared" ref="AB73:AC73" si="167">AB60-AB8</f>
        <v>6.5</v>
      </c>
      <c r="AC73" s="3">
        <f t="shared" si="167"/>
        <v>4.5</v>
      </c>
      <c r="AD73" s="3">
        <f t="shared" ref="AD73:AE73" si="168">AD60-AD8</f>
        <v>0</v>
      </c>
      <c r="AE73" s="3">
        <f t="shared" si="168"/>
        <v>7.5</v>
      </c>
      <c r="AF73" s="3">
        <f t="shared" ref="AF73:AG73" si="169">AF60-AF8</f>
        <v>5.5</v>
      </c>
      <c r="AG73" s="3">
        <f t="shared" si="169"/>
        <v>2</v>
      </c>
      <c r="AH73" s="3">
        <f t="shared" ref="AH73:AI73" si="170">AH60-AH8</f>
        <v>5</v>
      </c>
      <c r="AI73" s="3">
        <f t="shared" si="170"/>
        <v>4</v>
      </c>
      <c r="AJ73" s="3">
        <f t="shared" ref="AJ73:AK73" si="171">AJ60-AJ8</f>
        <v>2.5</v>
      </c>
      <c r="AK73" s="3">
        <f t="shared" si="171"/>
        <v>1.5</v>
      </c>
      <c r="AL73" s="3">
        <f t="shared" ref="AL73" si="172">AL60-AL8</f>
        <v>1.5</v>
      </c>
      <c r="AM73" s="3"/>
      <c r="AN73" s="3"/>
      <c r="AO73" s="3"/>
      <c r="AP73" s="5">
        <f t="shared" si="129"/>
        <v>5.7774001699235342E-2</v>
      </c>
      <c r="AQ73" s="10">
        <f t="shared" si="130"/>
        <v>0.3125</v>
      </c>
      <c r="AR73" s="5">
        <f t="shared" si="131"/>
        <v>0.5625</v>
      </c>
      <c r="AS73" s="5">
        <f t="shared" si="132"/>
        <v>0.125</v>
      </c>
      <c r="AT73">
        <v>62</v>
      </c>
      <c r="AU73">
        <v>62</v>
      </c>
      <c r="AV73">
        <v>66</v>
      </c>
      <c r="AW73">
        <v>11</v>
      </c>
      <c r="AX73">
        <v>81.8</v>
      </c>
      <c r="AY73">
        <v>90.9</v>
      </c>
      <c r="AZ73">
        <v>0</v>
      </c>
      <c r="BA73">
        <v>0</v>
      </c>
      <c r="BB73">
        <v>0</v>
      </c>
    </row>
    <row r="74" spans="1:54">
      <c r="A74">
        <v>7</v>
      </c>
      <c r="B74" s="3" t="s">
        <v>9</v>
      </c>
      <c r="C74" s="3">
        <f t="shared" si="120"/>
        <v>101.5</v>
      </c>
      <c r="D74" s="3">
        <f t="shared" ref="D74:U74" si="173">D61-D9</f>
        <v>4.5</v>
      </c>
      <c r="E74" s="3">
        <f t="shared" si="173"/>
        <v>10.5</v>
      </c>
      <c r="F74" s="3">
        <f t="shared" si="173"/>
        <v>5</v>
      </c>
      <c r="G74" s="3">
        <f t="shared" si="173"/>
        <v>5.5</v>
      </c>
      <c r="H74" s="3">
        <f t="shared" si="173"/>
        <v>4</v>
      </c>
      <c r="I74" s="3">
        <f t="shared" si="173"/>
        <v>4</v>
      </c>
      <c r="J74" s="3">
        <f t="shared" si="173"/>
        <v>8</v>
      </c>
      <c r="K74" s="3">
        <f t="shared" si="173"/>
        <v>4.5</v>
      </c>
      <c r="L74" s="3">
        <f t="shared" si="173"/>
        <v>8.5</v>
      </c>
      <c r="M74" s="3">
        <f t="shared" si="173"/>
        <v>7.5</v>
      </c>
      <c r="N74" s="3">
        <f t="shared" si="173"/>
        <v>4.5</v>
      </c>
      <c r="O74" s="3">
        <f t="shared" si="173"/>
        <v>5.5</v>
      </c>
      <c r="P74" s="3">
        <f t="shared" si="173"/>
        <v>7.5</v>
      </c>
      <c r="Q74" s="3">
        <f t="shared" si="173"/>
        <v>8</v>
      </c>
      <c r="R74" s="3">
        <f t="shared" si="173"/>
        <v>5</v>
      </c>
      <c r="S74" s="3">
        <f t="shared" si="173"/>
        <v>6</v>
      </c>
      <c r="T74" s="3">
        <f t="shared" si="173"/>
        <v>9.5</v>
      </c>
      <c r="U74" s="3">
        <f t="shared" si="173"/>
        <v>8</v>
      </c>
      <c r="V74" s="3">
        <f t="shared" ref="V74:AA74" si="174">V61-V9</f>
        <v>3</v>
      </c>
      <c r="W74" s="3">
        <f t="shared" si="174"/>
        <v>4</v>
      </c>
      <c r="X74" s="3">
        <f t="shared" si="174"/>
        <v>14</v>
      </c>
      <c r="Y74" s="3">
        <f t="shared" si="174"/>
        <v>4.5</v>
      </c>
      <c r="Z74" s="3">
        <f t="shared" si="174"/>
        <v>5</v>
      </c>
      <c r="AA74" s="3">
        <f t="shared" si="174"/>
        <v>4.5</v>
      </c>
      <c r="AB74" s="3">
        <f t="shared" ref="AB74:AC74" si="175">AB61-AB9</f>
        <v>1.5</v>
      </c>
      <c r="AC74" s="3">
        <f t="shared" si="175"/>
        <v>2</v>
      </c>
      <c r="AD74" s="3">
        <f t="shared" ref="AD74:AE74" si="176">AD61-AD9</f>
        <v>3</v>
      </c>
      <c r="AE74" s="3">
        <f t="shared" si="176"/>
        <v>9.5</v>
      </c>
      <c r="AF74" s="3">
        <f t="shared" ref="AF74:AG74" si="177">AF61-AF9</f>
        <v>5.5</v>
      </c>
      <c r="AG74" s="3">
        <f t="shared" si="177"/>
        <v>4.5</v>
      </c>
      <c r="AH74" s="3">
        <f t="shared" ref="AH74:AI74" si="178">AH61-AH9</f>
        <v>11</v>
      </c>
      <c r="AI74" s="3">
        <f t="shared" si="178"/>
        <v>9.5</v>
      </c>
      <c r="AJ74" s="3">
        <f t="shared" ref="AJ74:AK74" si="179">AJ61-AJ9</f>
        <v>4</v>
      </c>
      <c r="AK74" s="3">
        <f t="shared" si="179"/>
        <v>12</v>
      </c>
      <c r="AL74" s="3">
        <f t="shared" ref="AL74" si="180">AL61-AL9</f>
        <v>7</v>
      </c>
      <c r="AM74" s="3"/>
      <c r="AN74" s="3"/>
      <c r="AO74" s="3"/>
      <c r="AP74" s="5">
        <f t="shared" si="129"/>
        <v>8.5473684210526313E-2</v>
      </c>
      <c r="AQ74" s="10">
        <f>COUNTIF(W48:AO48,"&gt;0,5")/COUNT(W61:AO61)</f>
        <v>0.625</v>
      </c>
      <c r="AR74" s="5">
        <f>COUNTIFS(W48:AO48,"&gt;=-0,5",W48:AO48,"&lt;=0,5")/COUNT(W48:AO48)</f>
        <v>0.25</v>
      </c>
      <c r="AS74" s="5">
        <f>COUNTIF(W48:AO48,"&lt;-0,5")/COUNT(W61:AO61)</f>
        <v>0.125</v>
      </c>
      <c r="AT74">
        <v>61</v>
      </c>
      <c r="AU74">
        <v>61</v>
      </c>
      <c r="AV74">
        <v>70.5</v>
      </c>
      <c r="AW74">
        <v>11</v>
      </c>
      <c r="AX74">
        <v>45.5</v>
      </c>
      <c r="AY74">
        <v>36.4</v>
      </c>
      <c r="AZ74">
        <v>0</v>
      </c>
      <c r="BA74">
        <v>0</v>
      </c>
      <c r="BB74">
        <v>3</v>
      </c>
    </row>
    <row r="75" spans="1:54">
      <c r="A75">
        <v>8</v>
      </c>
      <c r="B75" s="3" t="s">
        <v>7</v>
      </c>
      <c r="C75" s="3">
        <f>SUM(W75:AO75)</f>
        <v>136.5</v>
      </c>
      <c r="D75" s="3">
        <f t="shared" ref="D75:U75" si="181">D62-D10</f>
        <v>10</v>
      </c>
      <c r="E75" s="3">
        <f t="shared" si="181"/>
        <v>3.5</v>
      </c>
      <c r="F75" s="3">
        <f t="shared" si="181"/>
        <v>16.5</v>
      </c>
      <c r="G75" s="3">
        <f t="shared" si="181"/>
        <v>9.5</v>
      </c>
      <c r="H75" s="3">
        <f t="shared" si="181"/>
        <v>4.5</v>
      </c>
      <c r="I75" s="3">
        <f t="shared" si="181"/>
        <v>7</v>
      </c>
      <c r="J75" s="3">
        <f t="shared" si="181"/>
        <v>6</v>
      </c>
      <c r="K75" s="3">
        <f t="shared" si="181"/>
        <v>0.5</v>
      </c>
      <c r="L75" s="3">
        <f t="shared" si="181"/>
        <v>3.5</v>
      </c>
      <c r="M75" s="3">
        <f t="shared" si="181"/>
        <v>5.5</v>
      </c>
      <c r="N75" s="3">
        <f t="shared" si="181"/>
        <v>6.5</v>
      </c>
      <c r="O75" s="3">
        <f t="shared" si="181"/>
        <v>11</v>
      </c>
      <c r="P75" s="3">
        <f t="shared" si="181"/>
        <v>4.5</v>
      </c>
      <c r="Q75" s="3">
        <f t="shared" si="181"/>
        <v>22</v>
      </c>
      <c r="R75" s="3">
        <f t="shared" si="181"/>
        <v>6.5</v>
      </c>
      <c r="S75" s="3">
        <f t="shared" si="181"/>
        <v>4.5</v>
      </c>
      <c r="T75" s="3">
        <f t="shared" si="181"/>
        <v>8</v>
      </c>
      <c r="U75" s="3">
        <f t="shared" si="181"/>
        <v>7.5</v>
      </c>
      <c r="V75" s="3">
        <f t="shared" ref="V75:AA75" si="182">V62-V10</f>
        <v>8</v>
      </c>
      <c r="W75" s="3">
        <f t="shared" si="182"/>
        <v>6</v>
      </c>
      <c r="X75" s="3">
        <f t="shared" si="182"/>
        <v>11</v>
      </c>
      <c r="Y75" s="3">
        <f t="shared" si="182"/>
        <v>11.5</v>
      </c>
      <c r="Z75" s="3">
        <f t="shared" si="182"/>
        <v>3.5</v>
      </c>
      <c r="AA75" s="3">
        <f t="shared" si="182"/>
        <v>7</v>
      </c>
      <c r="AB75" s="3">
        <f t="shared" ref="AB75" si="183">AB62-AB10</f>
        <v>19.5</v>
      </c>
      <c r="AC75" s="3">
        <f>AC62-AC10</f>
        <v>8.5</v>
      </c>
      <c r="AD75" s="3">
        <f t="shared" ref="AD75:AE75" si="184">AD62-AD10</f>
        <v>13</v>
      </c>
      <c r="AE75" s="3">
        <f t="shared" si="184"/>
        <v>8</v>
      </c>
      <c r="AF75" s="3">
        <f t="shared" ref="AF75:AG75" si="185">AF62-AF10</f>
        <v>5</v>
      </c>
      <c r="AG75" s="3">
        <f t="shared" si="185"/>
        <v>12</v>
      </c>
      <c r="AH75" s="3">
        <f t="shared" ref="AH75:AI75" si="186">AH62-AH10</f>
        <v>6</v>
      </c>
      <c r="AI75" s="3">
        <f t="shared" si="186"/>
        <v>6.5</v>
      </c>
      <c r="AJ75" s="3">
        <f t="shared" ref="AJ75:AK75" si="187">AJ62-AJ10</f>
        <v>8</v>
      </c>
      <c r="AK75" s="3">
        <f t="shared" si="187"/>
        <v>5.5</v>
      </c>
      <c r="AL75" s="3">
        <f t="shared" ref="AL75" si="188">AL62-AL10</f>
        <v>5.5</v>
      </c>
      <c r="AM75" s="3"/>
      <c r="AN75" s="3"/>
      <c r="AO75" s="3"/>
      <c r="AP75" s="5">
        <f t="shared" si="129"/>
        <v>0.1116564417177914</v>
      </c>
      <c r="AQ75" s="10">
        <f t="shared" si="130"/>
        <v>0.6875</v>
      </c>
      <c r="AR75" s="5">
        <f t="shared" si="131"/>
        <v>0.25</v>
      </c>
      <c r="AS75" s="5">
        <f t="shared" si="132"/>
        <v>6.25E-2</v>
      </c>
      <c r="AT75">
        <v>68.5</v>
      </c>
      <c r="AU75">
        <v>68.5</v>
      </c>
      <c r="AV75">
        <v>75.5</v>
      </c>
      <c r="AW75">
        <v>11</v>
      </c>
      <c r="AX75">
        <v>100</v>
      </c>
      <c r="AY75">
        <v>100</v>
      </c>
      <c r="AZ75">
        <v>1</v>
      </c>
      <c r="BA75">
        <v>1</v>
      </c>
      <c r="BB75">
        <v>1</v>
      </c>
    </row>
    <row r="76" spans="1:54">
      <c r="A76">
        <v>9</v>
      </c>
      <c r="B76" s="3" t="s">
        <v>8</v>
      </c>
      <c r="C76" s="3">
        <f>SUM(W76:AO76)</f>
        <v>82</v>
      </c>
      <c r="D76" s="3">
        <f t="shared" ref="D76:U76" si="189">D63-D11</f>
        <v>2.5</v>
      </c>
      <c r="E76" s="3">
        <f t="shared" si="189"/>
        <v>5</v>
      </c>
      <c r="F76" s="3">
        <f t="shared" si="189"/>
        <v>11</v>
      </c>
      <c r="G76" s="3">
        <f t="shared" si="189"/>
        <v>1</v>
      </c>
      <c r="H76" s="3">
        <f t="shared" si="189"/>
        <v>2</v>
      </c>
      <c r="I76" s="3">
        <f t="shared" si="189"/>
        <v>4.5</v>
      </c>
      <c r="J76" s="3">
        <f t="shared" si="189"/>
        <v>5</v>
      </c>
      <c r="K76" s="3">
        <f t="shared" si="189"/>
        <v>15</v>
      </c>
      <c r="L76" s="3">
        <f t="shared" si="189"/>
        <v>6.5</v>
      </c>
      <c r="M76" s="3">
        <f t="shared" si="189"/>
        <v>12</v>
      </c>
      <c r="N76" s="3">
        <f t="shared" si="189"/>
        <v>6</v>
      </c>
      <c r="O76" s="3">
        <f t="shared" si="189"/>
        <v>8</v>
      </c>
      <c r="P76" s="3">
        <f t="shared" si="189"/>
        <v>1.5</v>
      </c>
      <c r="Q76" s="3">
        <f t="shared" si="189"/>
        <v>6</v>
      </c>
      <c r="R76" s="3">
        <f t="shared" si="189"/>
        <v>11.5</v>
      </c>
      <c r="S76" s="3">
        <f t="shared" si="189"/>
        <v>8</v>
      </c>
      <c r="T76" s="3">
        <f t="shared" si="189"/>
        <v>3</v>
      </c>
      <c r="U76" s="3">
        <f t="shared" si="189"/>
        <v>5</v>
      </c>
      <c r="V76" s="3">
        <f t="shared" ref="V76:AA76" si="190">V63-V11</f>
        <v>4.5</v>
      </c>
      <c r="W76" s="3">
        <f t="shared" si="190"/>
        <v>3.5</v>
      </c>
      <c r="X76" s="3">
        <f t="shared" si="190"/>
        <v>4</v>
      </c>
      <c r="Y76" s="3">
        <f t="shared" si="190"/>
        <v>2</v>
      </c>
      <c r="Z76" s="3">
        <f t="shared" si="190"/>
        <v>6.5</v>
      </c>
      <c r="AA76" s="3">
        <f t="shared" si="190"/>
        <v>7</v>
      </c>
      <c r="AB76" s="3">
        <f t="shared" ref="AB76:AC76" si="191">AB63-AB11</f>
        <v>7</v>
      </c>
      <c r="AC76" s="3">
        <f t="shared" si="191"/>
        <v>4.5</v>
      </c>
      <c r="AD76" s="3">
        <f t="shared" ref="AD76:AE76" si="192">AD63-AD11</f>
        <v>7</v>
      </c>
      <c r="AE76" s="3">
        <f t="shared" si="192"/>
        <v>3</v>
      </c>
      <c r="AF76" s="3">
        <f t="shared" ref="AF76:AG76" si="193">AF63-AF11</f>
        <v>6.5</v>
      </c>
      <c r="AG76" s="3">
        <f t="shared" si="193"/>
        <v>8</v>
      </c>
      <c r="AH76" s="3">
        <f t="shared" ref="AH76:AI76" si="194">AH63-AH11</f>
        <v>9.5</v>
      </c>
      <c r="AI76" s="3">
        <f t="shared" si="194"/>
        <v>4.5</v>
      </c>
      <c r="AJ76" s="3">
        <f t="shared" ref="AJ76:AK76" si="195">AJ63-AJ11</f>
        <v>0</v>
      </c>
      <c r="AK76" s="3">
        <f t="shared" si="195"/>
        <v>6</v>
      </c>
      <c r="AL76" s="3">
        <f t="shared" ref="AL76" si="196">AL63-AL11</f>
        <v>3</v>
      </c>
      <c r="AM76" s="3"/>
      <c r="AN76" s="3"/>
      <c r="AO76" s="3"/>
      <c r="AP76" s="5">
        <f t="shared" si="129"/>
        <v>6.4770932069510262E-2</v>
      </c>
      <c r="AQ76" s="10">
        <f t="shared" si="130"/>
        <v>0.375</v>
      </c>
      <c r="AR76" s="5">
        <f t="shared" si="131"/>
        <v>0.3125</v>
      </c>
      <c r="AS76" s="5">
        <f t="shared" si="132"/>
        <v>0.3125</v>
      </c>
      <c r="AT76">
        <v>71.5</v>
      </c>
      <c r="AU76">
        <v>66.5</v>
      </c>
      <c r="AV76">
        <v>74.5</v>
      </c>
      <c r="AW76">
        <v>11</v>
      </c>
      <c r="AX76">
        <v>81.8</v>
      </c>
      <c r="AY76">
        <v>63.6</v>
      </c>
      <c r="AZ76">
        <v>0</v>
      </c>
      <c r="BA76">
        <v>0</v>
      </c>
      <c r="BB76">
        <v>2</v>
      </c>
    </row>
    <row r="77" spans="1:54">
      <c r="C77" s="20">
        <f>SUM(C67:C76)</f>
        <v>1007</v>
      </c>
      <c r="D77" s="20">
        <f t="shared" ref="D77:U77" si="197">SUM(D67:D76)</f>
        <v>82</v>
      </c>
      <c r="E77" s="20">
        <f t="shared" si="197"/>
        <v>63</v>
      </c>
      <c r="F77" s="20">
        <f t="shared" si="197"/>
        <v>84.5</v>
      </c>
      <c r="G77" s="20">
        <f t="shared" si="197"/>
        <v>68.5</v>
      </c>
      <c r="H77" s="20">
        <f t="shared" si="197"/>
        <v>60.5</v>
      </c>
      <c r="I77" s="20">
        <f t="shared" si="197"/>
        <v>69.5</v>
      </c>
      <c r="J77" s="20">
        <f t="shared" si="197"/>
        <v>65.5</v>
      </c>
      <c r="K77" s="20">
        <f t="shared" si="197"/>
        <v>55.5</v>
      </c>
      <c r="L77" s="20">
        <f t="shared" si="197"/>
        <v>61</v>
      </c>
      <c r="M77" s="20">
        <f t="shared" si="197"/>
        <v>68.5</v>
      </c>
      <c r="N77" s="20">
        <f t="shared" si="197"/>
        <v>77</v>
      </c>
      <c r="O77" s="20">
        <f t="shared" si="197"/>
        <v>65.5</v>
      </c>
      <c r="P77" s="20">
        <f t="shared" si="197"/>
        <v>49</v>
      </c>
      <c r="Q77" s="20">
        <f t="shared" si="197"/>
        <v>80.5</v>
      </c>
      <c r="R77" s="20">
        <f t="shared" si="197"/>
        <v>72.5</v>
      </c>
      <c r="S77" s="20">
        <f t="shared" si="197"/>
        <v>47.5</v>
      </c>
      <c r="T77" s="20">
        <f t="shared" si="197"/>
        <v>51</v>
      </c>
      <c r="U77" s="20">
        <f t="shared" si="197"/>
        <v>71</v>
      </c>
      <c r="V77" s="20">
        <f t="shared" ref="V77" si="198">SUM(V67:V76)</f>
        <v>67.5</v>
      </c>
      <c r="W77" s="20">
        <f t="shared" ref="W77" si="199">SUM(W67:W76)</f>
        <v>43</v>
      </c>
      <c r="X77" s="20">
        <f t="shared" ref="X77" si="200">SUM(X67:X76)</f>
        <v>73.5</v>
      </c>
      <c r="Y77" s="20">
        <f t="shared" ref="Y77" si="201">SUM(Y67:Y76)</f>
        <v>42.5</v>
      </c>
      <c r="Z77" s="20">
        <f t="shared" ref="Z77" si="202">SUM(Z67:Z76)</f>
        <v>50</v>
      </c>
      <c r="AA77" s="20">
        <f t="shared" ref="AA77:AB77" si="203">SUM(AA67:AA76)</f>
        <v>61.5</v>
      </c>
      <c r="AB77" s="20">
        <f t="shared" si="203"/>
        <v>82</v>
      </c>
      <c r="AC77" s="20">
        <f t="shared" ref="AC77:AD77" si="204">SUM(AC67:AC76)</f>
        <v>65</v>
      </c>
      <c r="AD77" s="20">
        <f t="shared" si="204"/>
        <v>61</v>
      </c>
      <c r="AE77" s="20">
        <f t="shared" ref="AE77:AO77" si="205">SUM(AE67:AE76)</f>
        <v>75.5</v>
      </c>
      <c r="AF77" s="20">
        <f t="shared" ref="AF77:AG77" si="206">SUM(AF67:AF76)</f>
        <v>68.5</v>
      </c>
      <c r="AG77" s="20">
        <f t="shared" si="206"/>
        <v>67.5</v>
      </c>
      <c r="AH77" s="20">
        <f t="shared" ref="AH77:AI77" si="207">SUM(AH67:AH76)</f>
        <v>72</v>
      </c>
      <c r="AI77" s="20">
        <f t="shared" si="207"/>
        <v>69.5</v>
      </c>
      <c r="AJ77" s="20">
        <f t="shared" ref="AJ77:AK77" si="208">SUM(AJ67:AJ76)</f>
        <v>64.5</v>
      </c>
      <c r="AK77" s="20">
        <f t="shared" si="208"/>
        <v>54.5</v>
      </c>
      <c r="AL77" s="20">
        <f t="shared" ref="AL77" si="209">SUM(AL67:AL76)</f>
        <v>56.5</v>
      </c>
      <c r="AM77" s="20">
        <f t="shared" si="205"/>
        <v>0</v>
      </c>
      <c r="AN77" s="20">
        <f t="shared" si="205"/>
        <v>0</v>
      </c>
      <c r="AO77" s="20">
        <f t="shared" si="205"/>
        <v>0</v>
      </c>
      <c r="AP77" s="1">
        <f>AVERAGE((AP67:AP76))</f>
        <v>8.1872456066701099E-2</v>
      </c>
      <c r="AQ77" s="12">
        <f>COUNTIF(W51:AO51,"&gt;0,5")/COUNT(W51:AO51)</f>
        <v>1</v>
      </c>
      <c r="AR77" s="12">
        <f>COUNTIFS(W51:AO51,"&gt;=-0,5",W51:AO51,"&lt;=0,5")/COUNT(W51:AO51)</f>
        <v>0</v>
      </c>
      <c r="AS77" s="12">
        <f>COUNTIF(W51:AO51,"&lt;0,5")/COUNT(W51:AO51)</f>
        <v>0</v>
      </c>
      <c r="AT77">
        <v>72.5</v>
      </c>
      <c r="AU77">
        <v>68</v>
      </c>
      <c r="AV77">
        <v>74</v>
      </c>
      <c r="AW77">
        <v>11</v>
      </c>
      <c r="AX77">
        <v>100</v>
      </c>
      <c r="AY77">
        <v>100</v>
      </c>
      <c r="AZ77">
        <v>0</v>
      </c>
      <c r="BA77">
        <v>0</v>
      </c>
      <c r="BB77">
        <v>0</v>
      </c>
    </row>
    <row r="78" spans="1:54">
      <c r="AQ78" s="11">
        <f>COUNTIF(W41:AO50,"&gt;0,5")/COUNT(W41:AO50)</f>
        <v>0.47499999999999998</v>
      </c>
      <c r="AR78" s="11">
        <f>COUNTIFS(W41:AO50,"&gt;=-0,5",W41:AO50,"&lt;=0,5")/COUNT(W41:AO50)</f>
        <v>0.35625000000000001</v>
      </c>
      <c r="AS78" s="11">
        <f>COUNTIF(W41:AO50,"&lt;-0,5")/COUNT(W41:AO50)</f>
        <v>0.16875000000000001</v>
      </c>
      <c r="AT78">
        <v>66.5</v>
      </c>
      <c r="AU78">
        <v>67.5</v>
      </c>
      <c r="AV78">
        <v>72.5</v>
      </c>
      <c r="AW78">
        <v>11</v>
      </c>
      <c r="AX78">
        <v>72.7</v>
      </c>
      <c r="AY78">
        <v>72.7</v>
      </c>
      <c r="AZ78">
        <v>0</v>
      </c>
      <c r="BA78">
        <v>0</v>
      </c>
      <c r="BB78">
        <v>2</v>
      </c>
    </row>
    <row r="79" spans="1:54">
      <c r="D79" s="14">
        <v>1</v>
      </c>
      <c r="E79" s="14">
        <v>2</v>
      </c>
      <c r="F79" s="14">
        <v>3</v>
      </c>
      <c r="G79" s="14">
        <v>4</v>
      </c>
      <c r="H79" s="14">
        <v>5</v>
      </c>
      <c r="I79" s="14">
        <v>6</v>
      </c>
      <c r="J79" s="14">
        <v>7</v>
      </c>
      <c r="K79" s="14">
        <v>8</v>
      </c>
      <c r="L79" s="14">
        <v>9</v>
      </c>
      <c r="M79" s="14">
        <v>10</v>
      </c>
      <c r="N79" s="14">
        <v>11</v>
      </c>
      <c r="O79" s="14">
        <v>12</v>
      </c>
      <c r="P79" s="14">
        <v>13</v>
      </c>
      <c r="Q79" s="14">
        <v>14</v>
      </c>
      <c r="R79" s="14">
        <v>15</v>
      </c>
      <c r="S79" s="14">
        <v>16</v>
      </c>
      <c r="T79" s="14">
        <v>17</v>
      </c>
      <c r="U79" s="14">
        <v>18</v>
      </c>
      <c r="V79" s="14">
        <v>19</v>
      </c>
      <c r="W79" s="14">
        <v>20</v>
      </c>
      <c r="X79" s="14">
        <v>21</v>
      </c>
      <c r="Y79" s="14">
        <v>22</v>
      </c>
      <c r="Z79" s="14">
        <v>23</v>
      </c>
      <c r="AA79" s="14">
        <v>24</v>
      </c>
      <c r="AB79" s="14">
        <v>25</v>
      </c>
      <c r="AC79" s="14">
        <v>26</v>
      </c>
      <c r="AD79" s="14">
        <v>27</v>
      </c>
      <c r="AE79" s="14">
        <v>28</v>
      </c>
      <c r="AF79" s="14">
        <v>29</v>
      </c>
      <c r="AG79" s="14">
        <v>30</v>
      </c>
      <c r="AH79" s="14">
        <v>31</v>
      </c>
      <c r="AI79" s="14">
        <v>32</v>
      </c>
      <c r="AJ79" s="14">
        <v>33</v>
      </c>
      <c r="AK79" s="14">
        <v>34</v>
      </c>
      <c r="AL79" s="14">
        <v>35</v>
      </c>
      <c r="AM79" s="14">
        <v>36</v>
      </c>
      <c r="AN79" s="14">
        <v>37</v>
      </c>
      <c r="AO79" s="14">
        <v>38</v>
      </c>
      <c r="AT79" t="s">
        <v>17</v>
      </c>
    </row>
    <row r="80" spans="1:54">
      <c r="A80">
        <v>0</v>
      </c>
      <c r="B80" s="3" t="s">
        <v>0</v>
      </c>
      <c r="C80" s="3">
        <f>SUM(W80:AO80)</f>
        <v>97.5</v>
      </c>
      <c r="D80" s="3">
        <f t="shared" ref="D80:T80" si="210">D54-D15</f>
        <v>11.5</v>
      </c>
      <c r="E80" s="3">
        <f t="shared" si="210"/>
        <v>4.5</v>
      </c>
      <c r="F80" s="3">
        <f t="shared" si="210"/>
        <v>3.5</v>
      </c>
      <c r="G80" s="3">
        <f t="shared" si="210"/>
        <v>12</v>
      </c>
      <c r="H80" s="3">
        <f t="shared" si="210"/>
        <v>2.5</v>
      </c>
      <c r="I80" s="3">
        <f t="shared" si="210"/>
        <v>1</v>
      </c>
      <c r="J80" s="3">
        <f t="shared" si="210"/>
        <v>12.5</v>
      </c>
      <c r="K80" s="3">
        <f t="shared" si="210"/>
        <v>7</v>
      </c>
      <c r="L80" s="3">
        <f t="shared" si="210"/>
        <v>3.5</v>
      </c>
      <c r="M80" s="3">
        <f t="shared" si="210"/>
        <v>6.5</v>
      </c>
      <c r="N80" s="3">
        <f t="shared" si="210"/>
        <v>12</v>
      </c>
      <c r="O80" s="3">
        <f t="shared" si="210"/>
        <v>10</v>
      </c>
      <c r="P80" s="3">
        <f t="shared" si="210"/>
        <v>8.5</v>
      </c>
      <c r="Q80" s="3">
        <f t="shared" si="210"/>
        <v>11</v>
      </c>
      <c r="R80" s="3">
        <f t="shared" si="210"/>
        <v>8.5</v>
      </c>
      <c r="S80" s="3">
        <f t="shared" si="210"/>
        <v>8.5</v>
      </c>
      <c r="T80" s="3">
        <f t="shared" si="210"/>
        <v>3</v>
      </c>
      <c r="U80" s="3">
        <f t="shared" ref="U80:AA80" si="211">U54-U15</f>
        <v>5</v>
      </c>
      <c r="V80" s="3">
        <f t="shared" si="211"/>
        <v>8.5</v>
      </c>
      <c r="W80" s="3">
        <f t="shared" si="211"/>
        <v>6.5</v>
      </c>
      <c r="X80" s="3">
        <f t="shared" si="211"/>
        <v>5</v>
      </c>
      <c r="Y80" s="3">
        <f t="shared" si="211"/>
        <v>0</v>
      </c>
      <c r="Z80" s="3">
        <f t="shared" si="211"/>
        <v>5</v>
      </c>
      <c r="AA80" s="3">
        <f t="shared" si="211"/>
        <v>3</v>
      </c>
      <c r="AB80" s="3">
        <f t="shared" ref="AB80:AC80" si="212">AB54-AB15</f>
        <v>10.5</v>
      </c>
      <c r="AC80" s="3">
        <f t="shared" si="212"/>
        <v>6</v>
      </c>
      <c r="AD80" s="3">
        <f t="shared" ref="AD80:AE80" si="213">AD54-AD15</f>
        <v>8</v>
      </c>
      <c r="AE80" s="3">
        <f t="shared" si="213"/>
        <v>6</v>
      </c>
      <c r="AF80" s="3">
        <f t="shared" ref="AF80:AG80" si="214">AF54-AF15</f>
        <v>8</v>
      </c>
      <c r="AG80" s="3">
        <f t="shared" si="214"/>
        <v>6</v>
      </c>
      <c r="AH80" s="3">
        <f t="shared" ref="AH80:AI80" si="215">AH54-AH15</f>
        <v>5.5</v>
      </c>
      <c r="AI80" s="3">
        <f t="shared" si="215"/>
        <v>8</v>
      </c>
      <c r="AJ80" s="3">
        <f t="shared" ref="AJ80:AK80" si="216">AJ54-AJ15</f>
        <v>13.5</v>
      </c>
      <c r="AK80" s="3">
        <f t="shared" si="216"/>
        <v>6</v>
      </c>
      <c r="AL80" s="3">
        <f t="shared" ref="AL80" si="217">AL54-AL15</f>
        <v>0.5</v>
      </c>
      <c r="AM80" s="3"/>
      <c r="AN80" s="3"/>
      <c r="AO80" s="3"/>
      <c r="AP80" s="5">
        <f>C80/C54</f>
        <v>7.8629032258064516E-2</v>
      </c>
      <c r="AQ80" s="1">
        <f t="shared" ref="AQ80:AQ89" si="218">(C80-C67)/C67</f>
        <v>-0.22</v>
      </c>
      <c r="AT80">
        <v>64.5</v>
      </c>
      <c r="AU80">
        <v>63</v>
      </c>
      <c r="AV80">
        <v>71.5</v>
      </c>
      <c r="AW80">
        <v>11</v>
      </c>
      <c r="AX80">
        <v>72.7</v>
      </c>
      <c r="AY80">
        <v>72.7</v>
      </c>
      <c r="AZ80">
        <v>0</v>
      </c>
      <c r="BA80">
        <v>0</v>
      </c>
      <c r="BB80">
        <v>1</v>
      </c>
    </row>
    <row r="81" spans="1:54">
      <c r="A81">
        <v>1</v>
      </c>
      <c r="B81" s="3" t="s">
        <v>1</v>
      </c>
      <c r="C81" s="3">
        <f t="shared" ref="C81:C89" si="219">SUM(W81:AO81)</f>
        <v>52</v>
      </c>
      <c r="D81" s="3">
        <f t="shared" ref="D81:T81" si="220">D55-D16</f>
        <v>7</v>
      </c>
      <c r="E81" s="3">
        <f t="shared" si="220"/>
        <v>5.5</v>
      </c>
      <c r="F81" s="3">
        <f t="shared" si="220"/>
        <v>6</v>
      </c>
      <c r="G81" s="3">
        <f t="shared" si="220"/>
        <v>10.5</v>
      </c>
      <c r="H81" s="3">
        <f t="shared" si="220"/>
        <v>4</v>
      </c>
      <c r="I81" s="3">
        <f t="shared" si="220"/>
        <v>5</v>
      </c>
      <c r="J81" s="3">
        <f t="shared" si="220"/>
        <v>7</v>
      </c>
      <c r="K81" s="3">
        <f t="shared" si="220"/>
        <v>2.5</v>
      </c>
      <c r="L81" s="3">
        <f t="shared" si="220"/>
        <v>6</v>
      </c>
      <c r="M81" s="3">
        <f t="shared" si="220"/>
        <v>6</v>
      </c>
      <c r="N81" s="3">
        <f t="shared" si="220"/>
        <v>5</v>
      </c>
      <c r="O81" s="3">
        <f t="shared" si="220"/>
        <v>1.5</v>
      </c>
      <c r="P81" s="3">
        <f t="shared" si="220"/>
        <v>5.5</v>
      </c>
      <c r="Q81" s="3">
        <f t="shared" si="220"/>
        <v>2</v>
      </c>
      <c r="R81" s="3">
        <f t="shared" si="220"/>
        <v>3.5</v>
      </c>
      <c r="S81" s="3">
        <f t="shared" si="220"/>
        <v>2.5</v>
      </c>
      <c r="T81" s="3">
        <f t="shared" si="220"/>
        <v>4.5</v>
      </c>
      <c r="U81" s="3">
        <f t="shared" ref="U81:AA81" si="221">U55-U16</f>
        <v>13</v>
      </c>
      <c r="V81" s="3">
        <f t="shared" si="221"/>
        <v>3</v>
      </c>
      <c r="W81" s="3">
        <f t="shared" si="221"/>
        <v>0</v>
      </c>
      <c r="X81" s="3">
        <f t="shared" si="221"/>
        <v>4.5</v>
      </c>
      <c r="Y81" s="3">
        <f t="shared" si="221"/>
        <v>2</v>
      </c>
      <c r="Z81" s="3">
        <f t="shared" si="221"/>
        <v>4</v>
      </c>
      <c r="AA81" s="3">
        <f t="shared" si="221"/>
        <v>1</v>
      </c>
      <c r="AB81" s="3">
        <f t="shared" ref="AB81:AC81" si="222">AB55-AB16</f>
        <v>1.5</v>
      </c>
      <c r="AC81" s="3">
        <f t="shared" si="222"/>
        <v>3</v>
      </c>
      <c r="AD81" s="3">
        <f t="shared" ref="AD81:AE81" si="223">AD55-AD16</f>
        <v>4</v>
      </c>
      <c r="AE81" s="3">
        <f t="shared" si="223"/>
        <v>4</v>
      </c>
      <c r="AF81" s="3">
        <f t="shared" ref="AF81:AG81" si="224">AF55-AF16</f>
        <v>4</v>
      </c>
      <c r="AG81" s="3">
        <f t="shared" si="224"/>
        <v>3</v>
      </c>
      <c r="AH81" s="3">
        <f t="shared" ref="AH81:AI81" si="225">AH55-AH16</f>
        <v>2</v>
      </c>
      <c r="AI81" s="3">
        <f t="shared" si="225"/>
        <v>6.5</v>
      </c>
      <c r="AJ81" s="3">
        <f t="shared" ref="AJ81:AK81" si="226">AJ55-AJ16</f>
        <v>1</v>
      </c>
      <c r="AK81" s="3">
        <f t="shared" si="226"/>
        <v>7</v>
      </c>
      <c r="AL81" s="3">
        <f t="shared" ref="AL81" si="227">AL55-AL16</f>
        <v>4.5</v>
      </c>
      <c r="AM81" s="3"/>
      <c r="AN81" s="3"/>
      <c r="AO81" s="3"/>
      <c r="AP81" s="5">
        <f t="shared" ref="AP81:AP89" si="228">C81/C55</f>
        <v>4.3010752688172046E-2</v>
      </c>
      <c r="AQ81" s="1">
        <f t="shared" si="218"/>
        <v>-0.13333333333333333</v>
      </c>
      <c r="AT81">
        <v>68.5</v>
      </c>
      <c r="AU81">
        <v>65.5</v>
      </c>
      <c r="AV81">
        <v>71</v>
      </c>
      <c r="AW81">
        <v>11</v>
      </c>
      <c r="AX81">
        <v>81.8</v>
      </c>
      <c r="AY81">
        <v>72.7</v>
      </c>
      <c r="AZ81">
        <v>1</v>
      </c>
      <c r="BA81">
        <v>1</v>
      </c>
      <c r="BB81">
        <v>1</v>
      </c>
    </row>
    <row r="82" spans="1:54">
      <c r="A82">
        <v>2</v>
      </c>
      <c r="B82" s="3" t="s">
        <v>2</v>
      </c>
      <c r="C82" s="3">
        <f t="shared" si="219"/>
        <v>119.5</v>
      </c>
      <c r="D82" s="3">
        <f t="shared" ref="D82:T82" si="229">D56-D17</f>
        <v>6</v>
      </c>
      <c r="E82" s="3">
        <f t="shared" si="229"/>
        <v>13.5</v>
      </c>
      <c r="F82" s="3">
        <f t="shared" si="229"/>
        <v>7.5</v>
      </c>
      <c r="G82" s="3">
        <f t="shared" si="229"/>
        <v>2.5</v>
      </c>
      <c r="H82" s="3">
        <f t="shared" si="229"/>
        <v>10.5</v>
      </c>
      <c r="I82" s="3">
        <f t="shared" si="229"/>
        <v>4</v>
      </c>
      <c r="J82" s="3">
        <f t="shared" si="229"/>
        <v>10.5</v>
      </c>
      <c r="K82" s="3">
        <f t="shared" si="229"/>
        <v>14.5</v>
      </c>
      <c r="L82" s="3">
        <f t="shared" si="229"/>
        <v>5</v>
      </c>
      <c r="M82" s="3">
        <f t="shared" si="229"/>
        <v>6</v>
      </c>
      <c r="N82" s="3">
        <f t="shared" si="229"/>
        <v>9</v>
      </c>
      <c r="O82" s="3">
        <f t="shared" si="229"/>
        <v>12</v>
      </c>
      <c r="P82" s="3">
        <f t="shared" si="229"/>
        <v>10</v>
      </c>
      <c r="Q82" s="3">
        <f t="shared" si="229"/>
        <v>5.5</v>
      </c>
      <c r="R82" s="3">
        <f t="shared" si="229"/>
        <v>15</v>
      </c>
      <c r="S82" s="3">
        <f t="shared" si="229"/>
        <v>5</v>
      </c>
      <c r="T82" s="3">
        <f t="shared" si="229"/>
        <v>3.5</v>
      </c>
      <c r="U82" s="3">
        <f t="shared" ref="U82:AA82" si="230">U56-U17</f>
        <v>4.5</v>
      </c>
      <c r="V82" s="3">
        <f t="shared" si="230"/>
        <v>12</v>
      </c>
      <c r="W82" s="3">
        <f t="shared" si="230"/>
        <v>3.5</v>
      </c>
      <c r="X82" s="3">
        <f t="shared" si="230"/>
        <v>1</v>
      </c>
      <c r="Y82" s="3">
        <f t="shared" si="230"/>
        <v>6</v>
      </c>
      <c r="Z82" s="3">
        <f t="shared" si="230"/>
        <v>4</v>
      </c>
      <c r="AA82" s="3">
        <f t="shared" si="230"/>
        <v>6.5</v>
      </c>
      <c r="AB82" s="3">
        <f t="shared" ref="AB82:AC82" si="231">AB56-AB17</f>
        <v>12.5</v>
      </c>
      <c r="AC82" s="3">
        <f t="shared" si="231"/>
        <v>7</v>
      </c>
      <c r="AD82" s="3">
        <f t="shared" ref="AD82:AE82" si="232">AD56-AD17</f>
        <v>12</v>
      </c>
      <c r="AE82" s="3">
        <f t="shared" si="232"/>
        <v>8.5</v>
      </c>
      <c r="AF82" s="3">
        <f t="shared" ref="AF82:AG82" si="233">AF56-AF17</f>
        <v>8.5</v>
      </c>
      <c r="AG82" s="3">
        <f t="shared" si="233"/>
        <v>8</v>
      </c>
      <c r="AH82" s="3">
        <f t="shared" ref="AH82:AI82" si="234">AH56-AH17</f>
        <v>7.5</v>
      </c>
      <c r="AI82" s="3">
        <f t="shared" si="234"/>
        <v>8</v>
      </c>
      <c r="AJ82" s="3">
        <f t="shared" ref="AJ82:AK82" si="235">AJ56-AJ17</f>
        <v>1</v>
      </c>
      <c r="AK82" s="3">
        <f t="shared" si="235"/>
        <v>7</v>
      </c>
      <c r="AL82" s="3">
        <f t="shared" ref="AL82" si="236">AL56-AL17</f>
        <v>18.5</v>
      </c>
      <c r="AM82" s="3"/>
      <c r="AN82" s="3"/>
      <c r="AO82" s="3"/>
      <c r="AP82" s="5">
        <f t="shared" si="228"/>
        <v>9.2815533980582524E-2</v>
      </c>
      <c r="AQ82" s="1">
        <f t="shared" si="218"/>
        <v>-0.13405797101449277</v>
      </c>
      <c r="AT82">
        <v>71.5</v>
      </c>
      <c r="AU82">
        <v>77.5</v>
      </c>
      <c r="AV82">
        <v>86</v>
      </c>
      <c r="AW82">
        <v>11</v>
      </c>
      <c r="AX82">
        <v>63.6</v>
      </c>
      <c r="AY82">
        <v>72.7</v>
      </c>
      <c r="AZ82">
        <v>0</v>
      </c>
      <c r="BA82">
        <v>0</v>
      </c>
      <c r="BB82">
        <v>1</v>
      </c>
    </row>
    <row r="83" spans="1:54">
      <c r="A83">
        <v>3</v>
      </c>
      <c r="B83" s="3" t="s">
        <v>3</v>
      </c>
      <c r="C83" s="3">
        <f t="shared" si="219"/>
        <v>72.5</v>
      </c>
      <c r="D83" s="3">
        <f t="shared" ref="D83:T83" si="237">D57-D18</f>
        <v>5.5</v>
      </c>
      <c r="E83" s="3">
        <f t="shared" si="237"/>
        <v>11.5</v>
      </c>
      <c r="F83" s="3">
        <f t="shared" si="237"/>
        <v>10.5</v>
      </c>
      <c r="G83" s="3">
        <f t="shared" si="237"/>
        <v>9.5</v>
      </c>
      <c r="H83" s="3">
        <f t="shared" si="237"/>
        <v>14.5</v>
      </c>
      <c r="I83" s="3">
        <f t="shared" si="237"/>
        <v>4</v>
      </c>
      <c r="J83" s="3">
        <f t="shared" si="237"/>
        <v>11</v>
      </c>
      <c r="K83" s="3">
        <f t="shared" si="237"/>
        <v>5.5</v>
      </c>
      <c r="L83" s="3">
        <f t="shared" si="237"/>
        <v>5.5</v>
      </c>
      <c r="M83" s="3">
        <f t="shared" si="237"/>
        <v>5.5</v>
      </c>
      <c r="N83" s="3">
        <f t="shared" si="237"/>
        <v>10</v>
      </c>
      <c r="O83" s="3">
        <f t="shared" si="237"/>
        <v>2</v>
      </c>
      <c r="P83" s="3">
        <f t="shared" si="237"/>
        <v>7</v>
      </c>
      <c r="Q83" s="3">
        <f t="shared" si="237"/>
        <v>13</v>
      </c>
      <c r="R83" s="3">
        <f t="shared" si="237"/>
        <v>7</v>
      </c>
      <c r="S83" s="3">
        <f t="shared" si="237"/>
        <v>2.5</v>
      </c>
      <c r="T83" s="3">
        <f t="shared" si="237"/>
        <v>2</v>
      </c>
      <c r="U83" s="3">
        <f t="shared" ref="U83:AA83" si="238">U57-U18</f>
        <v>11</v>
      </c>
      <c r="V83" s="3">
        <f t="shared" si="238"/>
        <v>5</v>
      </c>
      <c r="W83" s="3">
        <f t="shared" si="238"/>
        <v>3.5</v>
      </c>
      <c r="X83" s="3">
        <f t="shared" si="238"/>
        <v>8</v>
      </c>
      <c r="Y83" s="3">
        <f t="shared" si="238"/>
        <v>3</v>
      </c>
      <c r="Z83" s="3">
        <f t="shared" si="238"/>
        <v>2.5</v>
      </c>
      <c r="AA83" s="3">
        <f t="shared" si="238"/>
        <v>3</v>
      </c>
      <c r="AB83" s="3">
        <f t="shared" ref="AB83:AC83" si="239">AB57-AB18</f>
        <v>6.5</v>
      </c>
      <c r="AC83" s="3">
        <f t="shared" si="239"/>
        <v>7</v>
      </c>
      <c r="AD83" s="3">
        <f t="shared" ref="AD83:AE83" si="240">AD57-AD18</f>
        <v>4.5</v>
      </c>
      <c r="AE83" s="3">
        <f t="shared" si="240"/>
        <v>7</v>
      </c>
      <c r="AF83" s="3">
        <f t="shared" ref="AF83:AG83" si="241">AF57-AF18</f>
        <v>2.5</v>
      </c>
      <c r="AG83" s="3">
        <f t="shared" si="241"/>
        <v>1.5</v>
      </c>
      <c r="AH83" s="3">
        <f t="shared" ref="AH83:AI83" si="242">AH57-AH18</f>
        <v>10</v>
      </c>
      <c r="AI83" s="3">
        <f t="shared" si="242"/>
        <v>4.5</v>
      </c>
      <c r="AJ83" s="3">
        <f t="shared" ref="AJ83:AK83" si="243">AJ57-AJ18</f>
        <v>6</v>
      </c>
      <c r="AK83" s="3">
        <f t="shared" si="243"/>
        <v>1.5</v>
      </c>
      <c r="AL83" s="3">
        <f t="shared" ref="AL83" si="244">AL57-AL18</f>
        <v>1.5</v>
      </c>
      <c r="AM83" s="3"/>
      <c r="AN83" s="3"/>
      <c r="AO83" s="3"/>
      <c r="AP83" s="5">
        <f t="shared" si="228"/>
        <v>5.9377559377559376E-2</v>
      </c>
      <c r="AQ83" s="1">
        <f t="shared" si="218"/>
        <v>-0.23280423280423279</v>
      </c>
      <c r="AT83">
        <v>64.5</v>
      </c>
      <c r="AU83">
        <v>64</v>
      </c>
      <c r="AV83">
        <v>70</v>
      </c>
      <c r="AW83">
        <v>11</v>
      </c>
      <c r="AX83">
        <v>81.8</v>
      </c>
      <c r="AY83">
        <v>81.8</v>
      </c>
      <c r="AZ83">
        <v>0</v>
      </c>
      <c r="BA83">
        <v>0</v>
      </c>
      <c r="BB83">
        <v>1</v>
      </c>
    </row>
    <row r="84" spans="1:54">
      <c r="A84">
        <v>4</v>
      </c>
      <c r="B84" s="3" t="s">
        <v>5</v>
      </c>
      <c r="C84" s="3">
        <f t="shared" si="219"/>
        <v>61</v>
      </c>
      <c r="D84" s="3">
        <f t="shared" ref="D84:T84" si="245">D58-D19</f>
        <v>5</v>
      </c>
      <c r="E84" s="3">
        <f t="shared" si="245"/>
        <v>15.5</v>
      </c>
      <c r="F84" s="3">
        <f t="shared" si="245"/>
        <v>5</v>
      </c>
      <c r="G84" s="3">
        <f t="shared" si="245"/>
        <v>4</v>
      </c>
      <c r="H84" s="3">
        <f t="shared" si="245"/>
        <v>4</v>
      </c>
      <c r="I84" s="3">
        <f t="shared" si="245"/>
        <v>1</v>
      </c>
      <c r="J84" s="3">
        <f t="shared" si="245"/>
        <v>4</v>
      </c>
      <c r="K84" s="3">
        <f t="shared" si="245"/>
        <v>5</v>
      </c>
      <c r="L84" s="3">
        <f t="shared" si="245"/>
        <v>1.5</v>
      </c>
      <c r="M84" s="3">
        <f t="shared" si="245"/>
        <v>3.5</v>
      </c>
      <c r="N84" s="3">
        <f t="shared" si="245"/>
        <v>7</v>
      </c>
      <c r="O84" s="3">
        <f t="shared" si="245"/>
        <v>5.5</v>
      </c>
      <c r="P84" s="3">
        <f t="shared" si="245"/>
        <v>2.5</v>
      </c>
      <c r="Q84" s="3">
        <f t="shared" si="245"/>
        <v>4.5</v>
      </c>
      <c r="R84" s="3">
        <f t="shared" si="245"/>
        <v>3</v>
      </c>
      <c r="S84" s="3">
        <f t="shared" si="245"/>
        <v>3</v>
      </c>
      <c r="T84" s="3">
        <f t="shared" si="245"/>
        <v>5.5</v>
      </c>
      <c r="U84" s="3">
        <f t="shared" ref="U84:AA84" si="246">U58-U19</f>
        <v>3.5</v>
      </c>
      <c r="V84" s="3">
        <f t="shared" si="246"/>
        <v>20</v>
      </c>
      <c r="W84" s="3">
        <f t="shared" si="246"/>
        <v>1.5</v>
      </c>
      <c r="X84" s="3">
        <f t="shared" si="246"/>
        <v>4.5</v>
      </c>
      <c r="Y84" s="3">
        <f t="shared" si="246"/>
        <v>2</v>
      </c>
      <c r="Z84" s="3">
        <f t="shared" si="246"/>
        <v>4.5</v>
      </c>
      <c r="AA84" s="3">
        <f t="shared" si="246"/>
        <v>2.5</v>
      </c>
      <c r="AB84" s="3">
        <f t="shared" ref="AB84:AC84" si="247">AB58-AB19</f>
        <v>4</v>
      </c>
      <c r="AC84" s="3">
        <f t="shared" si="247"/>
        <v>0.5</v>
      </c>
      <c r="AD84" s="3">
        <f t="shared" ref="AD84:AE84" si="248">AD58-AD19</f>
        <v>2.5</v>
      </c>
      <c r="AE84" s="3">
        <f t="shared" si="248"/>
        <v>9</v>
      </c>
      <c r="AF84" s="3">
        <f t="shared" ref="AF84:AG84" si="249">AF58-AF19</f>
        <v>6.5</v>
      </c>
      <c r="AG84" s="3">
        <f t="shared" si="249"/>
        <v>8</v>
      </c>
      <c r="AH84" s="3">
        <f t="shared" ref="AH84:AI84" si="250">AH58-AH19</f>
        <v>5</v>
      </c>
      <c r="AI84" s="3">
        <f t="shared" si="250"/>
        <v>3.5</v>
      </c>
      <c r="AJ84" s="3">
        <f t="shared" ref="AJ84:AK84" si="251">AJ58-AJ19</f>
        <v>2</v>
      </c>
      <c r="AK84" s="3">
        <f t="shared" si="251"/>
        <v>2</v>
      </c>
      <c r="AL84" s="3">
        <f t="shared" ref="AL84" si="252">AL58-AL19</f>
        <v>3</v>
      </c>
      <c r="AM84" s="3"/>
      <c r="AN84" s="3"/>
      <c r="AO84" s="3"/>
      <c r="AP84" s="5">
        <f t="shared" si="228"/>
        <v>4.9372723593686767E-2</v>
      </c>
      <c r="AQ84" s="1">
        <f t="shared" si="218"/>
        <v>-0.36458333333333331</v>
      </c>
      <c r="AT84">
        <v>58.5</v>
      </c>
      <c r="AU84">
        <v>58.5</v>
      </c>
      <c r="AV84">
        <v>63.5</v>
      </c>
      <c r="AW84">
        <v>11</v>
      </c>
      <c r="AX84">
        <v>72.7</v>
      </c>
      <c r="AY84">
        <v>72.7</v>
      </c>
      <c r="AZ84">
        <v>0</v>
      </c>
      <c r="BA84">
        <v>0</v>
      </c>
      <c r="BB84">
        <v>0</v>
      </c>
    </row>
    <row r="85" spans="1:54">
      <c r="A85">
        <v>5</v>
      </c>
      <c r="B85" s="3" t="s">
        <v>4</v>
      </c>
      <c r="C85" s="3">
        <f t="shared" si="219"/>
        <v>93.5</v>
      </c>
      <c r="D85" s="3">
        <f t="shared" ref="D85:T85" si="253">D59-D20</f>
        <v>10</v>
      </c>
      <c r="E85" s="3">
        <f t="shared" si="253"/>
        <v>16</v>
      </c>
      <c r="F85" s="3">
        <f t="shared" si="253"/>
        <v>4.5</v>
      </c>
      <c r="G85" s="3">
        <f t="shared" si="253"/>
        <v>11</v>
      </c>
      <c r="H85" s="3">
        <f t="shared" si="253"/>
        <v>4.5</v>
      </c>
      <c r="I85" s="3">
        <f t="shared" si="253"/>
        <v>12.5</v>
      </c>
      <c r="J85" s="3">
        <f t="shared" si="253"/>
        <v>9.5</v>
      </c>
      <c r="K85" s="3">
        <f t="shared" si="253"/>
        <v>5</v>
      </c>
      <c r="L85" s="3">
        <f t="shared" si="253"/>
        <v>7.5</v>
      </c>
      <c r="M85" s="3">
        <f t="shared" si="253"/>
        <v>12</v>
      </c>
      <c r="N85" s="3">
        <f t="shared" si="253"/>
        <v>19.5</v>
      </c>
      <c r="O85" s="3">
        <f t="shared" si="253"/>
        <v>6.5</v>
      </c>
      <c r="P85" s="3">
        <f t="shared" si="253"/>
        <v>12</v>
      </c>
      <c r="Q85" s="3">
        <f t="shared" si="253"/>
        <v>2.5</v>
      </c>
      <c r="R85" s="3">
        <f t="shared" si="253"/>
        <v>4.5</v>
      </c>
      <c r="S85" s="3">
        <f t="shared" si="253"/>
        <v>9</v>
      </c>
      <c r="T85" s="3">
        <f t="shared" si="253"/>
        <v>4</v>
      </c>
      <c r="U85" s="3">
        <f t="shared" ref="U85:AA85" si="254">U59-U20</f>
        <v>7.5</v>
      </c>
      <c r="V85" s="3">
        <f t="shared" si="254"/>
        <v>19.5</v>
      </c>
      <c r="W85" s="3">
        <f t="shared" si="254"/>
        <v>5</v>
      </c>
      <c r="X85" s="3">
        <f t="shared" si="254"/>
        <v>6</v>
      </c>
      <c r="Y85" s="3">
        <f t="shared" si="254"/>
        <v>2.5</v>
      </c>
      <c r="Z85" s="3">
        <f t="shared" si="254"/>
        <v>9.5</v>
      </c>
      <c r="AA85" s="3">
        <f t="shared" si="254"/>
        <v>3.5</v>
      </c>
      <c r="AB85" s="3">
        <f t="shared" ref="AB85:AC85" si="255">AB59-AB20</f>
        <v>13</v>
      </c>
      <c r="AC85" s="3">
        <f t="shared" si="255"/>
        <v>1.5</v>
      </c>
      <c r="AD85" s="3">
        <f t="shared" ref="AD85:AE85" si="256">AD59-AD20</f>
        <v>6.5</v>
      </c>
      <c r="AE85" s="3">
        <f t="shared" si="256"/>
        <v>4</v>
      </c>
      <c r="AF85" s="3">
        <f t="shared" ref="AF85:AG85" si="257">AF59-AF20</f>
        <v>2.5</v>
      </c>
      <c r="AG85" s="3">
        <f t="shared" si="257"/>
        <v>9</v>
      </c>
      <c r="AH85" s="3">
        <f t="shared" ref="AH85:AI85" si="258">AH59-AH20</f>
        <v>6</v>
      </c>
      <c r="AI85" s="3">
        <f t="shared" si="258"/>
        <v>8.5</v>
      </c>
      <c r="AJ85" s="3">
        <f t="shared" ref="AJ85:AK85" si="259">AJ59-AJ20</f>
        <v>10</v>
      </c>
      <c r="AK85" s="3">
        <f t="shared" si="259"/>
        <v>1.5</v>
      </c>
      <c r="AL85" s="3">
        <f t="shared" ref="AL85" si="260">AL59-AL20</f>
        <v>4.5</v>
      </c>
      <c r="AM85" s="3"/>
      <c r="AN85" s="3"/>
      <c r="AO85" s="3"/>
      <c r="AP85" s="5">
        <f t="shared" si="228"/>
        <v>7.6513911620294597E-2</v>
      </c>
      <c r="AQ85" s="1">
        <f t="shared" si="218"/>
        <v>-0.11374407582938388</v>
      </c>
      <c r="AT85">
        <v>62.5</v>
      </c>
      <c r="AU85">
        <v>65.5</v>
      </c>
      <c r="AV85">
        <v>67.5</v>
      </c>
      <c r="AW85">
        <v>11</v>
      </c>
      <c r="AX85">
        <v>81.8</v>
      </c>
      <c r="AY85">
        <v>81.8</v>
      </c>
      <c r="AZ85">
        <v>0</v>
      </c>
      <c r="BA85">
        <v>0</v>
      </c>
      <c r="BB85">
        <v>0</v>
      </c>
    </row>
    <row r="86" spans="1:54">
      <c r="A86">
        <v>6</v>
      </c>
      <c r="B86" s="3" t="s">
        <v>6</v>
      </c>
      <c r="C86" s="3">
        <f t="shared" si="219"/>
        <v>54</v>
      </c>
      <c r="D86" s="3">
        <f t="shared" ref="D86:T86" si="261">D60-D21</f>
        <v>12</v>
      </c>
      <c r="E86" s="3">
        <f t="shared" si="261"/>
        <v>12</v>
      </c>
      <c r="F86" s="3">
        <f t="shared" si="261"/>
        <v>9</v>
      </c>
      <c r="G86" s="3">
        <f t="shared" si="261"/>
        <v>9.5</v>
      </c>
      <c r="H86" s="3">
        <f t="shared" si="261"/>
        <v>9.5</v>
      </c>
      <c r="I86" s="3">
        <f t="shared" si="261"/>
        <v>18</v>
      </c>
      <c r="J86" s="3">
        <f t="shared" si="261"/>
        <v>7</v>
      </c>
      <c r="K86" s="3">
        <f t="shared" si="261"/>
        <v>0.5</v>
      </c>
      <c r="L86" s="3">
        <f t="shared" si="261"/>
        <v>1.5</v>
      </c>
      <c r="M86" s="3">
        <f t="shared" si="261"/>
        <v>8.5</v>
      </c>
      <c r="N86" s="3">
        <f t="shared" si="261"/>
        <v>8</v>
      </c>
      <c r="O86" s="3">
        <f t="shared" si="261"/>
        <v>3</v>
      </c>
      <c r="P86" s="3">
        <f t="shared" si="261"/>
        <v>2.5</v>
      </c>
      <c r="Q86" s="3">
        <f t="shared" si="261"/>
        <v>8</v>
      </c>
      <c r="R86" s="3">
        <f t="shared" si="261"/>
        <v>7.5</v>
      </c>
      <c r="S86" s="3">
        <f t="shared" si="261"/>
        <v>4.5</v>
      </c>
      <c r="T86" s="3">
        <f t="shared" si="261"/>
        <v>2.5</v>
      </c>
      <c r="U86" s="3">
        <f t="shared" ref="U86:AA86" si="262">U60-U21</f>
        <v>2.5</v>
      </c>
      <c r="V86" s="3">
        <f t="shared" si="262"/>
        <v>4.5</v>
      </c>
      <c r="W86" s="3">
        <f t="shared" si="262"/>
        <v>5</v>
      </c>
      <c r="X86" s="3">
        <f t="shared" si="262"/>
        <v>3</v>
      </c>
      <c r="Y86" s="3">
        <f t="shared" si="262"/>
        <v>5</v>
      </c>
      <c r="Z86" s="3">
        <f t="shared" si="262"/>
        <v>4.5</v>
      </c>
      <c r="AA86" s="3">
        <f t="shared" si="262"/>
        <v>4</v>
      </c>
      <c r="AB86" s="3">
        <f t="shared" ref="AB86:AC86" si="263">AB60-AB21</f>
        <v>7.5</v>
      </c>
      <c r="AC86" s="3">
        <f t="shared" si="263"/>
        <v>3.5</v>
      </c>
      <c r="AD86" s="3">
        <f t="shared" ref="AD86:AE86" si="264">AD60-AD21</f>
        <v>1</v>
      </c>
      <c r="AE86" s="3">
        <f t="shared" si="264"/>
        <v>7</v>
      </c>
      <c r="AF86" s="3">
        <f t="shared" ref="AF86:AG86" si="265">AF60-AF21</f>
        <v>4</v>
      </c>
      <c r="AG86" s="3">
        <f t="shared" si="265"/>
        <v>2</v>
      </c>
      <c r="AH86" s="3">
        <f t="shared" ref="AH86:AI86" si="266">AH60-AH21</f>
        <v>0</v>
      </c>
      <c r="AI86" s="3">
        <f t="shared" si="266"/>
        <v>2</v>
      </c>
      <c r="AJ86" s="3">
        <f t="shared" ref="AJ86:AK86" si="267">AJ60-AJ21</f>
        <v>3</v>
      </c>
      <c r="AK86" s="3">
        <f t="shared" si="267"/>
        <v>1.5</v>
      </c>
      <c r="AL86" s="3">
        <f t="shared" ref="AL86" si="268">AL60-AL21</f>
        <v>1</v>
      </c>
      <c r="AM86" s="3"/>
      <c r="AN86" s="3"/>
      <c r="AO86" s="3"/>
      <c r="AP86" s="5">
        <f t="shared" si="228"/>
        <v>4.5879354290569246E-2</v>
      </c>
      <c r="AQ86" s="1">
        <f t="shared" si="218"/>
        <v>-0.20588235294117646</v>
      </c>
      <c r="AT86">
        <v>71.5</v>
      </c>
      <c r="AU86">
        <v>72</v>
      </c>
      <c r="AV86">
        <v>72</v>
      </c>
      <c r="AW86">
        <v>11</v>
      </c>
      <c r="AX86">
        <v>100</v>
      </c>
      <c r="AY86">
        <v>100</v>
      </c>
      <c r="AZ86">
        <v>1</v>
      </c>
      <c r="BA86">
        <v>1</v>
      </c>
      <c r="BB86">
        <v>1</v>
      </c>
    </row>
    <row r="87" spans="1:54">
      <c r="A87">
        <v>7</v>
      </c>
      <c r="B87" s="3" t="s">
        <v>9</v>
      </c>
      <c r="C87" s="3">
        <f t="shared" si="219"/>
        <v>71</v>
      </c>
      <c r="D87" s="3">
        <f t="shared" ref="D87:T87" si="269">D61-D22</f>
        <v>10.5</v>
      </c>
      <c r="E87" s="3">
        <f t="shared" si="269"/>
        <v>12</v>
      </c>
      <c r="F87" s="3">
        <f t="shared" si="269"/>
        <v>6.5</v>
      </c>
      <c r="G87" s="3">
        <f t="shared" si="269"/>
        <v>8.5</v>
      </c>
      <c r="H87" s="3">
        <f t="shared" si="269"/>
        <v>8.5</v>
      </c>
      <c r="I87" s="3">
        <f t="shared" si="269"/>
        <v>2.5</v>
      </c>
      <c r="J87" s="3">
        <f t="shared" si="269"/>
        <v>3</v>
      </c>
      <c r="K87" s="3">
        <f t="shared" si="269"/>
        <v>5</v>
      </c>
      <c r="L87" s="3">
        <f t="shared" si="269"/>
        <v>8</v>
      </c>
      <c r="M87" s="3">
        <f t="shared" si="269"/>
        <v>4</v>
      </c>
      <c r="N87" s="3">
        <f t="shared" si="269"/>
        <v>4</v>
      </c>
      <c r="O87" s="3">
        <f t="shared" si="269"/>
        <v>15.5</v>
      </c>
      <c r="P87" s="3">
        <f t="shared" si="269"/>
        <v>9.5</v>
      </c>
      <c r="Q87" s="3">
        <f t="shared" si="269"/>
        <v>10</v>
      </c>
      <c r="R87" s="3">
        <f t="shared" si="269"/>
        <v>4</v>
      </c>
      <c r="S87" s="3">
        <f t="shared" si="269"/>
        <v>2.5</v>
      </c>
      <c r="T87" s="3">
        <f t="shared" si="269"/>
        <v>6.5</v>
      </c>
      <c r="U87" s="3">
        <f t="shared" ref="U87:AA87" si="270">U61-U22</f>
        <v>6</v>
      </c>
      <c r="V87" s="3">
        <f t="shared" si="270"/>
        <v>12.5</v>
      </c>
      <c r="W87" s="3">
        <f t="shared" si="270"/>
        <v>2.5</v>
      </c>
      <c r="X87" s="3">
        <f t="shared" si="270"/>
        <v>7.5</v>
      </c>
      <c r="Y87" s="3">
        <f t="shared" si="270"/>
        <v>2</v>
      </c>
      <c r="Z87" s="3">
        <f t="shared" si="270"/>
        <v>1.5</v>
      </c>
      <c r="AA87" s="3">
        <f t="shared" si="270"/>
        <v>1.5</v>
      </c>
      <c r="AB87" s="3">
        <f t="shared" ref="AB87:AC87" si="271">AB61-AB22</f>
        <v>1.5</v>
      </c>
      <c r="AC87" s="3">
        <f t="shared" si="271"/>
        <v>2</v>
      </c>
      <c r="AD87" s="3">
        <f t="shared" ref="AD87:AE87" si="272">AD61-AD22</f>
        <v>3.5</v>
      </c>
      <c r="AE87" s="3">
        <f t="shared" si="272"/>
        <v>10.5</v>
      </c>
      <c r="AF87" s="3">
        <f t="shared" ref="AF87:AG87" si="273">AF61-AF22</f>
        <v>3.5</v>
      </c>
      <c r="AG87" s="3">
        <f t="shared" si="273"/>
        <v>2</v>
      </c>
      <c r="AH87" s="3">
        <f t="shared" ref="AH87:AI87" si="274">AH61-AH22</f>
        <v>11.5</v>
      </c>
      <c r="AI87" s="3">
        <f t="shared" si="274"/>
        <v>8.5</v>
      </c>
      <c r="AJ87" s="3">
        <f t="shared" ref="AJ87:AK87" si="275">AJ61-AJ22</f>
        <v>5.5</v>
      </c>
      <c r="AK87" s="3">
        <f t="shared" si="275"/>
        <v>4.5</v>
      </c>
      <c r="AL87" s="3">
        <f t="shared" ref="AL87" si="276">AL61-AL22</f>
        <v>3</v>
      </c>
      <c r="AM87" s="3"/>
      <c r="AN87" s="3"/>
      <c r="AO87" s="3"/>
      <c r="AP87" s="5">
        <f t="shared" si="228"/>
        <v>5.9789473684210524E-2</v>
      </c>
      <c r="AQ87" s="1">
        <f t="shared" si="218"/>
        <v>-0.30049261083743845</v>
      </c>
      <c r="AT87">
        <v>65.5</v>
      </c>
      <c r="AU87">
        <v>66</v>
      </c>
      <c r="AV87">
        <v>70.5</v>
      </c>
      <c r="AW87">
        <v>11</v>
      </c>
      <c r="AX87">
        <v>81.8</v>
      </c>
      <c r="AY87">
        <v>72.7</v>
      </c>
      <c r="AZ87">
        <v>0</v>
      </c>
      <c r="BA87">
        <v>0</v>
      </c>
      <c r="BB87">
        <v>1</v>
      </c>
    </row>
    <row r="88" spans="1:54">
      <c r="A88">
        <v>8</v>
      </c>
      <c r="B88" s="3" t="s">
        <v>7</v>
      </c>
      <c r="C88" s="3">
        <f t="shared" si="219"/>
        <v>86.5</v>
      </c>
      <c r="D88" s="3">
        <f t="shared" ref="D88:T88" si="277">D62-D23</f>
        <v>12</v>
      </c>
      <c r="E88" s="3">
        <f t="shared" si="277"/>
        <v>7</v>
      </c>
      <c r="F88" s="3">
        <f t="shared" si="277"/>
        <v>3</v>
      </c>
      <c r="G88" s="3">
        <f t="shared" si="277"/>
        <v>6.5</v>
      </c>
      <c r="H88" s="3">
        <f t="shared" si="277"/>
        <v>6.5</v>
      </c>
      <c r="I88" s="3">
        <f t="shared" si="277"/>
        <v>6.5</v>
      </c>
      <c r="J88" s="3">
        <f t="shared" si="277"/>
        <v>1.5</v>
      </c>
      <c r="K88" s="3">
        <f t="shared" si="277"/>
        <v>7</v>
      </c>
      <c r="L88" s="3">
        <f t="shared" si="277"/>
        <v>13.5</v>
      </c>
      <c r="M88" s="3">
        <f t="shared" si="277"/>
        <v>11</v>
      </c>
      <c r="N88" s="3">
        <f t="shared" si="277"/>
        <v>13</v>
      </c>
      <c r="O88" s="3">
        <f t="shared" si="277"/>
        <v>8</v>
      </c>
      <c r="P88" s="3">
        <f t="shared" si="277"/>
        <v>5.5</v>
      </c>
      <c r="Q88" s="3">
        <f t="shared" si="277"/>
        <v>18.5</v>
      </c>
      <c r="R88" s="3">
        <f t="shared" si="277"/>
        <v>4.5</v>
      </c>
      <c r="S88" s="3">
        <f t="shared" si="277"/>
        <v>1</v>
      </c>
      <c r="T88" s="3">
        <f t="shared" si="277"/>
        <v>6.5</v>
      </c>
      <c r="U88" s="3">
        <f t="shared" ref="U88:AA88" si="278">U62-U23</f>
        <v>6</v>
      </c>
      <c r="V88" s="3">
        <f t="shared" si="278"/>
        <v>6</v>
      </c>
      <c r="W88" s="3">
        <f t="shared" si="278"/>
        <v>2.5</v>
      </c>
      <c r="X88" s="3">
        <f t="shared" si="278"/>
        <v>5.5</v>
      </c>
      <c r="Y88" s="3">
        <f t="shared" si="278"/>
        <v>10</v>
      </c>
      <c r="Z88" s="3">
        <f t="shared" si="278"/>
        <v>2</v>
      </c>
      <c r="AA88" s="3">
        <f t="shared" si="278"/>
        <v>1</v>
      </c>
      <c r="AB88" s="3">
        <f t="shared" ref="AB88:AC88" si="279">AB62-AB23</f>
        <v>7.5</v>
      </c>
      <c r="AC88" s="3">
        <f t="shared" si="279"/>
        <v>10</v>
      </c>
      <c r="AD88" s="3">
        <f t="shared" ref="AD88:AE88" si="280">AD62-AD23</f>
        <v>4.5</v>
      </c>
      <c r="AE88" s="3">
        <f t="shared" si="280"/>
        <v>6</v>
      </c>
      <c r="AF88" s="3">
        <f t="shared" ref="AF88:AG88" si="281">AF62-AF23</f>
        <v>3.5</v>
      </c>
      <c r="AG88" s="3">
        <f t="shared" si="281"/>
        <v>7</v>
      </c>
      <c r="AH88" s="3">
        <f t="shared" ref="AH88:AI88" si="282">AH62-AH23</f>
        <v>1.5</v>
      </c>
      <c r="AI88" s="3">
        <f t="shared" si="282"/>
        <v>6.5</v>
      </c>
      <c r="AJ88" s="3">
        <f t="shared" ref="AJ88:AK88" si="283">AJ62-AJ23</f>
        <v>8</v>
      </c>
      <c r="AK88" s="3">
        <f t="shared" si="283"/>
        <v>6</v>
      </c>
      <c r="AL88" s="3">
        <f t="shared" ref="AL88" si="284">AL62-AL23</f>
        <v>5</v>
      </c>
      <c r="AM88" s="3"/>
      <c r="AN88" s="3"/>
      <c r="AO88" s="3"/>
      <c r="AP88" s="5">
        <f t="shared" si="228"/>
        <v>7.0756646216768915E-2</v>
      </c>
      <c r="AQ88" s="1">
        <f t="shared" si="218"/>
        <v>-0.36630036630036628</v>
      </c>
      <c r="AT88">
        <v>59.5</v>
      </c>
      <c r="AU88">
        <v>66</v>
      </c>
      <c r="AV88">
        <v>66.5</v>
      </c>
      <c r="AW88">
        <v>10</v>
      </c>
      <c r="AX88">
        <v>81.8</v>
      </c>
      <c r="AY88">
        <v>90.9</v>
      </c>
      <c r="AZ88">
        <v>0</v>
      </c>
      <c r="BA88">
        <v>0</v>
      </c>
      <c r="BB88">
        <v>0</v>
      </c>
    </row>
    <row r="89" spans="1:54">
      <c r="A89">
        <v>9</v>
      </c>
      <c r="B89" s="3" t="s">
        <v>8</v>
      </c>
      <c r="C89" s="3">
        <f t="shared" si="219"/>
        <v>73</v>
      </c>
      <c r="D89" s="3">
        <f t="shared" ref="D89:T89" si="285">D63-D24</f>
        <v>4.5</v>
      </c>
      <c r="E89" s="3">
        <f t="shared" si="285"/>
        <v>4.5</v>
      </c>
      <c r="F89" s="3">
        <f t="shared" si="285"/>
        <v>20.5</v>
      </c>
      <c r="G89" s="3">
        <f t="shared" si="285"/>
        <v>1.5</v>
      </c>
      <c r="H89" s="3">
        <f t="shared" si="285"/>
        <v>2</v>
      </c>
      <c r="I89" s="3">
        <f t="shared" si="285"/>
        <v>12</v>
      </c>
      <c r="J89" s="3">
        <f t="shared" si="285"/>
        <v>6</v>
      </c>
      <c r="K89" s="3">
        <f t="shared" si="285"/>
        <v>9.5</v>
      </c>
      <c r="L89" s="3">
        <f t="shared" si="285"/>
        <v>4</v>
      </c>
      <c r="M89" s="3">
        <f t="shared" si="285"/>
        <v>9.5</v>
      </c>
      <c r="N89" s="3">
        <f t="shared" si="285"/>
        <v>6.5</v>
      </c>
      <c r="O89" s="3">
        <f t="shared" si="285"/>
        <v>6.5</v>
      </c>
      <c r="P89" s="3">
        <f t="shared" si="285"/>
        <v>5.5</v>
      </c>
      <c r="Q89" s="3">
        <f t="shared" si="285"/>
        <v>9</v>
      </c>
      <c r="R89" s="3">
        <f t="shared" si="285"/>
        <v>14.5</v>
      </c>
      <c r="S89" s="3">
        <f t="shared" si="285"/>
        <v>15.5</v>
      </c>
      <c r="T89" s="3">
        <f t="shared" si="285"/>
        <v>8</v>
      </c>
      <c r="U89" s="3">
        <f t="shared" ref="U89:AA89" si="286">U63-U24</f>
        <v>19.5</v>
      </c>
      <c r="V89" s="3">
        <f t="shared" si="286"/>
        <v>9.5</v>
      </c>
      <c r="W89" s="3">
        <f t="shared" si="286"/>
        <v>3.5</v>
      </c>
      <c r="X89" s="3">
        <f t="shared" si="286"/>
        <v>3</v>
      </c>
      <c r="Y89" s="3">
        <f t="shared" si="286"/>
        <v>2.5</v>
      </c>
      <c r="Z89" s="3">
        <f t="shared" si="286"/>
        <v>1.5</v>
      </c>
      <c r="AA89" s="3">
        <f t="shared" si="286"/>
        <v>8</v>
      </c>
      <c r="AB89" s="3">
        <f t="shared" ref="AB89:AC89" si="287">AB63-AB24</f>
        <v>7.5</v>
      </c>
      <c r="AC89" s="3">
        <f t="shared" si="287"/>
        <v>2</v>
      </c>
      <c r="AD89" s="3">
        <f t="shared" ref="AD89:AE89" si="288">AD63-AD24</f>
        <v>3.5</v>
      </c>
      <c r="AE89" s="3">
        <f t="shared" si="288"/>
        <v>0</v>
      </c>
      <c r="AF89" s="3">
        <f t="shared" ref="AF89:AG89" si="289">AF63-AF24</f>
        <v>7.5</v>
      </c>
      <c r="AG89" s="3">
        <f t="shared" si="289"/>
        <v>9</v>
      </c>
      <c r="AH89" s="3">
        <f t="shared" ref="AH89:AI89" si="290">AH63-AH24</f>
        <v>7.5</v>
      </c>
      <c r="AI89" s="3">
        <f t="shared" si="290"/>
        <v>5.5</v>
      </c>
      <c r="AJ89" s="3">
        <f t="shared" ref="AJ89:AK89" si="291">AJ63-AJ24</f>
        <v>2.5</v>
      </c>
      <c r="AK89" s="3">
        <f t="shared" si="291"/>
        <v>6</v>
      </c>
      <c r="AL89" s="3">
        <f t="shared" ref="AL89" si="292">AL63-AL24</f>
        <v>3.5</v>
      </c>
      <c r="AM89" s="3"/>
      <c r="AN89" s="3"/>
      <c r="AO89" s="3"/>
      <c r="AP89" s="5">
        <f t="shared" si="228"/>
        <v>5.7661927330173779E-2</v>
      </c>
      <c r="AQ89" s="1">
        <f t="shared" si="218"/>
        <v>-0.10975609756097561</v>
      </c>
      <c r="AT89">
        <v>84.5</v>
      </c>
      <c r="AU89">
        <v>79</v>
      </c>
      <c r="AV89">
        <v>94</v>
      </c>
      <c r="AW89">
        <v>11</v>
      </c>
      <c r="AX89">
        <v>100</v>
      </c>
      <c r="AY89">
        <v>100</v>
      </c>
      <c r="AZ89">
        <v>0</v>
      </c>
      <c r="BA89">
        <v>0</v>
      </c>
      <c r="BB89">
        <v>2</v>
      </c>
    </row>
    <row r="90" spans="1:54">
      <c r="C90" s="20">
        <f>SUM(C80:C89)</f>
        <v>780.5</v>
      </c>
      <c r="D90" s="20">
        <f t="shared" ref="D90:T90" si="293">SUM(D80:D89)</f>
        <v>84</v>
      </c>
      <c r="E90" s="20">
        <f t="shared" si="293"/>
        <v>102</v>
      </c>
      <c r="F90" s="20">
        <f t="shared" si="293"/>
        <v>76</v>
      </c>
      <c r="G90" s="20">
        <f t="shared" si="293"/>
        <v>75.5</v>
      </c>
      <c r="H90" s="20">
        <f t="shared" si="293"/>
        <v>66.5</v>
      </c>
      <c r="I90" s="20">
        <f t="shared" si="293"/>
        <v>66.5</v>
      </c>
      <c r="J90" s="20">
        <f t="shared" si="293"/>
        <v>72</v>
      </c>
      <c r="K90" s="20">
        <f t="shared" si="293"/>
        <v>61.5</v>
      </c>
      <c r="L90" s="20">
        <f t="shared" si="293"/>
        <v>56</v>
      </c>
      <c r="M90" s="20">
        <f t="shared" si="293"/>
        <v>72.5</v>
      </c>
      <c r="N90" s="20">
        <f t="shared" si="293"/>
        <v>94</v>
      </c>
      <c r="O90" s="20">
        <f t="shared" si="293"/>
        <v>70.5</v>
      </c>
      <c r="P90" s="20">
        <f t="shared" si="293"/>
        <v>68.5</v>
      </c>
      <c r="Q90" s="20">
        <f t="shared" si="293"/>
        <v>84</v>
      </c>
      <c r="R90" s="20">
        <f t="shared" si="293"/>
        <v>72</v>
      </c>
      <c r="S90" s="20">
        <f t="shared" si="293"/>
        <v>54</v>
      </c>
      <c r="T90" s="20">
        <f t="shared" si="293"/>
        <v>46</v>
      </c>
      <c r="U90" s="20">
        <f t="shared" ref="U90:AA90" si="294">SUM(U80:U89)</f>
        <v>78.5</v>
      </c>
      <c r="V90" s="20">
        <f t="shared" si="294"/>
        <v>100.5</v>
      </c>
      <c r="W90" s="20">
        <f t="shared" si="294"/>
        <v>33.5</v>
      </c>
      <c r="X90" s="20">
        <f t="shared" si="294"/>
        <v>48</v>
      </c>
      <c r="Y90" s="20">
        <f t="shared" si="294"/>
        <v>35</v>
      </c>
      <c r="Z90" s="20">
        <f t="shared" si="294"/>
        <v>39</v>
      </c>
      <c r="AA90" s="20">
        <f t="shared" si="294"/>
        <v>34</v>
      </c>
      <c r="AB90" s="20">
        <f t="shared" ref="AB90:AC90" si="295">SUM(AB80:AB89)</f>
        <v>72</v>
      </c>
      <c r="AC90" s="20">
        <f t="shared" si="295"/>
        <v>42.5</v>
      </c>
      <c r="AD90" s="20">
        <f t="shared" ref="AD90" si="296">SUM(AD80:AD89)</f>
        <v>50</v>
      </c>
      <c r="AE90" s="20">
        <f t="shared" ref="AE90:AO90" si="297">SUM(AE80:AE89)</f>
        <v>62</v>
      </c>
      <c r="AF90" s="20">
        <f t="shared" ref="AF90:AG90" si="298">SUM(AF80:AF89)</f>
        <v>50.5</v>
      </c>
      <c r="AG90" s="20">
        <f t="shared" si="298"/>
        <v>55.5</v>
      </c>
      <c r="AH90" s="20">
        <f t="shared" ref="AH90:AI90" si="299">SUM(AH80:AH89)</f>
        <v>56.5</v>
      </c>
      <c r="AI90" s="20">
        <f t="shared" si="299"/>
        <v>61.5</v>
      </c>
      <c r="AJ90" s="20">
        <f t="shared" ref="AJ90:AK90" si="300">SUM(AJ80:AJ89)</f>
        <v>52.5</v>
      </c>
      <c r="AK90" s="20">
        <f t="shared" si="300"/>
        <v>43</v>
      </c>
      <c r="AL90" s="20">
        <f t="shared" ref="AL90" si="301">SUM(AL80:AL89)</f>
        <v>45</v>
      </c>
      <c r="AM90" s="20">
        <f t="shared" si="297"/>
        <v>0</v>
      </c>
      <c r="AN90" s="20">
        <f t="shared" si="297"/>
        <v>0</v>
      </c>
      <c r="AO90" s="20">
        <f t="shared" si="297"/>
        <v>0</v>
      </c>
      <c r="AP90" s="1">
        <f>AVERAGE((AP80:AP89))</f>
        <v>6.3380691504008227E-2</v>
      </c>
      <c r="AQ90" s="1">
        <f>AVERAGE((AQ80:AQ89))</f>
        <v>-0.21809543739547327</v>
      </c>
      <c r="AT90" t="s">
        <v>18</v>
      </c>
    </row>
    <row r="91" spans="1:54">
      <c r="AT91">
        <v>70.5</v>
      </c>
      <c r="AU91">
        <v>67</v>
      </c>
      <c r="AV91">
        <v>74</v>
      </c>
      <c r="AW91">
        <v>11</v>
      </c>
      <c r="AX91">
        <v>81.8</v>
      </c>
      <c r="AY91">
        <v>72.7</v>
      </c>
      <c r="AZ91">
        <v>0</v>
      </c>
      <c r="BA91">
        <v>0</v>
      </c>
      <c r="BB91">
        <v>1</v>
      </c>
    </row>
    <row r="92" spans="1:54">
      <c r="D92" s="14">
        <v>1</v>
      </c>
      <c r="E92" s="14">
        <v>2</v>
      </c>
      <c r="F92" s="14">
        <v>3</v>
      </c>
      <c r="G92" s="14">
        <v>4</v>
      </c>
      <c r="H92" s="14">
        <v>5</v>
      </c>
      <c r="I92" s="14">
        <v>6</v>
      </c>
      <c r="J92" s="14">
        <v>7</v>
      </c>
      <c r="K92" s="14">
        <v>8</v>
      </c>
      <c r="L92" s="14">
        <v>9</v>
      </c>
      <c r="M92" s="14">
        <v>10</v>
      </c>
      <c r="N92" s="14">
        <v>11</v>
      </c>
      <c r="O92" s="14">
        <v>12</v>
      </c>
      <c r="P92" s="14">
        <v>13</v>
      </c>
      <c r="Q92" s="14">
        <v>14</v>
      </c>
      <c r="R92" s="14">
        <v>15</v>
      </c>
      <c r="S92" s="14">
        <v>16</v>
      </c>
      <c r="T92" s="14">
        <v>17</v>
      </c>
      <c r="U92" s="14">
        <v>18</v>
      </c>
      <c r="V92" s="14">
        <v>19</v>
      </c>
      <c r="W92" s="14">
        <v>20</v>
      </c>
      <c r="X92" s="14">
        <v>21</v>
      </c>
      <c r="Y92" s="14">
        <v>22</v>
      </c>
      <c r="Z92" s="14">
        <v>23</v>
      </c>
      <c r="AA92" s="14">
        <v>24</v>
      </c>
      <c r="AB92" s="14">
        <v>25</v>
      </c>
      <c r="AC92" s="14">
        <v>26</v>
      </c>
      <c r="AD92" s="14">
        <v>27</v>
      </c>
      <c r="AE92" s="14">
        <v>28</v>
      </c>
      <c r="AF92" s="14">
        <v>29</v>
      </c>
      <c r="AG92" s="14">
        <v>30</v>
      </c>
      <c r="AH92" s="14">
        <v>31</v>
      </c>
      <c r="AI92" s="14">
        <v>32</v>
      </c>
      <c r="AJ92" s="14">
        <v>33</v>
      </c>
      <c r="AK92" s="14">
        <v>34</v>
      </c>
      <c r="AL92" s="14">
        <v>35</v>
      </c>
      <c r="AM92" s="14">
        <v>36</v>
      </c>
      <c r="AN92" s="14">
        <v>37</v>
      </c>
      <c r="AO92" s="14">
        <v>38</v>
      </c>
      <c r="AT92">
        <v>69</v>
      </c>
      <c r="AU92">
        <v>70</v>
      </c>
      <c r="AV92">
        <v>75</v>
      </c>
      <c r="AW92">
        <v>11</v>
      </c>
      <c r="AX92">
        <v>100</v>
      </c>
      <c r="AY92">
        <v>90.9</v>
      </c>
      <c r="AZ92">
        <v>0</v>
      </c>
      <c r="BA92">
        <v>0</v>
      </c>
      <c r="BB92">
        <v>1</v>
      </c>
    </row>
    <row r="93" spans="1:54">
      <c r="A93">
        <v>0</v>
      </c>
      <c r="B93" s="3" t="s">
        <v>0</v>
      </c>
      <c r="C93" s="3">
        <f>SUM(W93:AO93)</f>
        <v>6</v>
      </c>
      <c r="D93" s="3">
        <v>0</v>
      </c>
      <c r="E93" s="3">
        <v>2</v>
      </c>
      <c r="F93" s="3">
        <v>0</v>
      </c>
      <c r="G93" s="3">
        <v>0</v>
      </c>
      <c r="H93" s="3">
        <v>0</v>
      </c>
      <c r="I93" s="3">
        <v>0</v>
      </c>
      <c r="J93" s="3">
        <v>0</v>
      </c>
      <c r="K93" s="3">
        <v>0</v>
      </c>
      <c r="L93" s="3">
        <v>0</v>
      </c>
      <c r="M93" s="3">
        <v>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3">
        <v>0</v>
      </c>
      <c r="T93" s="3">
        <v>1</v>
      </c>
      <c r="U93" s="3">
        <v>0</v>
      </c>
      <c r="V93" s="3">
        <v>0</v>
      </c>
      <c r="W93" s="3">
        <v>1</v>
      </c>
      <c r="X93" s="3">
        <v>2</v>
      </c>
      <c r="Y93" s="3">
        <v>0</v>
      </c>
      <c r="Z93" s="3">
        <v>0</v>
      </c>
      <c r="AA93" s="3">
        <v>2</v>
      </c>
      <c r="AB93" s="3">
        <v>0</v>
      </c>
      <c r="AC93" s="3">
        <v>0</v>
      </c>
      <c r="AD93" s="3">
        <v>0</v>
      </c>
      <c r="AE93" s="3">
        <v>0</v>
      </c>
      <c r="AF93" s="3">
        <v>0</v>
      </c>
      <c r="AG93" s="3">
        <v>0</v>
      </c>
      <c r="AH93" s="3">
        <v>0</v>
      </c>
      <c r="AI93" s="3">
        <v>0</v>
      </c>
      <c r="AJ93" s="3">
        <v>0</v>
      </c>
      <c r="AK93" s="3">
        <v>1</v>
      </c>
      <c r="AL93" s="3">
        <v>0</v>
      </c>
      <c r="AM93" s="3"/>
      <c r="AN93" s="3"/>
      <c r="AO93" s="3"/>
      <c r="AT93">
        <v>72.5</v>
      </c>
      <c r="AU93">
        <v>72</v>
      </c>
      <c r="AV93">
        <v>77.5</v>
      </c>
      <c r="AW93">
        <v>11</v>
      </c>
      <c r="AX93">
        <v>81.8</v>
      </c>
      <c r="AY93">
        <v>81.8</v>
      </c>
      <c r="AZ93">
        <v>0</v>
      </c>
      <c r="BA93">
        <v>0</v>
      </c>
      <c r="BB93">
        <v>2</v>
      </c>
    </row>
    <row r="94" spans="1:54">
      <c r="A94">
        <v>1</v>
      </c>
      <c r="B94" s="3" t="s">
        <v>1</v>
      </c>
      <c r="C94" s="3">
        <f t="shared" ref="C94:C101" si="302">SUM(W94:AO94)</f>
        <v>9</v>
      </c>
      <c r="D94" s="3">
        <v>0</v>
      </c>
      <c r="E94" s="3">
        <v>0</v>
      </c>
      <c r="F94" s="3">
        <v>0</v>
      </c>
      <c r="G94" s="3">
        <v>0</v>
      </c>
      <c r="H94" s="3">
        <v>0</v>
      </c>
      <c r="I94" s="3">
        <v>0</v>
      </c>
      <c r="J94" s="3">
        <v>0</v>
      </c>
      <c r="K94" s="3">
        <v>1</v>
      </c>
      <c r="L94" s="3">
        <v>0</v>
      </c>
      <c r="M94" s="3">
        <v>1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3">
        <v>0</v>
      </c>
      <c r="T94" s="3">
        <v>0</v>
      </c>
      <c r="U94" s="3">
        <v>0</v>
      </c>
      <c r="V94" s="3">
        <v>0</v>
      </c>
      <c r="W94" s="3">
        <v>0</v>
      </c>
      <c r="X94" s="3">
        <v>2</v>
      </c>
      <c r="Y94" s="3">
        <v>1</v>
      </c>
      <c r="Z94" s="3">
        <v>0</v>
      </c>
      <c r="AA94" s="3">
        <v>1</v>
      </c>
      <c r="AB94" s="3">
        <v>0</v>
      </c>
      <c r="AC94" s="3">
        <v>0</v>
      </c>
      <c r="AD94" s="3">
        <v>1</v>
      </c>
      <c r="AE94" s="3">
        <v>0</v>
      </c>
      <c r="AF94" s="3">
        <v>0</v>
      </c>
      <c r="AG94" s="3">
        <v>0</v>
      </c>
      <c r="AH94" s="3">
        <v>1</v>
      </c>
      <c r="AI94" s="3">
        <v>0</v>
      </c>
      <c r="AJ94" s="3">
        <v>2</v>
      </c>
      <c r="AK94" s="3">
        <v>0</v>
      </c>
      <c r="AL94" s="3">
        <v>1</v>
      </c>
      <c r="AM94" s="3"/>
      <c r="AN94" s="3"/>
      <c r="AO94" s="3"/>
      <c r="AT94">
        <v>68.5</v>
      </c>
      <c r="AU94">
        <v>70</v>
      </c>
      <c r="AV94">
        <v>74</v>
      </c>
      <c r="AW94">
        <v>11</v>
      </c>
      <c r="AX94">
        <v>63.6</v>
      </c>
      <c r="AY94">
        <v>63.6</v>
      </c>
      <c r="AZ94">
        <v>1</v>
      </c>
      <c r="BA94">
        <v>1</v>
      </c>
      <c r="BB94">
        <v>3</v>
      </c>
    </row>
    <row r="95" spans="1:54">
      <c r="A95">
        <v>2</v>
      </c>
      <c r="B95" s="3" t="s">
        <v>2</v>
      </c>
      <c r="C95" s="3">
        <f t="shared" si="302"/>
        <v>8</v>
      </c>
      <c r="D95" s="3">
        <v>0</v>
      </c>
      <c r="E95" s="3">
        <v>0</v>
      </c>
      <c r="F95" s="3">
        <v>1</v>
      </c>
      <c r="G95" s="3">
        <v>1</v>
      </c>
      <c r="H95" s="3">
        <v>0</v>
      </c>
      <c r="I95" s="3">
        <v>1</v>
      </c>
      <c r="J95" s="3">
        <v>1</v>
      </c>
      <c r="K95" s="3">
        <v>0</v>
      </c>
      <c r="L95" s="3">
        <v>0</v>
      </c>
      <c r="M95" s="3">
        <v>2</v>
      </c>
      <c r="N95" s="3">
        <v>0</v>
      </c>
      <c r="O95" s="3">
        <v>1</v>
      </c>
      <c r="P95" s="3">
        <v>0</v>
      </c>
      <c r="Q95" s="3">
        <v>0</v>
      </c>
      <c r="R95" s="3">
        <v>0</v>
      </c>
      <c r="S95" s="3">
        <v>2</v>
      </c>
      <c r="T95" s="3">
        <v>0</v>
      </c>
      <c r="U95" s="3">
        <v>0</v>
      </c>
      <c r="V95" s="3">
        <v>0</v>
      </c>
      <c r="W95" s="3">
        <v>1</v>
      </c>
      <c r="X95" s="3">
        <v>1</v>
      </c>
      <c r="Y95" s="3">
        <v>1</v>
      </c>
      <c r="Z95" s="3">
        <v>1</v>
      </c>
      <c r="AA95" s="3">
        <v>0</v>
      </c>
      <c r="AB95" s="3">
        <v>0</v>
      </c>
      <c r="AC95" s="3">
        <v>1</v>
      </c>
      <c r="AD95" s="3">
        <v>0</v>
      </c>
      <c r="AE95" s="3">
        <v>0</v>
      </c>
      <c r="AF95" s="3">
        <v>0</v>
      </c>
      <c r="AG95" s="3">
        <v>0</v>
      </c>
      <c r="AH95" s="3">
        <v>1</v>
      </c>
      <c r="AI95" s="3">
        <v>0</v>
      </c>
      <c r="AJ95" s="3">
        <v>2</v>
      </c>
      <c r="AK95" s="3">
        <v>0</v>
      </c>
      <c r="AL95" s="3">
        <v>0</v>
      </c>
      <c r="AM95" s="3"/>
      <c r="AN95" s="3"/>
      <c r="AO95" s="3"/>
      <c r="AT95">
        <v>69</v>
      </c>
      <c r="AU95">
        <v>68</v>
      </c>
      <c r="AV95">
        <v>70.5</v>
      </c>
      <c r="AW95">
        <v>11</v>
      </c>
      <c r="AX95">
        <v>81.8</v>
      </c>
      <c r="AY95">
        <v>72.7</v>
      </c>
      <c r="AZ95">
        <v>2</v>
      </c>
      <c r="BA95">
        <v>2</v>
      </c>
      <c r="BB95">
        <v>3</v>
      </c>
    </row>
    <row r="96" spans="1:54">
      <c r="A96">
        <v>3</v>
      </c>
      <c r="B96" s="3" t="s">
        <v>3</v>
      </c>
      <c r="C96" s="3">
        <f t="shared" si="302"/>
        <v>7</v>
      </c>
      <c r="D96" s="3">
        <v>0</v>
      </c>
      <c r="E96" s="3">
        <v>0</v>
      </c>
      <c r="F96" s="3">
        <v>1</v>
      </c>
      <c r="G96" s="3">
        <v>0</v>
      </c>
      <c r="H96" s="3">
        <v>0</v>
      </c>
      <c r="I96" s="3">
        <v>1</v>
      </c>
      <c r="J96" s="3">
        <v>1</v>
      </c>
      <c r="K96" s="3">
        <v>0</v>
      </c>
      <c r="L96" s="3">
        <v>1</v>
      </c>
      <c r="M96" s="3">
        <v>0</v>
      </c>
      <c r="N96" s="3">
        <v>0</v>
      </c>
      <c r="O96" s="3">
        <v>2</v>
      </c>
      <c r="P96" s="3">
        <v>1</v>
      </c>
      <c r="Q96" s="3">
        <v>0</v>
      </c>
      <c r="R96" s="3">
        <v>0</v>
      </c>
      <c r="S96" s="3">
        <v>3</v>
      </c>
      <c r="T96" s="3">
        <v>1</v>
      </c>
      <c r="U96" s="3">
        <v>0</v>
      </c>
      <c r="V96" s="3">
        <v>0</v>
      </c>
      <c r="W96" s="3">
        <v>0</v>
      </c>
      <c r="X96" s="3">
        <v>0</v>
      </c>
      <c r="Y96" s="3">
        <v>0</v>
      </c>
      <c r="Z96" s="3">
        <v>0</v>
      </c>
      <c r="AA96" s="3">
        <v>2</v>
      </c>
      <c r="AB96" s="3">
        <v>0</v>
      </c>
      <c r="AC96" s="3">
        <v>0</v>
      </c>
      <c r="AD96" s="3">
        <v>0</v>
      </c>
      <c r="AE96" s="3">
        <v>0</v>
      </c>
      <c r="AF96" s="3">
        <v>2</v>
      </c>
      <c r="AG96" s="3">
        <v>1</v>
      </c>
      <c r="AH96" s="3">
        <v>0</v>
      </c>
      <c r="AI96" s="3">
        <v>0</v>
      </c>
      <c r="AJ96" s="3">
        <v>0</v>
      </c>
      <c r="AK96" s="3">
        <v>2</v>
      </c>
      <c r="AL96" s="3">
        <v>0</v>
      </c>
      <c r="AM96" s="3"/>
      <c r="AN96" s="3"/>
      <c r="AO96" s="3"/>
      <c r="AT96">
        <v>67.5</v>
      </c>
      <c r="AU96">
        <v>66</v>
      </c>
      <c r="AV96">
        <v>75</v>
      </c>
      <c r="AW96">
        <v>11</v>
      </c>
      <c r="AX96">
        <v>72.7</v>
      </c>
      <c r="AY96">
        <v>72.7</v>
      </c>
      <c r="AZ96">
        <v>2</v>
      </c>
      <c r="BA96">
        <v>1</v>
      </c>
      <c r="BB96">
        <v>3</v>
      </c>
    </row>
    <row r="97" spans="1:54">
      <c r="A97">
        <v>4</v>
      </c>
      <c r="B97" s="3" t="s">
        <v>5</v>
      </c>
      <c r="C97" s="3">
        <f t="shared" si="302"/>
        <v>12</v>
      </c>
      <c r="D97" s="3">
        <v>1</v>
      </c>
      <c r="E97" s="3">
        <v>0</v>
      </c>
      <c r="F97" s="3">
        <v>0</v>
      </c>
      <c r="G97" s="3">
        <v>0</v>
      </c>
      <c r="H97" s="3">
        <v>0</v>
      </c>
      <c r="I97" s="3">
        <v>0</v>
      </c>
      <c r="J97" s="3">
        <v>0</v>
      </c>
      <c r="K97" s="3">
        <v>0</v>
      </c>
      <c r="L97" s="3">
        <v>2</v>
      </c>
      <c r="M97" s="3">
        <v>0</v>
      </c>
      <c r="N97" s="3">
        <v>0</v>
      </c>
      <c r="O97" s="3">
        <v>0</v>
      </c>
      <c r="P97" s="3">
        <v>0</v>
      </c>
      <c r="Q97" s="3">
        <v>0</v>
      </c>
      <c r="R97" s="3">
        <v>2</v>
      </c>
      <c r="S97" s="3">
        <v>2</v>
      </c>
      <c r="T97" s="3">
        <v>2</v>
      </c>
      <c r="U97" s="3">
        <v>1</v>
      </c>
      <c r="V97" s="3">
        <v>0</v>
      </c>
      <c r="W97" s="3">
        <v>0</v>
      </c>
      <c r="X97" s="3">
        <v>2</v>
      </c>
      <c r="Y97" s="3">
        <v>0</v>
      </c>
      <c r="Z97" s="3">
        <v>0</v>
      </c>
      <c r="AA97" s="3">
        <v>1</v>
      </c>
      <c r="AB97" s="3">
        <v>1</v>
      </c>
      <c r="AC97" s="3">
        <v>2</v>
      </c>
      <c r="AD97" s="3">
        <v>1</v>
      </c>
      <c r="AE97" s="3">
        <v>1</v>
      </c>
      <c r="AF97" s="3">
        <v>2</v>
      </c>
      <c r="AG97" s="3">
        <v>0</v>
      </c>
      <c r="AH97" s="3">
        <v>0</v>
      </c>
      <c r="AI97" s="3">
        <v>0</v>
      </c>
      <c r="AJ97" s="3">
        <v>1</v>
      </c>
      <c r="AK97" s="3">
        <v>0</v>
      </c>
      <c r="AL97" s="3">
        <v>1</v>
      </c>
      <c r="AM97" s="3"/>
      <c r="AN97" s="3"/>
      <c r="AO97" s="3"/>
      <c r="AT97">
        <v>77.5</v>
      </c>
      <c r="AU97">
        <v>69.5</v>
      </c>
      <c r="AV97">
        <v>79</v>
      </c>
      <c r="AW97">
        <v>11</v>
      </c>
      <c r="AX97">
        <v>90.9</v>
      </c>
      <c r="AY97">
        <v>72.7</v>
      </c>
      <c r="AZ97">
        <v>2</v>
      </c>
      <c r="BA97">
        <v>0</v>
      </c>
      <c r="BB97">
        <v>2</v>
      </c>
    </row>
    <row r="98" spans="1:54">
      <c r="A98">
        <v>5</v>
      </c>
      <c r="B98" s="3" t="s">
        <v>4</v>
      </c>
      <c r="C98" s="3">
        <f t="shared" si="302"/>
        <v>8</v>
      </c>
      <c r="D98" s="3">
        <v>1</v>
      </c>
      <c r="E98" s="3">
        <v>0</v>
      </c>
      <c r="F98" s="3">
        <v>1</v>
      </c>
      <c r="G98" s="3">
        <v>0</v>
      </c>
      <c r="H98" s="3">
        <v>0</v>
      </c>
      <c r="I98" s="3">
        <v>1</v>
      </c>
      <c r="J98" s="3">
        <v>0</v>
      </c>
      <c r="K98" s="3">
        <v>0</v>
      </c>
      <c r="L98" s="3">
        <v>2</v>
      </c>
      <c r="M98" s="3">
        <v>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3">
        <v>2</v>
      </c>
      <c r="T98" s="3">
        <v>0</v>
      </c>
      <c r="U98" s="3">
        <v>1</v>
      </c>
      <c r="V98" s="3">
        <v>0</v>
      </c>
      <c r="W98" s="3">
        <v>0</v>
      </c>
      <c r="X98" s="3">
        <v>0</v>
      </c>
      <c r="Y98" s="3">
        <v>2</v>
      </c>
      <c r="Z98" s="3">
        <v>1</v>
      </c>
      <c r="AA98" s="3">
        <v>2</v>
      </c>
      <c r="AB98" s="3">
        <v>0</v>
      </c>
      <c r="AC98" s="3">
        <v>0</v>
      </c>
      <c r="AD98" s="3">
        <v>0</v>
      </c>
      <c r="AE98" s="3">
        <v>0</v>
      </c>
      <c r="AF98" s="3">
        <v>0</v>
      </c>
      <c r="AG98" s="3">
        <v>0</v>
      </c>
      <c r="AH98" s="3">
        <v>1</v>
      </c>
      <c r="AI98" s="3">
        <v>0</v>
      </c>
      <c r="AJ98" s="3">
        <v>1</v>
      </c>
      <c r="AK98" s="3">
        <v>0</v>
      </c>
      <c r="AL98" s="3">
        <v>1</v>
      </c>
      <c r="AM98" s="3"/>
      <c r="AN98" s="3"/>
      <c r="AO98" s="3"/>
      <c r="AT98">
        <v>65.5</v>
      </c>
      <c r="AU98">
        <v>65</v>
      </c>
      <c r="AV98">
        <v>73.5</v>
      </c>
      <c r="AW98">
        <v>11</v>
      </c>
      <c r="AX98">
        <v>90.9</v>
      </c>
      <c r="AY98">
        <v>90.9</v>
      </c>
      <c r="AZ98">
        <v>1</v>
      </c>
      <c r="BA98">
        <v>1</v>
      </c>
      <c r="BB98">
        <v>3</v>
      </c>
    </row>
    <row r="99" spans="1:54">
      <c r="A99">
        <v>6</v>
      </c>
      <c r="B99" s="3" t="s">
        <v>6</v>
      </c>
      <c r="C99" s="3">
        <f t="shared" si="302"/>
        <v>9</v>
      </c>
      <c r="D99" s="3">
        <v>0</v>
      </c>
      <c r="E99" s="3">
        <v>0</v>
      </c>
      <c r="F99" s="3">
        <v>0</v>
      </c>
      <c r="G99" s="3">
        <v>0</v>
      </c>
      <c r="H99" s="3">
        <v>0</v>
      </c>
      <c r="I99" s="3">
        <v>0</v>
      </c>
      <c r="J99" s="3">
        <v>1</v>
      </c>
      <c r="K99" s="3">
        <v>1</v>
      </c>
      <c r="L99" s="3">
        <v>2</v>
      </c>
      <c r="M99" s="3">
        <v>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3">
        <v>2</v>
      </c>
      <c r="T99" s="3">
        <v>0</v>
      </c>
      <c r="U99" s="3">
        <v>0</v>
      </c>
      <c r="V99" s="3">
        <v>0</v>
      </c>
      <c r="W99" s="3">
        <v>0</v>
      </c>
      <c r="X99" s="3">
        <v>0</v>
      </c>
      <c r="Y99" s="3">
        <v>0</v>
      </c>
      <c r="Z99" s="3">
        <v>0</v>
      </c>
      <c r="AA99" s="3">
        <v>0</v>
      </c>
      <c r="AB99" s="3">
        <v>1</v>
      </c>
      <c r="AC99" s="3">
        <v>0</v>
      </c>
      <c r="AD99" s="3">
        <v>0</v>
      </c>
      <c r="AE99" s="3">
        <v>2</v>
      </c>
      <c r="AF99" s="3">
        <v>0</v>
      </c>
      <c r="AG99" s="3">
        <v>0</v>
      </c>
      <c r="AH99" s="3">
        <v>2</v>
      </c>
      <c r="AI99" s="3">
        <v>2</v>
      </c>
      <c r="AJ99" s="3">
        <v>0</v>
      </c>
      <c r="AK99" s="3">
        <v>1</v>
      </c>
      <c r="AL99" s="3">
        <v>1</v>
      </c>
      <c r="AM99" s="3"/>
      <c r="AN99" s="3"/>
      <c r="AO99" s="3"/>
      <c r="AT99">
        <v>68</v>
      </c>
      <c r="AU99">
        <v>78</v>
      </c>
      <c r="AV99">
        <v>81.5</v>
      </c>
      <c r="AW99">
        <v>11</v>
      </c>
      <c r="AX99">
        <v>63.6</v>
      </c>
      <c r="AY99">
        <v>81.8</v>
      </c>
      <c r="AZ99">
        <v>0</v>
      </c>
      <c r="BA99">
        <v>0</v>
      </c>
      <c r="BB99">
        <v>1</v>
      </c>
    </row>
    <row r="100" spans="1:54">
      <c r="A100">
        <v>7</v>
      </c>
      <c r="B100" s="3" t="s">
        <v>9</v>
      </c>
      <c r="C100" s="3">
        <f t="shared" si="302"/>
        <v>8</v>
      </c>
      <c r="D100" s="3">
        <v>0</v>
      </c>
      <c r="E100" s="3">
        <v>0</v>
      </c>
      <c r="F100" s="3">
        <v>0</v>
      </c>
      <c r="G100" s="3">
        <v>0</v>
      </c>
      <c r="H100" s="3">
        <v>0</v>
      </c>
      <c r="I100" s="3">
        <v>0</v>
      </c>
      <c r="J100" s="3">
        <v>0</v>
      </c>
      <c r="K100" s="3">
        <v>0</v>
      </c>
      <c r="L100" s="3">
        <v>1</v>
      </c>
      <c r="M100" s="3">
        <v>0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3">
        <v>3</v>
      </c>
      <c r="T100" s="3">
        <v>1</v>
      </c>
      <c r="U100" s="3">
        <v>0</v>
      </c>
      <c r="V100" s="3">
        <v>0</v>
      </c>
      <c r="W100" s="3">
        <v>1</v>
      </c>
      <c r="X100" s="3">
        <v>1</v>
      </c>
      <c r="Y100" s="3">
        <v>0</v>
      </c>
      <c r="Z100" s="3">
        <v>0</v>
      </c>
      <c r="AA100" s="3">
        <v>1</v>
      </c>
      <c r="AB100" s="3">
        <v>0</v>
      </c>
      <c r="AC100" s="3">
        <v>1</v>
      </c>
      <c r="AD100" s="3">
        <v>0</v>
      </c>
      <c r="AE100" s="3">
        <v>0</v>
      </c>
      <c r="AF100" s="3">
        <v>0</v>
      </c>
      <c r="AG100" s="3">
        <v>2</v>
      </c>
      <c r="AH100" s="3">
        <v>1</v>
      </c>
      <c r="AI100" s="3">
        <v>0</v>
      </c>
      <c r="AJ100" s="3">
        <v>0</v>
      </c>
      <c r="AK100" s="3">
        <v>0</v>
      </c>
      <c r="AL100" s="3">
        <v>1</v>
      </c>
      <c r="AM100" s="3"/>
      <c r="AN100" s="3"/>
      <c r="AO100" s="3"/>
      <c r="AT100">
        <v>88</v>
      </c>
      <c r="AU100">
        <v>85.5</v>
      </c>
      <c r="AV100">
        <v>92</v>
      </c>
      <c r="AW100">
        <v>11</v>
      </c>
      <c r="AX100">
        <v>81.8</v>
      </c>
      <c r="AY100">
        <v>90.9</v>
      </c>
      <c r="AZ100">
        <v>1</v>
      </c>
      <c r="BA100">
        <v>1</v>
      </c>
      <c r="BB100">
        <v>3</v>
      </c>
    </row>
    <row r="101" spans="1:54">
      <c r="A101">
        <v>8</v>
      </c>
      <c r="B101" s="3" t="s">
        <v>7</v>
      </c>
      <c r="C101" s="3">
        <f t="shared" si="302"/>
        <v>7</v>
      </c>
      <c r="D101" s="3">
        <v>0</v>
      </c>
      <c r="E101" s="3">
        <v>0</v>
      </c>
      <c r="F101" s="3">
        <v>2</v>
      </c>
      <c r="G101" s="3">
        <v>0</v>
      </c>
      <c r="H101" s="3">
        <v>0</v>
      </c>
      <c r="I101" s="3">
        <v>0</v>
      </c>
      <c r="J101" s="3">
        <v>0</v>
      </c>
      <c r="K101" s="3">
        <v>0</v>
      </c>
      <c r="L101" s="3">
        <v>0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3">
        <v>3</v>
      </c>
      <c r="T101" s="3">
        <v>1</v>
      </c>
      <c r="U101" s="3">
        <v>1</v>
      </c>
      <c r="V101" s="3">
        <v>0</v>
      </c>
      <c r="W101" s="3">
        <v>0</v>
      </c>
      <c r="X101" s="3">
        <v>0</v>
      </c>
      <c r="Y101" s="3">
        <v>1</v>
      </c>
      <c r="Z101" s="3">
        <v>1</v>
      </c>
      <c r="AA101" s="3">
        <v>3</v>
      </c>
      <c r="AB101" s="3">
        <v>0</v>
      </c>
      <c r="AC101" s="3">
        <v>0</v>
      </c>
      <c r="AD101" s="3">
        <v>2</v>
      </c>
      <c r="AE101" s="3">
        <v>0</v>
      </c>
      <c r="AF101" s="3">
        <v>0</v>
      </c>
      <c r="AG101" s="3">
        <v>0</v>
      </c>
      <c r="AH101" s="3">
        <v>0</v>
      </c>
      <c r="AI101" s="3">
        <v>0</v>
      </c>
      <c r="AJ101" s="3">
        <v>0</v>
      </c>
      <c r="AK101" s="3">
        <v>0</v>
      </c>
      <c r="AL101" s="3">
        <v>0</v>
      </c>
      <c r="AM101" s="3"/>
      <c r="AN101" s="3"/>
      <c r="AO101" s="3"/>
      <c r="AT101" t="s">
        <v>19</v>
      </c>
    </row>
    <row r="102" spans="1:54">
      <c r="A102">
        <v>9</v>
      </c>
      <c r="B102" s="3" t="s">
        <v>8</v>
      </c>
      <c r="C102" s="3">
        <f>SUM(W102:AO102)</f>
        <v>6</v>
      </c>
      <c r="D102" s="3">
        <v>0</v>
      </c>
      <c r="E102" s="3">
        <v>0</v>
      </c>
      <c r="F102" s="3">
        <v>0</v>
      </c>
      <c r="G102" s="3">
        <v>0</v>
      </c>
      <c r="H102" s="3">
        <v>0</v>
      </c>
      <c r="I102" s="3">
        <v>0</v>
      </c>
      <c r="J102" s="3">
        <v>0</v>
      </c>
      <c r="K102" s="3">
        <v>0</v>
      </c>
      <c r="L102" s="3">
        <v>1</v>
      </c>
      <c r="M102" s="3">
        <v>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3">
        <v>1</v>
      </c>
      <c r="T102" s="3">
        <v>0</v>
      </c>
      <c r="U102" s="3">
        <v>0</v>
      </c>
      <c r="V102" s="3">
        <v>0</v>
      </c>
      <c r="W102" s="3">
        <v>0</v>
      </c>
      <c r="X102" s="3">
        <v>0</v>
      </c>
      <c r="Y102" s="3">
        <v>1</v>
      </c>
      <c r="Z102" s="3">
        <v>1</v>
      </c>
      <c r="AA102" s="3">
        <v>0</v>
      </c>
      <c r="AB102" s="3">
        <v>0</v>
      </c>
      <c r="AC102" s="3">
        <v>1</v>
      </c>
      <c r="AD102" s="3">
        <v>1</v>
      </c>
      <c r="AE102" s="3">
        <v>1</v>
      </c>
      <c r="AF102" s="3">
        <v>0</v>
      </c>
      <c r="AG102" s="3">
        <v>0</v>
      </c>
      <c r="AH102" s="3">
        <v>0</v>
      </c>
      <c r="AI102" s="3">
        <v>0</v>
      </c>
      <c r="AJ102" s="3">
        <v>0</v>
      </c>
      <c r="AK102" s="3">
        <v>1</v>
      </c>
      <c r="AL102" s="3">
        <v>0</v>
      </c>
      <c r="AM102" s="3"/>
      <c r="AN102" s="3"/>
      <c r="AO102" s="3"/>
      <c r="AT102">
        <v>66.5</v>
      </c>
      <c r="AU102">
        <v>66.5</v>
      </c>
      <c r="AV102">
        <v>73</v>
      </c>
      <c r="AW102">
        <v>11</v>
      </c>
      <c r="AX102">
        <v>63.6</v>
      </c>
      <c r="AY102">
        <v>54.5</v>
      </c>
      <c r="AZ102">
        <v>0</v>
      </c>
      <c r="BA102">
        <v>0</v>
      </c>
      <c r="BB102">
        <v>1</v>
      </c>
    </row>
    <row r="103" spans="1:54">
      <c r="C103" s="20">
        <f>SUM(C93:C102)</f>
        <v>80</v>
      </c>
      <c r="D103" s="20">
        <f t="shared" ref="D103:AO103" si="303">SUM(D93:D102)</f>
        <v>2</v>
      </c>
      <c r="E103" s="20">
        <f t="shared" si="303"/>
        <v>2</v>
      </c>
      <c r="F103" s="20">
        <f t="shared" si="303"/>
        <v>5</v>
      </c>
      <c r="G103" s="20">
        <f t="shared" si="303"/>
        <v>1</v>
      </c>
      <c r="H103" s="20">
        <f t="shared" si="303"/>
        <v>0</v>
      </c>
      <c r="I103" s="20">
        <f t="shared" si="303"/>
        <v>3</v>
      </c>
      <c r="J103" s="20">
        <f t="shared" si="303"/>
        <v>3</v>
      </c>
      <c r="K103" s="20">
        <f t="shared" si="303"/>
        <v>2</v>
      </c>
      <c r="L103" s="20">
        <f t="shared" si="303"/>
        <v>9</v>
      </c>
      <c r="M103" s="20">
        <f t="shared" si="303"/>
        <v>3</v>
      </c>
      <c r="N103" s="20">
        <f t="shared" si="303"/>
        <v>0</v>
      </c>
      <c r="O103" s="20">
        <f t="shared" si="303"/>
        <v>3</v>
      </c>
      <c r="P103" s="20">
        <f t="shared" si="303"/>
        <v>1</v>
      </c>
      <c r="Q103" s="20">
        <f t="shared" si="303"/>
        <v>0</v>
      </c>
      <c r="R103" s="20">
        <f t="shared" si="303"/>
        <v>2</v>
      </c>
      <c r="S103" s="20">
        <f t="shared" si="303"/>
        <v>18</v>
      </c>
      <c r="T103" s="20">
        <f t="shared" si="303"/>
        <v>6</v>
      </c>
      <c r="U103" s="20">
        <f t="shared" si="303"/>
        <v>3</v>
      </c>
      <c r="V103" s="20">
        <f t="shared" si="303"/>
        <v>0</v>
      </c>
      <c r="W103" s="20">
        <f t="shared" si="303"/>
        <v>3</v>
      </c>
      <c r="X103" s="20">
        <f t="shared" si="303"/>
        <v>8</v>
      </c>
      <c r="Y103" s="20">
        <f t="shared" si="303"/>
        <v>6</v>
      </c>
      <c r="Z103" s="20">
        <f t="shared" si="303"/>
        <v>4</v>
      </c>
      <c r="AA103" s="20">
        <f t="shared" si="303"/>
        <v>12</v>
      </c>
      <c r="AB103" s="20">
        <f t="shared" si="303"/>
        <v>2</v>
      </c>
      <c r="AC103" s="20">
        <f t="shared" si="303"/>
        <v>5</v>
      </c>
      <c r="AD103" s="20">
        <f t="shared" si="303"/>
        <v>5</v>
      </c>
      <c r="AE103" s="20">
        <f t="shared" si="303"/>
        <v>4</v>
      </c>
      <c r="AF103" s="20">
        <f t="shared" si="303"/>
        <v>4</v>
      </c>
      <c r="AG103" s="20">
        <f t="shared" si="303"/>
        <v>3</v>
      </c>
      <c r="AH103" s="20">
        <f t="shared" si="303"/>
        <v>6</v>
      </c>
      <c r="AI103" s="20">
        <f t="shared" si="303"/>
        <v>2</v>
      </c>
      <c r="AJ103" s="20">
        <f t="shared" si="303"/>
        <v>6</v>
      </c>
      <c r="AK103" s="20">
        <f t="shared" si="303"/>
        <v>5</v>
      </c>
      <c r="AL103" s="20">
        <f t="shared" si="303"/>
        <v>5</v>
      </c>
      <c r="AM103" s="20">
        <f t="shared" si="303"/>
        <v>0</v>
      </c>
      <c r="AN103" s="20">
        <f t="shared" si="303"/>
        <v>0</v>
      </c>
      <c r="AO103" s="20">
        <f t="shared" si="303"/>
        <v>0</v>
      </c>
      <c r="AT103">
        <v>76</v>
      </c>
      <c r="AU103">
        <v>77.5</v>
      </c>
      <c r="AV103">
        <v>82</v>
      </c>
      <c r="AW103">
        <v>11</v>
      </c>
      <c r="AX103">
        <v>81.8</v>
      </c>
      <c r="AY103">
        <v>90.9</v>
      </c>
      <c r="AZ103">
        <v>1</v>
      </c>
      <c r="BA103">
        <v>1</v>
      </c>
      <c r="BB103">
        <v>3</v>
      </c>
    </row>
    <row r="104" spans="1:54">
      <c r="AT104">
        <v>80</v>
      </c>
      <c r="AU104">
        <v>78</v>
      </c>
      <c r="AV104">
        <v>86</v>
      </c>
      <c r="AW104">
        <v>11</v>
      </c>
      <c r="AX104">
        <v>100</v>
      </c>
      <c r="AY104">
        <v>90.9</v>
      </c>
      <c r="AZ104">
        <v>2</v>
      </c>
      <c r="BA104">
        <v>0</v>
      </c>
      <c r="BB104">
        <v>3</v>
      </c>
    </row>
    <row r="105" spans="1:54">
      <c r="D105" s="14">
        <v>1</v>
      </c>
      <c r="E105" s="14">
        <v>2</v>
      </c>
      <c r="F105" s="14">
        <v>3</v>
      </c>
      <c r="G105" s="14">
        <v>4</v>
      </c>
      <c r="H105" s="14">
        <v>5</v>
      </c>
      <c r="I105" s="14">
        <v>6</v>
      </c>
      <c r="J105" s="14">
        <v>7</v>
      </c>
      <c r="K105" s="14">
        <v>8</v>
      </c>
      <c r="L105" s="14">
        <v>9</v>
      </c>
      <c r="M105" s="14">
        <v>10</v>
      </c>
      <c r="N105" s="14">
        <v>11</v>
      </c>
      <c r="O105" s="14">
        <v>12</v>
      </c>
      <c r="P105" s="14">
        <v>13</v>
      </c>
      <c r="Q105" s="14">
        <v>14</v>
      </c>
      <c r="R105" s="14">
        <v>15</v>
      </c>
      <c r="S105" s="14">
        <v>16</v>
      </c>
      <c r="T105" s="14">
        <v>17</v>
      </c>
      <c r="U105" s="14">
        <v>18</v>
      </c>
      <c r="V105" s="14">
        <v>19</v>
      </c>
      <c r="W105" s="14">
        <v>20</v>
      </c>
      <c r="X105" s="14">
        <v>21</v>
      </c>
      <c r="Y105" s="14">
        <v>22</v>
      </c>
      <c r="Z105" s="14">
        <v>23</v>
      </c>
      <c r="AA105" s="14">
        <v>24</v>
      </c>
      <c r="AB105" s="14">
        <v>25</v>
      </c>
      <c r="AC105" s="14">
        <v>26</v>
      </c>
      <c r="AD105" s="14">
        <v>27</v>
      </c>
      <c r="AE105" s="14">
        <v>28</v>
      </c>
      <c r="AF105" s="14">
        <v>29</v>
      </c>
      <c r="AG105" s="14">
        <v>30</v>
      </c>
      <c r="AH105" s="14">
        <v>31</v>
      </c>
      <c r="AI105" s="14">
        <v>32</v>
      </c>
      <c r="AJ105" s="14">
        <v>33</v>
      </c>
      <c r="AK105" s="14">
        <v>34</v>
      </c>
      <c r="AL105" s="14">
        <v>35</v>
      </c>
      <c r="AM105" s="14">
        <v>36</v>
      </c>
      <c r="AN105" s="14">
        <v>37</v>
      </c>
      <c r="AO105" s="14">
        <v>38</v>
      </c>
      <c r="AT105">
        <v>62.5</v>
      </c>
      <c r="AU105">
        <v>63.5</v>
      </c>
      <c r="AV105">
        <v>68</v>
      </c>
      <c r="AW105">
        <v>11</v>
      </c>
      <c r="AX105">
        <v>72.7</v>
      </c>
      <c r="AY105">
        <v>72.7</v>
      </c>
      <c r="AZ105">
        <v>0</v>
      </c>
      <c r="BA105">
        <v>0</v>
      </c>
      <c r="BB105">
        <v>2</v>
      </c>
    </row>
    <row r="106" spans="1:54">
      <c r="A106">
        <v>0</v>
      </c>
      <c r="B106" s="3" t="s">
        <v>0</v>
      </c>
      <c r="C106" s="3">
        <f>SUM(W106:AO106)</f>
        <v>3</v>
      </c>
      <c r="D106" s="3">
        <v>0</v>
      </c>
      <c r="E106" s="3">
        <v>2</v>
      </c>
      <c r="F106" s="3">
        <v>0</v>
      </c>
      <c r="G106" s="3">
        <v>0</v>
      </c>
      <c r="H106" s="3">
        <v>0</v>
      </c>
      <c r="I106" s="3">
        <v>0</v>
      </c>
      <c r="J106" s="3">
        <v>1</v>
      </c>
      <c r="K106" s="3">
        <v>0</v>
      </c>
      <c r="L106" s="3">
        <v>0</v>
      </c>
      <c r="M106" s="3">
        <v>0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3">
        <v>0</v>
      </c>
      <c r="T106" s="3">
        <v>1</v>
      </c>
      <c r="U106" s="3">
        <v>0</v>
      </c>
      <c r="V106" s="3">
        <v>0</v>
      </c>
      <c r="W106" s="3">
        <v>1</v>
      </c>
      <c r="X106" s="3">
        <v>1</v>
      </c>
      <c r="Y106" s="3">
        <v>0</v>
      </c>
      <c r="Z106" s="3">
        <v>0</v>
      </c>
      <c r="AA106" s="3">
        <v>0</v>
      </c>
      <c r="AB106" s="3">
        <v>0</v>
      </c>
      <c r="AC106" s="3">
        <v>0</v>
      </c>
      <c r="AD106" s="3">
        <v>0</v>
      </c>
      <c r="AE106" s="3">
        <v>0</v>
      </c>
      <c r="AF106" s="3">
        <v>0</v>
      </c>
      <c r="AG106" s="3">
        <v>0</v>
      </c>
      <c r="AH106" s="3">
        <v>0</v>
      </c>
      <c r="AI106" s="3">
        <v>0</v>
      </c>
      <c r="AJ106" s="3">
        <v>0</v>
      </c>
      <c r="AK106" s="3">
        <v>1</v>
      </c>
      <c r="AL106" s="3">
        <v>0</v>
      </c>
      <c r="AM106" s="3"/>
      <c r="AN106" s="3"/>
      <c r="AO106" s="3"/>
      <c r="AT106">
        <v>61</v>
      </c>
      <c r="AU106">
        <v>60.5</v>
      </c>
      <c r="AV106">
        <v>64.5</v>
      </c>
      <c r="AW106">
        <v>11</v>
      </c>
      <c r="AX106">
        <v>72.7</v>
      </c>
      <c r="AY106">
        <v>63.6</v>
      </c>
      <c r="AZ106">
        <v>0</v>
      </c>
      <c r="BA106">
        <v>0</v>
      </c>
      <c r="BB106">
        <v>0</v>
      </c>
    </row>
    <row r="107" spans="1:54">
      <c r="A107">
        <v>1</v>
      </c>
      <c r="B107" s="3" t="s">
        <v>1</v>
      </c>
      <c r="C107" s="3">
        <f t="shared" ref="C107:C115" si="304">SUM(W107:AO107)</f>
        <v>6</v>
      </c>
      <c r="D107" s="3">
        <v>0</v>
      </c>
      <c r="E107" s="3">
        <v>1</v>
      </c>
      <c r="F107" s="3">
        <v>0</v>
      </c>
      <c r="G107" s="3">
        <v>0</v>
      </c>
      <c r="H107" s="3">
        <v>1</v>
      </c>
      <c r="I107" s="3">
        <v>0</v>
      </c>
      <c r="J107" s="3">
        <v>1</v>
      </c>
      <c r="K107" s="3">
        <v>1</v>
      </c>
      <c r="L107" s="3">
        <v>0</v>
      </c>
      <c r="M107" s="3">
        <v>1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3">
        <v>0</v>
      </c>
      <c r="T107" s="3">
        <v>0</v>
      </c>
      <c r="U107" s="3">
        <v>0</v>
      </c>
      <c r="V107" s="3">
        <v>0</v>
      </c>
      <c r="W107" s="3">
        <v>0</v>
      </c>
      <c r="X107" s="3">
        <v>0</v>
      </c>
      <c r="Y107" s="3">
        <v>1</v>
      </c>
      <c r="Z107" s="3">
        <v>0</v>
      </c>
      <c r="AA107" s="3">
        <v>1</v>
      </c>
      <c r="AB107" s="3">
        <v>0</v>
      </c>
      <c r="AC107" s="3">
        <v>0</v>
      </c>
      <c r="AD107" s="3">
        <v>1</v>
      </c>
      <c r="AE107" s="3">
        <v>0</v>
      </c>
      <c r="AF107" s="3">
        <v>0</v>
      </c>
      <c r="AG107" s="3">
        <v>0</v>
      </c>
      <c r="AH107" s="3">
        <v>1</v>
      </c>
      <c r="AI107" s="3">
        <v>0</v>
      </c>
      <c r="AJ107" s="3">
        <v>1</v>
      </c>
      <c r="AK107" s="3">
        <v>0</v>
      </c>
      <c r="AL107" s="3">
        <v>1</v>
      </c>
      <c r="AM107" s="3"/>
      <c r="AN107" s="3"/>
      <c r="AO107" s="3"/>
      <c r="AT107">
        <v>63.5</v>
      </c>
      <c r="AU107">
        <v>66</v>
      </c>
      <c r="AV107">
        <v>75.5</v>
      </c>
      <c r="AW107">
        <v>11</v>
      </c>
      <c r="AX107">
        <v>63.6</v>
      </c>
      <c r="AY107">
        <v>72.7</v>
      </c>
      <c r="AZ107">
        <v>0</v>
      </c>
      <c r="BA107">
        <v>1</v>
      </c>
      <c r="BB107">
        <v>1</v>
      </c>
    </row>
    <row r="108" spans="1:54">
      <c r="A108">
        <v>2</v>
      </c>
      <c r="B108" s="3" t="s">
        <v>2</v>
      </c>
      <c r="C108" s="3">
        <f t="shared" si="304"/>
        <v>9</v>
      </c>
      <c r="D108" s="3">
        <v>0</v>
      </c>
      <c r="E108" s="3">
        <v>0</v>
      </c>
      <c r="F108" s="3">
        <v>1</v>
      </c>
      <c r="G108" s="3">
        <v>0</v>
      </c>
      <c r="H108" s="3">
        <v>0</v>
      </c>
      <c r="I108" s="3">
        <v>1</v>
      </c>
      <c r="J108" s="3">
        <v>1</v>
      </c>
      <c r="K108" s="3">
        <v>0</v>
      </c>
      <c r="L108" s="3">
        <v>0</v>
      </c>
      <c r="M108" s="3">
        <v>0</v>
      </c>
      <c r="N108" s="3">
        <v>0</v>
      </c>
      <c r="O108" s="3">
        <v>0</v>
      </c>
      <c r="P108" s="3">
        <v>1</v>
      </c>
      <c r="Q108" s="3">
        <v>0</v>
      </c>
      <c r="R108" s="3">
        <v>0</v>
      </c>
      <c r="S108" s="3">
        <v>1</v>
      </c>
      <c r="T108" s="3">
        <v>1</v>
      </c>
      <c r="U108" s="3">
        <v>0</v>
      </c>
      <c r="V108" s="3">
        <v>0</v>
      </c>
      <c r="W108" s="3">
        <v>1</v>
      </c>
      <c r="X108" s="3">
        <v>1</v>
      </c>
      <c r="Y108" s="3">
        <v>1</v>
      </c>
      <c r="Z108" s="3">
        <v>1</v>
      </c>
      <c r="AA108" s="3">
        <v>0</v>
      </c>
      <c r="AB108" s="3">
        <v>1</v>
      </c>
      <c r="AC108" s="3">
        <v>1</v>
      </c>
      <c r="AD108" s="3">
        <v>1</v>
      </c>
      <c r="AE108" s="3">
        <v>0</v>
      </c>
      <c r="AF108" s="3">
        <v>0</v>
      </c>
      <c r="AG108" s="3">
        <v>0</v>
      </c>
      <c r="AH108" s="3">
        <v>0</v>
      </c>
      <c r="AI108" s="3">
        <v>0</v>
      </c>
      <c r="AJ108" s="3">
        <v>1</v>
      </c>
      <c r="AK108" s="3">
        <v>1</v>
      </c>
      <c r="AL108" s="3">
        <v>0</v>
      </c>
      <c r="AM108" s="3"/>
      <c r="AN108" s="3"/>
      <c r="AO108" s="3"/>
      <c r="AT108">
        <v>69</v>
      </c>
      <c r="AU108">
        <v>71</v>
      </c>
      <c r="AV108">
        <v>77.5</v>
      </c>
      <c r="AW108">
        <v>11</v>
      </c>
      <c r="AX108">
        <v>81.8</v>
      </c>
      <c r="AY108">
        <v>81.8</v>
      </c>
      <c r="AZ108">
        <v>0</v>
      </c>
      <c r="BA108">
        <v>0</v>
      </c>
      <c r="BB108">
        <v>2</v>
      </c>
    </row>
    <row r="109" spans="1:54">
      <c r="A109">
        <v>3</v>
      </c>
      <c r="B109" s="3" t="s">
        <v>3</v>
      </c>
      <c r="C109" s="3">
        <f t="shared" si="304"/>
        <v>3</v>
      </c>
      <c r="D109" s="3">
        <v>0</v>
      </c>
      <c r="E109" s="3">
        <v>0</v>
      </c>
      <c r="F109" s="3">
        <v>0</v>
      </c>
      <c r="G109" s="3">
        <v>0</v>
      </c>
      <c r="H109" s="3">
        <v>0</v>
      </c>
      <c r="I109" s="3">
        <v>0</v>
      </c>
      <c r="J109" s="3">
        <v>1</v>
      </c>
      <c r="K109" s="3">
        <v>0</v>
      </c>
      <c r="L109" s="3">
        <v>1</v>
      </c>
      <c r="M109" s="3">
        <v>0</v>
      </c>
      <c r="N109" s="3">
        <v>0</v>
      </c>
      <c r="O109" s="3">
        <v>0</v>
      </c>
      <c r="P109" s="3">
        <v>1</v>
      </c>
      <c r="Q109" s="3">
        <v>0</v>
      </c>
      <c r="R109" s="3">
        <v>0</v>
      </c>
      <c r="S109" s="3">
        <v>3</v>
      </c>
      <c r="T109" s="3">
        <v>1</v>
      </c>
      <c r="U109" s="3">
        <v>0</v>
      </c>
      <c r="V109" s="3">
        <v>0</v>
      </c>
      <c r="W109" s="3">
        <v>0</v>
      </c>
      <c r="X109" s="3">
        <v>0</v>
      </c>
      <c r="Y109" s="3">
        <v>0</v>
      </c>
      <c r="Z109" s="3">
        <v>0</v>
      </c>
      <c r="AA109" s="3">
        <v>0</v>
      </c>
      <c r="AB109" s="3">
        <v>0</v>
      </c>
      <c r="AC109" s="3">
        <v>0</v>
      </c>
      <c r="AD109" s="3">
        <v>1</v>
      </c>
      <c r="AE109" s="3">
        <v>0</v>
      </c>
      <c r="AF109" s="3">
        <v>1</v>
      </c>
      <c r="AG109" s="3">
        <v>1</v>
      </c>
      <c r="AH109" s="3">
        <v>0</v>
      </c>
      <c r="AI109" s="3">
        <v>0</v>
      </c>
      <c r="AJ109" s="3">
        <v>0</v>
      </c>
      <c r="AK109" s="3">
        <v>0</v>
      </c>
      <c r="AL109" s="3">
        <v>0</v>
      </c>
      <c r="AM109" s="3"/>
      <c r="AN109" s="3"/>
      <c r="AO109" s="3"/>
      <c r="AT109">
        <v>71.5</v>
      </c>
      <c r="AU109">
        <v>68</v>
      </c>
      <c r="AV109">
        <v>75.5</v>
      </c>
      <c r="AW109">
        <v>11</v>
      </c>
      <c r="AX109">
        <v>81.8</v>
      </c>
      <c r="AY109">
        <v>63.6</v>
      </c>
      <c r="AZ109">
        <v>0</v>
      </c>
      <c r="BA109">
        <v>0</v>
      </c>
      <c r="BB109">
        <v>0</v>
      </c>
    </row>
    <row r="110" spans="1:54">
      <c r="A110">
        <v>4</v>
      </c>
      <c r="B110" s="3" t="s">
        <v>5</v>
      </c>
      <c r="C110" s="3">
        <f t="shared" si="304"/>
        <v>8</v>
      </c>
      <c r="D110" s="3">
        <v>1</v>
      </c>
      <c r="E110" s="3">
        <v>0</v>
      </c>
      <c r="F110" s="3">
        <v>0</v>
      </c>
      <c r="G110" s="3">
        <v>0</v>
      </c>
      <c r="H110" s="3">
        <v>0</v>
      </c>
      <c r="I110" s="3">
        <v>0</v>
      </c>
      <c r="J110" s="3">
        <v>0</v>
      </c>
      <c r="K110" s="3">
        <v>0</v>
      </c>
      <c r="L110" s="3">
        <v>2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1</v>
      </c>
      <c r="S110" s="3">
        <v>2</v>
      </c>
      <c r="T110" s="3">
        <v>1</v>
      </c>
      <c r="U110" s="3">
        <v>1</v>
      </c>
      <c r="V110" s="3">
        <v>0</v>
      </c>
      <c r="W110" s="3">
        <v>0</v>
      </c>
      <c r="X110" s="3">
        <v>1</v>
      </c>
      <c r="Y110" s="3">
        <v>0</v>
      </c>
      <c r="Z110" s="3">
        <v>1</v>
      </c>
      <c r="AA110" s="3">
        <v>1</v>
      </c>
      <c r="AB110" s="3">
        <v>0</v>
      </c>
      <c r="AC110" s="3">
        <v>1</v>
      </c>
      <c r="AD110" s="3">
        <v>0</v>
      </c>
      <c r="AE110" s="3">
        <v>0</v>
      </c>
      <c r="AF110" s="3">
        <v>2</v>
      </c>
      <c r="AG110" s="3">
        <v>0</v>
      </c>
      <c r="AH110" s="3">
        <v>0</v>
      </c>
      <c r="AI110" s="3">
        <v>1</v>
      </c>
      <c r="AJ110" s="3">
        <v>1</v>
      </c>
      <c r="AK110" s="3">
        <v>0</v>
      </c>
      <c r="AL110" s="3">
        <v>0</v>
      </c>
      <c r="AM110" s="3"/>
      <c r="AN110" s="3"/>
      <c r="AO110" s="3"/>
      <c r="AT110">
        <v>54.5</v>
      </c>
      <c r="AU110">
        <v>60</v>
      </c>
      <c r="AV110">
        <v>65.5</v>
      </c>
      <c r="AW110">
        <v>10</v>
      </c>
      <c r="AX110">
        <v>81.8</v>
      </c>
      <c r="AY110">
        <v>90.9</v>
      </c>
      <c r="AZ110">
        <v>0</v>
      </c>
      <c r="BA110">
        <v>0</v>
      </c>
      <c r="BB110">
        <v>0</v>
      </c>
    </row>
    <row r="111" spans="1:54">
      <c r="A111">
        <v>5</v>
      </c>
      <c r="B111" s="3" t="s">
        <v>4</v>
      </c>
      <c r="C111" s="3">
        <f t="shared" si="304"/>
        <v>6</v>
      </c>
      <c r="D111" s="3">
        <v>0</v>
      </c>
      <c r="E111" s="3">
        <v>0</v>
      </c>
      <c r="F111" s="3">
        <v>1</v>
      </c>
      <c r="G111" s="3">
        <v>0</v>
      </c>
      <c r="H111" s="3">
        <v>0</v>
      </c>
      <c r="I111" s="3">
        <v>1</v>
      </c>
      <c r="J111" s="3">
        <v>0</v>
      </c>
      <c r="K111" s="3">
        <v>0</v>
      </c>
      <c r="L111" s="3">
        <v>1</v>
      </c>
      <c r="M111" s="3">
        <v>1</v>
      </c>
      <c r="N111" s="3">
        <v>0</v>
      </c>
      <c r="O111" s="3">
        <v>0</v>
      </c>
      <c r="P111" s="3">
        <v>1</v>
      </c>
      <c r="Q111" s="3">
        <v>0</v>
      </c>
      <c r="R111" s="3">
        <v>0</v>
      </c>
      <c r="S111" s="3">
        <v>2</v>
      </c>
      <c r="T111" s="3">
        <v>0</v>
      </c>
      <c r="U111" s="3">
        <v>1</v>
      </c>
      <c r="V111" s="3">
        <v>1</v>
      </c>
      <c r="W111" s="3">
        <v>0</v>
      </c>
      <c r="X111" s="3">
        <v>0</v>
      </c>
      <c r="Y111" s="3">
        <v>1</v>
      </c>
      <c r="Z111" s="3">
        <v>1</v>
      </c>
      <c r="AA111" s="3">
        <v>1</v>
      </c>
      <c r="AB111" s="3">
        <v>0</v>
      </c>
      <c r="AC111" s="3">
        <v>0</v>
      </c>
      <c r="AD111" s="3">
        <v>0</v>
      </c>
      <c r="AE111" s="3">
        <v>0</v>
      </c>
      <c r="AF111" s="3">
        <v>0</v>
      </c>
      <c r="AG111" s="3">
        <v>0</v>
      </c>
      <c r="AH111" s="3">
        <v>1</v>
      </c>
      <c r="AI111" s="3">
        <v>0</v>
      </c>
      <c r="AJ111" s="3">
        <v>1</v>
      </c>
      <c r="AK111" s="3">
        <v>0</v>
      </c>
      <c r="AL111" s="3">
        <v>1</v>
      </c>
      <c r="AM111" s="3"/>
      <c r="AN111" s="3"/>
      <c r="AO111" s="3"/>
      <c r="AT111">
        <v>60</v>
      </c>
      <c r="AU111">
        <v>57.5</v>
      </c>
      <c r="AV111">
        <v>69.5</v>
      </c>
      <c r="AW111">
        <v>11</v>
      </c>
      <c r="AX111">
        <v>72.7</v>
      </c>
      <c r="AY111">
        <v>63.6</v>
      </c>
      <c r="AZ111">
        <v>0</v>
      </c>
      <c r="BA111">
        <v>0</v>
      </c>
      <c r="BB111">
        <v>2</v>
      </c>
    </row>
    <row r="112" spans="1:54">
      <c r="A112">
        <v>6</v>
      </c>
      <c r="B112" s="3" t="s">
        <v>6</v>
      </c>
      <c r="C112" s="3">
        <f t="shared" si="304"/>
        <v>6</v>
      </c>
      <c r="D112" s="3">
        <v>0</v>
      </c>
      <c r="E112" s="3">
        <v>1</v>
      </c>
      <c r="F112" s="3">
        <v>0</v>
      </c>
      <c r="G112" s="3">
        <v>1</v>
      </c>
      <c r="H112" s="3">
        <v>0</v>
      </c>
      <c r="I112" s="3">
        <v>0</v>
      </c>
      <c r="J112" s="3">
        <v>1</v>
      </c>
      <c r="K112" s="3">
        <v>1</v>
      </c>
      <c r="L112" s="3">
        <v>0</v>
      </c>
      <c r="M112" s="3">
        <v>0</v>
      </c>
      <c r="N112" s="3">
        <v>0</v>
      </c>
      <c r="O112" s="3">
        <v>0</v>
      </c>
      <c r="P112" s="3">
        <v>0</v>
      </c>
      <c r="Q112" s="3">
        <v>2</v>
      </c>
      <c r="R112" s="3">
        <v>0</v>
      </c>
      <c r="S112" s="3">
        <v>2</v>
      </c>
      <c r="T112" s="3">
        <v>0</v>
      </c>
      <c r="U112" s="3">
        <v>0</v>
      </c>
      <c r="V112" s="3">
        <v>0</v>
      </c>
      <c r="W112" s="3">
        <v>0</v>
      </c>
      <c r="X112" s="3">
        <v>0</v>
      </c>
      <c r="Y112" s="3">
        <v>0</v>
      </c>
      <c r="Z112" s="3">
        <v>0</v>
      </c>
      <c r="AA112" s="3">
        <v>0</v>
      </c>
      <c r="AB112" s="3">
        <v>1</v>
      </c>
      <c r="AC112" s="3">
        <v>0</v>
      </c>
      <c r="AD112" s="3">
        <v>0</v>
      </c>
      <c r="AE112" s="3">
        <v>1</v>
      </c>
      <c r="AF112" s="3">
        <v>0</v>
      </c>
      <c r="AG112" s="3">
        <v>0</v>
      </c>
      <c r="AH112" s="3">
        <v>1</v>
      </c>
      <c r="AI112" s="3">
        <v>1</v>
      </c>
      <c r="AJ112" s="3">
        <v>0</v>
      </c>
      <c r="AK112" s="3">
        <v>1</v>
      </c>
      <c r="AL112" s="3">
        <v>1</v>
      </c>
      <c r="AM112" s="3"/>
      <c r="AN112" s="3"/>
      <c r="AO112" s="3"/>
      <c r="AT112" t="s">
        <v>20</v>
      </c>
    </row>
    <row r="113" spans="1:54">
      <c r="A113">
        <v>7</v>
      </c>
      <c r="B113" s="3" t="s">
        <v>9</v>
      </c>
      <c r="C113" s="3">
        <f t="shared" si="304"/>
        <v>4</v>
      </c>
      <c r="D113" s="3">
        <v>1</v>
      </c>
      <c r="E113" s="3">
        <v>0</v>
      </c>
      <c r="F113" s="3">
        <v>0</v>
      </c>
      <c r="G113" s="3">
        <v>0</v>
      </c>
      <c r="H113" s="3">
        <v>0</v>
      </c>
      <c r="I113" s="3">
        <v>0</v>
      </c>
      <c r="J113" s="3">
        <v>0</v>
      </c>
      <c r="K113" s="3">
        <v>0</v>
      </c>
      <c r="L113" s="3">
        <v>1</v>
      </c>
      <c r="M113" s="3">
        <v>0</v>
      </c>
      <c r="N113" s="3">
        <v>0</v>
      </c>
      <c r="O113" s="3">
        <v>1</v>
      </c>
      <c r="P113" s="3">
        <v>0</v>
      </c>
      <c r="Q113" s="3">
        <v>0</v>
      </c>
      <c r="R113" s="3">
        <v>0</v>
      </c>
      <c r="S113" s="3">
        <v>0</v>
      </c>
      <c r="T113" s="3">
        <v>1</v>
      </c>
      <c r="U113" s="3">
        <v>0</v>
      </c>
      <c r="V113" s="3">
        <v>1</v>
      </c>
      <c r="W113" s="3">
        <v>0</v>
      </c>
      <c r="X113" s="3">
        <v>1</v>
      </c>
      <c r="Y113" s="3">
        <v>0</v>
      </c>
      <c r="Z113" s="3">
        <v>0</v>
      </c>
      <c r="AA113" s="3">
        <v>0</v>
      </c>
      <c r="AB113" s="3">
        <v>0</v>
      </c>
      <c r="AC113" s="3">
        <v>1</v>
      </c>
      <c r="AD113" s="3">
        <v>0</v>
      </c>
      <c r="AE113" s="3">
        <v>0</v>
      </c>
      <c r="AF113" s="3">
        <v>0</v>
      </c>
      <c r="AG113" s="3">
        <v>0</v>
      </c>
      <c r="AH113" s="3">
        <v>0</v>
      </c>
      <c r="AI113" s="3">
        <v>0</v>
      </c>
      <c r="AJ113" s="3">
        <v>1</v>
      </c>
      <c r="AK113" s="3">
        <v>0</v>
      </c>
      <c r="AL113" s="3">
        <v>1</v>
      </c>
      <c r="AM113" s="3"/>
      <c r="AN113" s="3"/>
      <c r="AO113" s="3"/>
      <c r="AT113">
        <v>59.5</v>
      </c>
      <c r="AU113">
        <v>59</v>
      </c>
      <c r="AV113">
        <v>71.5</v>
      </c>
      <c r="AW113">
        <v>11</v>
      </c>
      <c r="AX113">
        <v>63.6</v>
      </c>
      <c r="AY113">
        <v>54.5</v>
      </c>
      <c r="AZ113">
        <v>0</v>
      </c>
      <c r="BA113">
        <v>0</v>
      </c>
      <c r="BB113">
        <v>2</v>
      </c>
    </row>
    <row r="114" spans="1:54">
      <c r="A114">
        <v>8</v>
      </c>
      <c r="B114" s="3" t="s">
        <v>7</v>
      </c>
      <c r="C114" s="3">
        <f t="shared" si="304"/>
        <v>6</v>
      </c>
      <c r="D114" s="3">
        <v>0</v>
      </c>
      <c r="E114" s="3">
        <v>0</v>
      </c>
      <c r="F114" s="3">
        <v>0</v>
      </c>
      <c r="G114" s="3">
        <v>0</v>
      </c>
      <c r="H114" s="3">
        <v>1</v>
      </c>
      <c r="I114" s="3">
        <v>0</v>
      </c>
      <c r="J114" s="3">
        <v>0</v>
      </c>
      <c r="K114" s="3">
        <v>0</v>
      </c>
      <c r="L114" s="3">
        <v>0</v>
      </c>
      <c r="M114" s="3">
        <v>0</v>
      </c>
      <c r="N114" s="3">
        <v>0</v>
      </c>
      <c r="O114" s="3">
        <v>0</v>
      </c>
      <c r="P114" s="3">
        <v>0</v>
      </c>
      <c r="Q114" s="3">
        <v>0</v>
      </c>
      <c r="R114" s="3">
        <v>0</v>
      </c>
      <c r="S114" s="3">
        <v>3</v>
      </c>
      <c r="T114" s="3">
        <v>1</v>
      </c>
      <c r="U114" s="3">
        <v>1</v>
      </c>
      <c r="V114" s="3">
        <v>0</v>
      </c>
      <c r="W114" s="3">
        <v>0</v>
      </c>
      <c r="X114" s="3">
        <v>0</v>
      </c>
      <c r="Y114" s="3">
        <v>1</v>
      </c>
      <c r="Z114" s="3">
        <v>1</v>
      </c>
      <c r="AA114" s="3">
        <v>2</v>
      </c>
      <c r="AB114" s="3">
        <v>0</v>
      </c>
      <c r="AC114" s="3">
        <v>0</v>
      </c>
      <c r="AD114" s="3">
        <v>2</v>
      </c>
      <c r="AE114" s="3">
        <v>0</v>
      </c>
      <c r="AF114" s="3">
        <v>0</v>
      </c>
      <c r="AG114" s="3">
        <v>0</v>
      </c>
      <c r="AH114" s="3">
        <v>0</v>
      </c>
      <c r="AI114" s="3">
        <v>0</v>
      </c>
      <c r="AJ114" s="3">
        <v>0</v>
      </c>
      <c r="AK114" s="3">
        <v>0</v>
      </c>
      <c r="AL114" s="3">
        <v>0</v>
      </c>
      <c r="AM114" s="3"/>
      <c r="AN114" s="3"/>
      <c r="AO114" s="3"/>
      <c r="AT114">
        <v>60</v>
      </c>
      <c r="AU114">
        <v>61</v>
      </c>
      <c r="AV114">
        <v>65</v>
      </c>
      <c r="AW114">
        <v>11</v>
      </c>
      <c r="AX114">
        <v>63.6</v>
      </c>
      <c r="AY114">
        <v>72.7</v>
      </c>
      <c r="AZ114">
        <v>0</v>
      </c>
      <c r="BA114">
        <v>0</v>
      </c>
      <c r="BB114">
        <v>0</v>
      </c>
    </row>
    <row r="115" spans="1:54">
      <c r="A115">
        <v>9</v>
      </c>
      <c r="B115" s="3" t="s">
        <v>8</v>
      </c>
      <c r="C115" s="3">
        <f t="shared" si="304"/>
        <v>3</v>
      </c>
      <c r="D115" s="3">
        <v>0</v>
      </c>
      <c r="E115" s="3">
        <v>0</v>
      </c>
      <c r="F115" s="3">
        <v>0</v>
      </c>
      <c r="G115" s="3">
        <v>0</v>
      </c>
      <c r="H115" s="3">
        <v>0</v>
      </c>
      <c r="I115" s="3">
        <v>0</v>
      </c>
      <c r="J115" s="3">
        <v>0</v>
      </c>
      <c r="K115" s="3">
        <v>0</v>
      </c>
      <c r="L115" s="3">
        <v>1</v>
      </c>
      <c r="M115" s="3">
        <v>0</v>
      </c>
      <c r="N115" s="3">
        <v>0</v>
      </c>
      <c r="O115" s="3">
        <v>0</v>
      </c>
      <c r="P115" s="3">
        <v>0</v>
      </c>
      <c r="Q115" s="3">
        <v>0</v>
      </c>
      <c r="R115" s="3">
        <v>1</v>
      </c>
      <c r="S115" s="3">
        <v>1</v>
      </c>
      <c r="T115" s="3">
        <v>0</v>
      </c>
      <c r="U115" s="3">
        <v>0</v>
      </c>
      <c r="V115" s="3">
        <v>0</v>
      </c>
      <c r="W115" s="3">
        <v>0</v>
      </c>
      <c r="X115" s="3">
        <v>0</v>
      </c>
      <c r="Y115" s="3">
        <v>1</v>
      </c>
      <c r="Z115" s="3">
        <v>0</v>
      </c>
      <c r="AA115" s="3">
        <v>0</v>
      </c>
      <c r="AB115" s="3">
        <v>0</v>
      </c>
      <c r="AC115" s="3">
        <v>0</v>
      </c>
      <c r="AD115" s="3">
        <v>1</v>
      </c>
      <c r="AE115" s="3">
        <v>0</v>
      </c>
      <c r="AF115" s="3">
        <v>0</v>
      </c>
      <c r="AG115" s="3">
        <v>0</v>
      </c>
      <c r="AH115" s="3">
        <v>0</v>
      </c>
      <c r="AI115" s="3">
        <v>0</v>
      </c>
      <c r="AJ115" s="3">
        <v>0</v>
      </c>
      <c r="AK115" s="3">
        <v>1</v>
      </c>
      <c r="AL115" s="3">
        <v>0</v>
      </c>
      <c r="AM115" s="3"/>
      <c r="AN115" s="3"/>
      <c r="AO115" s="3"/>
      <c r="AT115">
        <v>70</v>
      </c>
      <c r="AU115">
        <v>67</v>
      </c>
      <c r="AV115">
        <v>79</v>
      </c>
      <c r="AW115">
        <v>11</v>
      </c>
      <c r="AX115">
        <v>90.9</v>
      </c>
      <c r="AY115">
        <v>81.8</v>
      </c>
      <c r="AZ115">
        <v>0</v>
      </c>
      <c r="BA115">
        <v>0</v>
      </c>
      <c r="BB115">
        <v>1</v>
      </c>
    </row>
    <row r="116" spans="1:54">
      <c r="C116" s="20">
        <f>SUM(C106:C115)</f>
        <v>54</v>
      </c>
      <c r="D116" s="20">
        <f t="shared" ref="D116:AO116" si="305">SUM(D106:D115)</f>
        <v>2</v>
      </c>
      <c r="E116" s="20">
        <f t="shared" si="305"/>
        <v>4</v>
      </c>
      <c r="F116" s="20">
        <f t="shared" si="305"/>
        <v>2</v>
      </c>
      <c r="G116" s="20">
        <f t="shared" si="305"/>
        <v>1</v>
      </c>
      <c r="H116" s="20">
        <f t="shared" si="305"/>
        <v>2</v>
      </c>
      <c r="I116" s="20">
        <f t="shared" si="305"/>
        <v>2</v>
      </c>
      <c r="J116" s="20">
        <f t="shared" si="305"/>
        <v>5</v>
      </c>
      <c r="K116" s="20">
        <f t="shared" si="305"/>
        <v>2</v>
      </c>
      <c r="L116" s="20">
        <f t="shared" si="305"/>
        <v>6</v>
      </c>
      <c r="M116" s="20">
        <f t="shared" si="305"/>
        <v>2</v>
      </c>
      <c r="N116" s="20">
        <f t="shared" si="305"/>
        <v>0</v>
      </c>
      <c r="O116" s="20">
        <f t="shared" si="305"/>
        <v>1</v>
      </c>
      <c r="P116" s="20">
        <f t="shared" si="305"/>
        <v>3</v>
      </c>
      <c r="Q116" s="20">
        <f t="shared" si="305"/>
        <v>2</v>
      </c>
      <c r="R116" s="20">
        <f t="shared" si="305"/>
        <v>2</v>
      </c>
      <c r="S116" s="20">
        <f t="shared" si="305"/>
        <v>14</v>
      </c>
      <c r="T116" s="20">
        <f t="shared" si="305"/>
        <v>6</v>
      </c>
      <c r="U116" s="20">
        <f t="shared" si="305"/>
        <v>3</v>
      </c>
      <c r="V116" s="20">
        <f t="shared" si="305"/>
        <v>2</v>
      </c>
      <c r="W116" s="20">
        <f t="shared" si="305"/>
        <v>2</v>
      </c>
      <c r="X116" s="20">
        <f t="shared" si="305"/>
        <v>4</v>
      </c>
      <c r="Y116" s="20">
        <f t="shared" si="305"/>
        <v>5</v>
      </c>
      <c r="Z116" s="20">
        <f t="shared" si="305"/>
        <v>4</v>
      </c>
      <c r="AA116" s="20">
        <f t="shared" si="305"/>
        <v>5</v>
      </c>
      <c r="AB116" s="20">
        <f t="shared" si="305"/>
        <v>2</v>
      </c>
      <c r="AC116" s="20">
        <f t="shared" si="305"/>
        <v>3</v>
      </c>
      <c r="AD116" s="20">
        <f t="shared" si="305"/>
        <v>6</v>
      </c>
      <c r="AE116" s="20">
        <f t="shared" si="305"/>
        <v>1</v>
      </c>
      <c r="AF116" s="20">
        <f t="shared" si="305"/>
        <v>3</v>
      </c>
      <c r="AG116" s="20">
        <f t="shared" si="305"/>
        <v>1</v>
      </c>
      <c r="AH116" s="20">
        <f t="shared" si="305"/>
        <v>3</v>
      </c>
      <c r="AI116" s="20">
        <f t="shared" si="305"/>
        <v>2</v>
      </c>
      <c r="AJ116" s="20">
        <f t="shared" si="305"/>
        <v>5</v>
      </c>
      <c r="AK116" s="20">
        <f t="shared" si="305"/>
        <v>4</v>
      </c>
      <c r="AL116" s="20">
        <f t="shared" si="305"/>
        <v>4</v>
      </c>
      <c r="AM116" s="20">
        <f t="shared" si="305"/>
        <v>0</v>
      </c>
      <c r="AN116" s="20">
        <f t="shared" si="305"/>
        <v>0</v>
      </c>
      <c r="AO116" s="20">
        <f t="shared" si="305"/>
        <v>0</v>
      </c>
      <c r="AT116">
        <v>66</v>
      </c>
      <c r="AU116">
        <v>66</v>
      </c>
      <c r="AV116">
        <v>76</v>
      </c>
      <c r="AW116">
        <v>11</v>
      </c>
      <c r="AX116">
        <v>72.7</v>
      </c>
      <c r="AY116">
        <v>63.6</v>
      </c>
      <c r="AZ116">
        <v>0</v>
      </c>
      <c r="BA116">
        <v>0</v>
      </c>
      <c r="BB116">
        <v>2</v>
      </c>
    </row>
    <row r="117" spans="1:54">
      <c r="AT117">
        <v>64</v>
      </c>
      <c r="AU117">
        <v>63</v>
      </c>
      <c r="AV117">
        <v>71</v>
      </c>
      <c r="AW117">
        <v>11</v>
      </c>
      <c r="AX117">
        <v>54.5</v>
      </c>
      <c r="AY117">
        <v>54.5</v>
      </c>
      <c r="AZ117">
        <v>0</v>
      </c>
      <c r="BA117">
        <v>0</v>
      </c>
      <c r="BB117">
        <v>1</v>
      </c>
    </row>
    <row r="118" spans="1:54">
      <c r="D118" s="14">
        <v>1</v>
      </c>
      <c r="E118" s="14">
        <v>2</v>
      </c>
      <c r="F118" s="14">
        <v>3</v>
      </c>
      <c r="G118" s="14">
        <v>4</v>
      </c>
      <c r="H118" s="14">
        <v>5</v>
      </c>
      <c r="I118" s="14">
        <v>6</v>
      </c>
      <c r="J118" s="14">
        <v>7</v>
      </c>
      <c r="K118" s="14">
        <v>8</v>
      </c>
      <c r="L118" s="14">
        <v>9</v>
      </c>
      <c r="M118" s="14">
        <v>10</v>
      </c>
      <c r="N118" s="14">
        <v>11</v>
      </c>
      <c r="O118" s="14">
        <v>12</v>
      </c>
      <c r="P118" s="14">
        <v>13</v>
      </c>
      <c r="Q118" s="14">
        <v>14</v>
      </c>
      <c r="R118" s="14">
        <v>15</v>
      </c>
      <c r="S118" s="14">
        <v>16</v>
      </c>
      <c r="T118" s="14">
        <v>17</v>
      </c>
      <c r="U118" s="14">
        <v>18</v>
      </c>
      <c r="V118" s="14">
        <v>19</v>
      </c>
      <c r="W118" s="14">
        <v>20</v>
      </c>
      <c r="X118" s="14">
        <v>21</v>
      </c>
      <c r="Y118" s="14">
        <v>22</v>
      </c>
      <c r="Z118" s="14">
        <v>23</v>
      </c>
      <c r="AA118" s="14">
        <v>24</v>
      </c>
      <c r="AB118" s="14">
        <v>25</v>
      </c>
      <c r="AC118" s="14">
        <v>26</v>
      </c>
      <c r="AD118" s="14">
        <v>27</v>
      </c>
      <c r="AE118" s="14">
        <v>28</v>
      </c>
      <c r="AF118" s="14">
        <v>29</v>
      </c>
      <c r="AG118" s="14">
        <v>30</v>
      </c>
      <c r="AH118" s="14">
        <v>31</v>
      </c>
      <c r="AI118" s="14">
        <v>32</v>
      </c>
      <c r="AJ118" s="14">
        <v>33</v>
      </c>
      <c r="AK118" s="14">
        <v>34</v>
      </c>
      <c r="AL118" s="14">
        <v>35</v>
      </c>
      <c r="AM118" s="14">
        <v>36</v>
      </c>
      <c r="AN118" s="14">
        <v>37</v>
      </c>
      <c r="AO118" s="14">
        <v>38</v>
      </c>
      <c r="AT118">
        <v>70</v>
      </c>
      <c r="AU118">
        <v>79</v>
      </c>
      <c r="AV118">
        <v>89.5</v>
      </c>
      <c r="AW118">
        <v>11</v>
      </c>
      <c r="AX118">
        <v>36.4</v>
      </c>
      <c r="AY118">
        <v>45.5</v>
      </c>
      <c r="AZ118">
        <v>0</v>
      </c>
      <c r="BA118">
        <v>0</v>
      </c>
      <c r="BB118">
        <v>0</v>
      </c>
    </row>
    <row r="119" spans="1:54">
      <c r="A119">
        <v>0</v>
      </c>
      <c r="B119" s="3" t="s">
        <v>0</v>
      </c>
      <c r="C119" s="3">
        <f>SUM(W119:AO119)</f>
        <v>27</v>
      </c>
      <c r="D119" s="3">
        <v>2</v>
      </c>
      <c r="E119" s="3">
        <v>3</v>
      </c>
      <c r="F119" s="3">
        <v>0</v>
      </c>
      <c r="G119" s="3">
        <v>0</v>
      </c>
      <c r="H119" s="3">
        <v>1</v>
      </c>
      <c r="I119" s="3">
        <v>0</v>
      </c>
      <c r="J119" s="3">
        <v>2</v>
      </c>
      <c r="K119" s="3">
        <v>1</v>
      </c>
      <c r="L119" s="3">
        <v>1</v>
      </c>
      <c r="M119" s="3">
        <v>1</v>
      </c>
      <c r="N119" s="3">
        <v>2</v>
      </c>
      <c r="O119" s="3">
        <v>1</v>
      </c>
      <c r="P119" s="3">
        <v>0</v>
      </c>
      <c r="Q119" s="3">
        <v>1</v>
      </c>
      <c r="R119" s="3">
        <v>2</v>
      </c>
      <c r="S119" s="3">
        <v>3</v>
      </c>
      <c r="T119" s="3">
        <v>2</v>
      </c>
      <c r="U119" s="3">
        <v>1</v>
      </c>
      <c r="V119" s="3">
        <v>2</v>
      </c>
      <c r="W119" s="3">
        <v>3</v>
      </c>
      <c r="X119" s="3">
        <v>3</v>
      </c>
      <c r="Y119" s="3">
        <v>0</v>
      </c>
      <c r="Z119" s="3">
        <v>0</v>
      </c>
      <c r="AA119" s="3">
        <v>3</v>
      </c>
      <c r="AB119" s="3">
        <v>2</v>
      </c>
      <c r="AC119" s="3">
        <v>2</v>
      </c>
      <c r="AD119" s="3">
        <v>1</v>
      </c>
      <c r="AE119" s="3">
        <v>1</v>
      </c>
      <c r="AF119" s="3">
        <v>2</v>
      </c>
      <c r="AG119" s="3">
        <v>0</v>
      </c>
      <c r="AH119" s="3">
        <v>2</v>
      </c>
      <c r="AI119" s="3">
        <v>2</v>
      </c>
      <c r="AJ119" s="3">
        <v>3</v>
      </c>
      <c r="AK119" s="3">
        <v>3</v>
      </c>
      <c r="AL119" s="3">
        <v>0</v>
      </c>
      <c r="AM119" s="3"/>
      <c r="AN119" s="3"/>
      <c r="AO119" s="3"/>
      <c r="AT119">
        <v>67</v>
      </c>
      <c r="AU119">
        <v>72</v>
      </c>
      <c r="AV119">
        <v>75</v>
      </c>
      <c r="AW119">
        <v>11</v>
      </c>
      <c r="AX119">
        <v>90.9</v>
      </c>
      <c r="AY119">
        <v>90.9</v>
      </c>
      <c r="AZ119">
        <v>0</v>
      </c>
      <c r="BA119">
        <v>0</v>
      </c>
      <c r="BB119">
        <v>1</v>
      </c>
    </row>
    <row r="120" spans="1:54">
      <c r="A120">
        <v>1</v>
      </c>
      <c r="B120" s="3" t="s">
        <v>1</v>
      </c>
      <c r="C120" s="3">
        <f t="shared" ref="C120:C128" si="306">SUM(W120:AO120)</f>
        <v>27</v>
      </c>
      <c r="D120" s="3">
        <v>3</v>
      </c>
      <c r="E120" s="3">
        <v>3</v>
      </c>
      <c r="F120" s="3">
        <v>3</v>
      </c>
      <c r="G120" s="3">
        <v>3</v>
      </c>
      <c r="H120" s="3">
        <v>2</v>
      </c>
      <c r="I120" s="3">
        <v>3</v>
      </c>
      <c r="J120" s="3">
        <v>3</v>
      </c>
      <c r="K120" s="3">
        <v>1</v>
      </c>
      <c r="L120" s="3">
        <v>1</v>
      </c>
      <c r="M120" s="3">
        <v>3</v>
      </c>
      <c r="N120" s="3">
        <v>0</v>
      </c>
      <c r="O120" s="3">
        <v>1</v>
      </c>
      <c r="P120" s="3">
        <v>0</v>
      </c>
      <c r="Q120" s="3">
        <v>0</v>
      </c>
      <c r="R120" s="3">
        <v>0</v>
      </c>
      <c r="S120" s="3">
        <v>1</v>
      </c>
      <c r="T120" s="3">
        <v>0</v>
      </c>
      <c r="U120" s="3">
        <v>0</v>
      </c>
      <c r="V120" s="3">
        <v>0</v>
      </c>
      <c r="W120" s="3">
        <v>0</v>
      </c>
      <c r="X120" s="3">
        <v>3</v>
      </c>
      <c r="Y120" s="3">
        <v>2</v>
      </c>
      <c r="Z120" s="3">
        <v>2</v>
      </c>
      <c r="AA120" s="3">
        <v>1</v>
      </c>
      <c r="AB120" s="3">
        <v>0</v>
      </c>
      <c r="AC120" s="3">
        <v>1</v>
      </c>
      <c r="AD120" s="3">
        <v>1</v>
      </c>
      <c r="AE120" s="3">
        <v>2</v>
      </c>
      <c r="AF120" s="3">
        <v>1</v>
      </c>
      <c r="AG120" s="3">
        <v>2</v>
      </c>
      <c r="AH120" s="3">
        <v>1</v>
      </c>
      <c r="AI120" s="3">
        <v>3</v>
      </c>
      <c r="AJ120" s="3">
        <v>3</v>
      </c>
      <c r="AK120" s="3">
        <v>2</v>
      </c>
      <c r="AL120" s="3">
        <v>3</v>
      </c>
      <c r="AM120" s="3"/>
      <c r="AN120" s="3"/>
      <c r="AO120" s="3"/>
      <c r="AT120">
        <v>69.5</v>
      </c>
      <c r="AU120">
        <v>69</v>
      </c>
      <c r="AV120">
        <v>73.5</v>
      </c>
      <c r="AW120">
        <v>11</v>
      </c>
      <c r="AX120">
        <v>72.7</v>
      </c>
      <c r="AY120">
        <v>72.7</v>
      </c>
      <c r="AZ120">
        <v>0</v>
      </c>
      <c r="BA120">
        <v>0</v>
      </c>
      <c r="BB120">
        <v>0</v>
      </c>
    </row>
    <row r="121" spans="1:54">
      <c r="A121">
        <v>2</v>
      </c>
      <c r="B121" s="3" t="s">
        <v>2</v>
      </c>
      <c r="C121" s="3">
        <f t="shared" si="306"/>
        <v>39</v>
      </c>
      <c r="D121" s="3">
        <v>0</v>
      </c>
      <c r="E121" s="3">
        <v>3</v>
      </c>
      <c r="F121" s="3">
        <v>3</v>
      </c>
      <c r="G121" s="3">
        <v>2</v>
      </c>
      <c r="H121" s="3">
        <v>3</v>
      </c>
      <c r="I121" s="3">
        <v>3</v>
      </c>
      <c r="J121" s="3">
        <v>1</v>
      </c>
      <c r="K121" s="3">
        <v>1</v>
      </c>
      <c r="L121" s="3">
        <v>2</v>
      </c>
      <c r="M121" s="3">
        <v>3</v>
      </c>
      <c r="N121" s="3">
        <v>1</v>
      </c>
      <c r="O121" s="3">
        <v>2</v>
      </c>
      <c r="P121" s="3">
        <v>2</v>
      </c>
      <c r="Q121" s="3">
        <v>0</v>
      </c>
      <c r="R121" s="3">
        <v>3</v>
      </c>
      <c r="S121" s="3">
        <v>3</v>
      </c>
      <c r="T121" s="3">
        <v>2</v>
      </c>
      <c r="U121" s="3">
        <v>1</v>
      </c>
      <c r="V121" s="3">
        <v>1</v>
      </c>
      <c r="W121" s="3">
        <v>3</v>
      </c>
      <c r="X121" s="3">
        <v>1</v>
      </c>
      <c r="Y121" s="3">
        <v>2</v>
      </c>
      <c r="Z121" s="3">
        <v>3</v>
      </c>
      <c r="AA121" s="3">
        <v>3</v>
      </c>
      <c r="AB121" s="3">
        <v>3</v>
      </c>
      <c r="AC121" s="3">
        <v>3</v>
      </c>
      <c r="AD121" s="3">
        <v>2</v>
      </c>
      <c r="AE121" s="3">
        <v>1</v>
      </c>
      <c r="AF121" s="3">
        <v>3</v>
      </c>
      <c r="AG121" s="3">
        <v>0</v>
      </c>
      <c r="AH121" s="3">
        <v>3</v>
      </c>
      <c r="AI121" s="3">
        <v>3</v>
      </c>
      <c r="AJ121" s="3">
        <v>3</v>
      </c>
      <c r="AK121" s="3">
        <v>3</v>
      </c>
      <c r="AL121" s="3">
        <v>3</v>
      </c>
      <c r="AM121" s="3"/>
      <c r="AN121" s="3"/>
      <c r="AO121" s="3"/>
      <c r="AT121">
        <v>62</v>
      </c>
      <c r="AU121">
        <v>68.5</v>
      </c>
      <c r="AV121">
        <v>75</v>
      </c>
      <c r="AW121">
        <v>10</v>
      </c>
      <c r="AX121">
        <v>63.6</v>
      </c>
      <c r="AY121">
        <v>72.7</v>
      </c>
      <c r="AZ121">
        <v>0</v>
      </c>
      <c r="BA121">
        <v>0</v>
      </c>
      <c r="BB121">
        <v>1</v>
      </c>
    </row>
    <row r="122" spans="1:54">
      <c r="A122">
        <v>3</v>
      </c>
      <c r="B122" s="3" t="s">
        <v>3</v>
      </c>
      <c r="C122" s="3">
        <f t="shared" si="306"/>
        <v>31</v>
      </c>
      <c r="D122" s="3">
        <v>2</v>
      </c>
      <c r="E122" s="3">
        <v>3</v>
      </c>
      <c r="F122" s="3">
        <v>3</v>
      </c>
      <c r="G122" s="3">
        <v>2</v>
      </c>
      <c r="H122" s="3">
        <v>1</v>
      </c>
      <c r="I122" s="3">
        <v>2</v>
      </c>
      <c r="J122" s="3">
        <v>3</v>
      </c>
      <c r="K122" s="3">
        <v>1</v>
      </c>
      <c r="L122" s="3">
        <v>3</v>
      </c>
      <c r="M122" s="3">
        <v>2</v>
      </c>
      <c r="N122" s="3">
        <v>2</v>
      </c>
      <c r="O122" s="3">
        <v>2</v>
      </c>
      <c r="P122" s="3">
        <v>3</v>
      </c>
      <c r="Q122" s="3">
        <v>1</v>
      </c>
      <c r="R122" s="3">
        <v>3</v>
      </c>
      <c r="S122" s="3">
        <v>3</v>
      </c>
      <c r="T122" s="3">
        <v>3</v>
      </c>
      <c r="U122" s="3">
        <v>3</v>
      </c>
      <c r="V122" s="3">
        <v>0</v>
      </c>
      <c r="W122" s="3">
        <v>1</v>
      </c>
      <c r="X122" s="3">
        <v>3</v>
      </c>
      <c r="Y122" s="3">
        <v>1</v>
      </c>
      <c r="Z122" s="3">
        <v>1</v>
      </c>
      <c r="AA122" s="3">
        <v>3</v>
      </c>
      <c r="AB122" s="3">
        <v>2</v>
      </c>
      <c r="AC122" s="3">
        <v>3</v>
      </c>
      <c r="AD122" s="3">
        <v>3</v>
      </c>
      <c r="AE122" s="3">
        <v>2</v>
      </c>
      <c r="AF122" s="3">
        <v>2</v>
      </c>
      <c r="AG122" s="3">
        <v>2</v>
      </c>
      <c r="AH122" s="3">
        <v>0</v>
      </c>
      <c r="AI122" s="3">
        <v>1</v>
      </c>
      <c r="AJ122" s="3">
        <v>3</v>
      </c>
      <c r="AK122" s="3">
        <v>3</v>
      </c>
      <c r="AL122" s="3">
        <v>1</v>
      </c>
      <c r="AM122" s="3"/>
      <c r="AN122" s="3"/>
      <c r="AO122" s="3"/>
      <c r="AT122">
        <v>65</v>
      </c>
      <c r="AU122">
        <v>65.5</v>
      </c>
      <c r="AV122">
        <v>71.5</v>
      </c>
      <c r="AW122">
        <v>11</v>
      </c>
      <c r="AX122">
        <v>72.7</v>
      </c>
      <c r="AY122">
        <v>72.7</v>
      </c>
      <c r="AZ122">
        <v>0</v>
      </c>
      <c r="BA122">
        <v>0</v>
      </c>
      <c r="BB122">
        <v>3</v>
      </c>
    </row>
    <row r="123" spans="1:54">
      <c r="A123">
        <v>4</v>
      </c>
      <c r="B123" s="3" t="s">
        <v>5</v>
      </c>
      <c r="C123" s="3">
        <f t="shared" si="306"/>
        <v>32</v>
      </c>
      <c r="D123" s="3">
        <v>3</v>
      </c>
      <c r="E123" s="3">
        <v>3</v>
      </c>
      <c r="F123" s="3">
        <v>0</v>
      </c>
      <c r="G123" s="3">
        <v>1</v>
      </c>
      <c r="H123" s="3">
        <v>3</v>
      </c>
      <c r="I123" s="3">
        <v>0</v>
      </c>
      <c r="J123" s="3">
        <v>0</v>
      </c>
      <c r="K123" s="3">
        <v>0</v>
      </c>
      <c r="L123" s="3">
        <v>3</v>
      </c>
      <c r="M123" s="3">
        <v>0</v>
      </c>
      <c r="N123" s="3">
        <v>1</v>
      </c>
      <c r="O123" s="3">
        <v>1</v>
      </c>
      <c r="P123" s="3">
        <v>1</v>
      </c>
      <c r="Q123" s="3">
        <v>0</v>
      </c>
      <c r="R123" s="3">
        <v>3</v>
      </c>
      <c r="S123" s="3">
        <v>3</v>
      </c>
      <c r="T123" s="3">
        <v>2</v>
      </c>
      <c r="U123" s="3">
        <v>2</v>
      </c>
      <c r="V123" s="3">
        <v>0</v>
      </c>
      <c r="W123" s="3">
        <v>1</v>
      </c>
      <c r="X123" s="3">
        <v>3</v>
      </c>
      <c r="Y123" s="3">
        <v>1</v>
      </c>
      <c r="Z123" s="3">
        <v>1</v>
      </c>
      <c r="AA123" s="3">
        <v>3</v>
      </c>
      <c r="AB123" s="3">
        <v>2</v>
      </c>
      <c r="AC123" s="3">
        <v>2</v>
      </c>
      <c r="AD123" s="3">
        <v>1</v>
      </c>
      <c r="AE123" s="3">
        <v>3</v>
      </c>
      <c r="AF123" s="3">
        <v>3</v>
      </c>
      <c r="AG123" s="3">
        <v>2</v>
      </c>
      <c r="AH123" s="3">
        <v>2</v>
      </c>
      <c r="AI123" s="3">
        <v>2</v>
      </c>
      <c r="AJ123" s="3">
        <v>2</v>
      </c>
      <c r="AK123" s="3">
        <v>1</v>
      </c>
      <c r="AL123" s="3">
        <v>3</v>
      </c>
      <c r="AM123" s="3"/>
      <c r="AN123" s="3"/>
      <c r="AO123" s="3"/>
      <c r="AT123" t="s">
        <v>21</v>
      </c>
    </row>
    <row r="124" spans="1:54">
      <c r="A124">
        <v>5</v>
      </c>
      <c r="B124" s="3" t="s">
        <v>4</v>
      </c>
      <c r="C124" s="3">
        <f t="shared" si="306"/>
        <v>28</v>
      </c>
      <c r="D124" s="3">
        <v>3</v>
      </c>
      <c r="E124" s="3">
        <v>2</v>
      </c>
      <c r="F124" s="3">
        <v>3</v>
      </c>
      <c r="G124" s="3">
        <v>3</v>
      </c>
      <c r="H124" s="3">
        <v>2</v>
      </c>
      <c r="I124" s="3">
        <v>2</v>
      </c>
      <c r="J124" s="3">
        <v>3</v>
      </c>
      <c r="K124" s="3">
        <v>0</v>
      </c>
      <c r="L124" s="3">
        <v>3</v>
      </c>
      <c r="M124" s="3">
        <v>1</v>
      </c>
      <c r="N124" s="3">
        <v>0</v>
      </c>
      <c r="O124" s="3">
        <v>0</v>
      </c>
      <c r="P124" s="3">
        <v>2</v>
      </c>
      <c r="Q124" s="3">
        <v>1</v>
      </c>
      <c r="R124" s="3">
        <v>1</v>
      </c>
      <c r="S124" s="3">
        <v>3</v>
      </c>
      <c r="T124" s="3">
        <v>1</v>
      </c>
      <c r="U124" s="3">
        <v>3</v>
      </c>
      <c r="V124" s="3">
        <v>3</v>
      </c>
      <c r="W124" s="3">
        <v>3</v>
      </c>
      <c r="X124" s="3">
        <v>2</v>
      </c>
      <c r="Y124" s="3">
        <v>2</v>
      </c>
      <c r="Z124" s="3">
        <v>2</v>
      </c>
      <c r="AA124" s="3">
        <v>3</v>
      </c>
      <c r="AB124" s="3">
        <v>1</v>
      </c>
      <c r="AC124" s="3">
        <v>1</v>
      </c>
      <c r="AD124" s="3">
        <v>0</v>
      </c>
      <c r="AE124" s="3">
        <v>1</v>
      </c>
      <c r="AF124" s="3">
        <v>0</v>
      </c>
      <c r="AG124" s="3">
        <v>1</v>
      </c>
      <c r="AH124" s="3">
        <v>3</v>
      </c>
      <c r="AI124" s="3">
        <v>3</v>
      </c>
      <c r="AJ124" s="3">
        <v>3</v>
      </c>
      <c r="AK124" s="3">
        <v>0</v>
      </c>
      <c r="AL124" s="3">
        <v>3</v>
      </c>
      <c r="AM124" s="3"/>
      <c r="AN124" s="3"/>
      <c r="AO124" s="3"/>
      <c r="AT124">
        <v>80</v>
      </c>
      <c r="AU124">
        <v>87.5</v>
      </c>
      <c r="AV124">
        <v>90</v>
      </c>
      <c r="AW124">
        <v>11</v>
      </c>
      <c r="AX124">
        <v>63.6</v>
      </c>
      <c r="AY124">
        <v>72.7</v>
      </c>
      <c r="AZ124">
        <v>0</v>
      </c>
      <c r="BA124">
        <v>0</v>
      </c>
      <c r="BB124">
        <v>1</v>
      </c>
    </row>
    <row r="125" spans="1:54">
      <c r="A125">
        <v>6</v>
      </c>
      <c r="B125" s="3" t="s">
        <v>6</v>
      </c>
      <c r="C125" s="3">
        <f t="shared" si="306"/>
        <v>20</v>
      </c>
      <c r="D125" s="3">
        <v>3</v>
      </c>
      <c r="E125" s="3">
        <v>2</v>
      </c>
      <c r="F125" s="3">
        <v>0</v>
      </c>
      <c r="G125" s="3">
        <v>2</v>
      </c>
      <c r="H125" s="3">
        <v>0</v>
      </c>
      <c r="I125" s="3">
        <v>1</v>
      </c>
      <c r="J125" s="3">
        <v>1</v>
      </c>
      <c r="K125" s="3">
        <v>1</v>
      </c>
      <c r="L125" s="3">
        <v>2</v>
      </c>
      <c r="M125" s="3">
        <v>2</v>
      </c>
      <c r="N125" s="3">
        <v>1</v>
      </c>
      <c r="O125" s="3">
        <v>1</v>
      </c>
      <c r="P125" s="3">
        <v>1</v>
      </c>
      <c r="Q125" s="3">
        <v>3</v>
      </c>
      <c r="R125" s="3">
        <v>2</v>
      </c>
      <c r="S125" s="3">
        <v>3</v>
      </c>
      <c r="T125" s="3">
        <v>0</v>
      </c>
      <c r="U125" s="3">
        <v>2</v>
      </c>
      <c r="V125" s="3">
        <v>2</v>
      </c>
      <c r="W125" s="3">
        <v>0</v>
      </c>
      <c r="X125" s="3">
        <v>1</v>
      </c>
      <c r="Y125" s="3">
        <v>0</v>
      </c>
      <c r="Z125" s="3">
        <v>0</v>
      </c>
      <c r="AA125" s="3">
        <v>2</v>
      </c>
      <c r="AB125" s="3">
        <v>3</v>
      </c>
      <c r="AC125" s="3">
        <v>1</v>
      </c>
      <c r="AD125" s="3">
        <v>0</v>
      </c>
      <c r="AE125" s="3">
        <v>3</v>
      </c>
      <c r="AF125" s="3">
        <v>2</v>
      </c>
      <c r="AG125" s="3">
        <v>1</v>
      </c>
      <c r="AH125" s="3">
        <v>2</v>
      </c>
      <c r="AI125" s="3">
        <v>3</v>
      </c>
      <c r="AJ125" s="3">
        <v>0</v>
      </c>
      <c r="AK125" s="3">
        <v>1</v>
      </c>
      <c r="AL125" s="3">
        <v>1</v>
      </c>
      <c r="AM125" s="3"/>
      <c r="AN125" s="3"/>
      <c r="AO125" s="3"/>
      <c r="AT125">
        <v>71.5</v>
      </c>
      <c r="AU125">
        <v>70.5</v>
      </c>
      <c r="AV125">
        <v>73</v>
      </c>
      <c r="AW125">
        <v>11</v>
      </c>
      <c r="AX125">
        <v>90.9</v>
      </c>
      <c r="AY125">
        <v>90.9</v>
      </c>
      <c r="AZ125">
        <v>0</v>
      </c>
      <c r="BA125">
        <v>0</v>
      </c>
      <c r="BB125">
        <v>1</v>
      </c>
    </row>
    <row r="126" spans="1:54">
      <c r="A126">
        <v>7</v>
      </c>
      <c r="B126" s="3" t="s">
        <v>9</v>
      </c>
      <c r="C126" s="3">
        <f t="shared" si="306"/>
        <v>21</v>
      </c>
      <c r="D126" s="3">
        <v>3</v>
      </c>
      <c r="E126" s="3">
        <v>3</v>
      </c>
      <c r="F126" s="3">
        <v>1</v>
      </c>
      <c r="G126" s="3">
        <v>3</v>
      </c>
      <c r="H126" s="3">
        <v>1</v>
      </c>
      <c r="I126" s="3">
        <v>1</v>
      </c>
      <c r="J126" s="3">
        <v>2</v>
      </c>
      <c r="K126" s="3">
        <v>1</v>
      </c>
      <c r="L126" s="3">
        <v>3</v>
      </c>
      <c r="M126" s="3">
        <v>0</v>
      </c>
      <c r="N126" s="3">
        <v>0</v>
      </c>
      <c r="O126" s="3">
        <v>3</v>
      </c>
      <c r="P126" s="3">
        <v>3</v>
      </c>
      <c r="Q126" s="3">
        <v>2</v>
      </c>
      <c r="R126" s="3">
        <v>1</v>
      </c>
      <c r="S126" s="3">
        <v>3</v>
      </c>
      <c r="T126" s="3">
        <v>2</v>
      </c>
      <c r="U126" s="3">
        <v>0</v>
      </c>
      <c r="V126" s="3">
        <v>2</v>
      </c>
      <c r="W126" s="3">
        <v>1</v>
      </c>
      <c r="X126" s="3">
        <v>2</v>
      </c>
      <c r="Y126" s="3">
        <v>1</v>
      </c>
      <c r="Z126" s="3">
        <v>0</v>
      </c>
      <c r="AA126" s="3">
        <v>1</v>
      </c>
      <c r="AB126" s="3">
        <v>0</v>
      </c>
      <c r="AC126" s="3">
        <v>2</v>
      </c>
      <c r="AD126" s="3">
        <v>1</v>
      </c>
      <c r="AE126" s="3">
        <v>1</v>
      </c>
      <c r="AF126" s="3">
        <v>1</v>
      </c>
      <c r="AG126" s="3">
        <v>2</v>
      </c>
      <c r="AH126" s="3">
        <v>3</v>
      </c>
      <c r="AI126" s="3">
        <v>1</v>
      </c>
      <c r="AJ126" s="3">
        <v>2</v>
      </c>
      <c r="AK126" s="3">
        <v>1</v>
      </c>
      <c r="AL126" s="3">
        <v>2</v>
      </c>
      <c r="AM126" s="3"/>
      <c r="AN126" s="3"/>
      <c r="AO126" s="3"/>
      <c r="AT126">
        <v>69.5</v>
      </c>
      <c r="AU126">
        <v>65</v>
      </c>
      <c r="AV126">
        <v>81.5</v>
      </c>
      <c r="AW126">
        <v>11</v>
      </c>
      <c r="AX126">
        <v>63.6</v>
      </c>
      <c r="AY126">
        <v>54.5</v>
      </c>
      <c r="AZ126">
        <v>1</v>
      </c>
      <c r="BA126">
        <v>0</v>
      </c>
      <c r="BB126">
        <v>2</v>
      </c>
    </row>
    <row r="127" spans="1:54">
      <c r="A127">
        <v>8</v>
      </c>
      <c r="B127" s="3" t="s">
        <v>7</v>
      </c>
      <c r="C127" s="3">
        <f t="shared" si="306"/>
        <v>28</v>
      </c>
      <c r="D127" s="3">
        <v>1</v>
      </c>
      <c r="E127" s="3">
        <v>1</v>
      </c>
      <c r="F127" s="3">
        <v>3</v>
      </c>
      <c r="G127" s="3">
        <v>2</v>
      </c>
      <c r="H127" s="3">
        <v>3</v>
      </c>
      <c r="I127" s="3">
        <v>3</v>
      </c>
      <c r="J127" s="3">
        <v>0</v>
      </c>
      <c r="K127" s="3">
        <v>0</v>
      </c>
      <c r="L127" s="3">
        <v>1</v>
      </c>
      <c r="M127" s="3">
        <v>0</v>
      </c>
      <c r="N127" s="3">
        <v>1</v>
      </c>
      <c r="O127" s="3">
        <v>2</v>
      </c>
      <c r="P127" s="3">
        <v>2</v>
      </c>
      <c r="Q127" s="3">
        <v>2</v>
      </c>
      <c r="R127" s="3">
        <v>0</v>
      </c>
      <c r="S127" s="3">
        <v>3</v>
      </c>
      <c r="T127" s="3">
        <v>3</v>
      </c>
      <c r="U127" s="3">
        <v>3</v>
      </c>
      <c r="V127" s="3">
        <v>0</v>
      </c>
      <c r="W127" s="3">
        <v>0</v>
      </c>
      <c r="X127" s="3">
        <v>2</v>
      </c>
      <c r="Y127" s="3">
        <v>3</v>
      </c>
      <c r="Z127" s="3">
        <v>3</v>
      </c>
      <c r="AA127" s="3">
        <v>3</v>
      </c>
      <c r="AB127" s="3">
        <v>0</v>
      </c>
      <c r="AC127" s="3">
        <v>2</v>
      </c>
      <c r="AD127" s="3">
        <v>3</v>
      </c>
      <c r="AE127" s="3">
        <v>2</v>
      </c>
      <c r="AF127" s="3">
        <v>2</v>
      </c>
      <c r="AG127" s="3">
        <v>1</v>
      </c>
      <c r="AH127" s="3">
        <v>0</v>
      </c>
      <c r="AI127" s="3">
        <v>1</v>
      </c>
      <c r="AJ127" s="3">
        <v>2</v>
      </c>
      <c r="AK127" s="3">
        <v>2</v>
      </c>
      <c r="AL127" s="3">
        <v>2</v>
      </c>
      <c r="AM127" s="3"/>
      <c r="AN127" s="3"/>
      <c r="AO127" s="3"/>
      <c r="AT127">
        <v>82</v>
      </c>
      <c r="AU127">
        <v>82</v>
      </c>
      <c r="AV127">
        <v>84</v>
      </c>
      <c r="AW127">
        <v>11</v>
      </c>
      <c r="AX127">
        <v>90.9</v>
      </c>
      <c r="AY127">
        <v>81.8</v>
      </c>
      <c r="AZ127">
        <v>2</v>
      </c>
      <c r="BA127">
        <v>0</v>
      </c>
      <c r="BB127">
        <v>2</v>
      </c>
    </row>
    <row r="128" spans="1:54">
      <c r="A128">
        <v>9</v>
      </c>
      <c r="B128" s="3" t="s">
        <v>8</v>
      </c>
      <c r="C128" s="3">
        <f t="shared" si="306"/>
        <v>15</v>
      </c>
      <c r="D128" s="3">
        <v>0</v>
      </c>
      <c r="E128" s="3">
        <v>1</v>
      </c>
      <c r="F128" s="3">
        <v>2</v>
      </c>
      <c r="G128" s="3">
        <v>0</v>
      </c>
      <c r="H128" s="3">
        <v>0</v>
      </c>
      <c r="I128" s="3">
        <v>1</v>
      </c>
      <c r="J128" s="3">
        <v>2</v>
      </c>
      <c r="K128" s="3">
        <v>2</v>
      </c>
      <c r="L128" s="3">
        <v>3</v>
      </c>
      <c r="M128" s="3">
        <v>2</v>
      </c>
      <c r="N128" s="3">
        <v>3</v>
      </c>
      <c r="O128" s="3">
        <v>0</v>
      </c>
      <c r="P128" s="3">
        <v>0</v>
      </c>
      <c r="Q128" s="3">
        <v>0</v>
      </c>
      <c r="R128" s="3">
        <v>2</v>
      </c>
      <c r="S128" s="3">
        <v>3</v>
      </c>
      <c r="T128" s="3">
        <v>0</v>
      </c>
      <c r="U128" s="3">
        <v>2</v>
      </c>
      <c r="V128" s="3">
        <v>0</v>
      </c>
      <c r="W128" s="3">
        <v>0</v>
      </c>
      <c r="X128" s="3">
        <v>0</v>
      </c>
      <c r="Y128" s="3">
        <v>1</v>
      </c>
      <c r="Z128" s="3">
        <v>2</v>
      </c>
      <c r="AA128" s="3">
        <v>0</v>
      </c>
      <c r="AB128" s="3">
        <v>0</v>
      </c>
      <c r="AC128" s="3">
        <v>1</v>
      </c>
      <c r="AD128" s="3">
        <v>2</v>
      </c>
      <c r="AE128" s="3">
        <v>1</v>
      </c>
      <c r="AF128" s="3">
        <v>2</v>
      </c>
      <c r="AG128" s="3">
        <v>0</v>
      </c>
      <c r="AH128" s="3">
        <v>0</v>
      </c>
      <c r="AI128" s="3">
        <v>2</v>
      </c>
      <c r="AJ128" s="3">
        <v>0</v>
      </c>
      <c r="AK128" s="3">
        <v>3</v>
      </c>
      <c r="AL128" s="3">
        <v>1</v>
      </c>
      <c r="AM128" s="3"/>
      <c r="AN128" s="3"/>
      <c r="AO128" s="3"/>
      <c r="AT128">
        <v>65</v>
      </c>
      <c r="AU128">
        <v>66.5</v>
      </c>
      <c r="AV128">
        <v>70.5</v>
      </c>
      <c r="AW128">
        <v>11</v>
      </c>
      <c r="AX128">
        <v>81.8</v>
      </c>
      <c r="AY128">
        <v>90.9</v>
      </c>
      <c r="AZ128">
        <v>0</v>
      </c>
      <c r="BA128">
        <v>0</v>
      </c>
      <c r="BB128">
        <v>1</v>
      </c>
    </row>
    <row r="129" spans="1:54">
      <c r="C129" s="20">
        <f>SUM(C119:C128)</f>
        <v>268</v>
      </c>
      <c r="D129" s="20">
        <f t="shared" ref="D129:AO129" si="307">SUM(D119:D128)</f>
        <v>20</v>
      </c>
      <c r="E129" s="20">
        <f t="shared" si="307"/>
        <v>24</v>
      </c>
      <c r="F129" s="20">
        <f t="shared" si="307"/>
        <v>18</v>
      </c>
      <c r="G129" s="20">
        <f t="shared" si="307"/>
        <v>18</v>
      </c>
      <c r="H129" s="20">
        <f t="shared" si="307"/>
        <v>16</v>
      </c>
      <c r="I129" s="20">
        <f t="shared" si="307"/>
        <v>16</v>
      </c>
      <c r="J129" s="20">
        <f t="shared" si="307"/>
        <v>17</v>
      </c>
      <c r="K129" s="20">
        <f t="shared" si="307"/>
        <v>8</v>
      </c>
      <c r="L129" s="20">
        <f t="shared" si="307"/>
        <v>22</v>
      </c>
      <c r="M129" s="20">
        <f t="shared" si="307"/>
        <v>14</v>
      </c>
      <c r="N129" s="20">
        <f t="shared" si="307"/>
        <v>11</v>
      </c>
      <c r="O129" s="20">
        <f t="shared" si="307"/>
        <v>13</v>
      </c>
      <c r="P129" s="20">
        <f t="shared" si="307"/>
        <v>14</v>
      </c>
      <c r="Q129" s="20">
        <f t="shared" si="307"/>
        <v>10</v>
      </c>
      <c r="R129" s="20">
        <f t="shared" si="307"/>
        <v>17</v>
      </c>
      <c r="S129" s="20">
        <f t="shared" si="307"/>
        <v>28</v>
      </c>
      <c r="T129" s="20">
        <f t="shared" si="307"/>
        <v>15</v>
      </c>
      <c r="U129" s="20">
        <f t="shared" si="307"/>
        <v>17</v>
      </c>
      <c r="V129" s="20">
        <f t="shared" si="307"/>
        <v>10</v>
      </c>
      <c r="W129" s="20">
        <f t="shared" si="307"/>
        <v>12</v>
      </c>
      <c r="X129" s="20">
        <f t="shared" si="307"/>
        <v>20</v>
      </c>
      <c r="Y129" s="20">
        <f t="shared" si="307"/>
        <v>13</v>
      </c>
      <c r="Z129" s="20">
        <f t="shared" si="307"/>
        <v>14</v>
      </c>
      <c r="AA129" s="20">
        <f t="shared" si="307"/>
        <v>22</v>
      </c>
      <c r="AB129" s="20">
        <f t="shared" si="307"/>
        <v>13</v>
      </c>
      <c r="AC129" s="20">
        <f t="shared" si="307"/>
        <v>18</v>
      </c>
      <c r="AD129" s="20">
        <f t="shared" si="307"/>
        <v>14</v>
      </c>
      <c r="AE129" s="20">
        <f t="shared" si="307"/>
        <v>17</v>
      </c>
      <c r="AF129" s="20">
        <f t="shared" si="307"/>
        <v>18</v>
      </c>
      <c r="AG129" s="20">
        <f t="shared" si="307"/>
        <v>11</v>
      </c>
      <c r="AH129" s="20">
        <f t="shared" si="307"/>
        <v>16</v>
      </c>
      <c r="AI129" s="20">
        <f t="shared" si="307"/>
        <v>21</v>
      </c>
      <c r="AJ129" s="20">
        <f t="shared" si="307"/>
        <v>21</v>
      </c>
      <c r="AK129" s="20">
        <f t="shared" si="307"/>
        <v>19</v>
      </c>
      <c r="AL129" s="20">
        <f t="shared" si="307"/>
        <v>19</v>
      </c>
      <c r="AM129" s="20">
        <f t="shared" si="307"/>
        <v>0</v>
      </c>
      <c r="AN129" s="20">
        <f t="shared" si="307"/>
        <v>0</v>
      </c>
      <c r="AO129" s="20">
        <f t="shared" si="307"/>
        <v>0</v>
      </c>
      <c r="AT129">
        <v>71.5</v>
      </c>
      <c r="AU129">
        <v>68.5</v>
      </c>
      <c r="AV129">
        <v>78</v>
      </c>
      <c r="AW129">
        <v>11</v>
      </c>
      <c r="AX129">
        <v>81.8</v>
      </c>
      <c r="AY129">
        <v>81.8</v>
      </c>
      <c r="AZ129">
        <v>0</v>
      </c>
      <c r="BA129">
        <v>0</v>
      </c>
      <c r="BB129">
        <v>0</v>
      </c>
    </row>
    <row r="130" spans="1:54">
      <c r="AT130">
        <v>74</v>
      </c>
      <c r="AU130">
        <v>73</v>
      </c>
      <c r="AV130">
        <v>77</v>
      </c>
      <c r="AW130">
        <v>11</v>
      </c>
      <c r="AX130">
        <v>72.7</v>
      </c>
      <c r="AY130">
        <v>72.7</v>
      </c>
      <c r="AZ130">
        <v>0</v>
      </c>
      <c r="BA130">
        <v>0</v>
      </c>
      <c r="BB130">
        <v>1</v>
      </c>
    </row>
    <row r="131" spans="1:54">
      <c r="D131" s="14">
        <v>1</v>
      </c>
      <c r="E131" s="14">
        <v>2</v>
      </c>
      <c r="F131" s="14">
        <v>3</v>
      </c>
      <c r="G131" s="14">
        <v>4</v>
      </c>
      <c r="H131" s="14">
        <v>5</v>
      </c>
      <c r="I131" s="14">
        <v>6</v>
      </c>
      <c r="J131" s="14">
        <v>7</v>
      </c>
      <c r="K131" s="14">
        <v>8</v>
      </c>
      <c r="L131" s="14">
        <v>9</v>
      </c>
      <c r="M131" s="14">
        <v>10</v>
      </c>
      <c r="N131" s="14">
        <v>11</v>
      </c>
      <c r="O131" s="14">
        <v>12</v>
      </c>
      <c r="P131" s="14">
        <v>13</v>
      </c>
      <c r="Q131" s="14">
        <v>14</v>
      </c>
      <c r="R131" s="14">
        <v>15</v>
      </c>
      <c r="S131" s="14">
        <v>16</v>
      </c>
      <c r="T131" s="14">
        <v>17</v>
      </c>
      <c r="U131" s="14">
        <v>18</v>
      </c>
      <c r="V131" s="14">
        <v>19</v>
      </c>
      <c r="W131" s="14">
        <v>20</v>
      </c>
      <c r="X131" s="14">
        <v>21</v>
      </c>
      <c r="Y131" s="14">
        <v>22</v>
      </c>
      <c r="Z131" s="14">
        <v>23</v>
      </c>
      <c r="AA131" s="14">
        <v>24</v>
      </c>
      <c r="AB131" s="14">
        <v>25</v>
      </c>
      <c r="AC131" s="14">
        <v>26</v>
      </c>
      <c r="AD131" s="14">
        <v>27</v>
      </c>
      <c r="AE131" s="14">
        <v>28</v>
      </c>
      <c r="AF131" s="14">
        <v>29</v>
      </c>
      <c r="AG131" s="14">
        <v>30</v>
      </c>
      <c r="AH131" s="14">
        <v>31</v>
      </c>
      <c r="AI131" s="14">
        <v>32</v>
      </c>
      <c r="AJ131" s="14">
        <v>33</v>
      </c>
      <c r="AK131" s="14">
        <v>34</v>
      </c>
      <c r="AL131" s="14">
        <v>35</v>
      </c>
      <c r="AM131" s="14">
        <v>36</v>
      </c>
      <c r="AN131" s="14">
        <v>37</v>
      </c>
      <c r="AO131" s="14">
        <v>38</v>
      </c>
      <c r="AT131">
        <v>76</v>
      </c>
      <c r="AU131">
        <v>86</v>
      </c>
      <c r="AV131">
        <v>91.5</v>
      </c>
      <c r="AW131">
        <v>11</v>
      </c>
      <c r="AX131">
        <v>63.6</v>
      </c>
      <c r="AY131">
        <v>81.8</v>
      </c>
      <c r="AZ131">
        <v>0</v>
      </c>
      <c r="BA131">
        <v>1</v>
      </c>
      <c r="BB131">
        <v>3</v>
      </c>
    </row>
    <row r="132" spans="1:54">
      <c r="A132">
        <v>0</v>
      </c>
      <c r="B132" s="3" t="s">
        <v>0</v>
      </c>
      <c r="C132" s="3">
        <f>SUM(W132:AO132)</f>
        <v>1.5904417074565369</v>
      </c>
      <c r="D132" s="17">
        <f t="shared" ref="D132:AJ132" si="308">D67/D54</f>
        <v>0.16250000000000001</v>
      </c>
      <c r="E132" s="17">
        <f t="shared" si="308"/>
        <v>3.3333333333333333E-2</v>
      </c>
      <c r="F132" s="17">
        <f t="shared" si="308"/>
        <v>0.11450381679389313</v>
      </c>
      <c r="G132" s="17">
        <f t="shared" si="308"/>
        <v>7.3825503355704702E-2</v>
      </c>
      <c r="H132" s="17">
        <f t="shared" si="308"/>
        <v>9.8837209302325577E-2</v>
      </c>
      <c r="I132" s="17">
        <f t="shared" si="308"/>
        <v>2.6490066225165563E-2</v>
      </c>
      <c r="J132" s="17">
        <f t="shared" si="308"/>
        <v>6.4102564102564097E-2</v>
      </c>
      <c r="K132" s="17">
        <f t="shared" si="308"/>
        <v>0.11888111888111888</v>
      </c>
      <c r="L132" s="17">
        <f t="shared" si="308"/>
        <v>9.45945945945946E-2</v>
      </c>
      <c r="M132" s="17">
        <f t="shared" si="308"/>
        <v>8.9041095890410954E-2</v>
      </c>
      <c r="N132" s="17">
        <f t="shared" si="308"/>
        <v>0.17482517482517482</v>
      </c>
      <c r="O132" s="17">
        <f t="shared" si="308"/>
        <v>2.7777777777777776E-2</v>
      </c>
      <c r="P132" s="17">
        <f t="shared" si="308"/>
        <v>8.2758620689655171E-2</v>
      </c>
      <c r="Q132" s="17">
        <f t="shared" si="308"/>
        <v>5.2980132450331126E-2</v>
      </c>
      <c r="R132" s="17">
        <f t="shared" si="308"/>
        <v>0.12658227848101267</v>
      </c>
      <c r="S132" s="17">
        <f t="shared" si="308"/>
        <v>8.3333333333333329E-2</v>
      </c>
      <c r="T132" s="17">
        <f t="shared" si="308"/>
        <v>1.7857142857142856E-2</v>
      </c>
      <c r="U132" s="17">
        <f t="shared" si="308"/>
        <v>0.12</v>
      </c>
      <c r="V132" s="17">
        <f t="shared" si="308"/>
        <v>0.15168539325842698</v>
      </c>
      <c r="W132" s="17">
        <f t="shared" si="308"/>
        <v>7.5949367088607597E-2</v>
      </c>
      <c r="X132" s="17">
        <f t="shared" si="308"/>
        <v>7.6388888888888895E-2</v>
      </c>
      <c r="Y132" s="17">
        <f t="shared" si="308"/>
        <v>6.7901234567901231E-2</v>
      </c>
      <c r="Z132" s="17">
        <f t="shared" si="308"/>
        <v>6.9767441860465115E-2</v>
      </c>
      <c r="AA132" s="17">
        <f t="shared" si="308"/>
        <v>0.11188811188811189</v>
      </c>
      <c r="AB132" s="17">
        <f t="shared" si="308"/>
        <v>0.19875776397515527</v>
      </c>
      <c r="AC132" s="17">
        <f t="shared" si="308"/>
        <v>7.586206896551724E-2</v>
      </c>
      <c r="AD132" s="17">
        <f t="shared" si="308"/>
        <v>0.10062893081761007</v>
      </c>
      <c r="AE132" s="17">
        <f t="shared" si="308"/>
        <v>0.12048192771084337</v>
      </c>
      <c r="AF132" s="17">
        <f t="shared" si="308"/>
        <v>0.16374269005847952</v>
      </c>
      <c r="AG132" s="17">
        <f t="shared" si="308"/>
        <v>9.4240837696335081E-2</v>
      </c>
      <c r="AH132" s="17">
        <f t="shared" si="308"/>
        <v>0.10344827586206896</v>
      </c>
      <c r="AI132" s="17">
        <f t="shared" si="308"/>
        <v>5.6338028169014086E-2</v>
      </c>
      <c r="AJ132" s="17">
        <f t="shared" si="308"/>
        <v>0.17449664429530201</v>
      </c>
      <c r="AK132" s="17">
        <f>AK67/AK54</f>
        <v>7.8651685393258425E-2</v>
      </c>
      <c r="AL132" s="17">
        <f>AL67/AL54</f>
        <v>2.1897810218978103E-2</v>
      </c>
      <c r="AM132" s="3"/>
      <c r="AN132" s="3"/>
      <c r="AO132" s="3"/>
      <c r="AT132">
        <v>67</v>
      </c>
      <c r="AU132">
        <v>64</v>
      </c>
      <c r="AV132">
        <v>75</v>
      </c>
      <c r="AW132">
        <v>11</v>
      </c>
      <c r="AX132">
        <v>63.6</v>
      </c>
      <c r="AY132">
        <v>36.4</v>
      </c>
      <c r="AZ132">
        <v>0</v>
      </c>
      <c r="BA132">
        <v>0</v>
      </c>
      <c r="BB132">
        <v>2</v>
      </c>
    </row>
    <row r="133" spans="1:54">
      <c r="A133">
        <v>1</v>
      </c>
      <c r="B133" s="3" t="s">
        <v>1</v>
      </c>
      <c r="C133" s="3">
        <f t="shared" ref="C133:C139" si="309">SUM(W133:AO133)</f>
        <v>0.77820868194725523</v>
      </c>
      <c r="D133" s="17">
        <f t="shared" ref="D133:AJ133" si="310">D68/D55</f>
        <v>0.1118421052631579</v>
      </c>
      <c r="E133" s="17">
        <f t="shared" si="310"/>
        <v>5.8823529411764705E-2</v>
      </c>
      <c r="F133" s="17">
        <f t="shared" si="310"/>
        <v>6.0810810810810814E-2</v>
      </c>
      <c r="G133" s="17">
        <f t="shared" si="310"/>
        <v>6.4516129032258063E-2</v>
      </c>
      <c r="H133" s="17">
        <f t="shared" si="310"/>
        <v>3.5294117647058823E-2</v>
      </c>
      <c r="I133" s="17">
        <f t="shared" si="310"/>
        <v>5.185185185185185E-2</v>
      </c>
      <c r="J133" s="17">
        <f t="shared" si="310"/>
        <v>7.746478873239436E-2</v>
      </c>
      <c r="K133" s="17">
        <f t="shared" si="310"/>
        <v>7.746478873239436E-2</v>
      </c>
      <c r="L133" s="17">
        <f t="shared" si="310"/>
        <v>6.6666666666666666E-2</v>
      </c>
      <c r="M133" s="17">
        <f t="shared" si="310"/>
        <v>5.4878048780487805E-2</v>
      </c>
      <c r="N133" s="17">
        <f t="shared" si="310"/>
        <v>6.1538461538461542E-2</v>
      </c>
      <c r="O133" s="17">
        <f t="shared" si="310"/>
        <v>3.4246575342465752E-2</v>
      </c>
      <c r="P133" s="17">
        <f t="shared" si="310"/>
        <v>1.3888888888888888E-2</v>
      </c>
      <c r="Q133" s="17">
        <f t="shared" si="310"/>
        <v>4.2857142857142858E-2</v>
      </c>
      <c r="R133" s="17">
        <f t="shared" si="310"/>
        <v>6.3380281690140844E-2</v>
      </c>
      <c r="S133" s="17">
        <f t="shared" si="310"/>
        <v>4.5112781954887216E-2</v>
      </c>
      <c r="T133" s="17">
        <f t="shared" si="310"/>
        <v>0.10071942446043165</v>
      </c>
      <c r="U133" s="17">
        <f t="shared" si="310"/>
        <v>0</v>
      </c>
      <c r="V133" s="17">
        <f t="shared" si="310"/>
        <v>5.6338028169014086E-2</v>
      </c>
      <c r="W133" s="17">
        <f t="shared" si="310"/>
        <v>0</v>
      </c>
      <c r="X133" s="17">
        <f t="shared" si="310"/>
        <v>0.13548387096774195</v>
      </c>
      <c r="Y133" s="17">
        <f t="shared" si="310"/>
        <v>2.6666666666666668E-2</v>
      </c>
      <c r="Z133" s="17">
        <f t="shared" si="310"/>
        <v>4.6357615894039736E-2</v>
      </c>
      <c r="AA133" s="17">
        <f t="shared" si="310"/>
        <v>1.1976047904191617E-2</v>
      </c>
      <c r="AB133" s="17">
        <f t="shared" si="310"/>
        <v>1.3793103448275862E-2</v>
      </c>
      <c r="AC133" s="17">
        <f t="shared" si="310"/>
        <v>5.2238805970149252E-2</v>
      </c>
      <c r="AD133" s="17">
        <f t="shared" si="310"/>
        <v>2.6490066225165563E-2</v>
      </c>
      <c r="AE133" s="17">
        <f t="shared" si="310"/>
        <v>5.9701492537313432E-2</v>
      </c>
      <c r="AF133" s="17">
        <f t="shared" si="310"/>
        <v>4.3209876543209874E-2</v>
      </c>
      <c r="AG133" s="17">
        <f t="shared" si="310"/>
        <v>4.2253521126760563E-2</v>
      </c>
      <c r="AH133" s="17">
        <f t="shared" si="310"/>
        <v>3.1007751937984496E-2</v>
      </c>
      <c r="AI133" s="17">
        <f t="shared" si="310"/>
        <v>9.3406593406593408E-2</v>
      </c>
      <c r="AJ133" s="17">
        <f t="shared" si="310"/>
        <v>7.1895424836601302E-2</v>
      </c>
      <c r="AK133" s="17">
        <f t="shared" ref="AK133:AL141" si="311">AK68/AK55</f>
        <v>6.9182389937106917E-2</v>
      </c>
      <c r="AL133" s="17">
        <f t="shared" si="311"/>
        <v>5.4545454545454543E-2</v>
      </c>
      <c r="AM133" s="3"/>
      <c r="AN133" s="3"/>
      <c r="AO133" s="3"/>
      <c r="AT133">
        <v>61</v>
      </c>
      <c r="AU133">
        <v>59.5</v>
      </c>
      <c r="AV133">
        <v>67.5</v>
      </c>
      <c r="AW133">
        <v>11</v>
      </c>
      <c r="AX133">
        <v>81.8</v>
      </c>
      <c r="AY133">
        <v>81.8</v>
      </c>
      <c r="AZ133">
        <v>0</v>
      </c>
      <c r="BA133">
        <v>0</v>
      </c>
      <c r="BB133">
        <v>0</v>
      </c>
    </row>
    <row r="134" spans="1:54">
      <c r="A134">
        <v>2</v>
      </c>
      <c r="B134" s="3" t="s">
        <v>2</v>
      </c>
      <c r="C134" s="3">
        <f t="shared" si="309"/>
        <v>1.7243334355986608</v>
      </c>
      <c r="D134" s="17">
        <f t="shared" ref="D134:AJ134" si="312">D69/D56</f>
        <v>8.8050314465408799E-2</v>
      </c>
      <c r="E134" s="17">
        <f t="shared" si="312"/>
        <v>8.6092715231788075E-2</v>
      </c>
      <c r="F134" s="17">
        <f t="shared" si="312"/>
        <v>6.2857142857142861E-2</v>
      </c>
      <c r="G134" s="17">
        <f t="shared" si="312"/>
        <v>8.1081081081081086E-2</v>
      </c>
      <c r="H134" s="17">
        <f t="shared" si="312"/>
        <v>0.10240963855421686</v>
      </c>
      <c r="I134" s="17">
        <f t="shared" si="312"/>
        <v>9.7560975609756101E-2</v>
      </c>
      <c r="J134" s="17">
        <f t="shared" si="312"/>
        <v>6.4516129032258063E-2</v>
      </c>
      <c r="K134" s="17">
        <f t="shared" si="312"/>
        <v>9.8837209302325577E-2</v>
      </c>
      <c r="L134" s="17">
        <f t="shared" si="312"/>
        <v>7.0967741935483872E-2</v>
      </c>
      <c r="M134" s="17">
        <f t="shared" si="312"/>
        <v>9.3023255813953487E-2</v>
      </c>
      <c r="N134" s="17">
        <f t="shared" si="312"/>
        <v>0.15189873417721519</v>
      </c>
      <c r="O134" s="17">
        <f t="shared" si="312"/>
        <v>0.20245398773006135</v>
      </c>
      <c r="P134" s="17">
        <f t="shared" si="312"/>
        <v>5.5248618784530384E-2</v>
      </c>
      <c r="Q134" s="17">
        <f t="shared" si="312"/>
        <v>0.15333333333333332</v>
      </c>
      <c r="R134" s="17">
        <f t="shared" si="312"/>
        <v>0.16666666666666666</v>
      </c>
      <c r="S134" s="17">
        <f t="shared" si="312"/>
        <v>6.9930069930069935E-2</v>
      </c>
      <c r="T134" s="17">
        <f t="shared" si="312"/>
        <v>2.5974025974025976E-2</v>
      </c>
      <c r="U134" s="17">
        <f t="shared" si="312"/>
        <v>6.6666666666666666E-2</v>
      </c>
      <c r="V134" s="17">
        <f t="shared" si="312"/>
        <v>9.2485549132947972E-2</v>
      </c>
      <c r="W134" s="17">
        <f t="shared" si="312"/>
        <v>3.048780487804878E-2</v>
      </c>
      <c r="X134" s="17">
        <f t="shared" si="312"/>
        <v>2.8169014084507043E-2</v>
      </c>
      <c r="Y134" s="17">
        <f t="shared" si="312"/>
        <v>2.7932960893854747E-2</v>
      </c>
      <c r="Z134" s="17">
        <f t="shared" si="312"/>
        <v>4.1176470588235294E-2</v>
      </c>
      <c r="AA134" s="17">
        <f t="shared" si="312"/>
        <v>7.5471698113207544E-2</v>
      </c>
      <c r="AB134" s="17">
        <f t="shared" si="312"/>
        <v>6.2111801242236024E-2</v>
      </c>
      <c r="AC134" s="17">
        <f t="shared" si="312"/>
        <v>0.19230769230769232</v>
      </c>
      <c r="AD134" s="17">
        <f t="shared" si="312"/>
        <v>0.10810810810810811</v>
      </c>
      <c r="AE134" s="17">
        <f t="shared" si="312"/>
        <v>0.12429378531073447</v>
      </c>
      <c r="AF134" s="17">
        <f t="shared" si="312"/>
        <v>0.18709677419354839</v>
      </c>
      <c r="AG134" s="17">
        <f t="shared" si="312"/>
        <v>0.15131578947368421</v>
      </c>
      <c r="AH134" s="17">
        <f t="shared" si="312"/>
        <v>0.11949685534591195</v>
      </c>
      <c r="AI134" s="17">
        <f t="shared" si="312"/>
        <v>0.20382165605095542</v>
      </c>
      <c r="AJ134" s="17">
        <f t="shared" si="312"/>
        <v>3.2894736842105261E-2</v>
      </c>
      <c r="AK134" s="17">
        <f t="shared" si="311"/>
        <v>7.3825503355704702E-2</v>
      </c>
      <c r="AL134" s="17">
        <f t="shared" si="311"/>
        <v>0.26582278481012656</v>
      </c>
      <c r="AM134" s="3"/>
      <c r="AN134" s="3"/>
      <c r="AO134" s="3"/>
      <c r="AT134" t="s">
        <v>22</v>
      </c>
    </row>
    <row r="135" spans="1:54">
      <c r="A135">
        <v>3</v>
      </c>
      <c r="B135" s="3" t="s">
        <v>3</v>
      </c>
      <c r="C135" s="3">
        <f t="shared" si="309"/>
        <v>1.2293126431913872</v>
      </c>
      <c r="D135" s="17">
        <f t="shared" ref="D135:AJ135" si="313">D70/D57</f>
        <v>0.10828025477707007</v>
      </c>
      <c r="E135" s="17">
        <f t="shared" si="313"/>
        <v>0.15584415584415584</v>
      </c>
      <c r="F135" s="17">
        <f t="shared" si="313"/>
        <v>0.15436241610738255</v>
      </c>
      <c r="G135" s="17">
        <f t="shared" si="313"/>
        <v>0.11805555555555555</v>
      </c>
      <c r="H135" s="17">
        <f t="shared" si="313"/>
        <v>0.11347517730496454</v>
      </c>
      <c r="I135" s="17">
        <f t="shared" si="313"/>
        <v>8.5714285714285715E-2</v>
      </c>
      <c r="J135" s="17">
        <f t="shared" si="313"/>
        <v>0.13636363636363635</v>
      </c>
      <c r="K135" s="17">
        <f t="shared" si="313"/>
        <v>8.5714285714285715E-2</v>
      </c>
      <c r="L135" s="17">
        <f t="shared" si="313"/>
        <v>5.4054054054054057E-2</v>
      </c>
      <c r="M135" s="17">
        <f t="shared" si="313"/>
        <v>6.6176470588235295E-2</v>
      </c>
      <c r="N135" s="17">
        <f t="shared" si="313"/>
        <v>0.13157894736842105</v>
      </c>
      <c r="O135" s="17">
        <f t="shared" si="313"/>
        <v>2.3809523809523808E-2</v>
      </c>
      <c r="P135" s="17">
        <f t="shared" si="313"/>
        <v>7.4324324324324328E-2</v>
      </c>
      <c r="Q135" s="17">
        <f t="shared" si="313"/>
        <v>0.1524390243902439</v>
      </c>
      <c r="R135" s="17">
        <f t="shared" si="313"/>
        <v>8.5365853658536592E-2</v>
      </c>
      <c r="S135" s="17">
        <f t="shared" si="313"/>
        <v>3.6496350364963501E-2</v>
      </c>
      <c r="T135" s="17">
        <f t="shared" si="313"/>
        <v>6.043956043956044E-2</v>
      </c>
      <c r="U135" s="17">
        <f t="shared" si="313"/>
        <v>0.16326530612244897</v>
      </c>
      <c r="V135" s="17">
        <f t="shared" si="313"/>
        <v>7.1895424836601302E-2</v>
      </c>
      <c r="W135" s="17">
        <f t="shared" si="313"/>
        <v>3.8216560509554139E-2</v>
      </c>
      <c r="X135" s="17">
        <f t="shared" si="313"/>
        <v>0.16326530612244897</v>
      </c>
      <c r="Y135" s="17">
        <f t="shared" si="313"/>
        <v>5.2023121387283239E-2</v>
      </c>
      <c r="Z135" s="17">
        <f t="shared" si="313"/>
        <v>4.6357615894039736E-2</v>
      </c>
      <c r="AA135" s="17">
        <f t="shared" si="313"/>
        <v>8.8607594936708861E-2</v>
      </c>
      <c r="AB135" s="17">
        <f t="shared" si="313"/>
        <v>0.10526315789473684</v>
      </c>
      <c r="AC135" s="17">
        <f t="shared" si="313"/>
        <v>0.11764705882352941</v>
      </c>
      <c r="AD135" s="17">
        <f t="shared" si="313"/>
        <v>3.870967741935484E-2</v>
      </c>
      <c r="AE135" s="17">
        <f t="shared" si="313"/>
        <v>6.535947712418301E-2</v>
      </c>
      <c r="AF135" s="17">
        <f t="shared" si="313"/>
        <v>5.3333333333333337E-2</v>
      </c>
      <c r="AG135" s="17">
        <f t="shared" si="313"/>
        <v>2.2388059701492536E-2</v>
      </c>
      <c r="AH135" s="17">
        <f t="shared" si="313"/>
        <v>0.11377245508982035</v>
      </c>
      <c r="AI135" s="17">
        <f t="shared" si="313"/>
        <v>5.7324840764331211E-2</v>
      </c>
      <c r="AJ135" s="17">
        <f t="shared" si="313"/>
        <v>0.1464968152866242</v>
      </c>
      <c r="AK135" s="17">
        <f t="shared" si="311"/>
        <v>9.815950920245399E-2</v>
      </c>
      <c r="AL135" s="17">
        <f t="shared" si="311"/>
        <v>2.2388059701492536E-2</v>
      </c>
      <c r="AM135" s="3"/>
      <c r="AN135" s="3"/>
      <c r="AO135" s="3"/>
      <c r="AT135">
        <v>64</v>
      </c>
      <c r="AU135">
        <v>66.5</v>
      </c>
      <c r="AV135">
        <v>72.5</v>
      </c>
      <c r="AW135">
        <v>11</v>
      </c>
      <c r="AX135">
        <v>81.8</v>
      </c>
      <c r="AY135">
        <v>81.8</v>
      </c>
      <c r="AZ135">
        <v>0</v>
      </c>
      <c r="BA135">
        <v>0</v>
      </c>
      <c r="BB135">
        <v>0</v>
      </c>
    </row>
    <row r="136" spans="1:54">
      <c r="A136">
        <v>4</v>
      </c>
      <c r="B136" s="3" t="s">
        <v>5</v>
      </c>
      <c r="C136" s="3">
        <f t="shared" si="309"/>
        <v>1.2406255734723768</v>
      </c>
      <c r="D136" s="17">
        <f t="shared" ref="D136:AJ136" si="314">D71/D58</f>
        <v>6.4935064935064929E-2</v>
      </c>
      <c r="E136" s="17">
        <f t="shared" si="314"/>
        <v>0.11764705882352941</v>
      </c>
      <c r="F136" s="17">
        <f t="shared" si="314"/>
        <v>7.1895424836601302E-2</v>
      </c>
      <c r="G136" s="17">
        <f t="shared" si="314"/>
        <v>8.7591240875912413E-2</v>
      </c>
      <c r="H136" s="17">
        <f t="shared" si="314"/>
        <v>6.25E-2</v>
      </c>
      <c r="I136" s="17">
        <f t="shared" si="314"/>
        <v>2.2058823529411766E-2</v>
      </c>
      <c r="J136" s="17">
        <f t="shared" si="314"/>
        <v>6.0606060606060608E-2</v>
      </c>
      <c r="K136" s="17">
        <f t="shared" si="314"/>
        <v>7.874015748031496E-2</v>
      </c>
      <c r="L136" s="17">
        <f t="shared" si="314"/>
        <v>3.5460992907801421E-2</v>
      </c>
      <c r="M136" s="17">
        <f t="shared" si="314"/>
        <v>6.2015503875968991E-2</v>
      </c>
      <c r="N136" s="17">
        <f t="shared" si="314"/>
        <v>0.11267605633802817</v>
      </c>
      <c r="O136" s="17">
        <f t="shared" si="314"/>
        <v>5.6737588652482268E-2</v>
      </c>
      <c r="P136" s="17">
        <f t="shared" si="314"/>
        <v>3.2051282051282048E-2</v>
      </c>
      <c r="Q136" s="17">
        <f t="shared" si="314"/>
        <v>7.8947368421052627E-2</v>
      </c>
      <c r="R136" s="17">
        <f t="shared" si="314"/>
        <v>4.878048780487805E-2</v>
      </c>
      <c r="S136" s="17">
        <f t="shared" si="314"/>
        <v>4.0540540540540543E-2</v>
      </c>
      <c r="T136" s="17">
        <f t="shared" si="314"/>
        <v>8.4967320261437912E-2</v>
      </c>
      <c r="U136" s="17">
        <f t="shared" si="314"/>
        <v>2.6666666666666668E-2</v>
      </c>
      <c r="V136" s="17">
        <f t="shared" si="314"/>
        <v>7.462686567164179E-3</v>
      </c>
      <c r="W136" s="17">
        <f t="shared" si="314"/>
        <v>2.0134228187919462E-2</v>
      </c>
      <c r="X136" s="17">
        <f t="shared" si="314"/>
        <v>8.7837837837837843E-2</v>
      </c>
      <c r="Y136" s="17">
        <f t="shared" si="314"/>
        <v>2.6490066225165563E-2</v>
      </c>
      <c r="Z136" s="17">
        <f t="shared" si="314"/>
        <v>3.2467532467532464E-2</v>
      </c>
      <c r="AA136" s="17">
        <f t="shared" si="314"/>
        <v>7.9754601226993863E-2</v>
      </c>
      <c r="AB136" s="17">
        <f t="shared" si="314"/>
        <v>0.12925170068027211</v>
      </c>
      <c r="AC136" s="17">
        <f t="shared" si="314"/>
        <v>0.13414634146341464</v>
      </c>
      <c r="AD136" s="17">
        <f t="shared" si="314"/>
        <v>0.10897435897435898</v>
      </c>
      <c r="AE136" s="17">
        <f t="shared" si="314"/>
        <v>0.11920529801324503</v>
      </c>
      <c r="AF136" s="17">
        <f t="shared" si="314"/>
        <v>6.0402684563758392E-2</v>
      </c>
      <c r="AG136" s="17">
        <f t="shared" si="314"/>
        <v>0.10062893081761007</v>
      </c>
      <c r="AH136" s="17">
        <f t="shared" si="314"/>
        <v>5.9171597633136092E-2</v>
      </c>
      <c r="AI136" s="17">
        <f t="shared" si="314"/>
        <v>5.9880239520958084E-2</v>
      </c>
      <c r="AJ136" s="17">
        <f t="shared" si="314"/>
        <v>0.12056737588652482</v>
      </c>
      <c r="AK136" s="17">
        <f t="shared" si="311"/>
        <v>2.8985507246376812E-2</v>
      </c>
      <c r="AL136" s="17">
        <f t="shared" si="311"/>
        <v>7.2727272727272724E-2</v>
      </c>
      <c r="AM136" s="3"/>
      <c r="AN136" s="3"/>
      <c r="AO136" s="3"/>
      <c r="AT136">
        <v>66.5</v>
      </c>
      <c r="AU136">
        <v>71</v>
      </c>
      <c r="AV136">
        <v>72</v>
      </c>
      <c r="AW136">
        <v>11</v>
      </c>
      <c r="AX136">
        <v>81.8</v>
      </c>
      <c r="AY136">
        <v>90.9</v>
      </c>
      <c r="AZ136">
        <v>0</v>
      </c>
      <c r="BA136">
        <v>0</v>
      </c>
      <c r="BB136">
        <v>0</v>
      </c>
    </row>
    <row r="137" spans="1:54">
      <c r="A137">
        <v>5</v>
      </c>
      <c r="B137" s="3" t="s">
        <v>4</v>
      </c>
      <c r="C137" s="3">
        <f t="shared" si="309"/>
        <v>1.3626927114371745</v>
      </c>
      <c r="D137" s="17">
        <f t="shared" ref="D137:AJ137" si="315">D72/D59</f>
        <v>0.15172413793103448</v>
      </c>
      <c r="E137" s="17">
        <f t="shared" si="315"/>
        <v>6.043956043956044E-2</v>
      </c>
      <c r="F137" s="17">
        <f t="shared" si="315"/>
        <v>3.896103896103896E-2</v>
      </c>
      <c r="G137" s="17">
        <f t="shared" si="315"/>
        <v>0.13953488372093023</v>
      </c>
      <c r="H137" s="17">
        <f t="shared" si="315"/>
        <v>8.0745341614906832E-2</v>
      </c>
      <c r="I137" s="17">
        <f t="shared" si="315"/>
        <v>0.18404907975460122</v>
      </c>
      <c r="J137" s="17">
        <f t="shared" si="315"/>
        <v>0.13475177304964539</v>
      </c>
      <c r="K137" s="17">
        <f t="shared" si="315"/>
        <v>2.9629629629629631E-2</v>
      </c>
      <c r="L137" s="17">
        <f t="shared" si="315"/>
        <v>0.12</v>
      </c>
      <c r="M137" s="17">
        <f t="shared" si="315"/>
        <v>0.12582781456953643</v>
      </c>
      <c r="N137" s="17">
        <f t="shared" si="315"/>
        <v>0.11731843575418995</v>
      </c>
      <c r="O137" s="17">
        <f t="shared" si="315"/>
        <v>0.12179487179487179</v>
      </c>
      <c r="P137" s="17">
        <f t="shared" si="315"/>
        <v>0.16107382550335569</v>
      </c>
      <c r="Q137" s="17">
        <f t="shared" si="315"/>
        <v>6.6225165562913912E-2</v>
      </c>
      <c r="R137" s="17">
        <f t="shared" si="315"/>
        <v>7.0921985815602842E-2</v>
      </c>
      <c r="S137" s="17">
        <f t="shared" si="315"/>
        <v>6.1728395061728392E-2</v>
      </c>
      <c r="T137" s="17">
        <f t="shared" si="315"/>
        <v>8.387096774193549E-2</v>
      </c>
      <c r="U137" s="17">
        <f t="shared" si="315"/>
        <v>0.23255813953488372</v>
      </c>
      <c r="V137" s="17">
        <f t="shared" si="315"/>
        <v>0.18604651162790697</v>
      </c>
      <c r="W137" s="17">
        <f t="shared" si="315"/>
        <v>7.407407407407407E-2</v>
      </c>
      <c r="X137" s="17">
        <f t="shared" si="315"/>
        <v>6.2068965517241378E-2</v>
      </c>
      <c r="Y137" s="17">
        <f t="shared" si="315"/>
        <v>4.7945205479452052E-2</v>
      </c>
      <c r="Z137" s="17">
        <f t="shared" si="315"/>
        <v>0.1497005988023952</v>
      </c>
      <c r="AA137" s="17">
        <f t="shared" si="315"/>
        <v>0.12574850299401197</v>
      </c>
      <c r="AB137" s="17">
        <f t="shared" si="315"/>
        <v>0.1111111111111111</v>
      </c>
      <c r="AC137" s="17">
        <f t="shared" si="315"/>
        <v>1.9230769230769232E-2</v>
      </c>
      <c r="AD137" s="17">
        <f t="shared" si="315"/>
        <v>9.154929577464789E-2</v>
      </c>
      <c r="AE137" s="17">
        <f t="shared" si="315"/>
        <v>0.11724137931034483</v>
      </c>
      <c r="AF137" s="17">
        <f t="shared" si="315"/>
        <v>7.746478873239436E-2</v>
      </c>
      <c r="AG137" s="17">
        <f t="shared" si="315"/>
        <v>0.10810810810810811</v>
      </c>
      <c r="AH137" s="17">
        <f t="shared" si="315"/>
        <v>8.6956521739130432E-2</v>
      </c>
      <c r="AI137" s="17">
        <f t="shared" si="315"/>
        <v>9.1503267973856203E-2</v>
      </c>
      <c r="AJ137" s="17">
        <f t="shared" si="315"/>
        <v>0.11538461538461539</v>
      </c>
      <c r="AK137" s="17">
        <f t="shared" si="311"/>
        <v>2.3255813953488372E-2</v>
      </c>
      <c r="AL137" s="17">
        <f t="shared" si="311"/>
        <v>6.1349693251533742E-2</v>
      </c>
      <c r="AM137" s="3"/>
      <c r="AN137" s="3"/>
      <c r="AO137" s="3"/>
      <c r="AT137">
        <v>80.5</v>
      </c>
      <c r="AU137">
        <v>85.5</v>
      </c>
      <c r="AV137">
        <v>90.5</v>
      </c>
      <c r="AW137">
        <v>11</v>
      </c>
      <c r="AX137">
        <v>63.6</v>
      </c>
      <c r="AY137">
        <v>81.8</v>
      </c>
      <c r="AZ137">
        <v>0</v>
      </c>
      <c r="BA137">
        <v>1</v>
      </c>
      <c r="BB137">
        <v>2</v>
      </c>
    </row>
    <row r="138" spans="1:54">
      <c r="A138">
        <v>6</v>
      </c>
      <c r="B138" s="3" t="s">
        <v>6</v>
      </c>
      <c r="C138" s="3">
        <f t="shared" si="309"/>
        <v>0.92198944555387863</v>
      </c>
      <c r="D138" s="17">
        <f t="shared" ref="D138:AJ138" si="316">D73/D60</f>
        <v>0.15094339622641509</v>
      </c>
      <c r="E138" s="17">
        <f t="shared" si="316"/>
        <v>3.9735099337748346E-2</v>
      </c>
      <c r="F138" s="17">
        <f t="shared" si="316"/>
        <v>0.17901234567901234</v>
      </c>
      <c r="G138" s="17">
        <f t="shared" si="316"/>
        <v>0.11801242236024845</v>
      </c>
      <c r="H138" s="17">
        <f t="shared" si="316"/>
        <v>0.125</v>
      </c>
      <c r="I138" s="17">
        <f t="shared" si="316"/>
        <v>0.22784810126582278</v>
      </c>
      <c r="J138" s="17">
        <f t="shared" si="316"/>
        <v>9.2715231788079472E-2</v>
      </c>
      <c r="K138" s="17">
        <f t="shared" si="316"/>
        <v>0</v>
      </c>
      <c r="L138" s="17">
        <f t="shared" si="316"/>
        <v>0.12025316455696203</v>
      </c>
      <c r="M138" s="17">
        <f t="shared" si="316"/>
        <v>8.387096774193549E-2</v>
      </c>
      <c r="N138" s="17">
        <f t="shared" si="316"/>
        <v>0.04</v>
      </c>
      <c r="O138" s="17">
        <f t="shared" si="316"/>
        <v>5.1948051948051951E-2</v>
      </c>
      <c r="P138" s="17">
        <f t="shared" si="316"/>
        <v>4.8951048951048952E-2</v>
      </c>
      <c r="Q138" s="17">
        <f t="shared" si="316"/>
        <v>3.4013605442176874E-2</v>
      </c>
      <c r="R138" s="17">
        <f t="shared" si="316"/>
        <v>8.8888888888888892E-2</v>
      </c>
      <c r="S138" s="17">
        <f t="shared" si="316"/>
        <v>5.3691275167785234E-2</v>
      </c>
      <c r="T138" s="17">
        <f t="shared" si="316"/>
        <v>2.1276595744680851E-2</v>
      </c>
      <c r="U138" s="17">
        <f t="shared" si="316"/>
        <v>3.3333333333333333E-2</v>
      </c>
      <c r="V138" s="17">
        <f t="shared" si="316"/>
        <v>6.25E-2</v>
      </c>
      <c r="W138" s="17">
        <f t="shared" si="316"/>
        <v>0.13636363636363635</v>
      </c>
      <c r="X138" s="17">
        <f t="shared" si="316"/>
        <v>4.1916167664670656E-2</v>
      </c>
      <c r="Y138" s="17">
        <f t="shared" si="316"/>
        <v>6.8181818181818177E-2</v>
      </c>
      <c r="Z138" s="17">
        <f t="shared" si="316"/>
        <v>6.7114093959731544E-2</v>
      </c>
      <c r="AA138" s="17">
        <f t="shared" si="316"/>
        <v>6.0606060606060608E-2</v>
      </c>
      <c r="AB138" s="17">
        <f t="shared" si="316"/>
        <v>9.0277777777777776E-2</v>
      </c>
      <c r="AC138" s="17">
        <f t="shared" si="316"/>
        <v>6.3380281690140844E-2</v>
      </c>
      <c r="AD138" s="17">
        <f t="shared" si="316"/>
        <v>0</v>
      </c>
      <c r="AE138" s="17">
        <f t="shared" si="316"/>
        <v>9.8684210526315791E-2</v>
      </c>
      <c r="AF138" s="17">
        <f t="shared" si="316"/>
        <v>6.9182389937106917E-2</v>
      </c>
      <c r="AG138" s="17">
        <f t="shared" si="316"/>
        <v>2.3391812865497075E-2</v>
      </c>
      <c r="AH138" s="17">
        <f t="shared" si="316"/>
        <v>7.5187969924812026E-2</v>
      </c>
      <c r="AI138" s="17">
        <f t="shared" si="316"/>
        <v>5.2631578947368418E-2</v>
      </c>
      <c r="AJ138" s="17">
        <f t="shared" si="316"/>
        <v>3.3112582781456956E-2</v>
      </c>
      <c r="AK138" s="17">
        <f t="shared" si="311"/>
        <v>1.9736842105263157E-2</v>
      </c>
      <c r="AL138" s="17">
        <f t="shared" si="311"/>
        <v>2.2222222222222223E-2</v>
      </c>
      <c r="AM138" s="3"/>
      <c r="AN138" s="3"/>
      <c r="AO138" s="3"/>
      <c r="AT138">
        <v>67</v>
      </c>
      <c r="AU138">
        <v>68.5</v>
      </c>
      <c r="AV138">
        <v>74</v>
      </c>
      <c r="AW138">
        <v>11</v>
      </c>
      <c r="AX138">
        <v>54.5</v>
      </c>
      <c r="AY138">
        <v>63.6</v>
      </c>
      <c r="AZ138">
        <v>1</v>
      </c>
      <c r="BA138">
        <v>1</v>
      </c>
      <c r="BB138">
        <v>3</v>
      </c>
    </row>
    <row r="139" spans="1:54">
      <c r="A139">
        <v>7</v>
      </c>
      <c r="B139" s="3" t="s">
        <v>9</v>
      </c>
      <c r="C139" s="3">
        <f t="shared" si="309"/>
        <v>1.3388387933571591</v>
      </c>
      <c r="D139" s="17">
        <f t="shared" ref="D139:AJ139" si="317">D74/D61</f>
        <v>5.5900621118012424E-2</v>
      </c>
      <c r="E139" s="17">
        <f t="shared" si="317"/>
        <v>0.13043478260869565</v>
      </c>
      <c r="F139" s="17">
        <f t="shared" si="317"/>
        <v>7.5187969924812026E-2</v>
      </c>
      <c r="G139" s="17">
        <f t="shared" si="317"/>
        <v>6.4327485380116955E-2</v>
      </c>
      <c r="H139" s="17">
        <f t="shared" si="317"/>
        <v>5.3691275167785234E-2</v>
      </c>
      <c r="I139" s="17">
        <f t="shared" si="317"/>
        <v>5.4421768707482991E-2</v>
      </c>
      <c r="J139" s="17">
        <f t="shared" si="317"/>
        <v>0.10738255033557047</v>
      </c>
      <c r="K139" s="17">
        <f t="shared" si="317"/>
        <v>6.3829787234042548E-2</v>
      </c>
      <c r="L139" s="17">
        <f t="shared" si="317"/>
        <v>0.11564625850340136</v>
      </c>
      <c r="M139" s="17">
        <f t="shared" si="317"/>
        <v>9.9337748344370855E-2</v>
      </c>
      <c r="N139" s="17">
        <f t="shared" si="317"/>
        <v>6.1224489795918366E-2</v>
      </c>
      <c r="O139" s="17">
        <f t="shared" si="317"/>
        <v>6.0109289617486336E-2</v>
      </c>
      <c r="P139" s="17">
        <f t="shared" si="317"/>
        <v>9.2592592592592587E-2</v>
      </c>
      <c r="Q139" s="17">
        <f t="shared" si="317"/>
        <v>0.10526315789473684</v>
      </c>
      <c r="R139" s="17">
        <f t="shared" si="317"/>
        <v>6.4935064935064929E-2</v>
      </c>
      <c r="S139" s="17">
        <f t="shared" si="317"/>
        <v>8.2191780821917804E-2</v>
      </c>
      <c r="T139" s="17">
        <f t="shared" si="317"/>
        <v>0.12666666666666668</v>
      </c>
      <c r="U139" s="17">
        <f t="shared" si="317"/>
        <v>0.1038961038961039</v>
      </c>
      <c r="V139" s="17">
        <f t="shared" si="317"/>
        <v>4.2857142857142858E-2</v>
      </c>
      <c r="W139" s="17">
        <f t="shared" si="317"/>
        <v>5.5944055944055944E-2</v>
      </c>
      <c r="X139" s="17">
        <f t="shared" si="317"/>
        <v>0.17948717948717949</v>
      </c>
      <c r="Y139" s="17">
        <f t="shared" si="317"/>
        <v>5.6603773584905662E-2</v>
      </c>
      <c r="Z139" s="17">
        <f t="shared" si="317"/>
        <v>7.7519379844961239E-2</v>
      </c>
      <c r="AA139" s="17">
        <f t="shared" si="317"/>
        <v>6.0810810810810814E-2</v>
      </c>
      <c r="AB139" s="17">
        <f t="shared" si="317"/>
        <v>2.2222222222222223E-2</v>
      </c>
      <c r="AC139" s="17">
        <f t="shared" si="317"/>
        <v>2.7972027972027972E-2</v>
      </c>
      <c r="AD139" s="17">
        <f t="shared" si="317"/>
        <v>4.3795620437956206E-2</v>
      </c>
      <c r="AE139" s="17">
        <f t="shared" si="317"/>
        <v>0.12258064516129032</v>
      </c>
      <c r="AF139" s="17">
        <f t="shared" si="317"/>
        <v>6.9620253164556958E-2</v>
      </c>
      <c r="AG139" s="17">
        <f t="shared" si="317"/>
        <v>6.25E-2</v>
      </c>
      <c r="AH139" s="17">
        <f t="shared" si="317"/>
        <v>0.12865497076023391</v>
      </c>
      <c r="AI139" s="17">
        <f t="shared" si="317"/>
        <v>0.11377245508982035</v>
      </c>
      <c r="AJ139" s="17">
        <f t="shared" si="317"/>
        <v>5.7971014492753624E-2</v>
      </c>
      <c r="AK139" s="17">
        <f t="shared" si="311"/>
        <v>0.16216216216216217</v>
      </c>
      <c r="AL139" s="17">
        <f t="shared" si="311"/>
        <v>9.7222222222222224E-2</v>
      </c>
      <c r="AM139" s="3"/>
      <c r="AN139" s="3"/>
      <c r="AO139" s="3"/>
      <c r="AT139">
        <v>75.5</v>
      </c>
      <c r="AU139">
        <v>75.5</v>
      </c>
      <c r="AV139">
        <v>78</v>
      </c>
      <c r="AW139">
        <v>11</v>
      </c>
      <c r="AX139">
        <v>81.8</v>
      </c>
      <c r="AY139">
        <v>81.8</v>
      </c>
      <c r="AZ139">
        <v>0</v>
      </c>
      <c r="BA139">
        <v>0</v>
      </c>
      <c r="BB139">
        <v>1</v>
      </c>
    </row>
    <row r="140" spans="1:54">
      <c r="A140">
        <v>8</v>
      </c>
      <c r="B140" s="3" t="s">
        <v>7</v>
      </c>
      <c r="C140" s="21">
        <f>SUM(W140:AO140)</f>
        <v>1.7797648533472064</v>
      </c>
      <c r="D140" s="17">
        <f t="shared" ref="D140:AJ140" si="318">D75/D62</f>
        <v>0.12048192771084337</v>
      </c>
      <c r="E140" s="17">
        <f t="shared" si="318"/>
        <v>4.6666666666666669E-2</v>
      </c>
      <c r="F140" s="17">
        <f t="shared" si="318"/>
        <v>0.20121951219512196</v>
      </c>
      <c r="G140" s="17">
        <f t="shared" si="318"/>
        <v>0.12179487179487179</v>
      </c>
      <c r="H140" s="17">
        <f t="shared" si="318"/>
        <v>6.1643835616438353E-2</v>
      </c>
      <c r="I140" s="17">
        <f t="shared" si="318"/>
        <v>9.5238095238095233E-2</v>
      </c>
      <c r="J140" s="17">
        <f t="shared" si="318"/>
        <v>8.1081081081081086E-2</v>
      </c>
      <c r="K140" s="17">
        <f t="shared" si="318"/>
        <v>7.5187969924812026E-3</v>
      </c>
      <c r="L140" s="17">
        <f t="shared" si="318"/>
        <v>4.2944785276073622E-2</v>
      </c>
      <c r="M140" s="17">
        <f t="shared" si="318"/>
        <v>8.3969465648854963E-2</v>
      </c>
      <c r="N140" s="17">
        <f t="shared" si="318"/>
        <v>8.666666666666667E-2</v>
      </c>
      <c r="O140" s="17">
        <f t="shared" si="318"/>
        <v>0.14666666666666667</v>
      </c>
      <c r="P140" s="17">
        <f t="shared" si="318"/>
        <v>6.1224489795918366E-2</v>
      </c>
      <c r="Q140" s="17">
        <f t="shared" si="318"/>
        <v>0.23655913978494625</v>
      </c>
      <c r="R140" s="17">
        <f t="shared" si="318"/>
        <v>9.3525179856115109E-2</v>
      </c>
      <c r="S140" s="17">
        <f t="shared" si="318"/>
        <v>6.2068965517241378E-2</v>
      </c>
      <c r="T140" s="17">
        <f t="shared" si="318"/>
        <v>9.6385542168674704E-2</v>
      </c>
      <c r="U140" s="17">
        <f t="shared" si="318"/>
        <v>0.10135135135135136</v>
      </c>
      <c r="V140" s="17">
        <f t="shared" si="318"/>
        <v>0.1095890410958904</v>
      </c>
      <c r="W140" s="17">
        <f t="shared" si="318"/>
        <v>0.08</v>
      </c>
      <c r="X140" s="17">
        <f t="shared" si="318"/>
        <v>0.1476510067114094</v>
      </c>
      <c r="Y140" s="17">
        <f t="shared" si="318"/>
        <v>0.14465408805031446</v>
      </c>
      <c r="Z140" s="17">
        <f t="shared" si="318"/>
        <v>4.2424242424242427E-2</v>
      </c>
      <c r="AA140" s="17">
        <f t="shared" si="318"/>
        <v>8.3333333333333329E-2</v>
      </c>
      <c r="AB140" s="17">
        <f t="shared" si="318"/>
        <v>0.25827814569536423</v>
      </c>
      <c r="AC140" s="17">
        <f t="shared" si="318"/>
        <v>0.10967741935483871</v>
      </c>
      <c r="AD140" s="17">
        <f t="shared" si="318"/>
        <v>0.16352201257861634</v>
      </c>
      <c r="AE140" s="17">
        <f t="shared" si="318"/>
        <v>0.10526315789473684</v>
      </c>
      <c r="AF140" s="17">
        <f t="shared" si="318"/>
        <v>6.9930069930069935E-2</v>
      </c>
      <c r="AG140" s="17">
        <f t="shared" si="318"/>
        <v>0.14201183431952663</v>
      </c>
      <c r="AH140" s="17">
        <f t="shared" si="318"/>
        <v>8.3916083916083919E-2</v>
      </c>
      <c r="AI140" s="17">
        <f t="shared" si="318"/>
        <v>9.0277777777777776E-2</v>
      </c>
      <c r="AJ140" s="17">
        <f t="shared" si="318"/>
        <v>0.1038961038961039</v>
      </c>
      <c r="AK140" s="17">
        <f t="shared" si="311"/>
        <v>7.746478873239436E-2</v>
      </c>
      <c r="AL140" s="17">
        <f t="shared" si="311"/>
        <v>7.746478873239436E-2</v>
      </c>
      <c r="AM140" s="3"/>
      <c r="AN140" s="3"/>
      <c r="AO140" s="3"/>
      <c r="AT140">
        <v>62.5</v>
      </c>
      <c r="AU140">
        <v>62.5</v>
      </c>
      <c r="AV140">
        <v>74.5</v>
      </c>
      <c r="AW140">
        <v>10</v>
      </c>
      <c r="AX140">
        <v>63.6</v>
      </c>
      <c r="AY140">
        <v>72.7</v>
      </c>
      <c r="AZ140">
        <v>0</v>
      </c>
      <c r="BA140">
        <v>1</v>
      </c>
      <c r="BB140">
        <v>2</v>
      </c>
    </row>
    <row r="141" spans="1:54">
      <c r="A141">
        <v>9</v>
      </c>
      <c r="B141" s="3" t="s">
        <v>8</v>
      </c>
      <c r="C141" s="3">
        <f>SUM(W141:AO141)</f>
        <v>1.0469211361672079</v>
      </c>
      <c r="D141" s="17">
        <f t="shared" ref="D141:AJ141" si="319">D76/D63</f>
        <v>3.2679738562091505E-2</v>
      </c>
      <c r="E141" s="17">
        <f t="shared" si="319"/>
        <v>6.7567567567567571E-2</v>
      </c>
      <c r="F141" s="17">
        <f t="shared" si="319"/>
        <v>0.11827956989247312</v>
      </c>
      <c r="G141" s="17">
        <f t="shared" si="319"/>
        <v>1.4705882352941176E-2</v>
      </c>
      <c r="H141" s="17">
        <f t="shared" si="319"/>
        <v>2.9411764705882353E-2</v>
      </c>
      <c r="I141" s="17">
        <f t="shared" si="319"/>
        <v>4.9450549450549448E-2</v>
      </c>
      <c r="J141" s="17">
        <f t="shared" si="319"/>
        <v>6.8965517241379309E-2</v>
      </c>
      <c r="K141" s="17">
        <f t="shared" si="319"/>
        <v>0.15957446808510639</v>
      </c>
      <c r="L141" s="17">
        <f t="shared" si="319"/>
        <v>7.0652173913043473E-2</v>
      </c>
      <c r="M141" s="17">
        <f t="shared" si="319"/>
        <v>0.17266187050359713</v>
      </c>
      <c r="N141" s="17">
        <f t="shared" si="319"/>
        <v>8.3916083916083919E-2</v>
      </c>
      <c r="O141" s="17">
        <f t="shared" si="319"/>
        <v>0.11851851851851852</v>
      </c>
      <c r="P141" s="17">
        <f t="shared" si="319"/>
        <v>2.097902097902098E-2</v>
      </c>
      <c r="Q141" s="17">
        <f t="shared" si="319"/>
        <v>8.1081081081081086E-2</v>
      </c>
      <c r="R141" s="17">
        <f t="shared" si="319"/>
        <v>0.15032679738562091</v>
      </c>
      <c r="S141" s="17">
        <f t="shared" si="319"/>
        <v>9.696969696969697E-2</v>
      </c>
      <c r="T141" s="17">
        <f t="shared" si="319"/>
        <v>4.3795620437956206E-2</v>
      </c>
      <c r="U141" s="17">
        <f t="shared" si="319"/>
        <v>6.1728395061728392E-2</v>
      </c>
      <c r="V141" s="17">
        <f t="shared" si="319"/>
        <v>5.6962025316455694E-2</v>
      </c>
      <c r="W141" s="17">
        <f t="shared" si="319"/>
        <v>4.40251572327044E-2</v>
      </c>
      <c r="X141" s="17">
        <f t="shared" si="319"/>
        <v>5.5172413793103448E-2</v>
      </c>
      <c r="Y141" s="17">
        <f t="shared" si="319"/>
        <v>2.4096385542168676E-2</v>
      </c>
      <c r="Z141" s="17">
        <f t="shared" si="319"/>
        <v>8.0745341614906832E-2</v>
      </c>
      <c r="AA141" s="17">
        <f t="shared" si="319"/>
        <v>8.9171974522292988E-2</v>
      </c>
      <c r="AB141" s="17">
        <f t="shared" si="319"/>
        <v>8.4848484848484854E-2</v>
      </c>
      <c r="AC141" s="17">
        <f t="shared" si="319"/>
        <v>0.06</v>
      </c>
      <c r="AD141" s="17">
        <f t="shared" si="319"/>
        <v>9.45945945945946E-2</v>
      </c>
      <c r="AE141" s="17">
        <f t="shared" si="319"/>
        <v>3.6809815950920248E-2</v>
      </c>
      <c r="AF141" s="17">
        <f t="shared" si="319"/>
        <v>8.7837837837837843E-2</v>
      </c>
      <c r="AG141" s="17">
        <f t="shared" si="319"/>
        <v>0.11347517730496454</v>
      </c>
      <c r="AH141" s="17">
        <f t="shared" si="319"/>
        <v>0.10795454545454546</v>
      </c>
      <c r="AI141" s="17">
        <f t="shared" si="319"/>
        <v>5.5214723926380369E-2</v>
      </c>
      <c r="AJ141" s="17">
        <f t="shared" si="319"/>
        <v>0</v>
      </c>
      <c r="AK141" s="17">
        <f t="shared" si="311"/>
        <v>7.4999999999999997E-2</v>
      </c>
      <c r="AL141" s="17">
        <f t="shared" si="311"/>
        <v>3.7974683544303799E-2</v>
      </c>
      <c r="AM141" s="3"/>
      <c r="AN141" s="3"/>
      <c r="AO141" s="3"/>
      <c r="AT141">
        <v>69</v>
      </c>
      <c r="AU141">
        <v>68</v>
      </c>
      <c r="AV141">
        <v>71.5</v>
      </c>
      <c r="AW141">
        <v>11</v>
      </c>
      <c r="AX141">
        <v>100</v>
      </c>
      <c r="AY141">
        <v>90.9</v>
      </c>
      <c r="AZ141">
        <v>0</v>
      </c>
      <c r="BA141">
        <v>0</v>
      </c>
      <c r="BB141">
        <v>1</v>
      </c>
    </row>
    <row r="142" spans="1:54">
      <c r="C142" s="18">
        <f>SUM(C132:C141)</f>
        <v>13.013128981528842</v>
      </c>
      <c r="D142" s="19">
        <f t="shared" ref="D142:AJ142" si="320">D77/D64</f>
        <v>0.10472541507024266</v>
      </c>
      <c r="E142" s="19">
        <f t="shared" si="320"/>
        <v>8.025477707006369E-2</v>
      </c>
      <c r="F142" s="19">
        <f t="shared" si="320"/>
        <v>0.10868167202572347</v>
      </c>
      <c r="G142" s="19">
        <f t="shared" si="320"/>
        <v>8.9601046435578813E-2</v>
      </c>
      <c r="H142" s="19">
        <f t="shared" si="320"/>
        <v>7.7514413837283788E-2</v>
      </c>
      <c r="I142" s="19">
        <f t="shared" si="320"/>
        <v>9.1267235718975701E-2</v>
      </c>
      <c r="J142" s="19">
        <f t="shared" si="320"/>
        <v>8.8934147997284455E-2</v>
      </c>
      <c r="K142" s="19">
        <f t="shared" si="320"/>
        <v>7.5767918088737202E-2</v>
      </c>
      <c r="L142" s="19">
        <f t="shared" si="320"/>
        <v>7.901554404145078E-2</v>
      </c>
      <c r="M142" s="19">
        <f t="shared" si="320"/>
        <v>9.2944369063772042E-2</v>
      </c>
      <c r="N142" s="19">
        <f t="shared" si="320"/>
        <v>0.10307898259705489</v>
      </c>
      <c r="O142" s="19">
        <f t="shared" si="320"/>
        <v>8.3121827411167512E-2</v>
      </c>
      <c r="P142" s="19">
        <f t="shared" si="320"/>
        <v>6.4558629776021087E-2</v>
      </c>
      <c r="Q142" s="19">
        <f t="shared" si="320"/>
        <v>0.1044776119402985</v>
      </c>
      <c r="R142" s="19">
        <f t="shared" si="320"/>
        <v>9.6281540504648072E-2</v>
      </c>
      <c r="S142" s="19">
        <f t="shared" si="320"/>
        <v>6.401617250673855E-2</v>
      </c>
      <c r="T142" s="19">
        <f t="shared" si="320"/>
        <v>6.6019417475728162E-2</v>
      </c>
      <c r="U142" s="19">
        <f t="shared" si="320"/>
        <v>9.3853271645736952E-2</v>
      </c>
      <c r="V142" s="19">
        <f t="shared" si="320"/>
        <v>8.7662337662337664E-2</v>
      </c>
      <c r="W142" s="19">
        <f t="shared" si="320"/>
        <v>5.6026058631921824E-2</v>
      </c>
      <c r="X142" s="19">
        <f t="shared" si="320"/>
        <v>9.8130841121495324E-2</v>
      </c>
      <c r="Y142" s="19">
        <f t="shared" si="320"/>
        <v>5.3899809765377296E-2</v>
      </c>
      <c r="Z142" s="19">
        <f t="shared" si="320"/>
        <v>6.5530799475753604E-2</v>
      </c>
      <c r="AA142" s="19">
        <f t="shared" si="320"/>
        <v>7.8745198463508317E-2</v>
      </c>
      <c r="AB142" s="19">
        <f t="shared" si="320"/>
        <v>0.10904255319148937</v>
      </c>
      <c r="AC142" s="19">
        <f t="shared" si="320"/>
        <v>8.678237650200267E-2</v>
      </c>
      <c r="AD142" s="19">
        <f t="shared" si="320"/>
        <v>8.0210387902695593E-2</v>
      </c>
      <c r="AE142" s="19">
        <f t="shared" si="320"/>
        <v>9.7545219638242892E-2</v>
      </c>
      <c r="AF142" s="19">
        <f t="shared" si="320"/>
        <v>8.913467794404685E-2</v>
      </c>
      <c r="AG142" s="19">
        <f t="shared" si="320"/>
        <v>8.7040618955512572E-2</v>
      </c>
      <c r="AH142" s="19">
        <f t="shared" si="320"/>
        <v>9.2723760463618798E-2</v>
      </c>
      <c r="AI142" s="19">
        <f t="shared" si="320"/>
        <v>8.7752525252525249E-2</v>
      </c>
      <c r="AJ142" s="19">
        <f t="shared" si="320"/>
        <v>8.4701247537754432E-2</v>
      </c>
      <c r="AK142" s="19">
        <f>AK77/AK64</f>
        <v>7.180500658761528E-2</v>
      </c>
      <c r="AL142" s="19">
        <f>AL77/AL64</f>
        <v>7.5283144570286481E-2</v>
      </c>
      <c r="AM142" s="18">
        <f t="shared" ref="AM142:AO142" si="321">SUM(AM132:AM141)</f>
        <v>0</v>
      </c>
      <c r="AN142" s="18">
        <f t="shared" si="321"/>
        <v>0</v>
      </c>
      <c r="AO142" s="18">
        <f t="shared" si="321"/>
        <v>0</v>
      </c>
      <c r="AT142">
        <v>71.5</v>
      </c>
      <c r="AU142">
        <v>73.5</v>
      </c>
      <c r="AV142">
        <v>81</v>
      </c>
      <c r="AW142">
        <v>11</v>
      </c>
      <c r="AX142">
        <v>72.7</v>
      </c>
      <c r="AY142">
        <v>72.7</v>
      </c>
      <c r="AZ142">
        <v>0</v>
      </c>
      <c r="BA142">
        <v>0</v>
      </c>
      <c r="BB142">
        <v>3</v>
      </c>
    </row>
    <row r="143" spans="1:54">
      <c r="AT143">
        <v>68</v>
      </c>
      <c r="AU143">
        <v>69</v>
      </c>
      <c r="AV143">
        <v>73.5</v>
      </c>
      <c r="AW143">
        <v>11</v>
      </c>
      <c r="AX143">
        <v>81.8</v>
      </c>
      <c r="AY143">
        <v>90.9</v>
      </c>
      <c r="AZ143">
        <v>0</v>
      </c>
      <c r="BA143">
        <v>0</v>
      </c>
      <c r="BB143">
        <v>2</v>
      </c>
    </row>
    <row r="144" spans="1:54">
      <c r="D144" s="14">
        <v>1</v>
      </c>
      <c r="E144" s="14">
        <v>2</v>
      </c>
      <c r="F144" s="14">
        <v>3</v>
      </c>
      <c r="G144" s="14">
        <v>4</v>
      </c>
      <c r="H144" s="14">
        <v>5</v>
      </c>
      <c r="I144" s="14">
        <v>6</v>
      </c>
      <c r="J144" s="14">
        <v>7</v>
      </c>
      <c r="K144" s="14">
        <v>8</v>
      </c>
      <c r="L144" s="14">
        <v>9</v>
      </c>
      <c r="M144" s="14">
        <v>10</v>
      </c>
      <c r="N144" s="14">
        <v>11</v>
      </c>
      <c r="O144" s="14">
        <v>12</v>
      </c>
      <c r="P144" s="14">
        <v>13</v>
      </c>
      <c r="Q144" s="14">
        <v>14</v>
      </c>
      <c r="R144" s="14">
        <v>15</v>
      </c>
      <c r="S144" s="14">
        <v>16</v>
      </c>
      <c r="T144" s="14">
        <v>17</v>
      </c>
      <c r="U144" s="14">
        <v>18</v>
      </c>
      <c r="V144" s="14">
        <v>19</v>
      </c>
      <c r="W144" s="14">
        <v>20</v>
      </c>
      <c r="X144" s="14">
        <v>21</v>
      </c>
      <c r="Y144" s="14">
        <v>22</v>
      </c>
      <c r="Z144" s="14">
        <v>23</v>
      </c>
      <c r="AA144" s="14">
        <v>24</v>
      </c>
      <c r="AB144" s="14">
        <v>25</v>
      </c>
      <c r="AC144" s="14">
        <v>26</v>
      </c>
      <c r="AD144" s="14">
        <v>27</v>
      </c>
      <c r="AE144" s="14">
        <v>28</v>
      </c>
      <c r="AF144" s="14">
        <v>29</v>
      </c>
      <c r="AG144" s="14">
        <v>30</v>
      </c>
      <c r="AH144" s="14">
        <v>31</v>
      </c>
      <c r="AI144" s="14">
        <v>32</v>
      </c>
      <c r="AJ144" s="14">
        <v>33</v>
      </c>
      <c r="AK144" s="14">
        <v>34</v>
      </c>
      <c r="AL144" s="14">
        <v>35</v>
      </c>
      <c r="AM144" s="14">
        <v>36</v>
      </c>
      <c r="AN144" s="14">
        <v>37</v>
      </c>
      <c r="AO144" s="14">
        <v>38</v>
      </c>
      <c r="AT144">
        <v>66</v>
      </c>
      <c r="AU144">
        <v>70</v>
      </c>
      <c r="AV144">
        <v>71.5</v>
      </c>
      <c r="AW144">
        <v>11</v>
      </c>
      <c r="AX144">
        <v>100</v>
      </c>
      <c r="AY144">
        <v>100</v>
      </c>
      <c r="AZ144">
        <v>0</v>
      </c>
      <c r="BA144">
        <v>0</v>
      </c>
      <c r="BB144">
        <v>0</v>
      </c>
    </row>
    <row r="145" spans="1:54">
      <c r="A145">
        <v>0</v>
      </c>
      <c r="B145" s="3" t="s">
        <v>0</v>
      </c>
      <c r="C145" s="3">
        <f>SUM(W145:AO145)</f>
        <v>1.2581674940003433</v>
      </c>
      <c r="D145" s="17">
        <f t="shared" ref="D145:AK152" si="322">D80/D54</f>
        <v>0.14374999999999999</v>
      </c>
      <c r="E145" s="17">
        <f t="shared" si="322"/>
        <v>0.06</v>
      </c>
      <c r="F145" s="17">
        <f t="shared" si="322"/>
        <v>5.3435114503816793E-2</v>
      </c>
      <c r="G145" s="17">
        <f t="shared" si="322"/>
        <v>0.16107382550335569</v>
      </c>
      <c r="H145" s="17">
        <f t="shared" si="322"/>
        <v>2.9069767441860465E-2</v>
      </c>
      <c r="I145" s="17">
        <f t="shared" si="322"/>
        <v>1.3245033112582781E-2</v>
      </c>
      <c r="J145" s="17">
        <f t="shared" si="322"/>
        <v>0.16025641025641027</v>
      </c>
      <c r="K145" s="17">
        <f t="shared" si="322"/>
        <v>9.7902097902097904E-2</v>
      </c>
      <c r="L145" s="17">
        <f t="shared" si="322"/>
        <v>4.72972972972973E-2</v>
      </c>
      <c r="M145" s="17">
        <f t="shared" si="322"/>
        <v>8.9041095890410954E-2</v>
      </c>
      <c r="N145" s="17">
        <f t="shared" si="322"/>
        <v>0.16783216783216784</v>
      </c>
      <c r="O145" s="17">
        <f t="shared" si="322"/>
        <v>0.1111111111111111</v>
      </c>
      <c r="P145" s="17">
        <f t="shared" si="322"/>
        <v>0.11724137931034483</v>
      </c>
      <c r="Q145" s="17">
        <f t="shared" si="322"/>
        <v>0.14569536423841059</v>
      </c>
      <c r="R145" s="17">
        <f t="shared" si="322"/>
        <v>0.10759493670886076</v>
      </c>
      <c r="S145" s="17">
        <f t="shared" si="322"/>
        <v>0.10897435897435898</v>
      </c>
      <c r="T145" s="17">
        <f t="shared" si="322"/>
        <v>3.5714285714285712E-2</v>
      </c>
      <c r="U145" s="17">
        <f t="shared" si="322"/>
        <v>6.6666666666666666E-2</v>
      </c>
      <c r="V145" s="17">
        <f t="shared" si="322"/>
        <v>9.5505617977528087E-2</v>
      </c>
      <c r="W145" s="17">
        <f t="shared" si="322"/>
        <v>8.2278481012658222E-2</v>
      </c>
      <c r="X145" s="17">
        <f t="shared" si="322"/>
        <v>6.9444444444444448E-2</v>
      </c>
      <c r="Y145" s="17">
        <f t="shared" si="322"/>
        <v>0</v>
      </c>
      <c r="Z145" s="17">
        <f t="shared" si="322"/>
        <v>7.7519379844961239E-2</v>
      </c>
      <c r="AA145" s="17">
        <f t="shared" si="322"/>
        <v>4.195804195804196E-2</v>
      </c>
      <c r="AB145" s="17">
        <f t="shared" si="322"/>
        <v>0.13043478260869565</v>
      </c>
      <c r="AC145" s="17">
        <f t="shared" si="322"/>
        <v>8.2758620689655171E-2</v>
      </c>
      <c r="AD145" s="17">
        <f t="shared" si="322"/>
        <v>0.10062893081761007</v>
      </c>
      <c r="AE145" s="17">
        <f t="shared" si="322"/>
        <v>7.2289156626506021E-2</v>
      </c>
      <c r="AF145" s="17">
        <f t="shared" si="322"/>
        <v>9.3567251461988299E-2</v>
      </c>
      <c r="AG145" s="17">
        <f t="shared" si="322"/>
        <v>6.2827225130890049E-2</v>
      </c>
      <c r="AH145" s="17">
        <f t="shared" si="322"/>
        <v>7.586206896551724E-2</v>
      </c>
      <c r="AI145" s="17">
        <f t="shared" si="322"/>
        <v>0.11267605633802817</v>
      </c>
      <c r="AJ145" s="17">
        <f t="shared" si="322"/>
        <v>0.18120805369127516</v>
      </c>
      <c r="AK145" s="17">
        <f t="shared" si="322"/>
        <v>6.741573033707865E-2</v>
      </c>
      <c r="AL145" s="17">
        <f>AL80/AL54</f>
        <v>7.2992700729927005E-3</v>
      </c>
      <c r="AM145" s="3"/>
      <c r="AN145" s="3"/>
      <c r="AO145" s="3"/>
      <c r="AT145" t="s">
        <v>23</v>
      </c>
    </row>
    <row r="146" spans="1:54">
      <c r="A146">
        <v>1</v>
      </c>
      <c r="B146" s="3" t="s">
        <v>1</v>
      </c>
      <c r="C146" s="3">
        <f t="shared" ref="C146:C154" si="323">SUM(W146:AO146)</f>
        <v>0.67757498769166424</v>
      </c>
      <c r="D146" s="17">
        <f t="shared" si="322"/>
        <v>9.2105263157894732E-2</v>
      </c>
      <c r="E146" s="17">
        <f t="shared" si="322"/>
        <v>7.1895424836601302E-2</v>
      </c>
      <c r="F146" s="17">
        <f t="shared" si="322"/>
        <v>8.1081081081081086E-2</v>
      </c>
      <c r="G146" s="17">
        <f t="shared" si="322"/>
        <v>0.13548387096774195</v>
      </c>
      <c r="H146" s="17">
        <f t="shared" si="322"/>
        <v>4.7058823529411764E-2</v>
      </c>
      <c r="I146" s="17">
        <f t="shared" si="322"/>
        <v>7.407407407407407E-2</v>
      </c>
      <c r="J146" s="17">
        <f t="shared" si="322"/>
        <v>9.8591549295774641E-2</v>
      </c>
      <c r="K146" s="17">
        <f t="shared" si="322"/>
        <v>3.5211267605633804E-2</v>
      </c>
      <c r="L146" s="17">
        <f t="shared" si="322"/>
        <v>0.08</v>
      </c>
      <c r="M146" s="17">
        <f t="shared" si="322"/>
        <v>7.3170731707317069E-2</v>
      </c>
      <c r="N146" s="17">
        <f t="shared" si="322"/>
        <v>7.6923076923076927E-2</v>
      </c>
      <c r="O146" s="17">
        <f t="shared" si="322"/>
        <v>2.0547945205479451E-2</v>
      </c>
      <c r="P146" s="17">
        <f t="shared" si="322"/>
        <v>7.6388888888888895E-2</v>
      </c>
      <c r="Q146" s="17">
        <f t="shared" si="322"/>
        <v>2.8571428571428571E-2</v>
      </c>
      <c r="R146" s="17">
        <f t="shared" si="322"/>
        <v>4.9295774647887321E-2</v>
      </c>
      <c r="S146" s="17">
        <f t="shared" si="322"/>
        <v>3.7593984962406013E-2</v>
      </c>
      <c r="T146" s="17">
        <f t="shared" si="322"/>
        <v>6.4748201438848921E-2</v>
      </c>
      <c r="U146" s="17">
        <f t="shared" si="322"/>
        <v>0.2</v>
      </c>
      <c r="V146" s="17">
        <f t="shared" si="322"/>
        <v>4.2253521126760563E-2</v>
      </c>
      <c r="W146" s="17">
        <f t="shared" si="322"/>
        <v>0</v>
      </c>
      <c r="X146" s="17">
        <f t="shared" si="322"/>
        <v>5.8064516129032261E-2</v>
      </c>
      <c r="Y146" s="17">
        <f t="shared" si="322"/>
        <v>2.6666666666666668E-2</v>
      </c>
      <c r="Z146" s="17">
        <f t="shared" si="322"/>
        <v>5.2980132450331126E-2</v>
      </c>
      <c r="AA146" s="17">
        <f t="shared" si="322"/>
        <v>1.1976047904191617E-2</v>
      </c>
      <c r="AB146" s="17">
        <f t="shared" si="322"/>
        <v>2.0689655172413793E-2</v>
      </c>
      <c r="AC146" s="17">
        <f t="shared" si="322"/>
        <v>4.4776119402985072E-2</v>
      </c>
      <c r="AD146" s="17">
        <f t="shared" si="322"/>
        <v>5.2980132450331126E-2</v>
      </c>
      <c r="AE146" s="17">
        <f t="shared" si="322"/>
        <v>5.9701492537313432E-2</v>
      </c>
      <c r="AF146" s="17">
        <f t="shared" si="322"/>
        <v>4.9382716049382713E-2</v>
      </c>
      <c r="AG146" s="17">
        <f t="shared" si="322"/>
        <v>4.2253521126760563E-2</v>
      </c>
      <c r="AH146" s="17">
        <f t="shared" si="322"/>
        <v>3.1007751937984496E-2</v>
      </c>
      <c r="AI146" s="17">
        <f t="shared" si="322"/>
        <v>7.1428571428571425E-2</v>
      </c>
      <c r="AJ146" s="17">
        <f t="shared" si="322"/>
        <v>1.3071895424836602E-2</v>
      </c>
      <c r="AK146" s="17">
        <f t="shared" si="322"/>
        <v>8.8050314465408799E-2</v>
      </c>
      <c r="AL146" s="17">
        <f t="shared" ref="AL146:AL154" si="324">AL81/AL55</f>
        <v>5.4545454545454543E-2</v>
      </c>
      <c r="AM146" s="3"/>
      <c r="AN146" s="3"/>
      <c r="AO146" s="3"/>
      <c r="AT146">
        <v>64.5</v>
      </c>
      <c r="AU146">
        <v>71.5</v>
      </c>
      <c r="AV146">
        <v>75.5</v>
      </c>
      <c r="AW146">
        <v>11</v>
      </c>
      <c r="AX146">
        <v>63.6</v>
      </c>
      <c r="AY146">
        <v>81.8</v>
      </c>
      <c r="AZ146">
        <v>0</v>
      </c>
      <c r="BA146">
        <v>0</v>
      </c>
      <c r="BB146">
        <v>1</v>
      </c>
    </row>
    <row r="147" spans="1:54">
      <c r="A147">
        <v>2</v>
      </c>
      <c r="B147" s="3" t="s">
        <v>2</v>
      </c>
      <c r="C147" s="3">
        <f t="shared" si="323"/>
        <v>1.475910259541418</v>
      </c>
      <c r="D147" s="17">
        <f t="shared" si="322"/>
        <v>7.5471698113207544E-2</v>
      </c>
      <c r="E147" s="17">
        <f t="shared" si="322"/>
        <v>0.17880794701986755</v>
      </c>
      <c r="F147" s="17">
        <f t="shared" si="322"/>
        <v>8.5714285714285715E-2</v>
      </c>
      <c r="G147" s="17">
        <f t="shared" si="322"/>
        <v>3.3783783783783786E-2</v>
      </c>
      <c r="H147" s="17">
        <f t="shared" si="322"/>
        <v>0.12650602409638553</v>
      </c>
      <c r="I147" s="17">
        <f t="shared" si="322"/>
        <v>4.878048780487805E-2</v>
      </c>
      <c r="J147" s="17">
        <f t="shared" si="322"/>
        <v>0.13548387096774195</v>
      </c>
      <c r="K147" s="17">
        <f t="shared" si="322"/>
        <v>0.16860465116279069</v>
      </c>
      <c r="L147" s="17">
        <f t="shared" si="322"/>
        <v>6.4516129032258063E-2</v>
      </c>
      <c r="M147" s="17">
        <f t="shared" si="322"/>
        <v>6.9767441860465115E-2</v>
      </c>
      <c r="N147" s="17">
        <f t="shared" si="322"/>
        <v>0.11392405063291139</v>
      </c>
      <c r="O147" s="17">
        <f t="shared" si="322"/>
        <v>0.14723926380368099</v>
      </c>
      <c r="P147" s="17">
        <f t="shared" si="322"/>
        <v>0.11049723756906077</v>
      </c>
      <c r="Q147" s="17">
        <f t="shared" si="322"/>
        <v>7.3333333333333334E-2</v>
      </c>
      <c r="R147" s="17">
        <f t="shared" si="322"/>
        <v>0.19230769230769232</v>
      </c>
      <c r="S147" s="17">
        <f t="shared" si="322"/>
        <v>6.9930069930069935E-2</v>
      </c>
      <c r="T147" s="17">
        <f t="shared" si="322"/>
        <v>4.5454545454545456E-2</v>
      </c>
      <c r="U147" s="17">
        <f t="shared" si="322"/>
        <v>0.06</v>
      </c>
      <c r="V147" s="17">
        <f t="shared" si="322"/>
        <v>0.13872832369942195</v>
      </c>
      <c r="W147" s="17">
        <f t="shared" si="322"/>
        <v>4.2682926829268296E-2</v>
      </c>
      <c r="X147" s="17">
        <f t="shared" si="322"/>
        <v>1.4084507042253521E-2</v>
      </c>
      <c r="Y147" s="17">
        <f t="shared" si="322"/>
        <v>6.7039106145251395E-2</v>
      </c>
      <c r="Z147" s="17">
        <f t="shared" si="322"/>
        <v>4.7058823529411764E-2</v>
      </c>
      <c r="AA147" s="17">
        <f t="shared" si="322"/>
        <v>8.1761006289308172E-2</v>
      </c>
      <c r="AB147" s="17">
        <f t="shared" si="322"/>
        <v>0.15527950310559005</v>
      </c>
      <c r="AC147" s="17">
        <f t="shared" si="322"/>
        <v>8.9743589743589744E-2</v>
      </c>
      <c r="AD147" s="17">
        <f t="shared" si="322"/>
        <v>0.12972972972972974</v>
      </c>
      <c r="AE147" s="17">
        <f t="shared" si="322"/>
        <v>9.6045197740112997E-2</v>
      </c>
      <c r="AF147" s="17">
        <f t="shared" si="322"/>
        <v>0.10967741935483871</v>
      </c>
      <c r="AG147" s="17">
        <f t="shared" si="322"/>
        <v>0.10526315789473684</v>
      </c>
      <c r="AH147" s="17">
        <f t="shared" si="322"/>
        <v>9.4339622641509441E-2</v>
      </c>
      <c r="AI147" s="17">
        <f t="shared" si="322"/>
        <v>0.10191082802547771</v>
      </c>
      <c r="AJ147" s="17">
        <f t="shared" si="322"/>
        <v>1.3157894736842105E-2</v>
      </c>
      <c r="AK147" s="17">
        <f t="shared" si="322"/>
        <v>9.3959731543624164E-2</v>
      </c>
      <c r="AL147" s="17">
        <f t="shared" si="324"/>
        <v>0.23417721518987342</v>
      </c>
      <c r="AM147" s="3"/>
      <c r="AN147" s="3"/>
      <c r="AO147" s="3"/>
      <c r="AT147">
        <v>68</v>
      </c>
      <c r="AU147">
        <v>67</v>
      </c>
      <c r="AV147">
        <v>70</v>
      </c>
      <c r="AW147">
        <v>11</v>
      </c>
      <c r="AX147">
        <v>72.7</v>
      </c>
      <c r="AY147">
        <v>72.7</v>
      </c>
      <c r="AZ147">
        <v>0</v>
      </c>
      <c r="BA147">
        <v>0</v>
      </c>
      <c r="BB147">
        <v>0</v>
      </c>
    </row>
    <row r="148" spans="1:54">
      <c r="A148">
        <v>3</v>
      </c>
      <c r="B148" s="3" t="s">
        <v>3</v>
      </c>
      <c r="C148" s="3">
        <f t="shared" si="323"/>
        <v>0.94804708644286306</v>
      </c>
      <c r="D148" s="17">
        <f t="shared" si="322"/>
        <v>7.0063694267515922E-2</v>
      </c>
      <c r="E148" s="17">
        <f t="shared" si="322"/>
        <v>0.14935064935064934</v>
      </c>
      <c r="F148" s="17">
        <f t="shared" si="322"/>
        <v>0.14093959731543623</v>
      </c>
      <c r="G148" s="17">
        <f t="shared" si="322"/>
        <v>0.13194444444444445</v>
      </c>
      <c r="H148" s="17">
        <f t="shared" si="322"/>
        <v>0.20567375886524822</v>
      </c>
      <c r="I148" s="17">
        <f t="shared" si="322"/>
        <v>5.7142857142857141E-2</v>
      </c>
      <c r="J148" s="17">
        <f t="shared" si="322"/>
        <v>0.14285714285714285</v>
      </c>
      <c r="K148" s="17">
        <f t="shared" si="322"/>
        <v>7.857142857142857E-2</v>
      </c>
      <c r="L148" s="17">
        <f t="shared" si="322"/>
        <v>7.4324324324324328E-2</v>
      </c>
      <c r="M148" s="17">
        <f t="shared" si="322"/>
        <v>8.0882352941176475E-2</v>
      </c>
      <c r="N148" s="17">
        <f t="shared" si="322"/>
        <v>0.13157894736842105</v>
      </c>
      <c r="O148" s="17">
        <f t="shared" si="322"/>
        <v>2.3809523809523808E-2</v>
      </c>
      <c r="P148" s="17">
        <f t="shared" si="322"/>
        <v>9.45945945945946E-2</v>
      </c>
      <c r="Q148" s="17">
        <f t="shared" si="322"/>
        <v>0.15853658536585366</v>
      </c>
      <c r="R148" s="17">
        <f t="shared" si="322"/>
        <v>8.5365853658536592E-2</v>
      </c>
      <c r="S148" s="17">
        <f t="shared" si="322"/>
        <v>3.6496350364963501E-2</v>
      </c>
      <c r="T148" s="17">
        <f t="shared" si="322"/>
        <v>2.197802197802198E-2</v>
      </c>
      <c r="U148" s="17">
        <f t="shared" si="322"/>
        <v>0.14965986394557823</v>
      </c>
      <c r="V148" s="17">
        <f t="shared" si="322"/>
        <v>6.535947712418301E-2</v>
      </c>
      <c r="W148" s="17">
        <f t="shared" si="322"/>
        <v>4.4585987261146494E-2</v>
      </c>
      <c r="X148" s="17">
        <f t="shared" si="322"/>
        <v>0.10884353741496598</v>
      </c>
      <c r="Y148" s="17">
        <f t="shared" si="322"/>
        <v>3.4682080924855488E-2</v>
      </c>
      <c r="Z148" s="17">
        <f t="shared" si="322"/>
        <v>3.3112582781456956E-2</v>
      </c>
      <c r="AA148" s="17">
        <f t="shared" si="322"/>
        <v>3.7974683544303799E-2</v>
      </c>
      <c r="AB148" s="17">
        <f t="shared" si="322"/>
        <v>9.7744360902255634E-2</v>
      </c>
      <c r="AC148" s="17">
        <f t="shared" si="322"/>
        <v>9.1503267973856203E-2</v>
      </c>
      <c r="AD148" s="17">
        <f t="shared" si="322"/>
        <v>5.8064516129032261E-2</v>
      </c>
      <c r="AE148" s="17">
        <f t="shared" si="322"/>
        <v>9.1503267973856203E-2</v>
      </c>
      <c r="AF148" s="17">
        <f t="shared" si="322"/>
        <v>3.3333333333333333E-2</v>
      </c>
      <c r="AG148" s="17">
        <f t="shared" si="322"/>
        <v>2.2388059701492536E-2</v>
      </c>
      <c r="AH148" s="17">
        <f t="shared" si="322"/>
        <v>0.11976047904191617</v>
      </c>
      <c r="AI148" s="17">
        <f t="shared" si="322"/>
        <v>5.7324840764331211E-2</v>
      </c>
      <c r="AJ148" s="17">
        <f t="shared" si="322"/>
        <v>7.6433121019108277E-2</v>
      </c>
      <c r="AK148" s="17">
        <f t="shared" si="322"/>
        <v>1.8404907975460124E-2</v>
      </c>
      <c r="AL148" s="17">
        <f t="shared" si="324"/>
        <v>2.2388059701492536E-2</v>
      </c>
      <c r="AM148" s="3"/>
      <c r="AN148" s="3"/>
      <c r="AO148" s="3"/>
      <c r="AT148">
        <v>69.5</v>
      </c>
      <c r="AU148">
        <v>63.5</v>
      </c>
      <c r="AV148">
        <v>75</v>
      </c>
      <c r="AW148">
        <v>11</v>
      </c>
      <c r="AX148">
        <v>72.7</v>
      </c>
      <c r="AY148">
        <v>72.7</v>
      </c>
      <c r="AZ148">
        <v>0</v>
      </c>
      <c r="BA148">
        <v>0</v>
      </c>
      <c r="BB148">
        <v>0</v>
      </c>
    </row>
    <row r="149" spans="1:54">
      <c r="A149">
        <v>4</v>
      </c>
      <c r="B149" s="3" t="s">
        <v>5</v>
      </c>
      <c r="C149" s="3">
        <f t="shared" si="323"/>
        <v>0.79101037623816317</v>
      </c>
      <c r="D149" s="17">
        <f t="shared" si="322"/>
        <v>6.4935064935064929E-2</v>
      </c>
      <c r="E149" s="17">
        <f t="shared" si="322"/>
        <v>0.18235294117647058</v>
      </c>
      <c r="F149" s="17">
        <f t="shared" si="322"/>
        <v>6.535947712418301E-2</v>
      </c>
      <c r="G149" s="17">
        <f t="shared" si="322"/>
        <v>5.8394160583941604E-2</v>
      </c>
      <c r="H149" s="17">
        <f t="shared" si="322"/>
        <v>5.5555555555555552E-2</v>
      </c>
      <c r="I149" s="17">
        <f t="shared" si="322"/>
        <v>1.4705882352941176E-2</v>
      </c>
      <c r="J149" s="17">
        <f t="shared" si="322"/>
        <v>6.0606060606060608E-2</v>
      </c>
      <c r="K149" s="17">
        <f t="shared" si="322"/>
        <v>7.874015748031496E-2</v>
      </c>
      <c r="L149" s="17">
        <f t="shared" si="322"/>
        <v>2.1276595744680851E-2</v>
      </c>
      <c r="M149" s="17">
        <f t="shared" si="322"/>
        <v>5.4263565891472867E-2</v>
      </c>
      <c r="N149" s="17">
        <f t="shared" si="322"/>
        <v>9.8591549295774641E-2</v>
      </c>
      <c r="O149" s="17">
        <f t="shared" si="322"/>
        <v>7.8014184397163122E-2</v>
      </c>
      <c r="P149" s="17">
        <f t="shared" si="322"/>
        <v>3.2051282051282048E-2</v>
      </c>
      <c r="Q149" s="17">
        <f t="shared" si="322"/>
        <v>5.921052631578947E-2</v>
      </c>
      <c r="R149" s="17">
        <f t="shared" si="322"/>
        <v>3.6585365853658534E-2</v>
      </c>
      <c r="S149" s="17">
        <f t="shared" si="322"/>
        <v>4.0540540540540543E-2</v>
      </c>
      <c r="T149" s="17">
        <f t="shared" si="322"/>
        <v>7.1895424836601302E-2</v>
      </c>
      <c r="U149" s="17">
        <f t="shared" si="322"/>
        <v>4.6666666666666669E-2</v>
      </c>
      <c r="V149" s="17">
        <f t="shared" si="322"/>
        <v>0.29850746268656714</v>
      </c>
      <c r="W149" s="17">
        <f t="shared" si="322"/>
        <v>2.0134228187919462E-2</v>
      </c>
      <c r="X149" s="17">
        <f t="shared" si="322"/>
        <v>6.0810810810810814E-2</v>
      </c>
      <c r="Y149" s="17">
        <f t="shared" si="322"/>
        <v>2.6490066225165563E-2</v>
      </c>
      <c r="Z149" s="17">
        <f t="shared" si="322"/>
        <v>5.844155844155844E-2</v>
      </c>
      <c r="AA149" s="17">
        <f t="shared" si="322"/>
        <v>3.0674846625766871E-2</v>
      </c>
      <c r="AB149" s="17">
        <f t="shared" si="322"/>
        <v>5.4421768707482991E-2</v>
      </c>
      <c r="AC149" s="17">
        <f t="shared" si="322"/>
        <v>6.0975609756097563E-3</v>
      </c>
      <c r="AD149" s="17">
        <f t="shared" si="322"/>
        <v>3.2051282051282048E-2</v>
      </c>
      <c r="AE149" s="17">
        <f t="shared" si="322"/>
        <v>0.11920529801324503</v>
      </c>
      <c r="AF149" s="17">
        <f t="shared" si="322"/>
        <v>8.7248322147651006E-2</v>
      </c>
      <c r="AG149" s="17">
        <f t="shared" si="322"/>
        <v>0.10062893081761007</v>
      </c>
      <c r="AH149" s="17">
        <f t="shared" si="322"/>
        <v>5.9171597633136092E-2</v>
      </c>
      <c r="AI149" s="17">
        <f t="shared" si="322"/>
        <v>4.1916167664670656E-2</v>
      </c>
      <c r="AJ149" s="17">
        <f t="shared" si="322"/>
        <v>2.8368794326241134E-2</v>
      </c>
      <c r="AK149" s="17">
        <f t="shared" si="322"/>
        <v>2.8985507246376812E-2</v>
      </c>
      <c r="AL149" s="17">
        <f t="shared" si="324"/>
        <v>3.6363636363636362E-2</v>
      </c>
      <c r="AM149" s="3"/>
      <c r="AN149" s="3"/>
      <c r="AO149" s="3"/>
      <c r="AT149">
        <v>69</v>
      </c>
      <c r="AU149">
        <v>69.5</v>
      </c>
      <c r="AV149">
        <v>82</v>
      </c>
      <c r="AW149">
        <v>11</v>
      </c>
      <c r="AX149">
        <v>72.7</v>
      </c>
      <c r="AY149">
        <v>72.7</v>
      </c>
      <c r="AZ149">
        <v>0</v>
      </c>
      <c r="BA149">
        <v>0</v>
      </c>
      <c r="BB149">
        <v>1</v>
      </c>
    </row>
    <row r="150" spans="1:54">
      <c r="A150">
        <v>5</v>
      </c>
      <c r="B150" s="3" t="s">
        <v>4</v>
      </c>
      <c r="C150" s="3">
        <f t="shared" si="323"/>
        <v>1.2100223477214014</v>
      </c>
      <c r="D150" s="17">
        <f t="shared" si="322"/>
        <v>0.13793103448275862</v>
      </c>
      <c r="E150" s="17">
        <f t="shared" si="322"/>
        <v>0.17582417582417584</v>
      </c>
      <c r="F150" s="17">
        <f t="shared" si="322"/>
        <v>5.844155844155844E-2</v>
      </c>
      <c r="G150" s="17">
        <f t="shared" si="322"/>
        <v>0.12790697674418605</v>
      </c>
      <c r="H150" s="17">
        <f t="shared" si="322"/>
        <v>5.5900621118012424E-2</v>
      </c>
      <c r="I150" s="17">
        <f t="shared" si="322"/>
        <v>0.15337423312883436</v>
      </c>
      <c r="J150" s="17">
        <f t="shared" si="322"/>
        <v>0.13475177304964539</v>
      </c>
      <c r="K150" s="17">
        <f t="shared" si="322"/>
        <v>7.407407407407407E-2</v>
      </c>
      <c r="L150" s="17">
        <f t="shared" si="322"/>
        <v>0.1</v>
      </c>
      <c r="M150" s="17">
        <f t="shared" si="322"/>
        <v>0.15894039735099338</v>
      </c>
      <c r="N150" s="17">
        <f t="shared" si="322"/>
        <v>0.21787709497206703</v>
      </c>
      <c r="O150" s="17">
        <f t="shared" si="322"/>
        <v>8.3333333333333329E-2</v>
      </c>
      <c r="P150" s="17">
        <f t="shared" si="322"/>
        <v>0.16107382550335569</v>
      </c>
      <c r="Q150" s="17">
        <f t="shared" si="322"/>
        <v>3.3112582781456956E-2</v>
      </c>
      <c r="R150" s="17">
        <f t="shared" si="322"/>
        <v>6.3829787234042548E-2</v>
      </c>
      <c r="S150" s="17">
        <f t="shared" si="322"/>
        <v>0.1111111111111111</v>
      </c>
      <c r="T150" s="17">
        <f t="shared" si="322"/>
        <v>5.1612903225806452E-2</v>
      </c>
      <c r="U150" s="17">
        <f t="shared" si="322"/>
        <v>8.7209302325581398E-2</v>
      </c>
      <c r="V150" s="17">
        <f t="shared" si="322"/>
        <v>0.22674418604651161</v>
      </c>
      <c r="W150" s="17">
        <f t="shared" si="322"/>
        <v>6.1728395061728392E-2</v>
      </c>
      <c r="X150" s="17">
        <f t="shared" si="322"/>
        <v>8.2758620689655171E-2</v>
      </c>
      <c r="Y150" s="17">
        <f t="shared" si="322"/>
        <v>3.4246575342465752E-2</v>
      </c>
      <c r="Z150" s="17">
        <f t="shared" si="322"/>
        <v>0.11377245508982035</v>
      </c>
      <c r="AA150" s="17">
        <f t="shared" si="322"/>
        <v>4.1916167664670656E-2</v>
      </c>
      <c r="AB150" s="17">
        <f t="shared" si="322"/>
        <v>0.16049382716049382</v>
      </c>
      <c r="AC150" s="17">
        <f t="shared" si="322"/>
        <v>1.9230769230769232E-2</v>
      </c>
      <c r="AD150" s="17">
        <f t="shared" si="322"/>
        <v>9.154929577464789E-2</v>
      </c>
      <c r="AE150" s="17">
        <f t="shared" si="322"/>
        <v>5.5172413793103448E-2</v>
      </c>
      <c r="AF150" s="17">
        <f t="shared" si="322"/>
        <v>3.5211267605633804E-2</v>
      </c>
      <c r="AG150" s="17">
        <f t="shared" si="322"/>
        <v>0.12162162162162163</v>
      </c>
      <c r="AH150" s="17">
        <f t="shared" si="322"/>
        <v>7.4534161490683232E-2</v>
      </c>
      <c r="AI150" s="17">
        <f t="shared" si="322"/>
        <v>0.1111111111111111</v>
      </c>
      <c r="AJ150" s="17">
        <f t="shared" si="322"/>
        <v>0.12820512820512819</v>
      </c>
      <c r="AK150" s="17">
        <f t="shared" si="322"/>
        <v>2.3255813953488372E-2</v>
      </c>
      <c r="AL150" s="17">
        <f t="shared" si="324"/>
        <v>5.5214723926380369E-2</v>
      </c>
      <c r="AM150" s="3"/>
      <c r="AN150" s="3"/>
      <c r="AO150" s="3"/>
      <c r="AT150">
        <v>71.5</v>
      </c>
      <c r="AU150">
        <v>70</v>
      </c>
      <c r="AV150">
        <v>76</v>
      </c>
      <c r="AW150">
        <v>11</v>
      </c>
      <c r="AX150">
        <v>81.8</v>
      </c>
      <c r="AY150">
        <v>81.8</v>
      </c>
      <c r="AZ150">
        <v>0</v>
      </c>
      <c r="BA150">
        <v>0</v>
      </c>
      <c r="BB150">
        <v>0</v>
      </c>
    </row>
    <row r="151" spans="1:54">
      <c r="A151">
        <v>6</v>
      </c>
      <c r="B151" s="3" t="s">
        <v>6</v>
      </c>
      <c r="C151" s="3">
        <f t="shared" si="323"/>
        <v>0.73300993402228809</v>
      </c>
      <c r="D151" s="17">
        <f t="shared" si="322"/>
        <v>0.15094339622641509</v>
      </c>
      <c r="E151" s="17">
        <f t="shared" si="322"/>
        <v>0.15894039735099338</v>
      </c>
      <c r="F151" s="17">
        <f t="shared" si="322"/>
        <v>0.1111111111111111</v>
      </c>
      <c r="G151" s="17">
        <f t="shared" si="322"/>
        <v>0.11801242236024845</v>
      </c>
      <c r="H151" s="17">
        <f t="shared" si="322"/>
        <v>0.10795454545454546</v>
      </c>
      <c r="I151" s="17">
        <f t="shared" si="322"/>
        <v>0.22784810126582278</v>
      </c>
      <c r="J151" s="17">
        <f t="shared" si="322"/>
        <v>9.2715231788079472E-2</v>
      </c>
      <c r="K151" s="17">
        <f t="shared" si="322"/>
        <v>6.9444444444444441E-3</v>
      </c>
      <c r="L151" s="17">
        <f t="shared" si="322"/>
        <v>1.8987341772151899E-2</v>
      </c>
      <c r="M151" s="17">
        <f t="shared" si="322"/>
        <v>0.10967741935483871</v>
      </c>
      <c r="N151" s="17">
        <f t="shared" si="322"/>
        <v>0.10666666666666667</v>
      </c>
      <c r="O151" s="17">
        <f t="shared" si="322"/>
        <v>3.896103896103896E-2</v>
      </c>
      <c r="P151" s="17">
        <f t="shared" si="322"/>
        <v>3.4965034965034968E-2</v>
      </c>
      <c r="Q151" s="17">
        <f t="shared" si="322"/>
        <v>0.10884353741496598</v>
      </c>
      <c r="R151" s="17">
        <f t="shared" si="322"/>
        <v>0.1111111111111111</v>
      </c>
      <c r="S151" s="17">
        <f t="shared" si="322"/>
        <v>6.0402684563758392E-2</v>
      </c>
      <c r="T151" s="17">
        <f t="shared" si="322"/>
        <v>3.5460992907801421E-2</v>
      </c>
      <c r="U151" s="17">
        <f t="shared" si="322"/>
        <v>3.3333333333333333E-2</v>
      </c>
      <c r="V151" s="17">
        <f t="shared" si="322"/>
        <v>6.25E-2</v>
      </c>
      <c r="W151" s="17">
        <f t="shared" si="322"/>
        <v>6.4935064935064929E-2</v>
      </c>
      <c r="X151" s="17">
        <f t="shared" si="322"/>
        <v>3.5928143712574849E-2</v>
      </c>
      <c r="Y151" s="17">
        <f t="shared" si="322"/>
        <v>7.575757575757576E-2</v>
      </c>
      <c r="Z151" s="17">
        <f t="shared" si="322"/>
        <v>6.0402684563758392E-2</v>
      </c>
      <c r="AA151" s="17">
        <f t="shared" si="322"/>
        <v>6.0606060606060608E-2</v>
      </c>
      <c r="AB151" s="17">
        <f t="shared" si="322"/>
        <v>0.10416666666666667</v>
      </c>
      <c r="AC151" s="17">
        <f t="shared" si="322"/>
        <v>4.9295774647887321E-2</v>
      </c>
      <c r="AD151" s="17">
        <f t="shared" si="322"/>
        <v>1.5503875968992248E-2</v>
      </c>
      <c r="AE151" s="17">
        <f t="shared" si="322"/>
        <v>9.2105263157894732E-2</v>
      </c>
      <c r="AF151" s="17">
        <f t="shared" si="322"/>
        <v>5.0314465408805034E-2</v>
      </c>
      <c r="AG151" s="17">
        <f t="shared" si="322"/>
        <v>2.3391812865497075E-2</v>
      </c>
      <c r="AH151" s="17">
        <f t="shared" si="322"/>
        <v>0</v>
      </c>
      <c r="AI151" s="17">
        <f t="shared" si="322"/>
        <v>2.6315789473684209E-2</v>
      </c>
      <c r="AJ151" s="17">
        <f t="shared" si="322"/>
        <v>3.9735099337748346E-2</v>
      </c>
      <c r="AK151" s="17">
        <f t="shared" si="322"/>
        <v>1.9736842105263157E-2</v>
      </c>
      <c r="AL151" s="17">
        <f t="shared" si="324"/>
        <v>1.4814814814814815E-2</v>
      </c>
      <c r="AM151" s="3"/>
      <c r="AN151" s="3"/>
      <c r="AO151" s="3"/>
      <c r="AT151">
        <v>73</v>
      </c>
      <c r="AU151">
        <v>70.5</v>
      </c>
      <c r="AV151">
        <v>75.5</v>
      </c>
      <c r="AW151">
        <v>11</v>
      </c>
      <c r="AX151">
        <v>72.7</v>
      </c>
      <c r="AY151">
        <v>63.6</v>
      </c>
      <c r="AZ151">
        <v>0</v>
      </c>
      <c r="BA151">
        <v>0</v>
      </c>
      <c r="BB151">
        <v>1</v>
      </c>
    </row>
    <row r="152" spans="1:54">
      <c r="A152">
        <v>7</v>
      </c>
      <c r="B152" s="3" t="s">
        <v>9</v>
      </c>
      <c r="C152" s="3">
        <f t="shared" si="323"/>
        <v>0.92714373853336618</v>
      </c>
      <c r="D152" s="17">
        <f t="shared" si="322"/>
        <v>0.13043478260869565</v>
      </c>
      <c r="E152" s="17">
        <f t="shared" si="322"/>
        <v>0.14906832298136646</v>
      </c>
      <c r="F152" s="17">
        <f t="shared" si="322"/>
        <v>9.7744360902255634E-2</v>
      </c>
      <c r="G152" s="17">
        <f t="shared" si="322"/>
        <v>9.9415204678362568E-2</v>
      </c>
      <c r="H152" s="17">
        <f t="shared" si="322"/>
        <v>0.11409395973154363</v>
      </c>
      <c r="I152" s="17">
        <f t="shared" si="322"/>
        <v>3.4013605442176874E-2</v>
      </c>
      <c r="J152" s="17">
        <f t="shared" si="322"/>
        <v>4.0268456375838924E-2</v>
      </c>
      <c r="K152" s="17">
        <f t="shared" si="322"/>
        <v>7.0921985815602842E-2</v>
      </c>
      <c r="L152" s="17">
        <f t="shared" si="322"/>
        <v>0.10884353741496598</v>
      </c>
      <c r="M152" s="17">
        <f t="shared" si="322"/>
        <v>5.2980132450331126E-2</v>
      </c>
      <c r="N152" s="17">
        <f t="shared" si="322"/>
        <v>5.4421768707482991E-2</v>
      </c>
      <c r="O152" s="17">
        <f t="shared" si="322"/>
        <v>0.16939890710382513</v>
      </c>
      <c r="P152" s="17">
        <f t="shared" si="322"/>
        <v>0.11728395061728394</v>
      </c>
      <c r="Q152" s="17">
        <f t="shared" si="322"/>
        <v>0.13157894736842105</v>
      </c>
      <c r="R152" s="17">
        <f t="shared" si="322"/>
        <v>5.1948051948051951E-2</v>
      </c>
      <c r="S152" s="17">
        <f t="shared" si="322"/>
        <v>3.4246575342465752E-2</v>
      </c>
      <c r="T152" s="17">
        <f t="shared" si="322"/>
        <v>8.666666666666667E-2</v>
      </c>
      <c r="U152" s="17">
        <f t="shared" ref="D152:AK154" si="325">U87/U61</f>
        <v>7.792207792207792E-2</v>
      </c>
      <c r="V152" s="17">
        <f t="shared" si="325"/>
        <v>0.17857142857142858</v>
      </c>
      <c r="W152" s="17">
        <f t="shared" si="325"/>
        <v>3.4965034965034968E-2</v>
      </c>
      <c r="X152" s="17">
        <f t="shared" si="325"/>
        <v>9.6153846153846159E-2</v>
      </c>
      <c r="Y152" s="17">
        <f t="shared" si="325"/>
        <v>2.5157232704402517E-2</v>
      </c>
      <c r="Z152" s="17">
        <f t="shared" si="325"/>
        <v>2.3255813953488372E-2</v>
      </c>
      <c r="AA152" s="17">
        <f t="shared" si="325"/>
        <v>2.0270270270270271E-2</v>
      </c>
      <c r="AB152" s="17">
        <f t="shared" si="325"/>
        <v>2.2222222222222223E-2</v>
      </c>
      <c r="AC152" s="17">
        <f t="shared" si="325"/>
        <v>2.7972027972027972E-2</v>
      </c>
      <c r="AD152" s="17">
        <f t="shared" si="325"/>
        <v>5.1094890510948905E-2</v>
      </c>
      <c r="AE152" s="17">
        <f t="shared" si="325"/>
        <v>0.13548387096774195</v>
      </c>
      <c r="AF152" s="17">
        <f t="shared" si="325"/>
        <v>4.4303797468354431E-2</v>
      </c>
      <c r="AG152" s="17">
        <f t="shared" si="325"/>
        <v>2.7777777777777776E-2</v>
      </c>
      <c r="AH152" s="17">
        <f t="shared" si="325"/>
        <v>0.13450292397660818</v>
      </c>
      <c r="AI152" s="17">
        <f t="shared" si="325"/>
        <v>0.10179640718562874</v>
      </c>
      <c r="AJ152" s="17">
        <f t="shared" si="325"/>
        <v>7.9710144927536225E-2</v>
      </c>
      <c r="AK152" s="17">
        <f t="shared" si="325"/>
        <v>6.0810810810810814E-2</v>
      </c>
      <c r="AL152" s="17">
        <f t="shared" si="324"/>
        <v>4.1666666666666664E-2</v>
      </c>
      <c r="AM152" s="3"/>
      <c r="AN152" s="3"/>
      <c r="AO152" s="3"/>
      <c r="AT152">
        <v>65.5</v>
      </c>
      <c r="AU152">
        <v>71</v>
      </c>
      <c r="AV152">
        <v>73.5</v>
      </c>
      <c r="AW152">
        <v>11</v>
      </c>
      <c r="AX152">
        <v>100</v>
      </c>
      <c r="AY152">
        <v>100</v>
      </c>
      <c r="AZ152">
        <v>0</v>
      </c>
      <c r="BA152">
        <v>2</v>
      </c>
      <c r="BB152">
        <v>3</v>
      </c>
    </row>
    <row r="153" spans="1:54">
      <c r="A153">
        <v>8</v>
      </c>
      <c r="B153" s="3" t="s">
        <v>7</v>
      </c>
      <c r="C153" s="3">
        <f t="shared" si="323"/>
        <v>1.1348871005282128</v>
      </c>
      <c r="D153" s="17">
        <f t="shared" si="325"/>
        <v>0.14457831325301204</v>
      </c>
      <c r="E153" s="17">
        <f t="shared" si="325"/>
        <v>9.3333333333333338E-2</v>
      </c>
      <c r="F153" s="17">
        <f t="shared" si="325"/>
        <v>3.6585365853658534E-2</v>
      </c>
      <c r="G153" s="17">
        <f t="shared" si="325"/>
        <v>8.3333333333333329E-2</v>
      </c>
      <c r="H153" s="17">
        <f t="shared" si="325"/>
        <v>8.9041095890410954E-2</v>
      </c>
      <c r="I153" s="17">
        <f t="shared" si="325"/>
        <v>8.8435374149659865E-2</v>
      </c>
      <c r="J153" s="17">
        <f t="shared" si="325"/>
        <v>2.0270270270270271E-2</v>
      </c>
      <c r="K153" s="17">
        <f t="shared" si="325"/>
        <v>0.10526315789473684</v>
      </c>
      <c r="L153" s="17">
        <f t="shared" si="325"/>
        <v>0.16564417177914109</v>
      </c>
      <c r="M153" s="17">
        <f t="shared" si="325"/>
        <v>0.16793893129770993</v>
      </c>
      <c r="N153" s="17">
        <f t="shared" si="325"/>
        <v>0.17333333333333334</v>
      </c>
      <c r="O153" s="17">
        <f t="shared" si="325"/>
        <v>0.10666666666666667</v>
      </c>
      <c r="P153" s="17">
        <f t="shared" si="325"/>
        <v>7.4829931972789115E-2</v>
      </c>
      <c r="Q153" s="17">
        <f t="shared" si="325"/>
        <v>0.19892473118279569</v>
      </c>
      <c r="R153" s="17">
        <f t="shared" si="325"/>
        <v>6.4748201438848921E-2</v>
      </c>
      <c r="S153" s="17">
        <f t="shared" si="325"/>
        <v>1.3793103448275862E-2</v>
      </c>
      <c r="T153" s="17">
        <f t="shared" si="325"/>
        <v>7.8313253012048195E-2</v>
      </c>
      <c r="U153" s="17">
        <f t="shared" si="325"/>
        <v>8.1081081081081086E-2</v>
      </c>
      <c r="V153" s="17">
        <f t="shared" si="325"/>
        <v>8.2191780821917804E-2</v>
      </c>
      <c r="W153" s="17">
        <f t="shared" si="325"/>
        <v>3.3333333333333333E-2</v>
      </c>
      <c r="X153" s="17">
        <f t="shared" si="325"/>
        <v>7.3825503355704702E-2</v>
      </c>
      <c r="Y153" s="17">
        <f t="shared" si="325"/>
        <v>0.12578616352201258</v>
      </c>
      <c r="Z153" s="17">
        <f t="shared" si="325"/>
        <v>2.4242424242424242E-2</v>
      </c>
      <c r="AA153" s="17">
        <f t="shared" si="325"/>
        <v>1.1904761904761904E-2</v>
      </c>
      <c r="AB153" s="17">
        <f t="shared" si="325"/>
        <v>9.9337748344370855E-2</v>
      </c>
      <c r="AC153" s="17">
        <f t="shared" si="325"/>
        <v>0.12903225806451613</v>
      </c>
      <c r="AD153" s="17">
        <f t="shared" si="325"/>
        <v>5.6603773584905662E-2</v>
      </c>
      <c r="AE153" s="17">
        <f t="shared" si="325"/>
        <v>7.8947368421052627E-2</v>
      </c>
      <c r="AF153" s="17">
        <f t="shared" si="325"/>
        <v>4.8951048951048952E-2</v>
      </c>
      <c r="AG153" s="17">
        <f t="shared" si="325"/>
        <v>8.2840236686390539E-2</v>
      </c>
      <c r="AH153" s="17">
        <f t="shared" si="325"/>
        <v>2.097902097902098E-2</v>
      </c>
      <c r="AI153" s="17">
        <f t="shared" si="325"/>
        <v>9.0277777777777776E-2</v>
      </c>
      <c r="AJ153" s="17">
        <f t="shared" si="325"/>
        <v>0.1038961038961039</v>
      </c>
      <c r="AK153" s="17">
        <f t="shared" si="325"/>
        <v>8.4507042253521125E-2</v>
      </c>
      <c r="AL153" s="17">
        <f t="shared" si="324"/>
        <v>7.0422535211267609E-2</v>
      </c>
      <c r="AM153" s="3"/>
      <c r="AN153" s="3"/>
      <c r="AO153" s="3"/>
      <c r="AT153">
        <v>66</v>
      </c>
      <c r="AU153">
        <v>68</v>
      </c>
      <c r="AV153">
        <v>76</v>
      </c>
      <c r="AW153">
        <v>11</v>
      </c>
      <c r="AX153">
        <v>63.6</v>
      </c>
      <c r="AY153">
        <v>81.8</v>
      </c>
      <c r="AZ153">
        <v>0</v>
      </c>
      <c r="BA153">
        <v>0</v>
      </c>
      <c r="BB153">
        <v>2</v>
      </c>
    </row>
    <row r="154" spans="1:54">
      <c r="A154">
        <v>9</v>
      </c>
      <c r="B154" s="3" t="s">
        <v>8</v>
      </c>
      <c r="C154" s="3">
        <f t="shared" si="323"/>
        <v>0.93103879881005747</v>
      </c>
      <c r="D154" s="17">
        <f t="shared" si="325"/>
        <v>5.8823529411764705E-2</v>
      </c>
      <c r="E154" s="17">
        <f t="shared" si="325"/>
        <v>6.0810810810810814E-2</v>
      </c>
      <c r="F154" s="17">
        <f t="shared" si="325"/>
        <v>0.22043010752688172</v>
      </c>
      <c r="G154" s="17">
        <f t="shared" si="325"/>
        <v>2.2058823529411766E-2</v>
      </c>
      <c r="H154" s="17">
        <f t="shared" si="325"/>
        <v>2.9411764705882353E-2</v>
      </c>
      <c r="I154" s="17">
        <f t="shared" si="325"/>
        <v>0.13186813186813187</v>
      </c>
      <c r="J154" s="17">
        <f t="shared" si="325"/>
        <v>8.2758620689655171E-2</v>
      </c>
      <c r="K154" s="17">
        <f t="shared" si="325"/>
        <v>0.10106382978723404</v>
      </c>
      <c r="L154" s="17">
        <f t="shared" si="325"/>
        <v>4.3478260869565216E-2</v>
      </c>
      <c r="M154" s="17">
        <f t="shared" si="325"/>
        <v>0.1366906474820144</v>
      </c>
      <c r="N154" s="17">
        <f t="shared" si="325"/>
        <v>9.0909090909090912E-2</v>
      </c>
      <c r="O154" s="17">
        <f t="shared" si="325"/>
        <v>9.6296296296296297E-2</v>
      </c>
      <c r="P154" s="17">
        <f t="shared" si="325"/>
        <v>7.6923076923076927E-2</v>
      </c>
      <c r="Q154" s="17">
        <f t="shared" si="325"/>
        <v>0.12162162162162163</v>
      </c>
      <c r="R154" s="17">
        <f t="shared" si="325"/>
        <v>0.18954248366013071</v>
      </c>
      <c r="S154" s="17">
        <f t="shared" si="325"/>
        <v>0.18787878787878787</v>
      </c>
      <c r="T154" s="17">
        <f t="shared" si="325"/>
        <v>0.11678832116788321</v>
      </c>
      <c r="U154" s="17">
        <f t="shared" si="325"/>
        <v>0.24074074074074073</v>
      </c>
      <c r="V154" s="17">
        <f t="shared" si="325"/>
        <v>0.12025316455696203</v>
      </c>
      <c r="W154" s="17">
        <f t="shared" si="325"/>
        <v>4.40251572327044E-2</v>
      </c>
      <c r="X154" s="17">
        <f t="shared" si="325"/>
        <v>4.1379310344827586E-2</v>
      </c>
      <c r="Y154" s="17">
        <f t="shared" si="325"/>
        <v>3.0120481927710843E-2</v>
      </c>
      <c r="Z154" s="17">
        <f t="shared" si="325"/>
        <v>1.8633540372670808E-2</v>
      </c>
      <c r="AA154" s="17">
        <f t="shared" si="325"/>
        <v>0.10191082802547771</v>
      </c>
      <c r="AB154" s="17">
        <f t="shared" si="325"/>
        <v>9.0909090909090912E-2</v>
      </c>
      <c r="AC154" s="17">
        <f t="shared" si="325"/>
        <v>2.6666666666666668E-2</v>
      </c>
      <c r="AD154" s="17">
        <f t="shared" si="325"/>
        <v>4.72972972972973E-2</v>
      </c>
      <c r="AE154" s="17">
        <f t="shared" si="325"/>
        <v>0</v>
      </c>
      <c r="AF154" s="17">
        <f t="shared" si="325"/>
        <v>0.10135135135135136</v>
      </c>
      <c r="AG154" s="17">
        <f t="shared" si="325"/>
        <v>0.1276595744680851</v>
      </c>
      <c r="AH154" s="17">
        <f t="shared" si="325"/>
        <v>8.5227272727272721E-2</v>
      </c>
      <c r="AI154" s="17">
        <f t="shared" si="325"/>
        <v>6.7484662576687116E-2</v>
      </c>
      <c r="AJ154" s="17">
        <f t="shared" si="325"/>
        <v>2.9069767441860465E-2</v>
      </c>
      <c r="AK154" s="17">
        <f t="shared" si="325"/>
        <v>7.4999999999999997E-2</v>
      </c>
      <c r="AL154" s="17">
        <f t="shared" si="324"/>
        <v>4.4303797468354431E-2</v>
      </c>
      <c r="AM154" s="3"/>
      <c r="AN154" s="3"/>
      <c r="AO154" s="3"/>
      <c r="AT154">
        <v>74.5</v>
      </c>
      <c r="AU154">
        <v>71</v>
      </c>
      <c r="AV154">
        <v>93</v>
      </c>
      <c r="AW154">
        <v>11</v>
      </c>
      <c r="AX154">
        <v>54.5</v>
      </c>
      <c r="AY154">
        <v>45.5</v>
      </c>
      <c r="AZ154">
        <v>0</v>
      </c>
      <c r="BA154">
        <v>0</v>
      </c>
      <c r="BB154">
        <v>2</v>
      </c>
    </row>
    <row r="155" spans="1:54">
      <c r="C155" s="18">
        <f>SUM(C145:C154)</f>
        <v>10.086812123529777</v>
      </c>
      <c r="D155" s="19">
        <f t="shared" ref="D155:AK155" si="326">D90/D64</f>
        <v>0.10727969348659004</v>
      </c>
      <c r="E155" s="19">
        <f t="shared" si="326"/>
        <v>0.12993630573248408</v>
      </c>
      <c r="F155" s="19">
        <f t="shared" si="326"/>
        <v>9.7749196141479103E-2</v>
      </c>
      <c r="G155" s="19">
        <f t="shared" si="326"/>
        <v>9.8757357750163505E-2</v>
      </c>
      <c r="H155" s="19">
        <f t="shared" si="326"/>
        <v>8.520179372197309E-2</v>
      </c>
      <c r="I155" s="19">
        <f t="shared" si="326"/>
        <v>8.7327642810242939E-2</v>
      </c>
      <c r="J155" s="19">
        <f t="shared" si="326"/>
        <v>9.775967413441955E-2</v>
      </c>
      <c r="K155" s="19">
        <f t="shared" si="326"/>
        <v>8.3959044368600688E-2</v>
      </c>
      <c r="L155" s="19">
        <f t="shared" si="326"/>
        <v>7.2538860103626937E-2</v>
      </c>
      <c r="M155" s="19">
        <f t="shared" si="326"/>
        <v>9.8371777476255085E-2</v>
      </c>
      <c r="N155" s="19">
        <f t="shared" si="326"/>
        <v>0.12583668005354753</v>
      </c>
      <c r="O155" s="19">
        <f t="shared" si="326"/>
        <v>8.9467005076142136E-2</v>
      </c>
      <c r="P155" s="19">
        <f t="shared" si="326"/>
        <v>9.025032938076416E-2</v>
      </c>
      <c r="Q155" s="19">
        <f t="shared" si="326"/>
        <v>0.109020116807268</v>
      </c>
      <c r="R155" s="19">
        <f t="shared" si="326"/>
        <v>9.5617529880478086E-2</v>
      </c>
      <c r="S155" s="19">
        <f t="shared" si="326"/>
        <v>7.277628032345014E-2</v>
      </c>
      <c r="T155" s="19">
        <f t="shared" si="326"/>
        <v>5.9546925566343042E-2</v>
      </c>
      <c r="U155" s="19">
        <f t="shared" si="326"/>
        <v>0.1037673496364838</v>
      </c>
      <c r="V155" s="19">
        <f t="shared" si="326"/>
        <v>0.13051948051948051</v>
      </c>
      <c r="W155" s="19">
        <f t="shared" si="326"/>
        <v>4.3648208469055372E-2</v>
      </c>
      <c r="X155" s="19">
        <f t="shared" si="326"/>
        <v>6.4085447263017362E-2</v>
      </c>
      <c r="Y155" s="19">
        <f t="shared" si="326"/>
        <v>4.4388078630310718E-2</v>
      </c>
      <c r="Z155" s="19">
        <f t="shared" si="326"/>
        <v>5.1114023591087812E-2</v>
      </c>
      <c r="AA155" s="19">
        <f t="shared" si="326"/>
        <v>4.353393085787452E-2</v>
      </c>
      <c r="AB155" s="19">
        <f t="shared" si="326"/>
        <v>9.5744680851063829E-2</v>
      </c>
      <c r="AC155" s="19">
        <f t="shared" si="326"/>
        <v>5.6742323097463285E-2</v>
      </c>
      <c r="AD155" s="19">
        <f t="shared" si="326"/>
        <v>6.5746219592373437E-2</v>
      </c>
      <c r="AE155" s="19">
        <f t="shared" si="326"/>
        <v>8.0103359173126609E-2</v>
      </c>
      <c r="AF155" s="19">
        <f t="shared" si="326"/>
        <v>6.5712426805465185E-2</v>
      </c>
      <c r="AG155" s="19">
        <f t="shared" si="326"/>
        <v>7.1566731141199227E-2</v>
      </c>
      <c r="AH155" s="19">
        <f t="shared" si="326"/>
        <v>7.2762395363811974E-2</v>
      </c>
      <c r="AI155" s="19">
        <f t="shared" si="326"/>
        <v>7.7651515151515152E-2</v>
      </c>
      <c r="AJ155" s="19">
        <f t="shared" si="326"/>
        <v>6.8942875902823372E-2</v>
      </c>
      <c r="AK155" s="19">
        <f t="shared" si="326"/>
        <v>5.6653491436100128E-2</v>
      </c>
      <c r="AL155" s="19">
        <f>AL90/AL64</f>
        <v>5.9960026648900731E-2</v>
      </c>
      <c r="AM155" s="18">
        <f t="shared" ref="AM155:AO155" si="327">SUM(AM145:AM154)</f>
        <v>0</v>
      </c>
      <c r="AN155" s="18">
        <f t="shared" si="327"/>
        <v>0</v>
      </c>
      <c r="AO155" s="18">
        <f t="shared" si="327"/>
        <v>0</v>
      </c>
      <c r="AT155">
        <v>65</v>
      </c>
      <c r="AU155">
        <v>68</v>
      </c>
      <c r="AV155">
        <v>74</v>
      </c>
      <c r="AW155">
        <v>10</v>
      </c>
      <c r="AX155">
        <v>81.8</v>
      </c>
      <c r="AY155">
        <v>81.8</v>
      </c>
      <c r="AZ155">
        <v>0</v>
      </c>
      <c r="BA155">
        <v>0</v>
      </c>
      <c r="BB155">
        <v>0</v>
      </c>
    </row>
    <row r="156" spans="1:54">
      <c r="AT156" t="s">
        <v>24</v>
      </c>
    </row>
    <row r="157" spans="1:54">
      <c r="AT157">
        <v>70.5</v>
      </c>
      <c r="AU157">
        <v>69</v>
      </c>
      <c r="AV157">
        <v>79</v>
      </c>
      <c r="AW157">
        <v>11</v>
      </c>
      <c r="AX157">
        <v>72.7</v>
      </c>
      <c r="AY157">
        <v>63.6</v>
      </c>
      <c r="AZ157">
        <v>0</v>
      </c>
      <c r="BA157">
        <v>0</v>
      </c>
      <c r="BB157">
        <v>2</v>
      </c>
    </row>
    <row r="158" spans="1:54">
      <c r="AT158">
        <v>67.5</v>
      </c>
      <c r="AU158">
        <v>66.5</v>
      </c>
      <c r="AV158">
        <v>71</v>
      </c>
      <c r="AW158">
        <v>11</v>
      </c>
      <c r="AX158">
        <v>72.7</v>
      </c>
      <c r="AY158">
        <v>72.7</v>
      </c>
      <c r="AZ158">
        <v>0</v>
      </c>
      <c r="BA158">
        <v>0</v>
      </c>
      <c r="BB158">
        <v>0</v>
      </c>
    </row>
    <row r="159" spans="1:54">
      <c r="AT159">
        <v>63</v>
      </c>
      <c r="AU159">
        <v>65</v>
      </c>
      <c r="AV159">
        <v>78</v>
      </c>
      <c r="AW159">
        <v>11</v>
      </c>
      <c r="AX159">
        <v>63.6</v>
      </c>
      <c r="AY159">
        <v>72.7</v>
      </c>
      <c r="AZ159">
        <v>0</v>
      </c>
      <c r="BA159">
        <v>0</v>
      </c>
      <c r="BB159">
        <v>3</v>
      </c>
    </row>
    <row r="160" spans="1:54">
      <c r="AT160">
        <v>75</v>
      </c>
      <c r="AU160">
        <v>75</v>
      </c>
      <c r="AV160">
        <v>82</v>
      </c>
      <c r="AW160">
        <v>11</v>
      </c>
      <c r="AX160">
        <v>72.7</v>
      </c>
      <c r="AY160">
        <v>63.6</v>
      </c>
      <c r="AZ160">
        <v>0</v>
      </c>
      <c r="BA160">
        <v>0</v>
      </c>
      <c r="BB160">
        <v>3</v>
      </c>
    </row>
    <row r="161" spans="46:54">
      <c r="AT161">
        <v>79</v>
      </c>
      <c r="AU161">
        <v>78</v>
      </c>
      <c r="AV161">
        <v>82</v>
      </c>
      <c r="AW161">
        <v>11</v>
      </c>
      <c r="AX161">
        <v>90.9</v>
      </c>
      <c r="AY161">
        <v>90.9</v>
      </c>
      <c r="AZ161">
        <v>2</v>
      </c>
      <c r="BA161">
        <v>1</v>
      </c>
      <c r="BB161">
        <v>3</v>
      </c>
    </row>
    <row r="162" spans="46:54">
      <c r="AT162">
        <v>66</v>
      </c>
      <c r="AU162">
        <v>65.5</v>
      </c>
      <c r="AV162">
        <v>70.5</v>
      </c>
      <c r="AW162">
        <v>11</v>
      </c>
      <c r="AX162">
        <v>90.9</v>
      </c>
      <c r="AY162">
        <v>81.8</v>
      </c>
      <c r="AZ162">
        <v>0</v>
      </c>
      <c r="BA162">
        <v>0</v>
      </c>
      <c r="BB162">
        <v>1</v>
      </c>
    </row>
    <row r="163" spans="46:54">
      <c r="AT163">
        <v>60</v>
      </c>
      <c r="AU163">
        <v>61.5</v>
      </c>
      <c r="AV163">
        <v>67.5</v>
      </c>
      <c r="AW163">
        <v>11</v>
      </c>
      <c r="AX163">
        <v>63.6</v>
      </c>
      <c r="AY163">
        <v>72.7</v>
      </c>
      <c r="AZ163">
        <v>0</v>
      </c>
      <c r="BA163">
        <v>0</v>
      </c>
      <c r="BB163">
        <v>2</v>
      </c>
    </row>
    <row r="164" spans="46:54">
      <c r="AT164">
        <v>73</v>
      </c>
      <c r="AU164">
        <v>72</v>
      </c>
      <c r="AV164">
        <v>77</v>
      </c>
      <c r="AW164">
        <v>11</v>
      </c>
      <c r="AX164">
        <v>81.8</v>
      </c>
      <c r="AY164">
        <v>81.8</v>
      </c>
      <c r="AZ164">
        <v>0</v>
      </c>
      <c r="BA164">
        <v>0</v>
      </c>
      <c r="BB164">
        <v>1</v>
      </c>
    </row>
    <row r="165" spans="46:54">
      <c r="AT165">
        <v>65</v>
      </c>
      <c r="AU165">
        <v>63</v>
      </c>
      <c r="AV165">
        <v>69.5</v>
      </c>
      <c r="AW165">
        <v>11</v>
      </c>
      <c r="AX165">
        <v>90.9</v>
      </c>
      <c r="AY165">
        <v>81.8</v>
      </c>
      <c r="AZ165">
        <v>0</v>
      </c>
      <c r="BA165">
        <v>0</v>
      </c>
      <c r="BB165">
        <v>0</v>
      </c>
    </row>
    <row r="166" spans="46:54">
      <c r="AT166">
        <v>62</v>
      </c>
      <c r="AU166">
        <v>65</v>
      </c>
      <c r="AV166">
        <v>76.5</v>
      </c>
      <c r="AW166">
        <v>10</v>
      </c>
      <c r="AX166">
        <v>63.6</v>
      </c>
      <c r="AY166">
        <v>72.7</v>
      </c>
      <c r="AZ166">
        <v>0</v>
      </c>
      <c r="BA166">
        <v>1</v>
      </c>
      <c r="BB166">
        <v>2</v>
      </c>
    </row>
    <row r="167" spans="46:54">
      <c r="AT167" t="s">
        <v>25</v>
      </c>
    </row>
    <row r="168" spans="46:54">
      <c r="AT168">
        <v>69.5</v>
      </c>
      <c r="AU168">
        <v>71.5</v>
      </c>
      <c r="AV168">
        <v>78</v>
      </c>
      <c r="AW168">
        <v>11</v>
      </c>
      <c r="AX168">
        <v>81.8</v>
      </c>
      <c r="AY168">
        <v>81.8</v>
      </c>
      <c r="AZ168">
        <v>0</v>
      </c>
      <c r="BA168">
        <v>0</v>
      </c>
      <c r="BB168">
        <v>3</v>
      </c>
    </row>
    <row r="169" spans="46:54">
      <c r="AT169">
        <v>64</v>
      </c>
      <c r="AU169">
        <v>63.5</v>
      </c>
      <c r="AV169">
        <v>66.5</v>
      </c>
      <c r="AW169">
        <v>11</v>
      </c>
      <c r="AX169">
        <v>81.8</v>
      </c>
      <c r="AY169">
        <v>72.7</v>
      </c>
      <c r="AZ169">
        <v>0</v>
      </c>
      <c r="BA169">
        <v>0</v>
      </c>
      <c r="BB169">
        <v>1</v>
      </c>
    </row>
    <row r="170" spans="46:54">
      <c r="AT170">
        <v>66.5</v>
      </c>
      <c r="AU170">
        <v>66.5</v>
      </c>
      <c r="AV170">
        <v>71.5</v>
      </c>
      <c r="AW170">
        <v>11</v>
      </c>
      <c r="AX170">
        <v>72.7</v>
      </c>
      <c r="AY170">
        <v>81.8</v>
      </c>
      <c r="AZ170">
        <v>2</v>
      </c>
      <c r="BA170">
        <v>1</v>
      </c>
      <c r="BB170">
        <v>3</v>
      </c>
    </row>
    <row r="171" spans="46:54">
      <c r="AT171">
        <v>66</v>
      </c>
      <c r="AU171">
        <v>66</v>
      </c>
      <c r="AV171">
        <v>68.5</v>
      </c>
      <c r="AW171">
        <v>11</v>
      </c>
      <c r="AX171">
        <v>72.7</v>
      </c>
      <c r="AY171">
        <v>72.7</v>
      </c>
      <c r="AZ171">
        <v>3</v>
      </c>
      <c r="BA171">
        <v>3</v>
      </c>
      <c r="BB171">
        <v>3</v>
      </c>
    </row>
    <row r="172" spans="46:54">
      <c r="AT172">
        <v>71</v>
      </c>
      <c r="AU172">
        <v>71</v>
      </c>
      <c r="AV172">
        <v>74</v>
      </c>
      <c r="AW172">
        <v>11</v>
      </c>
      <c r="AX172">
        <v>72.7</v>
      </c>
      <c r="AY172">
        <v>72.7</v>
      </c>
      <c r="AZ172">
        <v>2</v>
      </c>
      <c r="BA172">
        <v>2</v>
      </c>
      <c r="BB172">
        <v>3</v>
      </c>
    </row>
    <row r="173" spans="46:54">
      <c r="AT173">
        <v>72</v>
      </c>
      <c r="AU173">
        <v>76</v>
      </c>
      <c r="AV173">
        <v>81</v>
      </c>
      <c r="AW173">
        <v>11</v>
      </c>
      <c r="AX173">
        <v>72.7</v>
      </c>
      <c r="AY173">
        <v>72.7</v>
      </c>
      <c r="AZ173">
        <v>2</v>
      </c>
      <c r="BA173">
        <v>2</v>
      </c>
      <c r="BB173">
        <v>3</v>
      </c>
    </row>
    <row r="174" spans="46:54">
      <c r="AT174">
        <v>70</v>
      </c>
      <c r="AU174">
        <v>70.5</v>
      </c>
      <c r="AV174">
        <v>74.5</v>
      </c>
      <c r="AW174">
        <v>11</v>
      </c>
      <c r="AX174">
        <v>81.8</v>
      </c>
      <c r="AY174">
        <v>81.8</v>
      </c>
      <c r="AZ174">
        <v>2</v>
      </c>
      <c r="BA174">
        <v>2</v>
      </c>
      <c r="BB174">
        <v>3</v>
      </c>
    </row>
    <row r="175" spans="46:54">
      <c r="AT175">
        <v>70.5</v>
      </c>
      <c r="AU175">
        <v>67</v>
      </c>
      <c r="AV175">
        <v>73</v>
      </c>
      <c r="AW175">
        <v>11</v>
      </c>
      <c r="AX175">
        <v>81.8</v>
      </c>
      <c r="AY175">
        <v>72.7</v>
      </c>
      <c r="AZ175">
        <v>3</v>
      </c>
      <c r="BA175">
        <v>0</v>
      </c>
      <c r="BB175">
        <v>3</v>
      </c>
    </row>
    <row r="176" spans="46:54">
      <c r="AT176">
        <v>71.5</v>
      </c>
      <c r="AU176">
        <v>68</v>
      </c>
      <c r="AV176">
        <v>72.5</v>
      </c>
      <c r="AW176">
        <v>11</v>
      </c>
      <c r="AX176">
        <v>81.8</v>
      </c>
      <c r="AY176">
        <v>81.8</v>
      </c>
      <c r="AZ176">
        <v>3</v>
      </c>
      <c r="BA176">
        <v>3</v>
      </c>
      <c r="BB176">
        <v>3</v>
      </c>
    </row>
    <row r="177" spans="46:54">
      <c r="AT177">
        <v>67</v>
      </c>
      <c r="AU177">
        <v>74.5</v>
      </c>
      <c r="AV177">
        <v>82.5</v>
      </c>
      <c r="AW177">
        <v>11</v>
      </c>
      <c r="AX177">
        <v>81.8</v>
      </c>
      <c r="AY177">
        <v>81.8</v>
      </c>
      <c r="AZ177">
        <v>1</v>
      </c>
      <c r="BA177">
        <v>1</v>
      </c>
      <c r="BB177">
        <v>3</v>
      </c>
    </row>
    <row r="178" spans="46:54">
      <c r="AT178" t="s">
        <v>26</v>
      </c>
    </row>
    <row r="179" spans="46:54">
      <c r="AT179">
        <v>81</v>
      </c>
      <c r="AU179">
        <v>82.5</v>
      </c>
      <c r="AV179">
        <v>84</v>
      </c>
      <c r="AW179">
        <v>11</v>
      </c>
      <c r="AX179">
        <v>90.9</v>
      </c>
      <c r="AY179">
        <v>90.9</v>
      </c>
      <c r="AZ179">
        <v>1</v>
      </c>
      <c r="BA179">
        <v>1</v>
      </c>
      <c r="BB179">
        <v>2</v>
      </c>
    </row>
    <row r="180" spans="46:54">
      <c r="AT180">
        <v>65</v>
      </c>
      <c r="AU180">
        <v>62.5</v>
      </c>
      <c r="AV180">
        <v>69.5</v>
      </c>
      <c r="AW180">
        <v>10</v>
      </c>
      <c r="AX180">
        <v>90.9</v>
      </c>
      <c r="AY180">
        <v>90.9</v>
      </c>
      <c r="AZ180">
        <v>0</v>
      </c>
      <c r="BA180">
        <v>0</v>
      </c>
      <c r="BB180">
        <v>0</v>
      </c>
    </row>
    <row r="181" spans="46:54">
      <c r="AT181">
        <v>73.5</v>
      </c>
      <c r="AU181">
        <v>75</v>
      </c>
      <c r="AV181">
        <v>77</v>
      </c>
      <c r="AW181">
        <v>11</v>
      </c>
      <c r="AX181">
        <v>81.8</v>
      </c>
      <c r="AY181">
        <v>81.8</v>
      </c>
      <c r="AZ181">
        <v>0</v>
      </c>
      <c r="BA181">
        <v>1</v>
      </c>
      <c r="BB181">
        <v>2</v>
      </c>
    </row>
    <row r="182" spans="46:54">
      <c r="AT182">
        <v>89</v>
      </c>
      <c r="AU182">
        <v>85.5</v>
      </c>
      <c r="AV182">
        <v>91</v>
      </c>
      <c r="AW182">
        <v>11</v>
      </c>
      <c r="AX182">
        <v>100</v>
      </c>
      <c r="AY182">
        <v>100</v>
      </c>
      <c r="AZ182">
        <v>1</v>
      </c>
      <c r="BA182">
        <v>1</v>
      </c>
      <c r="BB182">
        <v>3</v>
      </c>
    </row>
    <row r="183" spans="46:54">
      <c r="AT183">
        <v>71</v>
      </c>
      <c r="AU183">
        <v>70</v>
      </c>
      <c r="AV183">
        <v>76.5</v>
      </c>
      <c r="AW183">
        <v>11</v>
      </c>
      <c r="AX183">
        <v>81.8</v>
      </c>
      <c r="AY183">
        <v>90.9</v>
      </c>
      <c r="AZ183">
        <v>2</v>
      </c>
      <c r="BA183">
        <v>1</v>
      </c>
      <c r="BB183">
        <v>2</v>
      </c>
    </row>
    <row r="184" spans="46:54">
      <c r="AT184">
        <v>73.5</v>
      </c>
      <c r="AU184">
        <v>71</v>
      </c>
      <c r="AV184">
        <v>77.5</v>
      </c>
      <c r="AW184">
        <v>11</v>
      </c>
      <c r="AX184">
        <v>72.7</v>
      </c>
      <c r="AY184">
        <v>63.6</v>
      </c>
      <c r="AZ184">
        <v>0</v>
      </c>
      <c r="BA184">
        <v>0</v>
      </c>
      <c r="BB184">
        <v>1</v>
      </c>
    </row>
    <row r="185" spans="46:54">
      <c r="AT185">
        <v>68</v>
      </c>
      <c r="AU185">
        <v>69</v>
      </c>
      <c r="AV185">
        <v>70.5</v>
      </c>
      <c r="AW185">
        <v>11</v>
      </c>
      <c r="AX185">
        <v>72.7</v>
      </c>
      <c r="AY185">
        <v>90.9</v>
      </c>
      <c r="AZ185">
        <v>0</v>
      </c>
      <c r="BA185">
        <v>0</v>
      </c>
      <c r="BB185">
        <v>0</v>
      </c>
    </row>
    <row r="186" spans="46:54">
      <c r="AT186">
        <v>68.5</v>
      </c>
      <c r="AU186">
        <v>65.5</v>
      </c>
      <c r="AV186">
        <v>75</v>
      </c>
      <c r="AW186">
        <v>11</v>
      </c>
      <c r="AX186">
        <v>81.8</v>
      </c>
      <c r="AY186">
        <v>72.7</v>
      </c>
      <c r="AZ186">
        <v>1</v>
      </c>
      <c r="BA186">
        <v>1</v>
      </c>
      <c r="BB186">
        <v>2</v>
      </c>
    </row>
    <row r="187" spans="46:54">
      <c r="AT187">
        <v>76.5</v>
      </c>
      <c r="AU187">
        <v>75</v>
      </c>
      <c r="AV187">
        <v>83</v>
      </c>
      <c r="AW187">
        <v>11</v>
      </c>
      <c r="AX187">
        <v>100</v>
      </c>
      <c r="AY187">
        <v>90.9</v>
      </c>
      <c r="AZ187">
        <v>1</v>
      </c>
      <c r="BA187">
        <v>1</v>
      </c>
      <c r="BB187">
        <v>3</v>
      </c>
    </row>
    <row r="188" spans="46:54">
      <c r="AT188">
        <v>60.5</v>
      </c>
      <c r="AU188">
        <v>65.5</v>
      </c>
      <c r="AV188">
        <v>68.5</v>
      </c>
      <c r="AW188">
        <v>10</v>
      </c>
      <c r="AX188">
        <v>63.6</v>
      </c>
      <c r="AY188">
        <v>63.6</v>
      </c>
      <c r="AZ188">
        <v>0</v>
      </c>
      <c r="BA188">
        <v>0</v>
      </c>
      <c r="BB188">
        <v>0</v>
      </c>
    </row>
    <row r="189" spans="46:54">
      <c r="AT189" t="s">
        <v>27</v>
      </c>
    </row>
    <row r="190" spans="46:54">
      <c r="AT190">
        <v>70</v>
      </c>
      <c r="AU190">
        <v>66</v>
      </c>
      <c r="AV190">
        <v>75</v>
      </c>
      <c r="AW190">
        <v>11</v>
      </c>
      <c r="AX190">
        <v>72.7</v>
      </c>
      <c r="AY190">
        <v>72.7</v>
      </c>
      <c r="AZ190">
        <v>0</v>
      </c>
      <c r="BA190">
        <v>0</v>
      </c>
      <c r="BB190">
        <v>1</v>
      </c>
    </row>
    <row r="191" spans="46:54">
      <c r="AT191">
        <v>52</v>
      </c>
      <c r="AU191">
        <v>65</v>
      </c>
      <c r="AV191">
        <v>65</v>
      </c>
      <c r="AW191">
        <v>9</v>
      </c>
      <c r="AX191">
        <v>72.7</v>
      </c>
      <c r="AY191">
        <v>90.9</v>
      </c>
      <c r="AZ191">
        <v>0</v>
      </c>
      <c r="BA191">
        <v>0</v>
      </c>
      <c r="BB191">
        <v>0</v>
      </c>
    </row>
    <row r="192" spans="46:54">
      <c r="AT192">
        <v>70.5</v>
      </c>
      <c r="AU192">
        <v>70</v>
      </c>
      <c r="AV192">
        <v>75</v>
      </c>
      <c r="AW192">
        <v>11</v>
      </c>
      <c r="AX192">
        <v>72.7</v>
      </c>
      <c r="AY192">
        <v>72.7</v>
      </c>
      <c r="AZ192">
        <v>0</v>
      </c>
      <c r="BA192">
        <v>0</v>
      </c>
      <c r="BB192">
        <v>1</v>
      </c>
    </row>
    <row r="193" spans="46:54">
      <c r="AT193">
        <v>62.5</v>
      </c>
      <c r="AU193">
        <v>61.5</v>
      </c>
      <c r="AV193">
        <v>73.5</v>
      </c>
      <c r="AW193">
        <v>11</v>
      </c>
      <c r="AX193">
        <v>63.6</v>
      </c>
      <c r="AY193">
        <v>63.6</v>
      </c>
      <c r="AZ193">
        <v>0</v>
      </c>
      <c r="BA193">
        <v>0</v>
      </c>
      <c r="BB193">
        <v>3</v>
      </c>
    </row>
    <row r="194" spans="46:54">
      <c r="AT194">
        <v>71.5</v>
      </c>
      <c r="AU194">
        <v>73</v>
      </c>
      <c r="AV194">
        <v>75</v>
      </c>
      <c r="AW194">
        <v>11</v>
      </c>
      <c r="AX194">
        <v>90.9</v>
      </c>
      <c r="AY194">
        <v>90.9</v>
      </c>
      <c r="AZ194">
        <v>1</v>
      </c>
      <c r="BA194">
        <v>1</v>
      </c>
      <c r="BB194">
        <v>2</v>
      </c>
    </row>
    <row r="195" spans="46:54">
      <c r="AT195">
        <v>78.5</v>
      </c>
      <c r="AU195">
        <v>66</v>
      </c>
      <c r="AV195">
        <v>86</v>
      </c>
      <c r="AW195">
        <v>11</v>
      </c>
      <c r="AX195">
        <v>81.8</v>
      </c>
      <c r="AY195">
        <v>72.7</v>
      </c>
      <c r="AZ195">
        <v>1</v>
      </c>
      <c r="BA195">
        <v>1</v>
      </c>
      <c r="BB195">
        <v>3</v>
      </c>
    </row>
    <row r="196" spans="46:54">
      <c r="AT196">
        <v>72.5</v>
      </c>
      <c r="AU196">
        <v>72.5</v>
      </c>
      <c r="AV196">
        <v>75</v>
      </c>
      <c r="AW196">
        <v>11</v>
      </c>
      <c r="AX196">
        <v>90.9</v>
      </c>
      <c r="AY196">
        <v>90.9</v>
      </c>
      <c r="AZ196">
        <v>0</v>
      </c>
      <c r="BA196">
        <v>0</v>
      </c>
      <c r="BB196">
        <v>2</v>
      </c>
    </row>
    <row r="197" spans="46:54">
      <c r="AT197">
        <v>71</v>
      </c>
      <c r="AU197">
        <v>69</v>
      </c>
      <c r="AV197">
        <v>77</v>
      </c>
      <c r="AW197">
        <v>11</v>
      </c>
      <c r="AX197">
        <v>90.9</v>
      </c>
      <c r="AY197">
        <v>90.9</v>
      </c>
      <c r="AZ197">
        <v>0</v>
      </c>
      <c r="BA197">
        <v>0</v>
      </c>
      <c r="BB197">
        <v>0</v>
      </c>
    </row>
    <row r="198" spans="46:54">
      <c r="AT198">
        <v>68</v>
      </c>
      <c r="AU198">
        <v>66.5</v>
      </c>
      <c r="AV198">
        <v>74</v>
      </c>
      <c r="AW198">
        <v>11</v>
      </c>
      <c r="AX198">
        <v>63.6</v>
      </c>
      <c r="AY198">
        <v>54.5</v>
      </c>
      <c r="AZ198">
        <v>1</v>
      </c>
      <c r="BA198">
        <v>1</v>
      </c>
      <c r="BB198">
        <v>3</v>
      </c>
    </row>
    <row r="199" spans="46:54">
      <c r="AT199">
        <v>61.5</v>
      </c>
      <c r="AU199">
        <v>76</v>
      </c>
      <c r="AV199">
        <v>81</v>
      </c>
      <c r="AW199">
        <v>10</v>
      </c>
      <c r="AX199">
        <v>63.6</v>
      </c>
      <c r="AY199">
        <v>72.7</v>
      </c>
      <c r="AZ199">
        <v>0</v>
      </c>
      <c r="BA199">
        <v>0</v>
      </c>
      <c r="BB199">
        <v>2</v>
      </c>
    </row>
    <row r="200" spans="46:54">
      <c r="AT200" t="s">
        <v>28</v>
      </c>
    </row>
    <row r="201" spans="46:54">
      <c r="AT201">
        <v>80.5</v>
      </c>
      <c r="AU201">
        <v>75.5</v>
      </c>
      <c r="AV201">
        <v>89</v>
      </c>
      <c r="AW201">
        <v>11</v>
      </c>
      <c r="AX201">
        <v>54.5</v>
      </c>
      <c r="AY201">
        <v>45.5</v>
      </c>
      <c r="AZ201">
        <v>0</v>
      </c>
      <c r="BA201">
        <v>0</v>
      </c>
      <c r="BB201">
        <v>2</v>
      </c>
    </row>
    <row r="202" spans="46:54">
      <c r="AT202">
        <v>68</v>
      </c>
      <c r="AU202">
        <v>67</v>
      </c>
      <c r="AV202">
        <v>71</v>
      </c>
      <c r="AW202">
        <v>11</v>
      </c>
      <c r="AX202">
        <v>81.8</v>
      </c>
      <c r="AY202">
        <v>72.7</v>
      </c>
      <c r="AZ202">
        <v>0</v>
      </c>
      <c r="BA202">
        <v>0</v>
      </c>
      <c r="BB202">
        <v>0</v>
      </c>
    </row>
    <row r="203" spans="46:54">
      <c r="AT203">
        <v>74.5</v>
      </c>
      <c r="AU203">
        <v>78.5</v>
      </c>
      <c r="AV203">
        <v>86.5</v>
      </c>
      <c r="AW203">
        <v>11</v>
      </c>
      <c r="AX203">
        <v>63.6</v>
      </c>
      <c r="AY203">
        <v>81.8</v>
      </c>
      <c r="AZ203">
        <v>0</v>
      </c>
      <c r="BA203">
        <v>0</v>
      </c>
      <c r="BB203">
        <v>1</v>
      </c>
    </row>
    <row r="204" spans="46:54">
      <c r="AT204">
        <v>71.5</v>
      </c>
      <c r="AU204">
        <v>71</v>
      </c>
      <c r="AV204">
        <v>76.5</v>
      </c>
      <c r="AW204">
        <v>11</v>
      </c>
      <c r="AX204">
        <v>72.7</v>
      </c>
      <c r="AY204">
        <v>63.6</v>
      </c>
      <c r="AZ204">
        <v>0</v>
      </c>
      <c r="BA204">
        <v>0</v>
      </c>
      <c r="BB204">
        <v>0</v>
      </c>
    </row>
    <row r="205" spans="46:54">
      <c r="AT205">
        <v>47</v>
      </c>
      <c r="AU205">
        <v>66.5</v>
      </c>
      <c r="AV205">
        <v>67</v>
      </c>
      <c r="AW205">
        <v>8</v>
      </c>
      <c r="AX205">
        <v>63.6</v>
      </c>
      <c r="AY205">
        <v>100</v>
      </c>
      <c r="AZ205">
        <v>0</v>
      </c>
      <c r="BA205">
        <v>0</v>
      </c>
      <c r="BB205">
        <v>0</v>
      </c>
    </row>
    <row r="206" spans="46:54">
      <c r="AT206">
        <v>66.5</v>
      </c>
      <c r="AU206">
        <v>70</v>
      </c>
      <c r="AV206">
        <v>86</v>
      </c>
      <c r="AW206">
        <v>11</v>
      </c>
      <c r="AX206">
        <v>63.6</v>
      </c>
      <c r="AY206">
        <v>63.6</v>
      </c>
      <c r="AZ206">
        <v>0</v>
      </c>
      <c r="BA206">
        <v>1</v>
      </c>
      <c r="BB206">
        <v>3</v>
      </c>
    </row>
    <row r="207" spans="46:54">
      <c r="AT207">
        <v>67.5</v>
      </c>
      <c r="AU207">
        <v>67.5</v>
      </c>
      <c r="AV207">
        <v>72</v>
      </c>
      <c r="AW207">
        <v>11</v>
      </c>
      <c r="AX207">
        <v>81.8</v>
      </c>
      <c r="AY207">
        <v>81.8</v>
      </c>
      <c r="AZ207">
        <v>0</v>
      </c>
      <c r="BA207">
        <v>0</v>
      </c>
      <c r="BB207">
        <v>2</v>
      </c>
    </row>
    <row r="208" spans="46:54">
      <c r="AT208">
        <v>57.5</v>
      </c>
      <c r="AU208">
        <v>67</v>
      </c>
      <c r="AV208">
        <v>70</v>
      </c>
      <c r="AW208">
        <v>10</v>
      </c>
      <c r="AX208">
        <v>63.6</v>
      </c>
      <c r="AY208">
        <v>81.8</v>
      </c>
      <c r="AZ208">
        <v>0</v>
      </c>
      <c r="BA208">
        <v>1</v>
      </c>
      <c r="BB208">
        <v>2</v>
      </c>
    </row>
    <row r="209" spans="46:54">
      <c r="AT209">
        <v>67</v>
      </c>
      <c r="AU209">
        <v>65</v>
      </c>
      <c r="AV209">
        <v>73</v>
      </c>
      <c r="AW209">
        <v>11</v>
      </c>
      <c r="AX209">
        <v>90.9</v>
      </c>
      <c r="AY209">
        <v>81.8</v>
      </c>
      <c r="AZ209">
        <v>0</v>
      </c>
      <c r="BA209">
        <v>0</v>
      </c>
      <c r="BB209">
        <v>0</v>
      </c>
    </row>
    <row r="210" spans="46:54">
      <c r="AT210">
        <v>69.5</v>
      </c>
      <c r="AU210">
        <v>74.5</v>
      </c>
      <c r="AV210">
        <v>79</v>
      </c>
      <c r="AW210">
        <v>11</v>
      </c>
      <c r="AX210">
        <v>63.6</v>
      </c>
      <c r="AY210">
        <v>72.7</v>
      </c>
      <c r="AZ210">
        <v>0</v>
      </c>
      <c r="BA210">
        <v>0</v>
      </c>
      <c r="BB210">
        <v>0</v>
      </c>
    </row>
    <row r="211" spans="46:54">
      <c r="AT211" t="s">
        <v>29</v>
      </c>
    </row>
    <row r="212" spans="46:54">
      <c r="AT212">
        <v>72.5</v>
      </c>
      <c r="AU212">
        <v>73</v>
      </c>
      <c r="AV212">
        <v>79</v>
      </c>
      <c r="AW212">
        <v>11</v>
      </c>
      <c r="AX212">
        <v>81.8</v>
      </c>
      <c r="AY212">
        <v>81.8</v>
      </c>
      <c r="AZ212">
        <v>1</v>
      </c>
      <c r="BA212">
        <v>1</v>
      </c>
      <c r="BB212">
        <v>3</v>
      </c>
    </row>
    <row r="213" spans="46:54">
      <c r="AT213">
        <v>69.5</v>
      </c>
      <c r="AU213">
        <v>69.5</v>
      </c>
      <c r="AV213">
        <v>69.5</v>
      </c>
      <c r="AW213">
        <v>11</v>
      </c>
      <c r="AX213">
        <v>100</v>
      </c>
      <c r="AY213">
        <v>100</v>
      </c>
      <c r="AZ213">
        <v>0</v>
      </c>
      <c r="BA213">
        <v>0</v>
      </c>
      <c r="BB213">
        <v>0</v>
      </c>
    </row>
    <row r="214" spans="46:54">
      <c r="AT214">
        <v>78.5</v>
      </c>
      <c r="AU214">
        <v>79.5</v>
      </c>
      <c r="AV214">
        <v>82</v>
      </c>
      <c r="AW214">
        <v>11</v>
      </c>
      <c r="AX214">
        <v>81.8</v>
      </c>
      <c r="AY214">
        <v>90.9</v>
      </c>
      <c r="AZ214">
        <v>1</v>
      </c>
      <c r="BA214">
        <v>1</v>
      </c>
      <c r="BB214">
        <v>3</v>
      </c>
    </row>
    <row r="215" spans="46:54">
      <c r="AT215">
        <v>75</v>
      </c>
      <c r="AU215">
        <v>75.5</v>
      </c>
      <c r="AV215">
        <v>78.5</v>
      </c>
      <c r="AW215">
        <v>11</v>
      </c>
      <c r="AX215">
        <v>72.7</v>
      </c>
      <c r="AY215">
        <v>81.8</v>
      </c>
      <c r="AZ215">
        <v>0</v>
      </c>
      <c r="BA215">
        <v>0</v>
      </c>
      <c r="BB215">
        <v>1</v>
      </c>
    </row>
    <row r="216" spans="46:54">
      <c r="AT216">
        <v>73</v>
      </c>
      <c r="AU216">
        <v>73</v>
      </c>
      <c r="AV216">
        <v>74.5</v>
      </c>
      <c r="AW216">
        <v>11</v>
      </c>
      <c r="AX216">
        <v>90.9</v>
      </c>
      <c r="AY216">
        <v>90.9</v>
      </c>
      <c r="AZ216">
        <v>0</v>
      </c>
      <c r="BA216">
        <v>0</v>
      </c>
      <c r="BB216">
        <v>1</v>
      </c>
    </row>
    <row r="217" spans="46:54">
      <c r="AT217">
        <v>76</v>
      </c>
      <c r="AU217">
        <v>75</v>
      </c>
      <c r="AV217">
        <v>81</v>
      </c>
      <c r="AW217">
        <v>11</v>
      </c>
      <c r="AX217">
        <v>81.8</v>
      </c>
      <c r="AY217">
        <v>81.8</v>
      </c>
      <c r="AZ217">
        <v>0</v>
      </c>
      <c r="BA217">
        <v>0</v>
      </c>
      <c r="BB217">
        <v>3</v>
      </c>
    </row>
    <row r="218" spans="46:54">
      <c r="AT218">
        <v>72</v>
      </c>
      <c r="AU218">
        <v>66.5</v>
      </c>
      <c r="AV218">
        <v>77</v>
      </c>
      <c r="AW218">
        <v>11</v>
      </c>
      <c r="AX218">
        <v>90.9</v>
      </c>
      <c r="AY218">
        <v>90.9</v>
      </c>
      <c r="AZ218">
        <v>0</v>
      </c>
      <c r="BA218">
        <v>0</v>
      </c>
      <c r="BB218">
        <v>0</v>
      </c>
    </row>
    <row r="219" spans="46:54">
      <c r="AT219">
        <v>69</v>
      </c>
      <c r="AU219">
        <v>67.5</v>
      </c>
      <c r="AV219">
        <v>71.5</v>
      </c>
      <c r="AW219">
        <v>11</v>
      </c>
      <c r="AX219">
        <v>81.8</v>
      </c>
      <c r="AY219">
        <v>81.8</v>
      </c>
      <c r="AZ219">
        <v>1</v>
      </c>
      <c r="BA219">
        <v>0</v>
      </c>
      <c r="BB219">
        <v>1</v>
      </c>
    </row>
    <row r="220" spans="46:54">
      <c r="AT220">
        <v>72.5</v>
      </c>
      <c r="AU220">
        <v>69</v>
      </c>
      <c r="AV220">
        <v>75</v>
      </c>
      <c r="AW220">
        <v>11</v>
      </c>
      <c r="AX220">
        <v>72.7</v>
      </c>
      <c r="AY220">
        <v>63.6</v>
      </c>
      <c r="AZ220">
        <v>0</v>
      </c>
      <c r="BA220">
        <v>0</v>
      </c>
      <c r="BB220">
        <v>0</v>
      </c>
    </row>
    <row r="221" spans="46:54">
      <c r="AT221">
        <v>76</v>
      </c>
      <c r="AU221">
        <v>76</v>
      </c>
      <c r="AV221">
        <v>79.5</v>
      </c>
      <c r="AW221">
        <v>11</v>
      </c>
      <c r="AX221">
        <v>72.7</v>
      </c>
      <c r="AY221">
        <v>63.6</v>
      </c>
      <c r="AZ221">
        <v>0</v>
      </c>
      <c r="BA221">
        <v>0</v>
      </c>
      <c r="BB221">
        <v>0</v>
      </c>
    </row>
    <row r="222" spans="46:54">
      <c r="AT222" t="s">
        <v>32</v>
      </c>
    </row>
    <row r="223" spans="46:54">
      <c r="AT223">
        <v>67</v>
      </c>
      <c r="AU223">
        <v>66.5</v>
      </c>
      <c r="AV223">
        <v>72</v>
      </c>
      <c r="AW223">
        <v>11</v>
      </c>
      <c r="AX223">
        <v>90.9</v>
      </c>
      <c r="AY223">
        <v>90.9</v>
      </c>
      <c r="AZ223">
        <v>2</v>
      </c>
      <c r="BA223">
        <v>1</v>
      </c>
      <c r="BB223">
        <v>3</v>
      </c>
    </row>
    <row r="224" spans="46:54">
      <c r="AT224">
        <v>73</v>
      </c>
      <c r="AU224">
        <v>67</v>
      </c>
      <c r="AV224">
        <v>77.5</v>
      </c>
      <c r="AW224">
        <v>11</v>
      </c>
      <c r="AX224">
        <v>81.8</v>
      </c>
      <c r="AY224">
        <v>72.7</v>
      </c>
      <c r="AZ224">
        <v>2</v>
      </c>
      <c r="BA224">
        <v>0</v>
      </c>
      <c r="BB224">
        <v>3</v>
      </c>
    </row>
    <row r="225" spans="46:54">
      <c r="AT225">
        <v>70</v>
      </c>
      <c r="AU225">
        <v>69</v>
      </c>
      <c r="AV225">
        <v>71</v>
      </c>
      <c r="AW225">
        <v>11</v>
      </c>
      <c r="AX225">
        <v>90.9</v>
      </c>
      <c r="AY225">
        <v>81.8</v>
      </c>
      <c r="AZ225">
        <v>1</v>
      </c>
      <c r="BA225">
        <v>1</v>
      </c>
      <c r="BB225">
        <v>1</v>
      </c>
    </row>
    <row r="226" spans="46:54">
      <c r="AT226">
        <v>65.5</v>
      </c>
      <c r="AU226">
        <v>61.5</v>
      </c>
      <c r="AV226">
        <v>73.5</v>
      </c>
      <c r="AW226">
        <v>11</v>
      </c>
      <c r="AX226">
        <v>63.6</v>
      </c>
      <c r="AY226">
        <v>45.5</v>
      </c>
      <c r="AZ226">
        <v>0</v>
      </c>
      <c r="BA226">
        <v>0</v>
      </c>
      <c r="BB226">
        <v>3</v>
      </c>
    </row>
    <row r="227" spans="46:54">
      <c r="AT227">
        <v>69.5</v>
      </c>
      <c r="AU227">
        <v>67.5</v>
      </c>
      <c r="AV227">
        <v>74</v>
      </c>
      <c r="AW227">
        <v>11</v>
      </c>
      <c r="AX227">
        <v>72.7</v>
      </c>
      <c r="AY227">
        <v>81.8</v>
      </c>
      <c r="AZ227">
        <v>2</v>
      </c>
      <c r="BA227">
        <v>1</v>
      </c>
      <c r="BB227">
        <v>3</v>
      </c>
    </row>
    <row r="228" spans="46:54">
      <c r="AT228">
        <v>66.5</v>
      </c>
      <c r="AU228">
        <v>68</v>
      </c>
      <c r="AV228">
        <v>72.5</v>
      </c>
      <c r="AW228">
        <v>11</v>
      </c>
      <c r="AX228">
        <v>54.5</v>
      </c>
      <c r="AY228">
        <v>63.6</v>
      </c>
      <c r="AZ228">
        <v>0</v>
      </c>
      <c r="BA228">
        <v>0</v>
      </c>
      <c r="BB228">
        <v>2</v>
      </c>
    </row>
    <row r="229" spans="46:54">
      <c r="AT229">
        <v>80.5</v>
      </c>
      <c r="AU229">
        <v>80</v>
      </c>
      <c r="AV229">
        <v>83.5</v>
      </c>
      <c r="AW229">
        <v>11</v>
      </c>
      <c r="AX229">
        <v>72.7</v>
      </c>
      <c r="AY229">
        <v>72.7</v>
      </c>
      <c r="AZ229">
        <v>0</v>
      </c>
      <c r="BA229">
        <v>0</v>
      </c>
      <c r="BB229">
        <v>1</v>
      </c>
    </row>
    <row r="230" spans="46:54">
      <c r="AT230">
        <v>70.5</v>
      </c>
      <c r="AU230">
        <v>64</v>
      </c>
      <c r="AV230">
        <v>78</v>
      </c>
      <c r="AW230">
        <v>11</v>
      </c>
      <c r="AX230">
        <v>72.7</v>
      </c>
      <c r="AY230">
        <v>54.5</v>
      </c>
      <c r="AZ230">
        <v>1</v>
      </c>
      <c r="BA230">
        <v>1</v>
      </c>
      <c r="BB230">
        <v>2</v>
      </c>
    </row>
    <row r="231" spans="46:54">
      <c r="AT231">
        <v>69</v>
      </c>
      <c r="AU231">
        <v>63.5</v>
      </c>
      <c r="AV231">
        <v>74.5</v>
      </c>
      <c r="AW231">
        <v>11</v>
      </c>
      <c r="AX231">
        <v>81.8</v>
      </c>
      <c r="AY231">
        <v>72.7</v>
      </c>
      <c r="AZ231">
        <v>0</v>
      </c>
      <c r="BA231">
        <v>0</v>
      </c>
      <c r="BB231">
        <v>2</v>
      </c>
    </row>
    <row r="232" spans="46:54">
      <c r="AT232">
        <v>69.5</v>
      </c>
      <c r="AU232">
        <v>68.5</v>
      </c>
      <c r="AV232">
        <v>72.5</v>
      </c>
      <c r="AW232">
        <v>11</v>
      </c>
      <c r="AX232">
        <v>90.9</v>
      </c>
      <c r="AY232">
        <v>90.9</v>
      </c>
      <c r="AZ232">
        <v>0</v>
      </c>
      <c r="BA232">
        <v>0</v>
      </c>
      <c r="BB232">
        <v>0</v>
      </c>
    </row>
    <row r="233" spans="46:54">
      <c r="AT233" t="s">
        <v>33</v>
      </c>
    </row>
    <row r="234" spans="46:54">
      <c r="AT234">
        <v>81</v>
      </c>
      <c r="AU234">
        <v>75.5</v>
      </c>
      <c r="AV234">
        <v>81</v>
      </c>
      <c r="AW234">
        <v>11</v>
      </c>
      <c r="AX234">
        <v>90.9</v>
      </c>
      <c r="AY234">
        <v>81.8</v>
      </c>
      <c r="AZ234">
        <v>0</v>
      </c>
      <c r="BA234">
        <v>0</v>
      </c>
      <c r="BB234">
        <v>0</v>
      </c>
    </row>
    <row r="235" spans="46:54">
      <c r="AT235">
        <v>73</v>
      </c>
      <c r="AU235">
        <v>73</v>
      </c>
      <c r="AV235">
        <v>75</v>
      </c>
      <c r="AW235">
        <v>11</v>
      </c>
      <c r="AX235">
        <v>90.9</v>
      </c>
      <c r="AY235">
        <v>90.9</v>
      </c>
      <c r="AZ235">
        <v>1</v>
      </c>
      <c r="BA235">
        <v>1</v>
      </c>
      <c r="BB235">
        <v>2</v>
      </c>
    </row>
    <row r="236" spans="46:54">
      <c r="AT236">
        <v>83.5</v>
      </c>
      <c r="AU236">
        <v>87</v>
      </c>
      <c r="AV236">
        <v>89.5</v>
      </c>
      <c r="AW236">
        <v>11</v>
      </c>
      <c r="AX236">
        <v>90.9</v>
      </c>
      <c r="AY236">
        <v>90.9</v>
      </c>
      <c r="AZ236">
        <v>1</v>
      </c>
      <c r="BA236">
        <v>1</v>
      </c>
      <c r="BB236">
        <v>2</v>
      </c>
    </row>
    <row r="237" spans="46:54">
      <c r="AT237">
        <v>83.5</v>
      </c>
      <c r="AU237">
        <v>82</v>
      </c>
      <c r="AV237">
        <v>86.5</v>
      </c>
      <c r="AW237">
        <v>11</v>
      </c>
      <c r="AX237">
        <v>81.8</v>
      </c>
      <c r="AY237">
        <v>72.7</v>
      </c>
      <c r="AZ237">
        <v>0</v>
      </c>
      <c r="BA237">
        <v>0</v>
      </c>
      <c r="BB237">
        <v>1</v>
      </c>
    </row>
    <row r="238" spans="46:54">
      <c r="AT238">
        <v>73.5</v>
      </c>
      <c r="AU238">
        <v>73.5</v>
      </c>
      <c r="AV238">
        <v>75.5</v>
      </c>
      <c r="AW238">
        <v>11</v>
      </c>
      <c r="AX238">
        <v>90.9</v>
      </c>
      <c r="AY238">
        <v>90.9</v>
      </c>
      <c r="AZ238">
        <v>0</v>
      </c>
      <c r="BA238">
        <v>0</v>
      </c>
      <c r="BB238">
        <v>1</v>
      </c>
    </row>
    <row r="239" spans="46:54">
      <c r="AT239">
        <v>70.5</v>
      </c>
      <c r="AU239">
        <v>69.5</v>
      </c>
      <c r="AV239">
        <v>73</v>
      </c>
      <c r="AW239">
        <v>11</v>
      </c>
      <c r="AX239">
        <v>81.8</v>
      </c>
      <c r="AY239">
        <v>90.9</v>
      </c>
      <c r="AZ239">
        <v>2</v>
      </c>
      <c r="BA239">
        <v>1</v>
      </c>
      <c r="BB239">
        <v>2</v>
      </c>
    </row>
    <row r="240" spans="46:54">
      <c r="AT240">
        <v>61</v>
      </c>
      <c r="AU240">
        <v>61.5</v>
      </c>
      <c r="AV240">
        <v>66</v>
      </c>
      <c r="AW240">
        <v>11</v>
      </c>
      <c r="AX240">
        <v>81.8</v>
      </c>
      <c r="AY240">
        <v>81.8</v>
      </c>
      <c r="AZ240">
        <v>0</v>
      </c>
      <c r="BA240">
        <v>0</v>
      </c>
      <c r="BB240">
        <v>0</v>
      </c>
    </row>
    <row r="241" spans="46:54">
      <c r="AT241">
        <v>77.5</v>
      </c>
      <c r="AU241">
        <v>75</v>
      </c>
      <c r="AV241">
        <v>79.5</v>
      </c>
      <c r="AW241">
        <v>11</v>
      </c>
      <c r="AX241">
        <v>72.7</v>
      </c>
      <c r="AY241">
        <v>63.6</v>
      </c>
      <c r="AZ241">
        <v>0</v>
      </c>
      <c r="BA241">
        <v>0</v>
      </c>
      <c r="BB241">
        <v>1</v>
      </c>
    </row>
    <row r="242" spans="46:54">
      <c r="AT242">
        <v>69.5</v>
      </c>
      <c r="AU242">
        <v>68</v>
      </c>
      <c r="AV242">
        <v>79.5</v>
      </c>
      <c r="AW242">
        <v>11</v>
      </c>
      <c r="AX242">
        <v>63.6</v>
      </c>
      <c r="AY242">
        <v>63.6</v>
      </c>
      <c r="AZ242">
        <v>1</v>
      </c>
      <c r="BA242">
        <v>1</v>
      </c>
      <c r="BB242">
        <v>3</v>
      </c>
    </row>
    <row r="243" spans="46:54">
      <c r="AT243">
        <v>80.5</v>
      </c>
      <c r="AU243">
        <v>81</v>
      </c>
      <c r="AV243">
        <v>83</v>
      </c>
      <c r="AW243">
        <v>11</v>
      </c>
      <c r="AX243">
        <v>90.9</v>
      </c>
      <c r="AY243">
        <v>90.9</v>
      </c>
      <c r="AZ243">
        <v>1</v>
      </c>
      <c r="BA243">
        <v>1</v>
      </c>
      <c r="BB243">
        <v>1</v>
      </c>
    </row>
    <row r="244" spans="46:54">
      <c r="AT244" t="s">
        <v>34</v>
      </c>
    </row>
    <row r="245" spans="46:54">
      <c r="AT245">
        <v>59.5</v>
      </c>
      <c r="AU245">
        <v>60</v>
      </c>
      <c r="AV245">
        <v>64.5</v>
      </c>
      <c r="AW245">
        <v>11</v>
      </c>
      <c r="AX245">
        <v>72.7</v>
      </c>
      <c r="AY245">
        <v>72.7</v>
      </c>
      <c r="AZ245">
        <v>0</v>
      </c>
      <c r="BA245">
        <v>0</v>
      </c>
      <c r="BB245">
        <v>0</v>
      </c>
    </row>
    <row r="246" spans="46:54">
      <c r="AT246">
        <v>71.5</v>
      </c>
      <c r="AU246">
        <v>72</v>
      </c>
      <c r="AV246">
        <v>75.5</v>
      </c>
      <c r="AW246">
        <v>11</v>
      </c>
      <c r="AX246">
        <v>90.9</v>
      </c>
      <c r="AY246">
        <v>90.9</v>
      </c>
      <c r="AZ246">
        <v>0</v>
      </c>
      <c r="BA246">
        <v>0</v>
      </c>
      <c r="BB246">
        <v>2</v>
      </c>
    </row>
    <row r="247" spans="46:54">
      <c r="AT247">
        <v>81</v>
      </c>
      <c r="AU247">
        <v>81.5</v>
      </c>
      <c r="AV247">
        <v>85</v>
      </c>
      <c r="AW247">
        <v>11</v>
      </c>
      <c r="AX247">
        <v>81.8</v>
      </c>
      <c r="AY247">
        <v>90.9</v>
      </c>
      <c r="AZ247">
        <v>1</v>
      </c>
      <c r="BA247">
        <v>1</v>
      </c>
      <c r="BB247">
        <v>3</v>
      </c>
    </row>
    <row r="248" spans="46:54">
      <c r="AT248">
        <v>73</v>
      </c>
      <c r="AU248">
        <v>72</v>
      </c>
      <c r="AV248">
        <v>75.5</v>
      </c>
      <c r="AW248">
        <v>11</v>
      </c>
      <c r="AX248">
        <v>90.9</v>
      </c>
      <c r="AY248">
        <v>90.9</v>
      </c>
      <c r="AZ248">
        <v>0</v>
      </c>
      <c r="BA248">
        <v>0</v>
      </c>
      <c r="BB248">
        <v>1</v>
      </c>
    </row>
    <row r="249" spans="46:54">
      <c r="AT249">
        <v>72.5</v>
      </c>
      <c r="AU249">
        <v>74.5</v>
      </c>
      <c r="AV249">
        <v>77</v>
      </c>
      <c r="AW249">
        <v>11</v>
      </c>
      <c r="AX249">
        <v>81.8</v>
      </c>
      <c r="AY249">
        <v>90.9</v>
      </c>
      <c r="AZ249">
        <v>0</v>
      </c>
      <c r="BA249">
        <v>1</v>
      </c>
      <c r="BB249">
        <v>1</v>
      </c>
    </row>
    <row r="250" spans="46:54">
      <c r="AT250">
        <v>74</v>
      </c>
      <c r="AU250">
        <v>71</v>
      </c>
      <c r="AV250">
        <v>83.5</v>
      </c>
      <c r="AW250">
        <v>11</v>
      </c>
      <c r="AX250">
        <v>72.7</v>
      </c>
      <c r="AY250">
        <v>63.6</v>
      </c>
      <c r="AZ250">
        <v>1</v>
      </c>
      <c r="BA250">
        <v>1</v>
      </c>
      <c r="BB250">
        <v>2</v>
      </c>
    </row>
    <row r="251" spans="46:54">
      <c r="AT251">
        <v>70</v>
      </c>
      <c r="AU251">
        <v>69.5</v>
      </c>
      <c r="AV251">
        <v>74.5</v>
      </c>
      <c r="AW251">
        <v>11</v>
      </c>
      <c r="AX251">
        <v>81.8</v>
      </c>
      <c r="AY251">
        <v>72.7</v>
      </c>
      <c r="AZ251">
        <v>0</v>
      </c>
      <c r="BA251">
        <v>0</v>
      </c>
      <c r="BB251">
        <v>0</v>
      </c>
    </row>
    <row r="252" spans="46:54">
      <c r="AT252">
        <v>63</v>
      </c>
      <c r="AU252">
        <v>59.5</v>
      </c>
      <c r="AV252">
        <v>64.5</v>
      </c>
      <c r="AW252">
        <v>11</v>
      </c>
      <c r="AX252">
        <v>72.7</v>
      </c>
      <c r="AY252">
        <v>63.6</v>
      </c>
      <c r="AZ252">
        <v>0</v>
      </c>
      <c r="BA252">
        <v>0</v>
      </c>
      <c r="BB252">
        <v>0</v>
      </c>
    </row>
    <row r="253" spans="46:54">
      <c r="AT253">
        <v>80.5</v>
      </c>
      <c r="AU253">
        <v>79</v>
      </c>
      <c r="AV253">
        <v>82.5</v>
      </c>
      <c r="AW253">
        <v>11</v>
      </c>
      <c r="AX253">
        <v>81.8</v>
      </c>
      <c r="AY253">
        <v>72.7</v>
      </c>
      <c r="AZ253">
        <v>1</v>
      </c>
      <c r="BA253">
        <v>1</v>
      </c>
      <c r="BB253">
        <v>3</v>
      </c>
    </row>
    <row r="254" spans="46:54">
      <c r="AT254">
        <v>79</v>
      </c>
      <c r="AU254">
        <v>74</v>
      </c>
      <c r="AV254">
        <v>80.5</v>
      </c>
      <c r="AW254">
        <v>11</v>
      </c>
      <c r="AX254">
        <v>100</v>
      </c>
      <c r="AY254">
        <v>90.9</v>
      </c>
      <c r="AZ254">
        <v>1</v>
      </c>
      <c r="BA254">
        <v>0</v>
      </c>
      <c r="BB254">
        <v>2</v>
      </c>
    </row>
    <row r="255" spans="46:54">
      <c r="AT255" t="s">
        <v>35</v>
      </c>
    </row>
    <row r="256" spans="46:54">
      <c r="AT256">
        <v>68.5</v>
      </c>
      <c r="AU256">
        <v>63.5</v>
      </c>
      <c r="AV256">
        <v>71.5</v>
      </c>
      <c r="AW256">
        <v>11</v>
      </c>
      <c r="AX256">
        <v>63.6</v>
      </c>
      <c r="AY256">
        <v>54.5</v>
      </c>
      <c r="AZ256">
        <v>2</v>
      </c>
      <c r="BA256">
        <v>0</v>
      </c>
      <c r="BB256">
        <v>3</v>
      </c>
    </row>
    <row r="257" spans="46:54">
      <c r="AT257">
        <v>82.5</v>
      </c>
      <c r="AU257">
        <v>82.5</v>
      </c>
      <c r="AV257">
        <v>83.5</v>
      </c>
      <c r="AW257">
        <v>11</v>
      </c>
      <c r="AX257">
        <v>90.9</v>
      </c>
      <c r="AY257">
        <v>90.9</v>
      </c>
      <c r="AZ257">
        <v>1</v>
      </c>
      <c r="BA257">
        <v>1</v>
      </c>
      <c r="BB257">
        <v>1</v>
      </c>
    </row>
    <row r="258" spans="46:54">
      <c r="AT258">
        <v>73</v>
      </c>
      <c r="AU258">
        <v>73.5</v>
      </c>
      <c r="AV258">
        <v>79.5</v>
      </c>
      <c r="AW258">
        <v>11</v>
      </c>
      <c r="AX258">
        <v>72.7</v>
      </c>
      <c r="AY258">
        <v>63.6</v>
      </c>
      <c r="AZ258">
        <v>0</v>
      </c>
      <c r="BA258">
        <v>0</v>
      </c>
      <c r="BB258">
        <v>3</v>
      </c>
    </row>
    <row r="259" spans="46:54">
      <c r="AT259">
        <v>76</v>
      </c>
      <c r="AU259">
        <v>72</v>
      </c>
      <c r="AV259">
        <v>79</v>
      </c>
      <c r="AW259">
        <v>11</v>
      </c>
      <c r="AX259">
        <v>72.7</v>
      </c>
      <c r="AY259">
        <v>63.6</v>
      </c>
      <c r="AZ259">
        <v>2</v>
      </c>
      <c r="BA259">
        <v>0</v>
      </c>
      <c r="BB259">
        <v>3</v>
      </c>
    </row>
    <row r="260" spans="46:54">
      <c r="AT260">
        <v>79</v>
      </c>
      <c r="AU260">
        <v>75</v>
      </c>
      <c r="AV260">
        <v>81.5</v>
      </c>
      <c r="AW260">
        <v>11</v>
      </c>
      <c r="AX260">
        <v>81.8</v>
      </c>
      <c r="AY260">
        <v>81.8</v>
      </c>
      <c r="AZ260">
        <v>1</v>
      </c>
      <c r="BA260">
        <v>1</v>
      </c>
      <c r="BB260">
        <v>3</v>
      </c>
    </row>
    <row r="261" spans="46:54">
      <c r="AT261">
        <v>80</v>
      </c>
      <c r="AU261">
        <v>73</v>
      </c>
      <c r="AV261">
        <v>83.5</v>
      </c>
      <c r="AW261">
        <v>11</v>
      </c>
      <c r="AX261">
        <v>81.8</v>
      </c>
      <c r="AY261">
        <v>63.6</v>
      </c>
      <c r="AZ261">
        <v>2</v>
      </c>
      <c r="BA261">
        <v>1</v>
      </c>
      <c r="BB261">
        <v>3</v>
      </c>
    </row>
    <row r="262" spans="46:54">
      <c r="AT262">
        <v>62</v>
      </c>
      <c r="AU262">
        <v>62</v>
      </c>
      <c r="AV262">
        <v>66</v>
      </c>
      <c r="AW262">
        <v>11</v>
      </c>
      <c r="AX262">
        <v>63.6</v>
      </c>
      <c r="AY262">
        <v>63.6</v>
      </c>
      <c r="AZ262">
        <v>0</v>
      </c>
      <c r="BA262">
        <v>0</v>
      </c>
      <c r="BB262">
        <v>2</v>
      </c>
    </row>
    <row r="263" spans="46:54">
      <c r="AT263">
        <v>72.5</v>
      </c>
      <c r="AU263">
        <v>69.5</v>
      </c>
      <c r="AV263">
        <v>74</v>
      </c>
      <c r="AW263">
        <v>11</v>
      </c>
      <c r="AX263">
        <v>90.9</v>
      </c>
      <c r="AY263">
        <v>72.7</v>
      </c>
      <c r="AZ263">
        <v>1</v>
      </c>
      <c r="BA263">
        <v>0</v>
      </c>
      <c r="BB263">
        <v>1</v>
      </c>
    </row>
    <row r="264" spans="46:54">
      <c r="AT264">
        <v>83</v>
      </c>
      <c r="AU264">
        <v>77</v>
      </c>
      <c r="AV264">
        <v>84</v>
      </c>
      <c r="AW264">
        <v>11</v>
      </c>
      <c r="AX264">
        <v>100</v>
      </c>
      <c r="AY264">
        <v>90.9</v>
      </c>
      <c r="AZ264">
        <v>3</v>
      </c>
      <c r="BA264">
        <v>2</v>
      </c>
      <c r="BB264">
        <v>3</v>
      </c>
    </row>
    <row r="265" spans="46:54">
      <c r="AT265">
        <v>70.5</v>
      </c>
      <c r="AU265">
        <v>71.5</v>
      </c>
      <c r="AV265">
        <v>78.5</v>
      </c>
      <c r="AW265">
        <v>11</v>
      </c>
      <c r="AX265">
        <v>72.7</v>
      </c>
      <c r="AY265">
        <v>72.7</v>
      </c>
      <c r="AZ265">
        <v>0</v>
      </c>
      <c r="BA265">
        <v>0</v>
      </c>
      <c r="BB265">
        <v>0</v>
      </c>
    </row>
    <row r="266" spans="46:54">
      <c r="AT266" t="s">
        <v>36</v>
      </c>
    </row>
    <row r="267" spans="46:54">
      <c r="AT267">
        <v>70</v>
      </c>
      <c r="AU267">
        <v>64.5</v>
      </c>
      <c r="AV267">
        <v>80.5</v>
      </c>
      <c r="AW267">
        <v>11</v>
      </c>
      <c r="AX267">
        <v>54.5</v>
      </c>
      <c r="AY267">
        <v>54.5</v>
      </c>
      <c r="AZ267">
        <v>0</v>
      </c>
      <c r="BA267">
        <v>0</v>
      </c>
      <c r="BB267">
        <v>2</v>
      </c>
    </row>
    <row r="268" spans="46:54">
      <c r="AT268">
        <v>71</v>
      </c>
      <c r="AU268">
        <v>71.5</v>
      </c>
      <c r="AV268">
        <v>72.5</v>
      </c>
      <c r="AW268">
        <v>11</v>
      </c>
      <c r="AX268">
        <v>81.8</v>
      </c>
      <c r="AY268">
        <v>81.8</v>
      </c>
      <c r="AZ268">
        <v>0</v>
      </c>
      <c r="BA268">
        <v>0</v>
      </c>
      <c r="BB268">
        <v>0</v>
      </c>
    </row>
    <row r="269" spans="46:54">
      <c r="AT269">
        <v>68</v>
      </c>
      <c r="AU269">
        <v>75.5</v>
      </c>
      <c r="AV269">
        <v>80.5</v>
      </c>
      <c r="AW269">
        <v>11</v>
      </c>
      <c r="AX269">
        <v>54.5</v>
      </c>
      <c r="AY269">
        <v>72.7</v>
      </c>
      <c r="AZ269">
        <v>0</v>
      </c>
      <c r="BA269">
        <v>1</v>
      </c>
      <c r="BB269">
        <v>3</v>
      </c>
    </row>
    <row r="270" spans="46:54">
      <c r="AT270">
        <v>60</v>
      </c>
      <c r="AU270">
        <v>59.5</v>
      </c>
      <c r="AV270">
        <v>66.5</v>
      </c>
      <c r="AW270">
        <v>11</v>
      </c>
      <c r="AX270">
        <v>72.7</v>
      </c>
      <c r="AY270">
        <v>63.6</v>
      </c>
      <c r="AZ270">
        <v>0</v>
      </c>
      <c r="BA270">
        <v>0</v>
      </c>
      <c r="BB270">
        <v>2</v>
      </c>
    </row>
    <row r="271" spans="46:54">
      <c r="AT271">
        <v>69.5</v>
      </c>
      <c r="AU271">
        <v>64</v>
      </c>
      <c r="AV271">
        <v>73.5</v>
      </c>
      <c r="AW271">
        <v>11</v>
      </c>
      <c r="AX271">
        <v>90.9</v>
      </c>
      <c r="AY271">
        <v>81.8</v>
      </c>
      <c r="AZ271">
        <v>1</v>
      </c>
      <c r="BA271">
        <v>0</v>
      </c>
      <c r="BB271">
        <v>2</v>
      </c>
    </row>
    <row r="272" spans="46:54">
      <c r="AT272">
        <v>68</v>
      </c>
      <c r="AU272">
        <v>72</v>
      </c>
      <c r="AV272">
        <v>81</v>
      </c>
      <c r="AW272">
        <v>11</v>
      </c>
      <c r="AX272">
        <v>63.6</v>
      </c>
      <c r="AY272">
        <v>72.7</v>
      </c>
      <c r="AZ272">
        <v>0</v>
      </c>
      <c r="BA272">
        <v>0</v>
      </c>
      <c r="BB272">
        <v>1</v>
      </c>
    </row>
    <row r="273" spans="46:54">
      <c r="AT273">
        <v>64.5</v>
      </c>
      <c r="AU273">
        <v>65.5</v>
      </c>
      <c r="AV273">
        <v>72</v>
      </c>
      <c r="AW273">
        <v>11</v>
      </c>
      <c r="AX273">
        <v>54.5</v>
      </c>
      <c r="AY273">
        <v>63.6</v>
      </c>
      <c r="AZ273">
        <v>1</v>
      </c>
      <c r="BA273">
        <v>1</v>
      </c>
      <c r="BB273">
        <v>3</v>
      </c>
    </row>
    <row r="274" spans="46:54">
      <c r="AT274">
        <v>66</v>
      </c>
      <c r="AU274">
        <v>66</v>
      </c>
      <c r="AV274">
        <v>67.5</v>
      </c>
      <c r="AW274">
        <v>10</v>
      </c>
      <c r="AX274">
        <v>72.7</v>
      </c>
      <c r="AY274">
        <v>72.7</v>
      </c>
      <c r="AZ274">
        <v>0</v>
      </c>
      <c r="BA274">
        <v>0</v>
      </c>
      <c r="BB274">
        <v>0</v>
      </c>
    </row>
    <row r="275" spans="46:54">
      <c r="AT275">
        <v>68</v>
      </c>
      <c r="AU275">
        <v>56</v>
      </c>
      <c r="AV275">
        <v>75.5</v>
      </c>
      <c r="AW275">
        <v>11</v>
      </c>
      <c r="AX275">
        <v>63.6</v>
      </c>
      <c r="AY275">
        <v>45.5</v>
      </c>
      <c r="AZ275">
        <v>0</v>
      </c>
      <c r="BA275">
        <v>0</v>
      </c>
      <c r="BB275">
        <v>0</v>
      </c>
    </row>
    <row r="276" spans="46:54">
      <c r="AT276">
        <v>75</v>
      </c>
      <c r="AU276">
        <v>75.5</v>
      </c>
      <c r="AV276">
        <v>82.5</v>
      </c>
      <c r="AW276">
        <v>11</v>
      </c>
      <c r="AX276">
        <v>81.8</v>
      </c>
      <c r="AY276">
        <v>63.6</v>
      </c>
      <c r="AZ276">
        <v>0</v>
      </c>
      <c r="BA276">
        <v>0</v>
      </c>
      <c r="BB276">
        <v>0</v>
      </c>
    </row>
    <row r="277" spans="46:54">
      <c r="AT277" t="s">
        <v>37</v>
      </c>
    </row>
    <row r="278" spans="46:54">
      <c r="AT278">
        <v>66.5</v>
      </c>
      <c r="AU278">
        <v>67</v>
      </c>
      <c r="AV278">
        <v>72.5</v>
      </c>
      <c r="AW278">
        <v>11</v>
      </c>
      <c r="AX278">
        <v>72.7</v>
      </c>
      <c r="AY278">
        <v>72.7</v>
      </c>
      <c r="AZ278">
        <v>0</v>
      </c>
      <c r="BA278">
        <v>0</v>
      </c>
      <c r="BB278">
        <v>2</v>
      </c>
    </row>
    <row r="279" spans="46:54">
      <c r="AT279">
        <v>64</v>
      </c>
      <c r="AU279">
        <v>63.5</v>
      </c>
      <c r="AV279">
        <v>67</v>
      </c>
      <c r="AW279">
        <v>11</v>
      </c>
      <c r="AX279">
        <v>90.9</v>
      </c>
      <c r="AY279">
        <v>90.9</v>
      </c>
      <c r="AZ279">
        <v>0</v>
      </c>
      <c r="BA279">
        <v>0</v>
      </c>
      <c r="BB279">
        <v>1</v>
      </c>
    </row>
    <row r="280" spans="46:54">
      <c r="AT280">
        <v>71</v>
      </c>
      <c r="AU280">
        <v>63</v>
      </c>
      <c r="AV280">
        <v>78</v>
      </c>
      <c r="AW280">
        <v>11</v>
      </c>
      <c r="AX280">
        <v>72.7</v>
      </c>
      <c r="AY280">
        <v>63.6</v>
      </c>
      <c r="AZ280">
        <v>1</v>
      </c>
      <c r="BA280">
        <v>1</v>
      </c>
      <c r="BB280">
        <v>3</v>
      </c>
    </row>
    <row r="281" spans="46:54">
      <c r="AT281">
        <v>69.5</v>
      </c>
      <c r="AU281">
        <v>67.5</v>
      </c>
      <c r="AV281">
        <v>76.5</v>
      </c>
      <c r="AW281">
        <v>11</v>
      </c>
      <c r="AX281">
        <v>63.6</v>
      </c>
      <c r="AY281">
        <v>54.5</v>
      </c>
      <c r="AZ281">
        <v>0</v>
      </c>
      <c r="BA281">
        <v>0</v>
      </c>
      <c r="BB281">
        <v>3</v>
      </c>
    </row>
    <row r="282" spans="46:54">
      <c r="AT282">
        <v>81.5</v>
      </c>
      <c r="AU282">
        <v>71</v>
      </c>
      <c r="AV282">
        <v>82</v>
      </c>
      <c r="AW282">
        <v>11</v>
      </c>
      <c r="AX282">
        <v>90.9</v>
      </c>
      <c r="AY282">
        <v>81.8</v>
      </c>
      <c r="AZ282">
        <v>2</v>
      </c>
      <c r="BA282">
        <v>1</v>
      </c>
      <c r="BB282">
        <v>2</v>
      </c>
    </row>
    <row r="283" spans="46:54">
      <c r="AT283">
        <v>76.5</v>
      </c>
      <c r="AU283">
        <v>76.5</v>
      </c>
      <c r="AV283">
        <v>78</v>
      </c>
      <c r="AW283">
        <v>11</v>
      </c>
      <c r="AX283">
        <v>81.8</v>
      </c>
      <c r="AY283">
        <v>81.8</v>
      </c>
      <c r="AZ283">
        <v>0</v>
      </c>
      <c r="BA283">
        <v>0</v>
      </c>
      <c r="BB283">
        <v>1</v>
      </c>
    </row>
    <row r="284" spans="46:54">
      <c r="AT284">
        <v>67.5</v>
      </c>
      <c r="AU284">
        <v>66.5</v>
      </c>
      <c r="AV284">
        <v>71</v>
      </c>
      <c r="AW284">
        <v>11</v>
      </c>
      <c r="AX284">
        <v>72.7</v>
      </c>
      <c r="AY284">
        <v>72.7</v>
      </c>
      <c r="AZ284">
        <v>0</v>
      </c>
      <c r="BA284">
        <v>0</v>
      </c>
      <c r="BB284">
        <v>1</v>
      </c>
    </row>
    <row r="285" spans="46:54">
      <c r="AT285">
        <v>69.5</v>
      </c>
      <c r="AU285">
        <v>69.5</v>
      </c>
      <c r="AV285">
        <v>71.5</v>
      </c>
      <c r="AW285">
        <v>11</v>
      </c>
      <c r="AX285">
        <v>100</v>
      </c>
      <c r="AY285">
        <v>100</v>
      </c>
      <c r="AZ285">
        <v>1</v>
      </c>
      <c r="BA285">
        <v>1</v>
      </c>
      <c r="BB285">
        <v>2</v>
      </c>
    </row>
    <row r="286" spans="46:54">
      <c r="AT286">
        <v>67.5</v>
      </c>
      <c r="AU286">
        <v>69</v>
      </c>
      <c r="AV286">
        <v>77.5</v>
      </c>
      <c r="AW286">
        <v>11</v>
      </c>
      <c r="AX286">
        <v>54.5</v>
      </c>
      <c r="AY286">
        <v>63.6</v>
      </c>
      <c r="AZ286">
        <v>0</v>
      </c>
      <c r="BA286">
        <v>0</v>
      </c>
      <c r="BB286">
        <v>2</v>
      </c>
    </row>
    <row r="287" spans="46:54">
      <c r="AT287">
        <v>73</v>
      </c>
      <c r="AU287">
        <v>70.5</v>
      </c>
      <c r="AV287">
        <v>75</v>
      </c>
      <c r="AW287">
        <v>11</v>
      </c>
      <c r="AX287">
        <v>72.7</v>
      </c>
      <c r="AY287">
        <v>63.6</v>
      </c>
      <c r="AZ287">
        <v>1</v>
      </c>
      <c r="BA287">
        <v>0</v>
      </c>
      <c r="BB287">
        <v>1</v>
      </c>
    </row>
    <row r="288" spans="46:54">
      <c r="AT288" t="s">
        <v>38</v>
      </c>
    </row>
    <row r="289" spans="46:54">
      <c r="AT289">
        <v>71.5</v>
      </c>
      <c r="AU289">
        <v>71.5</v>
      </c>
      <c r="AV289">
        <v>79.5</v>
      </c>
      <c r="AW289">
        <v>11</v>
      </c>
      <c r="AX289">
        <v>63.6</v>
      </c>
      <c r="AY289">
        <v>63.6</v>
      </c>
      <c r="AZ289">
        <v>0</v>
      </c>
      <c r="BA289">
        <v>0</v>
      </c>
      <c r="BB289">
        <v>1</v>
      </c>
    </row>
    <row r="290" spans="46:54">
      <c r="AT290">
        <v>71.5</v>
      </c>
      <c r="AU290">
        <v>73.5</v>
      </c>
      <c r="AV290">
        <v>75.5</v>
      </c>
      <c r="AW290">
        <v>11</v>
      </c>
      <c r="AX290">
        <v>90.9</v>
      </c>
      <c r="AY290">
        <v>90.9</v>
      </c>
      <c r="AZ290">
        <v>1</v>
      </c>
      <c r="BA290">
        <v>1</v>
      </c>
      <c r="BB290">
        <v>1</v>
      </c>
    </row>
    <row r="291" spans="46:54">
      <c r="AT291">
        <v>80.5</v>
      </c>
      <c r="AU291">
        <v>82.5</v>
      </c>
      <c r="AV291">
        <v>92.5</v>
      </c>
      <c r="AW291">
        <v>11</v>
      </c>
      <c r="AX291">
        <v>72.7</v>
      </c>
      <c r="AY291">
        <v>81.8</v>
      </c>
      <c r="AZ291">
        <v>0</v>
      </c>
      <c r="BA291">
        <v>1</v>
      </c>
      <c r="BB291">
        <v>2</v>
      </c>
    </row>
    <row r="292" spans="46:54">
      <c r="AT292">
        <v>73</v>
      </c>
      <c r="AU292">
        <v>74.5</v>
      </c>
      <c r="AV292">
        <v>77.5</v>
      </c>
      <c r="AW292">
        <v>11</v>
      </c>
      <c r="AX292">
        <v>81.8</v>
      </c>
      <c r="AY292">
        <v>90.9</v>
      </c>
      <c r="AZ292">
        <v>0</v>
      </c>
      <c r="BA292">
        <v>1</v>
      </c>
      <c r="BB292">
        <v>3</v>
      </c>
    </row>
    <row r="293" spans="46:54">
      <c r="AT293">
        <v>75.5</v>
      </c>
      <c r="AU293">
        <v>69.5</v>
      </c>
      <c r="AV293">
        <v>78</v>
      </c>
      <c r="AW293">
        <v>11</v>
      </c>
      <c r="AX293">
        <v>81.8</v>
      </c>
      <c r="AY293">
        <v>72.7</v>
      </c>
      <c r="AZ293">
        <v>1</v>
      </c>
      <c r="BA293">
        <v>0</v>
      </c>
      <c r="BB293">
        <v>1</v>
      </c>
    </row>
    <row r="294" spans="46:54">
      <c r="AT294">
        <v>64.5</v>
      </c>
      <c r="AU294">
        <v>64.5</v>
      </c>
      <c r="AV294">
        <v>71</v>
      </c>
      <c r="AW294">
        <v>11</v>
      </c>
      <c r="AX294">
        <v>81.8</v>
      </c>
      <c r="AY294">
        <v>81.8</v>
      </c>
      <c r="AZ294">
        <v>0</v>
      </c>
      <c r="BA294">
        <v>0</v>
      </c>
      <c r="BB294">
        <v>0</v>
      </c>
    </row>
    <row r="295" spans="46:54">
      <c r="AT295">
        <v>63.5</v>
      </c>
      <c r="AU295">
        <v>64.5</v>
      </c>
      <c r="AV295">
        <v>64.5</v>
      </c>
      <c r="AW295">
        <v>11</v>
      </c>
      <c r="AX295">
        <v>81.8</v>
      </c>
      <c r="AY295">
        <v>90.9</v>
      </c>
      <c r="AZ295">
        <v>0</v>
      </c>
      <c r="BA295">
        <v>0</v>
      </c>
      <c r="BB295">
        <v>0</v>
      </c>
    </row>
    <row r="296" spans="46:54">
      <c r="AT296">
        <v>65</v>
      </c>
      <c r="AU296">
        <v>65.5</v>
      </c>
      <c r="AV296">
        <v>68.5</v>
      </c>
      <c r="AW296">
        <v>11</v>
      </c>
      <c r="AX296">
        <v>72.7</v>
      </c>
      <c r="AY296">
        <v>81.8</v>
      </c>
      <c r="AZ296">
        <v>0</v>
      </c>
      <c r="BA296">
        <v>0</v>
      </c>
      <c r="BB296">
        <v>1</v>
      </c>
    </row>
    <row r="297" spans="46:54">
      <c r="AT297">
        <v>75</v>
      </c>
      <c r="AU297">
        <v>66.5</v>
      </c>
      <c r="AV297">
        <v>79.5</v>
      </c>
      <c r="AW297">
        <v>11</v>
      </c>
      <c r="AX297">
        <v>81.8</v>
      </c>
      <c r="AY297">
        <v>81.8</v>
      </c>
      <c r="AZ297">
        <v>2</v>
      </c>
      <c r="BA297">
        <v>2</v>
      </c>
      <c r="BB297">
        <v>3</v>
      </c>
    </row>
    <row r="298" spans="46:54">
      <c r="AT298">
        <v>70.5</v>
      </c>
      <c r="AU298">
        <v>67</v>
      </c>
      <c r="AV298">
        <v>74</v>
      </c>
      <c r="AW298">
        <v>11</v>
      </c>
      <c r="AX298">
        <v>72.7</v>
      </c>
      <c r="AY298">
        <v>72.7</v>
      </c>
      <c r="AZ298">
        <v>1</v>
      </c>
      <c r="BA298">
        <v>1</v>
      </c>
      <c r="BB298">
        <v>2</v>
      </c>
    </row>
    <row r="299" spans="46:54">
      <c r="AT299" t="s">
        <v>39</v>
      </c>
    </row>
    <row r="300" spans="46:54">
      <c r="AT300">
        <v>77</v>
      </c>
      <c r="AU300">
        <v>73</v>
      </c>
      <c r="AV300">
        <v>83</v>
      </c>
      <c r="AW300">
        <v>11</v>
      </c>
      <c r="AX300">
        <v>72.7</v>
      </c>
      <c r="AY300">
        <v>81.8</v>
      </c>
      <c r="AZ300">
        <v>0</v>
      </c>
      <c r="BA300">
        <v>0</v>
      </c>
      <c r="BB300">
        <v>1</v>
      </c>
    </row>
    <row r="301" spans="46:54">
      <c r="AT301">
        <v>63</v>
      </c>
      <c r="AU301">
        <v>63</v>
      </c>
      <c r="AV301">
        <v>67</v>
      </c>
      <c r="AW301">
        <v>11</v>
      </c>
      <c r="AX301">
        <v>81.8</v>
      </c>
      <c r="AY301">
        <v>81.8</v>
      </c>
      <c r="AZ301">
        <v>0</v>
      </c>
      <c r="BA301">
        <v>0</v>
      </c>
      <c r="BB301">
        <v>2</v>
      </c>
    </row>
    <row r="302" spans="46:54">
      <c r="AT302">
        <v>80</v>
      </c>
      <c r="AU302">
        <v>77.5</v>
      </c>
      <c r="AV302">
        <v>88.5</v>
      </c>
      <c r="AW302">
        <v>11</v>
      </c>
      <c r="AX302">
        <v>72.7</v>
      </c>
      <c r="AY302">
        <v>72.7</v>
      </c>
      <c r="AZ302">
        <v>0</v>
      </c>
      <c r="BA302">
        <v>0</v>
      </c>
      <c r="BB302">
        <v>1</v>
      </c>
    </row>
    <row r="303" spans="46:54">
      <c r="AT303">
        <v>69.5</v>
      </c>
      <c r="AU303">
        <v>71.5</v>
      </c>
      <c r="AV303">
        <v>76.5</v>
      </c>
      <c r="AW303">
        <v>11</v>
      </c>
      <c r="AX303">
        <v>81.8</v>
      </c>
      <c r="AY303">
        <v>90.9</v>
      </c>
      <c r="AZ303">
        <v>0</v>
      </c>
      <c r="BA303">
        <v>0</v>
      </c>
      <c r="BB303">
        <v>2</v>
      </c>
    </row>
    <row r="304" spans="46:54">
      <c r="AT304">
        <v>66.5</v>
      </c>
      <c r="AU304">
        <v>66.5</v>
      </c>
      <c r="AV304">
        <v>75.5</v>
      </c>
      <c r="AW304">
        <v>11</v>
      </c>
      <c r="AX304">
        <v>63.6</v>
      </c>
      <c r="AY304">
        <v>63.6</v>
      </c>
      <c r="AZ304">
        <v>1</v>
      </c>
      <c r="BA304">
        <v>0</v>
      </c>
      <c r="BB304">
        <v>3</v>
      </c>
    </row>
    <row r="305" spans="46:54">
      <c r="AT305">
        <v>68.5</v>
      </c>
      <c r="AU305">
        <v>64</v>
      </c>
      <c r="AV305">
        <v>72.5</v>
      </c>
      <c r="AW305">
        <v>11</v>
      </c>
      <c r="AX305">
        <v>72.7</v>
      </c>
      <c r="AY305">
        <v>72.7</v>
      </c>
      <c r="AZ305">
        <v>0</v>
      </c>
      <c r="BA305">
        <v>0</v>
      </c>
      <c r="BB305">
        <v>1</v>
      </c>
    </row>
    <row r="306" spans="46:54">
      <c r="AT306">
        <v>69</v>
      </c>
      <c r="AU306">
        <v>68.5</v>
      </c>
      <c r="AV306">
        <v>76</v>
      </c>
      <c r="AW306">
        <v>11</v>
      </c>
      <c r="AX306">
        <v>72.7</v>
      </c>
      <c r="AY306">
        <v>72.7</v>
      </c>
      <c r="AZ306">
        <v>2</v>
      </c>
      <c r="BA306">
        <v>1</v>
      </c>
      <c r="BB306">
        <v>3</v>
      </c>
    </row>
    <row r="307" spans="46:54">
      <c r="AT307">
        <v>67</v>
      </c>
      <c r="AU307">
        <v>68</v>
      </c>
      <c r="AV307">
        <v>77.5</v>
      </c>
      <c r="AW307">
        <v>11</v>
      </c>
      <c r="AX307">
        <v>45.5</v>
      </c>
      <c r="AY307">
        <v>54.5</v>
      </c>
      <c r="AZ307">
        <v>0</v>
      </c>
      <c r="BA307">
        <v>0</v>
      </c>
      <c r="BB307">
        <v>1</v>
      </c>
    </row>
    <row r="308" spans="46:54">
      <c r="AT308">
        <v>70</v>
      </c>
      <c r="AU308">
        <v>68</v>
      </c>
      <c r="AV308">
        <v>76</v>
      </c>
      <c r="AW308">
        <v>11</v>
      </c>
      <c r="AX308">
        <v>81.8</v>
      </c>
      <c r="AY308">
        <v>72.7</v>
      </c>
      <c r="AZ308">
        <v>0</v>
      </c>
      <c r="BA308">
        <v>0</v>
      </c>
      <c r="BB308">
        <v>2</v>
      </c>
    </row>
    <row r="309" spans="46:54">
      <c r="AT309">
        <v>81.5</v>
      </c>
      <c r="AU309">
        <v>78.5</v>
      </c>
      <c r="AV309">
        <v>81.5</v>
      </c>
      <c r="AW309">
        <v>11</v>
      </c>
      <c r="AX309">
        <v>90.9</v>
      </c>
      <c r="AY309">
        <v>90.9</v>
      </c>
      <c r="AZ309">
        <v>1</v>
      </c>
      <c r="BA309">
        <v>0</v>
      </c>
      <c r="BB309">
        <v>1</v>
      </c>
    </row>
    <row r="310" spans="46:54">
      <c r="AT310" t="s">
        <v>40</v>
      </c>
    </row>
    <row r="311" spans="46:54">
      <c r="AT311">
        <v>77.5</v>
      </c>
      <c r="AU311">
        <v>71.5</v>
      </c>
      <c r="AV311">
        <v>85.5</v>
      </c>
      <c r="AW311">
        <v>11</v>
      </c>
      <c r="AX311">
        <v>63.6</v>
      </c>
      <c r="AY311">
        <v>54.5</v>
      </c>
      <c r="AZ311">
        <v>0</v>
      </c>
      <c r="BA311">
        <v>0</v>
      </c>
      <c r="BB311">
        <v>2</v>
      </c>
    </row>
    <row r="312" spans="46:54">
      <c r="AT312">
        <v>77</v>
      </c>
      <c r="AU312">
        <v>77.5</v>
      </c>
      <c r="AV312">
        <v>81</v>
      </c>
      <c r="AW312">
        <v>11</v>
      </c>
      <c r="AX312">
        <v>90.9</v>
      </c>
      <c r="AY312">
        <v>90.9</v>
      </c>
      <c r="AZ312">
        <v>0</v>
      </c>
      <c r="BA312">
        <v>0</v>
      </c>
      <c r="BB312">
        <v>1</v>
      </c>
    </row>
    <row r="313" spans="46:54">
      <c r="AT313">
        <v>69</v>
      </c>
      <c r="AU313">
        <v>63</v>
      </c>
      <c r="AV313">
        <v>77.5</v>
      </c>
      <c r="AW313">
        <v>11</v>
      </c>
      <c r="AX313">
        <v>63.6</v>
      </c>
      <c r="AY313">
        <v>45.5</v>
      </c>
      <c r="AZ313">
        <v>0</v>
      </c>
      <c r="BA313">
        <v>0</v>
      </c>
      <c r="BB313">
        <v>3</v>
      </c>
    </row>
    <row r="314" spans="46:54">
      <c r="AT314">
        <v>72.5</v>
      </c>
      <c r="AU314">
        <v>71</v>
      </c>
      <c r="AV314">
        <v>75</v>
      </c>
      <c r="AW314">
        <v>11</v>
      </c>
      <c r="AX314">
        <v>81.8</v>
      </c>
      <c r="AY314">
        <v>81.8</v>
      </c>
      <c r="AZ314">
        <v>2</v>
      </c>
      <c r="BA314">
        <v>1</v>
      </c>
      <c r="BB314">
        <v>2</v>
      </c>
    </row>
    <row r="315" spans="46:54">
      <c r="AT315">
        <v>68</v>
      </c>
      <c r="AU315">
        <v>70</v>
      </c>
      <c r="AV315">
        <v>74.5</v>
      </c>
      <c r="AW315">
        <v>11</v>
      </c>
      <c r="AX315">
        <v>72.7</v>
      </c>
      <c r="AY315">
        <v>72.7</v>
      </c>
      <c r="AZ315">
        <v>2</v>
      </c>
      <c r="BA315">
        <v>2</v>
      </c>
      <c r="BB315">
        <v>3</v>
      </c>
    </row>
    <row r="316" spans="46:54">
      <c r="AT316">
        <v>68.5</v>
      </c>
      <c r="AU316">
        <v>65.5</v>
      </c>
      <c r="AV316">
        <v>71</v>
      </c>
      <c r="AW316">
        <v>11</v>
      </c>
      <c r="AX316">
        <v>81.8</v>
      </c>
      <c r="AY316">
        <v>72.7</v>
      </c>
      <c r="AZ316">
        <v>0</v>
      </c>
      <c r="BA316">
        <v>0</v>
      </c>
      <c r="BB316">
        <v>0</v>
      </c>
    </row>
    <row r="317" spans="46:54">
      <c r="AT317">
        <v>75.5</v>
      </c>
      <c r="AU317">
        <v>74</v>
      </c>
      <c r="AV317">
        <v>79.5</v>
      </c>
      <c r="AW317">
        <v>11</v>
      </c>
      <c r="AX317">
        <v>72.7</v>
      </c>
      <c r="AY317">
        <v>72.7</v>
      </c>
      <c r="AZ317">
        <v>0</v>
      </c>
      <c r="BA317">
        <v>0</v>
      </c>
      <c r="BB317">
        <v>2</v>
      </c>
    </row>
    <row r="318" spans="46:54">
      <c r="AT318">
        <v>75.5</v>
      </c>
      <c r="AU318">
        <v>73.5</v>
      </c>
      <c r="AV318">
        <v>79</v>
      </c>
      <c r="AW318">
        <v>11</v>
      </c>
      <c r="AX318">
        <v>90.9</v>
      </c>
      <c r="AY318">
        <v>90.9</v>
      </c>
      <c r="AZ318">
        <v>0</v>
      </c>
      <c r="BA318">
        <v>0</v>
      </c>
      <c r="BB318">
        <v>1</v>
      </c>
    </row>
    <row r="319" spans="46:54">
      <c r="AT319">
        <v>68</v>
      </c>
      <c r="AU319">
        <v>66.5</v>
      </c>
      <c r="AV319">
        <v>71.5</v>
      </c>
      <c r="AW319">
        <v>11</v>
      </c>
      <c r="AX319">
        <v>81.8</v>
      </c>
      <c r="AY319">
        <v>81.8</v>
      </c>
      <c r="AZ319">
        <v>0</v>
      </c>
      <c r="BA319">
        <v>0</v>
      </c>
      <c r="BB319">
        <v>2</v>
      </c>
    </row>
    <row r="320" spans="46:54">
      <c r="AT320">
        <v>66.5</v>
      </c>
      <c r="AU320">
        <v>67.5</v>
      </c>
      <c r="AV320">
        <v>74</v>
      </c>
      <c r="AW320">
        <v>11</v>
      </c>
      <c r="AX320">
        <v>54.5</v>
      </c>
      <c r="AY320">
        <v>63.6</v>
      </c>
      <c r="AZ320">
        <v>0</v>
      </c>
      <c r="BA320">
        <v>0</v>
      </c>
      <c r="BB320">
        <v>2</v>
      </c>
    </row>
    <row r="321" spans="46:54">
      <c r="AT321" t="s">
        <v>41</v>
      </c>
    </row>
    <row r="322" spans="46:54">
      <c r="AT322">
        <v>89.5</v>
      </c>
      <c r="AU322">
        <v>86.5</v>
      </c>
      <c r="AV322">
        <v>95.5</v>
      </c>
      <c r="AW322">
        <v>11</v>
      </c>
      <c r="AX322">
        <v>81.8</v>
      </c>
      <c r="AY322">
        <v>81.8</v>
      </c>
      <c r="AZ322">
        <v>0</v>
      </c>
      <c r="BA322">
        <v>0</v>
      </c>
      <c r="BB322">
        <v>0</v>
      </c>
    </row>
    <row r="323" spans="46:54">
      <c r="AT323">
        <v>68</v>
      </c>
      <c r="AU323">
        <v>68</v>
      </c>
      <c r="AV323">
        <v>71</v>
      </c>
      <c r="AW323">
        <v>11</v>
      </c>
      <c r="AX323">
        <v>100</v>
      </c>
      <c r="AY323">
        <v>100</v>
      </c>
      <c r="AZ323">
        <v>0</v>
      </c>
      <c r="BA323">
        <v>0</v>
      </c>
      <c r="BB323">
        <v>2</v>
      </c>
    </row>
    <row r="324" spans="46:54">
      <c r="AT324">
        <v>68</v>
      </c>
      <c r="AU324">
        <v>64.5</v>
      </c>
      <c r="AV324">
        <v>76</v>
      </c>
      <c r="AW324">
        <v>11</v>
      </c>
      <c r="AX324">
        <v>63.6</v>
      </c>
      <c r="AY324">
        <v>63.6</v>
      </c>
      <c r="AZ324">
        <v>0</v>
      </c>
      <c r="BA324">
        <v>0</v>
      </c>
      <c r="BB324">
        <v>0</v>
      </c>
    </row>
    <row r="325" spans="46:54">
      <c r="AT325">
        <v>65.5</v>
      </c>
      <c r="AU325">
        <v>65.5</v>
      </c>
      <c r="AV325">
        <v>67</v>
      </c>
      <c r="AW325">
        <v>11</v>
      </c>
      <c r="AX325">
        <v>90.9</v>
      </c>
      <c r="AY325">
        <v>90.9</v>
      </c>
      <c r="AZ325">
        <v>1</v>
      </c>
      <c r="BA325">
        <v>1</v>
      </c>
      <c r="BB325">
        <v>2</v>
      </c>
    </row>
    <row r="326" spans="46:54">
      <c r="AT326">
        <v>71.5</v>
      </c>
      <c r="AU326">
        <v>71.5</v>
      </c>
      <c r="AV326">
        <v>79.5</v>
      </c>
      <c r="AW326">
        <v>11</v>
      </c>
      <c r="AX326">
        <v>81.8</v>
      </c>
      <c r="AY326">
        <v>72.7</v>
      </c>
      <c r="AZ326">
        <v>0</v>
      </c>
      <c r="BA326">
        <v>0</v>
      </c>
      <c r="BB326">
        <v>2</v>
      </c>
    </row>
    <row r="327" spans="46:54">
      <c r="AT327">
        <v>65</v>
      </c>
      <c r="AU327">
        <v>66</v>
      </c>
      <c r="AV327">
        <v>74</v>
      </c>
      <c r="AW327">
        <v>11</v>
      </c>
      <c r="AX327">
        <v>63.6</v>
      </c>
      <c r="AY327">
        <v>63.6</v>
      </c>
      <c r="AZ327">
        <v>0</v>
      </c>
      <c r="BA327">
        <v>0</v>
      </c>
      <c r="BB327">
        <v>1</v>
      </c>
    </row>
    <row r="328" spans="46:54">
      <c r="AT328">
        <v>83.5</v>
      </c>
      <c r="AU328">
        <v>83.5</v>
      </c>
      <c r="AV328">
        <v>85.5</v>
      </c>
      <c r="AW328">
        <v>11</v>
      </c>
      <c r="AX328">
        <v>90.9</v>
      </c>
      <c r="AY328">
        <v>90.9</v>
      </c>
      <c r="AZ328">
        <v>0</v>
      </c>
      <c r="BA328">
        <v>0</v>
      </c>
      <c r="BB328">
        <v>1</v>
      </c>
    </row>
    <row r="329" spans="46:54">
      <c r="AT329">
        <v>70</v>
      </c>
      <c r="AU329">
        <v>67.5</v>
      </c>
      <c r="AV329">
        <v>72</v>
      </c>
      <c r="AW329">
        <v>11</v>
      </c>
      <c r="AX329">
        <v>81.8</v>
      </c>
      <c r="AY329">
        <v>81.8</v>
      </c>
      <c r="AZ329">
        <v>2</v>
      </c>
      <c r="BA329">
        <v>0</v>
      </c>
      <c r="BB329">
        <v>2</v>
      </c>
    </row>
    <row r="330" spans="46:54">
      <c r="AT330">
        <v>77.5</v>
      </c>
      <c r="AU330">
        <v>72.5</v>
      </c>
      <c r="AV330">
        <v>84.5</v>
      </c>
      <c r="AW330">
        <v>11</v>
      </c>
      <c r="AX330">
        <v>72.7</v>
      </c>
      <c r="AY330">
        <v>63.6</v>
      </c>
      <c r="AZ330">
        <v>0</v>
      </c>
      <c r="BA330">
        <v>0</v>
      </c>
      <c r="BB330">
        <v>1</v>
      </c>
    </row>
    <row r="331" spans="46:54">
      <c r="AT331">
        <v>61.5</v>
      </c>
      <c r="AU331">
        <v>62.5</v>
      </c>
      <c r="AV331">
        <v>70.5</v>
      </c>
      <c r="AW331">
        <v>11</v>
      </c>
      <c r="AX331">
        <v>63.6</v>
      </c>
      <c r="AY331">
        <v>63.6</v>
      </c>
      <c r="AZ331">
        <v>0</v>
      </c>
      <c r="BA331">
        <v>0</v>
      </c>
      <c r="BB331">
        <v>0</v>
      </c>
    </row>
    <row r="332" spans="46:54">
      <c r="AT332" t="s">
        <v>42</v>
      </c>
    </row>
    <row r="333" spans="46:54">
      <c r="AT333">
        <v>67</v>
      </c>
      <c r="AU333">
        <v>65</v>
      </c>
      <c r="AV333">
        <v>72.5</v>
      </c>
      <c r="AW333">
        <v>11</v>
      </c>
      <c r="AX333">
        <v>54.5</v>
      </c>
      <c r="AY333">
        <v>54.5</v>
      </c>
      <c r="AZ333">
        <v>0</v>
      </c>
      <c r="BA333">
        <v>0</v>
      </c>
      <c r="BB333">
        <v>2</v>
      </c>
    </row>
    <row r="334" spans="46:54">
      <c r="AT334">
        <v>62.5</v>
      </c>
      <c r="AU334">
        <v>62.5</v>
      </c>
      <c r="AV334">
        <v>64.5</v>
      </c>
      <c r="AW334">
        <v>11</v>
      </c>
      <c r="AX334">
        <v>63.6</v>
      </c>
      <c r="AY334">
        <v>63.6</v>
      </c>
      <c r="AZ334">
        <v>1</v>
      </c>
      <c r="BA334">
        <v>1</v>
      </c>
      <c r="BB334">
        <v>1</v>
      </c>
    </row>
    <row r="335" spans="46:54">
      <c r="AT335">
        <v>72</v>
      </c>
      <c r="AU335">
        <v>70</v>
      </c>
      <c r="AV335">
        <v>79.5</v>
      </c>
      <c r="AW335">
        <v>11</v>
      </c>
      <c r="AX335">
        <v>72.7</v>
      </c>
      <c r="AY335">
        <v>63.6</v>
      </c>
      <c r="AZ335">
        <v>1</v>
      </c>
      <c r="BA335">
        <v>0</v>
      </c>
      <c r="BB335">
        <v>3</v>
      </c>
    </row>
    <row r="336" spans="46:54">
      <c r="AT336">
        <v>73.5</v>
      </c>
      <c r="AU336">
        <v>74</v>
      </c>
      <c r="AV336">
        <v>83.5</v>
      </c>
      <c r="AW336">
        <v>11</v>
      </c>
      <c r="AX336">
        <v>72.7</v>
      </c>
      <c r="AY336">
        <v>81.8</v>
      </c>
      <c r="AZ336">
        <v>0</v>
      </c>
      <c r="BA336">
        <v>0</v>
      </c>
      <c r="BB336">
        <v>0</v>
      </c>
    </row>
    <row r="337" spans="46:54">
      <c r="AT337">
        <v>79.5</v>
      </c>
      <c r="AU337">
        <v>79.5</v>
      </c>
      <c r="AV337">
        <v>84.5</v>
      </c>
      <c r="AW337">
        <v>11</v>
      </c>
      <c r="AX337">
        <v>81.8</v>
      </c>
      <c r="AY337">
        <v>81.8</v>
      </c>
      <c r="AZ337">
        <v>0</v>
      </c>
      <c r="BA337">
        <v>0</v>
      </c>
      <c r="BB337">
        <v>2</v>
      </c>
    </row>
    <row r="338" spans="46:54">
      <c r="AT338">
        <v>74.5</v>
      </c>
      <c r="AU338">
        <v>73.5</v>
      </c>
      <c r="AV338">
        <v>80.5</v>
      </c>
      <c r="AW338">
        <v>11</v>
      </c>
      <c r="AX338">
        <v>72.7</v>
      </c>
      <c r="AY338">
        <v>63.6</v>
      </c>
      <c r="AZ338">
        <v>1</v>
      </c>
      <c r="BA338">
        <v>1</v>
      </c>
      <c r="BB338">
        <v>3</v>
      </c>
    </row>
    <row r="339" spans="46:54">
      <c r="AT339">
        <v>66.5</v>
      </c>
      <c r="AU339">
        <v>61.5</v>
      </c>
      <c r="AV339">
        <v>66.5</v>
      </c>
      <c r="AW339">
        <v>11</v>
      </c>
      <c r="AX339">
        <v>100</v>
      </c>
      <c r="AY339">
        <v>90.9</v>
      </c>
      <c r="AZ339">
        <v>2</v>
      </c>
      <c r="BA339">
        <v>1</v>
      </c>
      <c r="BB339">
        <v>2</v>
      </c>
    </row>
    <row r="340" spans="46:54">
      <c r="AT340">
        <v>74</v>
      </c>
      <c r="AU340">
        <v>74.5</v>
      </c>
      <c r="AV340">
        <v>85.5</v>
      </c>
      <c r="AW340">
        <v>11</v>
      </c>
      <c r="AX340">
        <v>81.8</v>
      </c>
      <c r="AY340">
        <v>81.8</v>
      </c>
      <c r="AZ340">
        <v>1</v>
      </c>
      <c r="BA340">
        <v>0</v>
      </c>
      <c r="BB340">
        <v>3</v>
      </c>
    </row>
    <row r="341" spans="46:54">
      <c r="AT341">
        <v>70</v>
      </c>
      <c r="AU341">
        <v>65.5</v>
      </c>
      <c r="AV341">
        <v>71.5</v>
      </c>
      <c r="AW341">
        <v>11</v>
      </c>
      <c r="AX341">
        <v>90.9</v>
      </c>
      <c r="AY341">
        <v>81.8</v>
      </c>
      <c r="AZ341">
        <v>0</v>
      </c>
      <c r="BA341">
        <v>0</v>
      </c>
      <c r="BB341">
        <v>0</v>
      </c>
    </row>
    <row r="342" spans="46:54">
      <c r="AT342">
        <v>80.5</v>
      </c>
      <c r="AU342">
        <v>78.5</v>
      </c>
      <c r="AV342">
        <v>88</v>
      </c>
      <c r="AW342">
        <v>11</v>
      </c>
      <c r="AX342">
        <v>90.9</v>
      </c>
      <c r="AY342">
        <v>90.9</v>
      </c>
      <c r="AZ342">
        <v>0</v>
      </c>
      <c r="BA342">
        <v>0</v>
      </c>
      <c r="BB342">
        <v>0</v>
      </c>
    </row>
    <row r="343" spans="46:54">
      <c r="AT343" t="s">
        <v>43</v>
      </c>
    </row>
    <row r="344" spans="46:54">
      <c r="AT344">
        <v>63</v>
      </c>
      <c r="AU344">
        <v>67</v>
      </c>
      <c r="AV344">
        <v>71</v>
      </c>
      <c r="AW344">
        <v>11</v>
      </c>
      <c r="AX344">
        <v>72.7</v>
      </c>
      <c r="AY344">
        <v>81.8</v>
      </c>
      <c r="AZ344">
        <v>0</v>
      </c>
      <c r="BA344">
        <v>0</v>
      </c>
      <c r="BB344">
        <v>2</v>
      </c>
    </row>
    <row r="345" spans="46:54">
      <c r="AT345">
        <v>84.5</v>
      </c>
      <c r="AU345">
        <v>82.5</v>
      </c>
      <c r="AV345">
        <v>91</v>
      </c>
      <c r="AW345">
        <v>11</v>
      </c>
      <c r="AX345">
        <v>72.7</v>
      </c>
      <c r="AY345">
        <v>72.7</v>
      </c>
      <c r="AZ345">
        <v>0</v>
      </c>
      <c r="BA345">
        <v>0</v>
      </c>
      <c r="BB345">
        <v>3</v>
      </c>
    </row>
    <row r="346" spans="46:54">
      <c r="AT346">
        <v>70.5</v>
      </c>
      <c r="AU346">
        <v>62.5</v>
      </c>
      <c r="AV346">
        <v>78.5</v>
      </c>
      <c r="AW346">
        <v>11</v>
      </c>
      <c r="AX346">
        <v>72.7</v>
      </c>
      <c r="AY346">
        <v>54.5</v>
      </c>
      <c r="AZ346">
        <v>0</v>
      </c>
      <c r="BA346">
        <v>0</v>
      </c>
      <c r="BB346">
        <v>3</v>
      </c>
    </row>
    <row r="347" spans="46:54">
      <c r="AT347">
        <v>74</v>
      </c>
      <c r="AU347">
        <v>74</v>
      </c>
      <c r="AV347">
        <v>78.5</v>
      </c>
      <c r="AW347">
        <v>11</v>
      </c>
      <c r="AX347">
        <v>90.9</v>
      </c>
      <c r="AY347">
        <v>90.9</v>
      </c>
      <c r="AZ347">
        <v>0</v>
      </c>
      <c r="BA347">
        <v>0</v>
      </c>
      <c r="BB347">
        <v>1</v>
      </c>
    </row>
    <row r="348" spans="46:54">
      <c r="AT348">
        <v>80</v>
      </c>
      <c r="AU348">
        <v>78.5</v>
      </c>
      <c r="AV348">
        <v>83.5</v>
      </c>
      <c r="AW348">
        <v>11</v>
      </c>
      <c r="AX348">
        <v>90.9</v>
      </c>
      <c r="AY348">
        <v>90.9</v>
      </c>
      <c r="AZ348">
        <v>0</v>
      </c>
      <c r="BA348">
        <v>1</v>
      </c>
      <c r="BB348">
        <v>2</v>
      </c>
    </row>
    <row r="349" spans="46:54">
      <c r="AT349">
        <v>68</v>
      </c>
      <c r="AU349">
        <v>69.5</v>
      </c>
      <c r="AV349">
        <v>76.5</v>
      </c>
      <c r="AW349">
        <v>11</v>
      </c>
      <c r="AX349">
        <v>54.5</v>
      </c>
      <c r="AY349">
        <v>72.7</v>
      </c>
      <c r="AZ349">
        <v>0</v>
      </c>
      <c r="BA349">
        <v>0</v>
      </c>
      <c r="BB349">
        <v>3</v>
      </c>
    </row>
    <row r="350" spans="46:54">
      <c r="AT350">
        <v>74</v>
      </c>
      <c r="AU350">
        <v>72</v>
      </c>
      <c r="AV350">
        <v>76</v>
      </c>
      <c r="AW350">
        <v>11</v>
      </c>
      <c r="AX350">
        <v>81.8</v>
      </c>
      <c r="AY350">
        <v>72.7</v>
      </c>
      <c r="AZ350">
        <v>2</v>
      </c>
      <c r="BA350">
        <v>1</v>
      </c>
      <c r="BB350">
        <v>3</v>
      </c>
    </row>
    <row r="351" spans="46:54">
      <c r="AT351">
        <v>75</v>
      </c>
      <c r="AU351">
        <v>74</v>
      </c>
      <c r="AV351">
        <v>83.5</v>
      </c>
      <c r="AW351">
        <v>11</v>
      </c>
      <c r="AX351">
        <v>63.6</v>
      </c>
      <c r="AY351">
        <v>63.6</v>
      </c>
      <c r="AZ351">
        <v>0</v>
      </c>
      <c r="BA351">
        <v>0</v>
      </c>
      <c r="BB351">
        <v>1</v>
      </c>
    </row>
    <row r="352" spans="46:54">
      <c r="AT352">
        <v>65.5</v>
      </c>
      <c r="AU352">
        <v>65.5</v>
      </c>
      <c r="AV352">
        <v>72</v>
      </c>
      <c r="AW352">
        <v>11</v>
      </c>
      <c r="AX352">
        <v>63.6</v>
      </c>
      <c r="AY352">
        <v>63.6</v>
      </c>
      <c r="AZ352">
        <v>0</v>
      </c>
      <c r="BA352">
        <v>0</v>
      </c>
      <c r="BB352">
        <v>1</v>
      </c>
    </row>
    <row r="353" spans="46:54">
      <c r="AT353">
        <v>76</v>
      </c>
      <c r="AU353">
        <v>77</v>
      </c>
      <c r="AV353">
        <v>81.5</v>
      </c>
      <c r="AW353">
        <v>11</v>
      </c>
      <c r="AX353">
        <v>63.6</v>
      </c>
      <c r="AY353">
        <v>72.7</v>
      </c>
      <c r="AZ353">
        <v>0</v>
      </c>
      <c r="BA353">
        <v>0</v>
      </c>
      <c r="BB353">
        <v>2</v>
      </c>
    </row>
    <row r="354" spans="46:54">
      <c r="AT354" t="s">
        <v>44</v>
      </c>
    </row>
    <row r="355" spans="46:54">
      <c r="AT355">
        <v>61</v>
      </c>
      <c r="AU355">
        <v>61.5</v>
      </c>
      <c r="AV355">
        <v>74.5</v>
      </c>
      <c r="AW355">
        <v>11</v>
      </c>
      <c r="AX355">
        <v>81.8</v>
      </c>
      <c r="AY355">
        <v>81.8</v>
      </c>
      <c r="AZ355">
        <v>0</v>
      </c>
      <c r="BA355">
        <v>0</v>
      </c>
      <c r="BB355">
        <v>3</v>
      </c>
    </row>
    <row r="356" spans="46:54">
      <c r="AT356">
        <v>75.5</v>
      </c>
      <c r="AU356">
        <v>71</v>
      </c>
      <c r="AV356">
        <v>76.5</v>
      </c>
      <c r="AW356">
        <v>11</v>
      </c>
      <c r="AX356">
        <v>90.9</v>
      </c>
      <c r="AY356">
        <v>81.8</v>
      </c>
      <c r="AZ356">
        <v>2</v>
      </c>
      <c r="BA356">
        <v>1</v>
      </c>
      <c r="BB356">
        <v>3</v>
      </c>
    </row>
    <row r="357" spans="46:54">
      <c r="AT357">
        <v>75</v>
      </c>
      <c r="AU357">
        <v>73.5</v>
      </c>
      <c r="AV357">
        <v>76</v>
      </c>
      <c r="AW357">
        <v>11</v>
      </c>
      <c r="AX357">
        <v>100</v>
      </c>
      <c r="AY357">
        <v>90.9</v>
      </c>
      <c r="AZ357">
        <v>2</v>
      </c>
      <c r="BA357">
        <v>1</v>
      </c>
      <c r="BB357">
        <v>3</v>
      </c>
    </row>
    <row r="358" spans="46:54">
      <c r="AT358">
        <v>72.5</v>
      </c>
      <c r="AU358">
        <v>67</v>
      </c>
      <c r="AV358">
        <v>78.5</v>
      </c>
      <c r="AW358">
        <v>11</v>
      </c>
      <c r="AX358">
        <v>90.9</v>
      </c>
      <c r="AY358">
        <v>72.7</v>
      </c>
      <c r="AZ358">
        <v>0</v>
      </c>
      <c r="BA358">
        <v>0</v>
      </c>
      <c r="BB358">
        <v>3</v>
      </c>
    </row>
    <row r="359" spans="46:54">
      <c r="AT359">
        <v>68.5</v>
      </c>
      <c r="AU359">
        <v>62</v>
      </c>
      <c r="AV359">
        <v>70.5</v>
      </c>
      <c r="AW359">
        <v>11</v>
      </c>
      <c r="AX359">
        <v>81.8</v>
      </c>
      <c r="AY359">
        <v>63.6</v>
      </c>
      <c r="AZ359">
        <v>1</v>
      </c>
      <c r="BA359">
        <v>1</v>
      </c>
      <c r="BB359">
        <v>2</v>
      </c>
    </row>
    <row r="360" spans="46:54">
      <c r="AT360">
        <v>68</v>
      </c>
      <c r="AU360">
        <v>69</v>
      </c>
      <c r="AV360">
        <v>78</v>
      </c>
      <c r="AW360">
        <v>11</v>
      </c>
      <c r="AX360">
        <v>63.6</v>
      </c>
      <c r="AY360">
        <v>72.7</v>
      </c>
      <c r="AZ360">
        <v>1</v>
      </c>
      <c r="BA360">
        <v>1</v>
      </c>
      <c r="BB360">
        <v>3</v>
      </c>
    </row>
    <row r="361" spans="46:54">
      <c r="AT361">
        <v>72.5</v>
      </c>
      <c r="AU361">
        <v>73</v>
      </c>
      <c r="AV361">
        <v>75.5</v>
      </c>
      <c r="AW361">
        <v>11</v>
      </c>
      <c r="AX361">
        <v>90.9</v>
      </c>
      <c r="AY361">
        <v>90.9</v>
      </c>
      <c r="AZ361">
        <v>0</v>
      </c>
      <c r="BA361">
        <v>0</v>
      </c>
      <c r="BB361">
        <v>0</v>
      </c>
    </row>
    <row r="362" spans="46:54">
      <c r="AT362">
        <v>63.5</v>
      </c>
      <c r="AU362">
        <v>65</v>
      </c>
      <c r="AV362">
        <v>69</v>
      </c>
      <c r="AW362">
        <v>11</v>
      </c>
      <c r="AX362">
        <v>81.8</v>
      </c>
      <c r="AY362">
        <v>81.8</v>
      </c>
      <c r="AZ362">
        <v>0</v>
      </c>
      <c r="BA362">
        <v>1</v>
      </c>
      <c r="BB362">
        <v>2</v>
      </c>
    </row>
    <row r="363" spans="46:54">
      <c r="AT363">
        <v>69</v>
      </c>
      <c r="AU363">
        <v>69</v>
      </c>
      <c r="AV363">
        <v>77</v>
      </c>
      <c r="AW363">
        <v>11</v>
      </c>
      <c r="AX363">
        <v>63.6</v>
      </c>
      <c r="AY363">
        <v>63.6</v>
      </c>
      <c r="AZ363">
        <v>0</v>
      </c>
      <c r="BA363">
        <v>0</v>
      </c>
      <c r="BB363">
        <v>2</v>
      </c>
    </row>
    <row r="364" spans="46:54">
      <c r="AT364">
        <v>83.5</v>
      </c>
      <c r="AU364">
        <v>86</v>
      </c>
      <c r="AV364">
        <v>86</v>
      </c>
      <c r="AW364">
        <v>11</v>
      </c>
      <c r="AX364">
        <v>90.9</v>
      </c>
      <c r="AY364">
        <v>90.9</v>
      </c>
      <c r="AZ364">
        <v>0</v>
      </c>
      <c r="BA364">
        <v>0</v>
      </c>
      <c r="BB364">
        <v>0</v>
      </c>
    </row>
    <row r="365" spans="46:54">
      <c r="AT365" t="s">
        <v>45</v>
      </c>
    </row>
    <row r="366" spans="46:54">
      <c r="AT366">
        <v>83</v>
      </c>
      <c r="AU366">
        <v>82</v>
      </c>
      <c r="AV366">
        <v>89</v>
      </c>
      <c r="AW366">
        <v>11</v>
      </c>
      <c r="AX366">
        <v>81.8</v>
      </c>
      <c r="AY366">
        <v>72.7</v>
      </c>
      <c r="AZ366">
        <v>1</v>
      </c>
      <c r="BA366">
        <v>1</v>
      </c>
      <c r="BB366">
        <v>3</v>
      </c>
    </row>
    <row r="367" spans="46:54">
      <c r="AT367">
        <v>72.5</v>
      </c>
      <c r="AU367">
        <v>74</v>
      </c>
      <c r="AV367">
        <v>79.5</v>
      </c>
      <c r="AW367">
        <v>11</v>
      </c>
      <c r="AX367">
        <v>63.6</v>
      </c>
      <c r="AY367">
        <v>72.7</v>
      </c>
      <c r="AZ367">
        <v>0</v>
      </c>
      <c r="BA367">
        <v>0</v>
      </c>
      <c r="BB367">
        <v>2</v>
      </c>
    </row>
    <row r="368" spans="46:54">
      <c r="AT368">
        <v>67.5</v>
      </c>
      <c r="AU368">
        <v>69</v>
      </c>
      <c r="AV368">
        <v>74.5</v>
      </c>
      <c r="AW368">
        <v>11</v>
      </c>
      <c r="AX368">
        <v>54.5</v>
      </c>
      <c r="AY368">
        <v>54.5</v>
      </c>
      <c r="AZ368">
        <v>0</v>
      </c>
      <c r="BA368">
        <v>1</v>
      </c>
      <c r="BB368">
        <v>3</v>
      </c>
    </row>
    <row r="369" spans="46:54">
      <c r="AT369">
        <v>80</v>
      </c>
      <c r="AU369">
        <v>73.5</v>
      </c>
      <c r="AV369">
        <v>81.5</v>
      </c>
      <c r="AW369">
        <v>11</v>
      </c>
      <c r="AX369">
        <v>90.9</v>
      </c>
      <c r="AY369">
        <v>72.7</v>
      </c>
      <c r="AZ369">
        <v>2</v>
      </c>
      <c r="BA369">
        <v>0</v>
      </c>
      <c r="BB369">
        <v>3</v>
      </c>
    </row>
    <row r="370" spans="46:54">
      <c r="AT370">
        <v>67</v>
      </c>
      <c r="AU370">
        <v>67</v>
      </c>
      <c r="AV370">
        <v>69</v>
      </c>
      <c r="AW370">
        <v>11</v>
      </c>
      <c r="AX370">
        <v>90.9</v>
      </c>
      <c r="AY370">
        <v>90.9</v>
      </c>
      <c r="AZ370">
        <v>0</v>
      </c>
      <c r="BA370">
        <v>0</v>
      </c>
      <c r="BB370">
        <v>1</v>
      </c>
    </row>
    <row r="371" spans="46:54">
      <c r="AT371">
        <v>63</v>
      </c>
      <c r="AU371">
        <v>63</v>
      </c>
      <c r="AV371">
        <v>64.5</v>
      </c>
      <c r="AW371">
        <v>11</v>
      </c>
      <c r="AX371">
        <v>81.8</v>
      </c>
      <c r="AY371">
        <v>81.8</v>
      </c>
      <c r="AZ371">
        <v>0</v>
      </c>
      <c r="BA371">
        <v>0</v>
      </c>
      <c r="BB371">
        <v>0</v>
      </c>
    </row>
    <row r="372" spans="46:54">
      <c r="AT372">
        <v>74.5</v>
      </c>
      <c r="AU372">
        <v>74.5</v>
      </c>
      <c r="AV372">
        <v>76</v>
      </c>
      <c r="AW372">
        <v>11</v>
      </c>
      <c r="AX372">
        <v>90.9</v>
      </c>
      <c r="AY372">
        <v>90.9</v>
      </c>
      <c r="AZ372">
        <v>1</v>
      </c>
      <c r="BA372">
        <v>1</v>
      </c>
      <c r="BB372">
        <v>1</v>
      </c>
    </row>
    <row r="373" spans="46:54">
      <c r="AT373">
        <v>69.5</v>
      </c>
      <c r="AU373">
        <v>62</v>
      </c>
      <c r="AV373">
        <v>74</v>
      </c>
      <c r="AW373">
        <v>11</v>
      </c>
      <c r="AX373">
        <v>72.7</v>
      </c>
      <c r="AY373">
        <v>63.6</v>
      </c>
      <c r="AZ373">
        <v>0</v>
      </c>
      <c r="BA373">
        <v>0</v>
      </c>
      <c r="BB373">
        <v>1</v>
      </c>
    </row>
    <row r="374" spans="46:54">
      <c r="AT374">
        <v>65</v>
      </c>
      <c r="AU374">
        <v>65.5</v>
      </c>
      <c r="AV374">
        <v>71</v>
      </c>
      <c r="AW374">
        <v>11</v>
      </c>
      <c r="AX374">
        <v>63.6</v>
      </c>
      <c r="AY374">
        <v>63.6</v>
      </c>
      <c r="AZ374">
        <v>0</v>
      </c>
      <c r="BA374">
        <v>0</v>
      </c>
      <c r="BB374">
        <v>2</v>
      </c>
    </row>
    <row r="375" spans="46:54">
      <c r="AT375">
        <v>74</v>
      </c>
      <c r="AU375">
        <v>74</v>
      </c>
      <c r="AV375">
        <v>80</v>
      </c>
      <c r="AW375">
        <v>11</v>
      </c>
      <c r="AX375">
        <v>81.8</v>
      </c>
      <c r="AY375">
        <v>81.8</v>
      </c>
      <c r="AZ375">
        <v>1</v>
      </c>
      <c r="BA375">
        <v>1</v>
      </c>
      <c r="BB375">
        <v>3</v>
      </c>
    </row>
    <row r="376" spans="46:54">
      <c r="AT376" t="s">
        <v>46</v>
      </c>
    </row>
    <row r="377" spans="46:54">
      <c r="AT377">
        <v>68</v>
      </c>
      <c r="AU377">
        <v>67</v>
      </c>
      <c r="AV377">
        <v>68.5</v>
      </c>
      <c r="AW377">
        <v>11</v>
      </c>
      <c r="AX377">
        <v>90.9</v>
      </c>
      <c r="AY377">
        <v>81.8</v>
      </c>
      <c r="AZ377">
        <v>0</v>
      </c>
      <c r="BA377">
        <v>0</v>
      </c>
      <c r="BB377">
        <v>0</v>
      </c>
    </row>
    <row r="378" spans="46:54">
      <c r="AT378">
        <v>78</v>
      </c>
      <c r="AU378">
        <v>78</v>
      </c>
      <c r="AV378">
        <v>82.5</v>
      </c>
      <c r="AW378">
        <v>11</v>
      </c>
      <c r="AX378">
        <v>81.8</v>
      </c>
      <c r="AY378">
        <v>81.8</v>
      </c>
      <c r="AZ378">
        <v>1</v>
      </c>
      <c r="BA378">
        <v>1</v>
      </c>
      <c r="BB378">
        <v>3</v>
      </c>
    </row>
    <row r="379" spans="46:54">
      <c r="AT379">
        <v>60.5</v>
      </c>
      <c r="AU379">
        <v>58</v>
      </c>
      <c r="AV379">
        <v>79</v>
      </c>
      <c r="AW379">
        <v>11</v>
      </c>
      <c r="AX379">
        <v>36.4</v>
      </c>
      <c r="AY379">
        <v>36.4</v>
      </c>
      <c r="AZ379">
        <v>0</v>
      </c>
      <c r="BA379">
        <v>0</v>
      </c>
      <c r="BB379">
        <v>3</v>
      </c>
    </row>
    <row r="380" spans="46:54">
      <c r="AT380">
        <v>65.5</v>
      </c>
      <c r="AU380">
        <v>65.5</v>
      </c>
      <c r="AV380">
        <v>67</v>
      </c>
      <c r="AW380">
        <v>11</v>
      </c>
      <c r="AX380">
        <v>72.7</v>
      </c>
      <c r="AY380">
        <v>72.7</v>
      </c>
      <c r="AZ380">
        <v>0</v>
      </c>
      <c r="BA380">
        <v>0</v>
      </c>
      <c r="BB380">
        <v>1</v>
      </c>
    </row>
    <row r="381" spans="46:54">
      <c r="AT381">
        <v>79.5</v>
      </c>
      <c r="AU381">
        <v>76.5</v>
      </c>
      <c r="AV381">
        <v>82.5</v>
      </c>
      <c r="AW381">
        <v>11</v>
      </c>
      <c r="AX381">
        <v>81.8</v>
      </c>
      <c r="AY381">
        <v>63.6</v>
      </c>
      <c r="AZ381">
        <v>1</v>
      </c>
      <c r="BA381">
        <v>0</v>
      </c>
      <c r="BB381">
        <v>3</v>
      </c>
    </row>
    <row r="382" spans="46:54">
      <c r="AT382">
        <v>77</v>
      </c>
      <c r="AU382">
        <v>76.5</v>
      </c>
      <c r="AV382">
        <v>81.5</v>
      </c>
      <c r="AW382">
        <v>11</v>
      </c>
      <c r="AX382">
        <v>72.7</v>
      </c>
      <c r="AY382">
        <v>72.7</v>
      </c>
      <c r="AZ382">
        <v>1</v>
      </c>
      <c r="BA382">
        <v>1</v>
      </c>
      <c r="BB382">
        <v>3</v>
      </c>
    </row>
    <row r="383" spans="46:54">
      <c r="AT383">
        <v>66.5</v>
      </c>
      <c r="AU383">
        <v>66</v>
      </c>
      <c r="AV383">
        <v>67.5</v>
      </c>
      <c r="AW383">
        <v>11</v>
      </c>
      <c r="AX383">
        <v>90.9</v>
      </c>
      <c r="AY383">
        <v>90.9</v>
      </c>
      <c r="AZ383">
        <v>1</v>
      </c>
      <c r="BA383">
        <v>1</v>
      </c>
      <c r="BB383">
        <v>1</v>
      </c>
    </row>
    <row r="384" spans="46:54">
      <c r="AT384">
        <v>69</v>
      </c>
      <c r="AU384">
        <v>65</v>
      </c>
      <c r="AV384">
        <v>72</v>
      </c>
      <c r="AW384">
        <v>11</v>
      </c>
      <c r="AX384">
        <v>81.8</v>
      </c>
      <c r="AY384">
        <v>72.7</v>
      </c>
      <c r="AZ384">
        <v>1</v>
      </c>
      <c r="BA384">
        <v>1</v>
      </c>
      <c r="BB384">
        <v>2</v>
      </c>
    </row>
    <row r="385" spans="46:54">
      <c r="AT385">
        <v>66</v>
      </c>
      <c r="AU385">
        <v>65.5</v>
      </c>
      <c r="AV385">
        <v>71</v>
      </c>
      <c r="AW385">
        <v>11</v>
      </c>
      <c r="AX385">
        <v>72.7</v>
      </c>
      <c r="AY385">
        <v>72.7</v>
      </c>
      <c r="AZ385">
        <v>0</v>
      </c>
      <c r="BA385">
        <v>0</v>
      </c>
      <c r="BB385">
        <v>2</v>
      </c>
    </row>
    <row r="386" spans="46:54">
      <c r="AT386">
        <v>75.5</v>
      </c>
      <c r="AU386">
        <v>76</v>
      </c>
      <c r="AV386">
        <v>79</v>
      </c>
      <c r="AW386">
        <v>11</v>
      </c>
      <c r="AX386">
        <v>81.8</v>
      </c>
      <c r="AY386">
        <v>81.8</v>
      </c>
      <c r="AZ386">
        <v>0</v>
      </c>
      <c r="BA386">
        <v>0</v>
      </c>
      <c r="BB386">
        <v>1</v>
      </c>
    </row>
  </sheetData>
  <conditionalFormatting sqref="D28:AB37">
    <cfRule type="cellIs" dxfId="40" priority="34" operator="lessThan">
      <formula>11</formula>
    </cfRule>
  </conditionalFormatting>
  <conditionalFormatting sqref="C41:AL51">
    <cfRule type="cellIs" dxfId="39" priority="32" operator="lessThan">
      <formula>0</formula>
    </cfRule>
  </conditionalFormatting>
  <conditionalFormatting sqref="D38:AB38">
    <cfRule type="cellIs" dxfId="38" priority="31" operator="greaterThan">
      <formula>0</formula>
    </cfRule>
  </conditionalFormatting>
  <conditionalFormatting sqref="C28:C37">
    <cfRule type="cellIs" dxfId="37" priority="30" operator="greaterThan">
      <formula>0</formula>
    </cfRule>
  </conditionalFormatting>
  <conditionalFormatting sqref="AC28:AO37">
    <cfRule type="cellIs" dxfId="36" priority="29" operator="lessThan">
      <formula>11</formula>
    </cfRule>
  </conditionalFormatting>
  <conditionalFormatting sqref="AM41:AO51">
    <cfRule type="cellIs" dxfId="35" priority="27" operator="lessThan">
      <formula>0</formula>
    </cfRule>
  </conditionalFormatting>
  <conditionalFormatting sqref="AC38:AO38">
    <cfRule type="cellIs" dxfId="34" priority="26" operator="greaterThan">
      <formula>0</formula>
    </cfRule>
  </conditionalFormatting>
  <conditionalFormatting sqref="C54:AB63">
    <cfRule type="cellIs" dxfId="33" priority="25" operator="lessThan">
      <formula>0</formula>
    </cfRule>
  </conditionalFormatting>
  <conditionalFormatting sqref="AC54:AO63">
    <cfRule type="cellIs" dxfId="32" priority="24" operator="lessThan">
      <formula>0</formula>
    </cfRule>
  </conditionalFormatting>
  <conditionalFormatting sqref="D67:AL76">
    <cfRule type="cellIs" dxfId="31" priority="23" operator="lessThan">
      <formula>0</formula>
    </cfRule>
  </conditionalFormatting>
  <conditionalFormatting sqref="AM67:AO76">
    <cfRule type="cellIs" dxfId="30" priority="22" operator="lessThan">
      <formula>0</formula>
    </cfRule>
  </conditionalFormatting>
  <conditionalFormatting sqref="C80:AL89">
    <cfRule type="cellIs" dxfId="29" priority="21" operator="lessThan">
      <formula>0</formula>
    </cfRule>
  </conditionalFormatting>
  <conditionalFormatting sqref="AM80:AO89">
    <cfRule type="cellIs" dxfId="28" priority="20" operator="lessThan">
      <formula>0</formula>
    </cfRule>
  </conditionalFormatting>
  <conditionalFormatting sqref="D15:AO24">
    <cfRule type="cellIs" dxfId="27" priority="19" operator="greaterThanOrEqual">
      <formula>80</formula>
    </cfRule>
    <cfRule type="cellIs" dxfId="26" priority="17" operator="lessThanOrEqual">
      <formula>65</formula>
    </cfRule>
  </conditionalFormatting>
  <conditionalFormatting sqref="C67:C76">
    <cfRule type="cellIs" dxfId="25" priority="14" operator="lessThan">
      <formula>0</formula>
    </cfRule>
  </conditionalFormatting>
  <conditionalFormatting sqref="D2:AO11">
    <cfRule type="cellIs" dxfId="24" priority="15" operator="lessThanOrEqual">
      <formula>65</formula>
    </cfRule>
    <cfRule type="cellIs" dxfId="23" priority="16" operator="greaterThanOrEqual">
      <formula>80</formula>
    </cfRule>
  </conditionalFormatting>
  <conditionalFormatting sqref="D93:AG102">
    <cfRule type="cellIs" dxfId="22" priority="13" operator="lessThan">
      <formula>0</formula>
    </cfRule>
  </conditionalFormatting>
  <conditionalFormatting sqref="AH93:AO102">
    <cfRule type="cellIs" dxfId="21" priority="12" operator="lessThan">
      <formula>0</formula>
    </cfRule>
  </conditionalFormatting>
  <conditionalFormatting sqref="C106:AG115">
    <cfRule type="cellIs" dxfId="20" priority="11" operator="lessThan">
      <formula>0</formula>
    </cfRule>
  </conditionalFormatting>
  <conditionalFormatting sqref="AH106:AO115">
    <cfRule type="cellIs" dxfId="19" priority="10" operator="lessThan">
      <formula>0</formula>
    </cfRule>
  </conditionalFormatting>
  <conditionalFormatting sqref="C93:C102">
    <cfRule type="cellIs" dxfId="18" priority="9" operator="lessThan">
      <formula>0</formula>
    </cfRule>
  </conditionalFormatting>
  <conditionalFormatting sqref="C119:AG128">
    <cfRule type="cellIs" dxfId="17" priority="8" operator="lessThan">
      <formula>0</formula>
    </cfRule>
  </conditionalFormatting>
  <conditionalFormatting sqref="AH119:AO128">
    <cfRule type="cellIs" dxfId="16" priority="7" operator="lessThan">
      <formula>0</formula>
    </cfRule>
  </conditionalFormatting>
  <conditionalFormatting sqref="D132:AL141">
    <cfRule type="cellIs" dxfId="15" priority="6" operator="lessThan">
      <formula>0</formula>
    </cfRule>
  </conditionalFormatting>
  <conditionalFormatting sqref="AM132:AO141">
    <cfRule type="cellIs" dxfId="14" priority="5" operator="lessThan">
      <formula>0</formula>
    </cfRule>
  </conditionalFormatting>
  <conditionalFormatting sqref="C145:C154">
    <cfRule type="cellIs" dxfId="13" priority="4" operator="lessThan">
      <formula>0</formula>
    </cfRule>
  </conditionalFormatting>
  <conditionalFormatting sqref="AM145:AO154">
    <cfRule type="cellIs" dxfId="12" priority="3" operator="lessThan">
      <formula>0</formula>
    </cfRule>
  </conditionalFormatting>
  <conditionalFormatting sqref="C132:C141">
    <cfRule type="cellIs" dxfId="11" priority="2" operator="lessThan">
      <formula>0</formula>
    </cfRule>
  </conditionalFormatting>
  <conditionalFormatting sqref="D145:AL154">
    <cfRule type="cellIs" dxfId="10" priority="1" operator="lessThan">
      <formula>0</formula>
    </cfRule>
  </conditionalFormatting>
  <pageMargins left="0.7" right="0.7" top="0.75" bottom="0.75" header="0.3" footer="0.3"/>
  <pageSetup paperSize="9" orientation="portrait" horizontalDpi="0" verticalDpi="0" r:id="rId1"/>
  <headerFooter>
    <oddFooter>&amp;L_x000D_&amp;1#&amp;"Aptos"&amp;7&amp;K000000 C2 General</oddFooter>
  </headerFooter>
  <ignoredErrors>
    <ignoredError sqref="D38:J38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5.compile">
                <anchor moveWithCells="1" sizeWithCells="1">
                  <from>
                    <xdr:col>43</xdr:col>
                    <xdr:colOff>190500</xdr:colOff>
                    <xdr:row>3</xdr:row>
                    <xdr:rowOff>123825</xdr:rowOff>
                  </from>
                  <to>
                    <xdr:col>44</xdr:col>
                    <xdr:colOff>609600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44EBC-1D62-4EBF-AF0B-41CF22133547}">
  <sheetPr codeName="Sheet6"/>
  <dimension ref="B3:X25"/>
  <sheetViews>
    <sheetView workbookViewId="0">
      <selection activeCell="K14" sqref="K14"/>
    </sheetView>
  </sheetViews>
  <sheetFormatPr defaultColWidth="9" defaultRowHeight="14.25"/>
  <cols>
    <col min="1" max="16384" width="9" style="7"/>
  </cols>
  <sheetData>
    <row r="3" spans="2:24">
      <c r="B3" s="3">
        <v>73</v>
      </c>
      <c r="C3" s="3">
        <v>66.5</v>
      </c>
      <c r="D3" s="3">
        <v>75.5</v>
      </c>
      <c r="E3" s="3">
        <v>60</v>
      </c>
      <c r="F3" s="3">
        <v>63.5</v>
      </c>
      <c r="G3" s="3">
        <v>64.5</v>
      </c>
      <c r="J3" s="3">
        <v>69.5</v>
      </c>
      <c r="K3" s="3">
        <v>67</v>
      </c>
      <c r="L3" s="3">
        <v>73</v>
      </c>
      <c r="M3" s="3">
        <v>72</v>
      </c>
      <c r="N3" s="3">
        <v>82.5</v>
      </c>
      <c r="O3" s="3">
        <v>71.5</v>
      </c>
      <c r="R3" s="3">
        <v>79.5</v>
      </c>
      <c r="S3" s="3">
        <v>69</v>
      </c>
      <c r="T3" s="3">
        <v>87</v>
      </c>
      <c r="U3" s="3">
        <v>81.5</v>
      </c>
      <c r="V3" s="3">
        <v>73.5</v>
      </c>
      <c r="W3" s="3">
        <v>75.5</v>
      </c>
    </row>
    <row r="4" spans="2:24">
      <c r="B4" s="7">
        <v>71</v>
      </c>
      <c r="C4" s="7">
        <v>67.5</v>
      </c>
      <c r="D4" s="7">
        <v>81</v>
      </c>
      <c r="E4" s="7">
        <v>61</v>
      </c>
      <c r="F4" s="7">
        <v>68</v>
      </c>
      <c r="G4" s="7">
        <v>69.5</v>
      </c>
      <c r="J4" s="7">
        <v>69.5</v>
      </c>
      <c r="K4" s="7">
        <v>67.5</v>
      </c>
      <c r="L4" s="7">
        <v>71</v>
      </c>
      <c r="M4" s="7">
        <v>72</v>
      </c>
      <c r="N4" s="7">
        <v>82.5</v>
      </c>
      <c r="O4" s="7">
        <v>71.5</v>
      </c>
      <c r="R4" s="7">
        <v>79</v>
      </c>
      <c r="S4" s="7">
        <v>69.5</v>
      </c>
      <c r="T4" s="7">
        <v>88</v>
      </c>
      <c r="U4" s="7">
        <v>78</v>
      </c>
      <c r="V4" s="7">
        <v>73</v>
      </c>
      <c r="W4" s="7">
        <v>73.5</v>
      </c>
    </row>
    <row r="5" spans="2:24">
      <c r="B5" s="7">
        <f>B4-B3</f>
        <v>-2</v>
      </c>
      <c r="C5" s="7">
        <f t="shared" ref="C5:G5" si="0">C4-C3</f>
        <v>1</v>
      </c>
      <c r="D5" s="7">
        <f t="shared" si="0"/>
        <v>5.5</v>
      </c>
      <c r="E5" s="7">
        <f t="shared" si="0"/>
        <v>1</v>
      </c>
      <c r="F5" s="7">
        <f t="shared" si="0"/>
        <v>4.5</v>
      </c>
      <c r="G5" s="7">
        <f t="shared" si="0"/>
        <v>5</v>
      </c>
      <c r="H5" s="7">
        <v>15</v>
      </c>
      <c r="J5" s="7">
        <f>J4-J3</f>
        <v>0</v>
      </c>
      <c r="K5" s="7">
        <f t="shared" ref="K5:O5" si="1">K4-K3</f>
        <v>0.5</v>
      </c>
      <c r="L5" s="7">
        <f t="shared" si="1"/>
        <v>-2</v>
      </c>
      <c r="M5" s="7">
        <f t="shared" si="1"/>
        <v>0</v>
      </c>
      <c r="N5" s="7">
        <f t="shared" si="1"/>
        <v>0</v>
      </c>
      <c r="O5" s="7">
        <f t="shared" si="1"/>
        <v>0</v>
      </c>
      <c r="P5" s="7">
        <v>1.5</v>
      </c>
      <c r="R5" s="7">
        <f>R4-R3</f>
        <v>-0.5</v>
      </c>
      <c r="S5" s="7">
        <f t="shared" ref="S5:W5" si="2">S4-S3</f>
        <v>0.5</v>
      </c>
      <c r="T5" s="7">
        <f t="shared" si="2"/>
        <v>1</v>
      </c>
      <c r="U5" s="7">
        <f t="shared" si="2"/>
        <v>-3.5</v>
      </c>
      <c r="V5" s="7">
        <f t="shared" si="2"/>
        <v>-0.5</v>
      </c>
      <c r="W5" s="7">
        <f t="shared" si="2"/>
        <v>-2</v>
      </c>
      <c r="X5" s="7">
        <v>-5</v>
      </c>
    </row>
    <row r="6" spans="2:24">
      <c r="B6" s="7">
        <v>-2</v>
      </c>
      <c r="C6" s="7">
        <v>-0.5</v>
      </c>
      <c r="D6" s="7">
        <v>4</v>
      </c>
      <c r="E6" s="7">
        <v>1</v>
      </c>
      <c r="F6" s="7">
        <v>2</v>
      </c>
      <c r="G6" s="7">
        <v>5</v>
      </c>
      <c r="H6" s="7">
        <v>9.5</v>
      </c>
      <c r="J6" s="7">
        <v>0</v>
      </c>
      <c r="K6" s="7">
        <v>0.5</v>
      </c>
      <c r="L6" s="7">
        <v>-2</v>
      </c>
      <c r="M6" s="7">
        <v>-1</v>
      </c>
      <c r="N6" s="7">
        <v>0</v>
      </c>
      <c r="O6" s="7">
        <v>0</v>
      </c>
      <c r="P6" s="7">
        <v>-2.5</v>
      </c>
      <c r="R6" s="7">
        <v>-0.5</v>
      </c>
      <c r="S6" s="7">
        <v>-2.5</v>
      </c>
      <c r="T6" s="7">
        <v>-0.5</v>
      </c>
      <c r="U6" s="7">
        <v>-4.5</v>
      </c>
      <c r="V6" s="7">
        <v>-0.5</v>
      </c>
      <c r="W6" s="7">
        <v>-3.5</v>
      </c>
      <c r="X6" s="7">
        <v>-12</v>
      </c>
    </row>
    <row r="7" spans="2:24">
      <c r="H7" s="7">
        <f>H5-H6</f>
        <v>5.5</v>
      </c>
      <c r="P7" s="7">
        <f>P5-P6</f>
        <v>4</v>
      </c>
      <c r="X7" s="7">
        <f>X5-X6</f>
        <v>7</v>
      </c>
    </row>
    <row r="9" spans="2:24">
      <c r="B9" s="3">
        <v>75.5</v>
      </c>
      <c r="C9" s="3">
        <v>61.5</v>
      </c>
      <c r="D9" s="3">
        <v>82</v>
      </c>
      <c r="E9" s="3">
        <v>72</v>
      </c>
      <c r="F9" s="3">
        <v>72</v>
      </c>
      <c r="G9" s="3">
        <v>59.5</v>
      </c>
      <c r="J9" s="3">
        <v>73</v>
      </c>
      <c r="K9" s="3">
        <v>67.5</v>
      </c>
      <c r="L9" s="3">
        <v>73.5</v>
      </c>
      <c r="M9" s="3">
        <v>74.5</v>
      </c>
      <c r="N9" s="3">
        <v>75</v>
      </c>
      <c r="O9" s="3">
        <v>64</v>
      </c>
      <c r="R9" s="3">
        <v>75</v>
      </c>
      <c r="S9" s="3">
        <v>68</v>
      </c>
      <c r="T9" s="3">
        <v>69.5</v>
      </c>
      <c r="U9" s="3">
        <v>71</v>
      </c>
      <c r="V9" s="3">
        <v>73</v>
      </c>
      <c r="W9" s="3">
        <v>72</v>
      </c>
    </row>
    <row r="10" spans="2:24">
      <c r="B10" s="7">
        <v>74.5</v>
      </c>
      <c r="C10" s="7">
        <v>64.5</v>
      </c>
      <c r="D10" s="7">
        <v>86.5</v>
      </c>
      <c r="E10" s="7">
        <v>74</v>
      </c>
      <c r="F10" s="7">
        <v>76</v>
      </c>
      <c r="G10" s="7">
        <v>61</v>
      </c>
      <c r="J10" s="7">
        <v>73</v>
      </c>
      <c r="K10" s="7">
        <v>68.5</v>
      </c>
      <c r="L10" s="7">
        <v>75.5</v>
      </c>
      <c r="M10" s="7">
        <v>74.5</v>
      </c>
      <c r="N10" s="7">
        <v>75</v>
      </c>
      <c r="O10" s="7">
        <v>68.5</v>
      </c>
      <c r="R10" s="7">
        <v>75</v>
      </c>
      <c r="S10" s="7">
        <v>69</v>
      </c>
      <c r="T10" s="7">
        <v>69.5</v>
      </c>
      <c r="U10" s="7">
        <v>73</v>
      </c>
      <c r="V10" s="7">
        <v>81.5</v>
      </c>
      <c r="W10" s="7">
        <v>76</v>
      </c>
    </row>
    <row r="11" spans="2:24">
      <c r="B11" s="7">
        <f>B10-B9</f>
        <v>-1</v>
      </c>
      <c r="C11" s="7">
        <f t="shared" ref="C11:G11" si="3">C10-C9</f>
        <v>3</v>
      </c>
      <c r="D11" s="7">
        <f t="shared" si="3"/>
        <v>4.5</v>
      </c>
      <c r="E11" s="7">
        <f t="shared" si="3"/>
        <v>2</v>
      </c>
      <c r="F11" s="7">
        <f t="shared" si="3"/>
        <v>4</v>
      </c>
      <c r="G11" s="7">
        <f t="shared" si="3"/>
        <v>1.5</v>
      </c>
      <c r="H11" s="7">
        <v>14</v>
      </c>
      <c r="J11" s="7">
        <f>J10-J9</f>
        <v>0</v>
      </c>
      <c r="K11" s="7">
        <f t="shared" ref="K11:O11" si="4">K10-K9</f>
        <v>1</v>
      </c>
      <c r="L11" s="7">
        <f t="shared" si="4"/>
        <v>2</v>
      </c>
      <c r="M11" s="7">
        <f t="shared" si="4"/>
        <v>0</v>
      </c>
      <c r="N11" s="7">
        <f t="shared" si="4"/>
        <v>0</v>
      </c>
      <c r="O11" s="7">
        <f t="shared" si="4"/>
        <v>4.5</v>
      </c>
      <c r="P11" s="7">
        <v>7.5</v>
      </c>
      <c r="R11" s="7">
        <f>R10-R9</f>
        <v>0</v>
      </c>
      <c r="S11" s="7">
        <f t="shared" ref="S11:W11" si="5">S10-S9</f>
        <v>1</v>
      </c>
      <c r="T11" s="7">
        <f t="shared" si="5"/>
        <v>0</v>
      </c>
      <c r="U11" s="7">
        <f t="shared" si="5"/>
        <v>2</v>
      </c>
      <c r="V11" s="7">
        <f t="shared" si="5"/>
        <v>8.5</v>
      </c>
      <c r="W11" s="7">
        <f t="shared" si="5"/>
        <v>4</v>
      </c>
      <c r="X11" s="7">
        <v>15.5</v>
      </c>
    </row>
    <row r="12" spans="2:24">
      <c r="B12" s="7">
        <v>-1.5</v>
      </c>
      <c r="C12" s="7">
        <v>2.5</v>
      </c>
      <c r="D12" s="7">
        <v>4</v>
      </c>
      <c r="E12" s="7">
        <v>1.5</v>
      </c>
      <c r="F12" s="7">
        <v>4</v>
      </c>
      <c r="G12" s="7">
        <v>1</v>
      </c>
      <c r="H12" s="7">
        <v>11.5</v>
      </c>
      <c r="J12" s="7">
        <v>0</v>
      </c>
      <c r="K12" s="7">
        <v>1</v>
      </c>
      <c r="L12" s="7">
        <v>2</v>
      </c>
      <c r="M12" s="7">
        <v>0</v>
      </c>
      <c r="N12" s="7">
        <v>0</v>
      </c>
      <c r="O12" s="7">
        <v>1</v>
      </c>
      <c r="P12" s="7">
        <v>4</v>
      </c>
      <c r="R12" s="7">
        <v>0</v>
      </c>
      <c r="S12" s="7">
        <v>-1.5</v>
      </c>
      <c r="T12" s="7">
        <v>0</v>
      </c>
      <c r="U12" s="7">
        <v>-2.5</v>
      </c>
      <c r="V12" s="7">
        <v>8.5</v>
      </c>
      <c r="W12" s="7">
        <v>2</v>
      </c>
      <c r="X12" s="7">
        <v>6.5</v>
      </c>
    </row>
    <row r="13" spans="2:24">
      <c r="H13" s="7">
        <f>H11-H12</f>
        <v>2.5</v>
      </c>
      <c r="P13" s="7">
        <f>P11-P12</f>
        <v>3.5</v>
      </c>
      <c r="X13" s="7">
        <f>X11-X12</f>
        <v>9</v>
      </c>
    </row>
    <row r="15" spans="2:24">
      <c r="B15" s="3">
        <v>66.5</v>
      </c>
      <c r="C15" s="3">
        <v>80</v>
      </c>
      <c r="D15" s="3">
        <v>61.5</v>
      </c>
      <c r="E15" s="3">
        <v>69.5</v>
      </c>
      <c r="F15" s="3">
        <v>62</v>
      </c>
      <c r="G15" s="3">
        <v>65.5</v>
      </c>
      <c r="J15" s="3">
        <v>69</v>
      </c>
      <c r="K15" s="3">
        <v>63.5</v>
      </c>
      <c r="L15" s="3">
        <v>68</v>
      </c>
      <c r="M15" s="3">
        <v>79</v>
      </c>
      <c r="N15" s="3">
        <v>77</v>
      </c>
      <c r="O15" s="3">
        <v>56</v>
      </c>
      <c r="R15" s="3">
        <v>75.5</v>
      </c>
      <c r="S15" s="3">
        <v>61.5</v>
      </c>
      <c r="T15" s="3">
        <v>82</v>
      </c>
      <c r="U15" s="3">
        <v>72</v>
      </c>
      <c r="V15" s="3">
        <v>72</v>
      </c>
      <c r="W15" s="3">
        <v>59.5</v>
      </c>
    </row>
    <row r="16" spans="2:24">
      <c r="B16" s="7">
        <v>72</v>
      </c>
      <c r="C16" s="7">
        <v>81.5</v>
      </c>
      <c r="D16" s="7">
        <v>64.5</v>
      </c>
      <c r="E16" s="7">
        <v>70.5</v>
      </c>
      <c r="F16" s="7">
        <v>62</v>
      </c>
      <c r="G16" s="7">
        <v>64.5</v>
      </c>
      <c r="J16" s="7">
        <v>71.5</v>
      </c>
      <c r="K16" s="7">
        <v>71.5</v>
      </c>
      <c r="L16" s="7">
        <v>73.5</v>
      </c>
      <c r="M16" s="7">
        <v>81</v>
      </c>
      <c r="N16" s="7">
        <v>78</v>
      </c>
      <c r="O16" s="7">
        <v>58</v>
      </c>
      <c r="R16" s="7">
        <v>74.5</v>
      </c>
      <c r="S16" s="7">
        <v>64.5</v>
      </c>
      <c r="T16" s="7">
        <v>86.5</v>
      </c>
      <c r="U16" s="7">
        <v>74</v>
      </c>
      <c r="V16" s="7">
        <v>76</v>
      </c>
      <c r="W16" s="7">
        <v>61</v>
      </c>
    </row>
    <row r="17" spans="2:24">
      <c r="B17" s="7">
        <f>B16-B15</f>
        <v>5.5</v>
      </c>
      <c r="C17" s="7">
        <f t="shared" ref="C17:G17" si="6">C16-C15</f>
        <v>1.5</v>
      </c>
      <c r="D17" s="7">
        <f t="shared" si="6"/>
        <v>3</v>
      </c>
      <c r="E17" s="7">
        <f t="shared" si="6"/>
        <v>1</v>
      </c>
      <c r="F17" s="7">
        <f t="shared" si="6"/>
        <v>0</v>
      </c>
      <c r="G17" s="7">
        <f t="shared" si="6"/>
        <v>-1</v>
      </c>
      <c r="H17" s="7">
        <f>SUM(B17:G17)</f>
        <v>10</v>
      </c>
      <c r="J17" s="7">
        <f>J16-J15</f>
        <v>2.5</v>
      </c>
      <c r="K17" s="7">
        <f t="shared" ref="K17:O17" si="7">K16-K15</f>
        <v>8</v>
      </c>
      <c r="L17" s="7">
        <f t="shared" si="7"/>
        <v>5.5</v>
      </c>
      <c r="M17" s="7">
        <f t="shared" si="7"/>
        <v>2</v>
      </c>
      <c r="N17" s="7">
        <f t="shared" si="7"/>
        <v>1</v>
      </c>
      <c r="O17" s="7">
        <f t="shared" si="7"/>
        <v>2</v>
      </c>
      <c r="P17" s="7">
        <f>SUM(J17:O17)</f>
        <v>21</v>
      </c>
      <c r="R17" s="7">
        <f>R16-R15</f>
        <v>-1</v>
      </c>
      <c r="S17" s="7">
        <f t="shared" ref="S17:W17" si="8">S16-S15</f>
        <v>3</v>
      </c>
      <c r="T17" s="7">
        <f t="shared" si="8"/>
        <v>4.5</v>
      </c>
      <c r="U17" s="7">
        <f t="shared" si="8"/>
        <v>2</v>
      </c>
      <c r="V17" s="7">
        <f t="shared" si="8"/>
        <v>4</v>
      </c>
      <c r="W17" s="7">
        <f t="shared" si="8"/>
        <v>1.5</v>
      </c>
      <c r="X17" s="7">
        <f>SUM(R17:W17)</f>
        <v>14</v>
      </c>
    </row>
    <row r="18" spans="2:24">
      <c r="B18" s="7">
        <v>4.5</v>
      </c>
      <c r="C18" s="7">
        <v>1.5</v>
      </c>
      <c r="D18" s="7">
        <v>2</v>
      </c>
      <c r="E18" s="7">
        <v>-0.5</v>
      </c>
      <c r="F18" s="7">
        <v>0</v>
      </c>
      <c r="G18" s="7">
        <v>-1</v>
      </c>
      <c r="H18" s="7">
        <f>SUM(B18:G18)</f>
        <v>6.5</v>
      </c>
      <c r="J18" s="7">
        <v>1</v>
      </c>
      <c r="K18" s="7">
        <v>5.5</v>
      </c>
      <c r="L18" s="7">
        <v>4.5</v>
      </c>
      <c r="M18" s="7">
        <v>1.5</v>
      </c>
      <c r="N18" s="7">
        <v>0.5</v>
      </c>
      <c r="O18" s="7">
        <v>0</v>
      </c>
      <c r="P18" s="7">
        <f>SUM(J18:O18)</f>
        <v>13</v>
      </c>
      <c r="R18" s="7">
        <v>-1.5</v>
      </c>
      <c r="S18" s="7">
        <v>2.5</v>
      </c>
      <c r="T18" s="7">
        <v>4</v>
      </c>
      <c r="U18" s="7">
        <v>1.5</v>
      </c>
      <c r="V18" s="7">
        <v>4</v>
      </c>
      <c r="W18" s="7">
        <v>1</v>
      </c>
      <c r="X18" s="7">
        <f>SUM(R18:W18)</f>
        <v>11.5</v>
      </c>
    </row>
    <row r="19" spans="2:24">
      <c r="H19" s="7">
        <f>H17-H18</f>
        <v>3.5</v>
      </c>
      <c r="P19" s="7">
        <f>P17-P18</f>
        <v>8</v>
      </c>
      <c r="X19" s="7">
        <f>X17-X18</f>
        <v>2.5</v>
      </c>
    </row>
    <row r="21" spans="2:24">
      <c r="B21" s="3">
        <v>76</v>
      </c>
      <c r="C21" s="3">
        <v>68.5</v>
      </c>
      <c r="D21" s="3">
        <v>81</v>
      </c>
      <c r="E21" s="3">
        <v>74</v>
      </c>
      <c r="F21" s="3">
        <v>71.5</v>
      </c>
      <c r="G21" s="3">
        <v>75.5</v>
      </c>
    </row>
    <row r="22" spans="2:24">
      <c r="B22" s="7">
        <v>78</v>
      </c>
      <c r="C22" s="7">
        <v>69.5</v>
      </c>
      <c r="D22" s="7">
        <v>80</v>
      </c>
      <c r="E22" s="7">
        <v>77.5</v>
      </c>
      <c r="F22" s="7">
        <v>72.5</v>
      </c>
      <c r="G22" s="7">
        <v>78</v>
      </c>
    </row>
    <row r="23" spans="2:24">
      <c r="B23" s="7">
        <f>B22-B21</f>
        <v>2</v>
      </c>
      <c r="C23" s="7">
        <f t="shared" ref="C23:G23" si="9">C22-C21</f>
        <v>1</v>
      </c>
      <c r="D23" s="7">
        <f t="shared" si="9"/>
        <v>-1</v>
      </c>
      <c r="E23" s="7">
        <f t="shared" si="9"/>
        <v>3.5</v>
      </c>
      <c r="F23" s="7">
        <f t="shared" si="9"/>
        <v>1</v>
      </c>
      <c r="G23" s="7">
        <f t="shared" si="9"/>
        <v>2.5</v>
      </c>
      <c r="H23" s="7">
        <f>SUM(B23:G23)</f>
        <v>9</v>
      </c>
    </row>
    <row r="24" spans="2:24">
      <c r="B24" s="7">
        <v>1.5</v>
      </c>
      <c r="C24" s="7">
        <v>0.5</v>
      </c>
      <c r="D24" s="7">
        <v>-1.5</v>
      </c>
      <c r="E24" s="7">
        <v>3.5</v>
      </c>
      <c r="F24" s="7">
        <v>-3</v>
      </c>
      <c r="G24" s="7">
        <v>2.5</v>
      </c>
      <c r="H24" s="7">
        <f>SUM(B24:G24)</f>
        <v>3.5</v>
      </c>
    </row>
    <row r="25" spans="2:24">
      <c r="H25" s="7">
        <f>H23-H24</f>
        <v>5.5</v>
      </c>
    </row>
  </sheetData>
  <conditionalFormatting sqref="R3:W3">
    <cfRule type="cellIs" dxfId="9" priority="17" operator="greaterThan">
      <formula>80</formula>
    </cfRule>
  </conditionalFormatting>
  <conditionalFormatting sqref="B3:G3">
    <cfRule type="cellIs" dxfId="8" priority="16" operator="greaterThan">
      <formula>80</formula>
    </cfRule>
  </conditionalFormatting>
  <conditionalFormatting sqref="J3:O3">
    <cfRule type="cellIs" dxfId="7" priority="15" operator="greaterThan">
      <formula>80</formula>
    </cfRule>
  </conditionalFormatting>
  <conditionalFormatting sqref="B9:G9">
    <cfRule type="cellIs" dxfId="6" priority="11" operator="greaterThan">
      <formula>80</formula>
    </cfRule>
  </conditionalFormatting>
  <conditionalFormatting sqref="J9:O9">
    <cfRule type="cellIs" dxfId="5" priority="10" operator="greaterThan">
      <formula>80</formula>
    </cfRule>
  </conditionalFormatting>
  <conditionalFormatting sqref="R9:W9">
    <cfRule type="cellIs" dxfId="4" priority="9" operator="greaterThan">
      <formula>80</formula>
    </cfRule>
  </conditionalFormatting>
  <conditionalFormatting sqref="R15:W15">
    <cfRule type="cellIs" dxfId="3" priority="6" operator="greaterThan">
      <formula>80</formula>
    </cfRule>
  </conditionalFormatting>
  <conditionalFormatting sqref="B15:G15">
    <cfRule type="cellIs" dxfId="2" priority="4" operator="greaterThan">
      <formula>80</formula>
    </cfRule>
  </conditionalFormatting>
  <conditionalFormatting sqref="J15:O15">
    <cfRule type="cellIs" dxfId="1" priority="2" operator="greaterThan">
      <formula>80</formula>
    </cfRule>
  </conditionalFormatting>
  <conditionalFormatting sqref="B21:G21">
    <cfRule type="cellIs" dxfId="0" priority="1" operator="greaterThan">
      <formula>80</formula>
    </cfRule>
  </conditionalFormatting>
  <pageMargins left="0.7" right="0.7" top="0.75" bottom="0.75" header="0.3" footer="0.3"/>
  <headerFooter>
    <oddFooter>&amp;L_x000D_&amp;1#&amp;"Aptos"&amp;7&amp;K000000 C2 General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F3363-5F61-406F-BF77-4D1487F9DF07}">
  <sheetPr codeName="Foglio2"/>
  <dimension ref="C2:Y412"/>
  <sheetViews>
    <sheetView topLeftCell="B1" zoomScale="90" zoomScaleNormal="90" workbookViewId="0">
      <selection activeCell="M3" sqref="M3:M22"/>
    </sheetView>
  </sheetViews>
  <sheetFormatPr defaultRowHeight="14.25"/>
  <cols>
    <col min="9" max="9" width="18.375" bestFit="1" customWidth="1"/>
    <col min="10" max="10" width="12.25" bestFit="1" customWidth="1"/>
    <col min="11" max="11" width="10.875" bestFit="1" customWidth="1"/>
    <col min="12" max="12" width="12.5" bestFit="1" customWidth="1"/>
    <col min="13" max="13" width="12.125" bestFit="1" customWidth="1"/>
  </cols>
  <sheetData>
    <row r="2" spans="3:25" ht="15">
      <c r="C2" s="22" t="s">
        <v>47</v>
      </c>
      <c r="D2" s="22" t="s">
        <v>48</v>
      </c>
      <c r="E2" s="22" t="s">
        <v>49</v>
      </c>
      <c r="F2" s="22" t="s">
        <v>50</v>
      </c>
      <c r="I2" s="25" t="s">
        <v>71</v>
      </c>
      <c r="J2" t="s">
        <v>73</v>
      </c>
      <c r="K2" t="s">
        <v>74</v>
      </c>
      <c r="L2" t="s">
        <v>76</v>
      </c>
      <c r="M2" t="s">
        <v>77</v>
      </c>
      <c r="R2" s="22" t="s">
        <v>48</v>
      </c>
      <c r="S2" s="22" t="s">
        <v>49</v>
      </c>
      <c r="T2" s="22" t="s">
        <v>78</v>
      </c>
      <c r="U2" s="22" t="s">
        <v>79</v>
      </c>
      <c r="V2" s="22" t="s">
        <v>50</v>
      </c>
      <c r="W2" s="22" t="s">
        <v>80</v>
      </c>
      <c r="X2" s="22" t="s">
        <v>81</v>
      </c>
      <c r="Y2" s="22" t="s">
        <v>82</v>
      </c>
    </row>
    <row r="3" spans="3:25" ht="30">
      <c r="C3" s="23">
        <v>15</v>
      </c>
      <c r="D3" s="24" t="s">
        <v>51</v>
      </c>
      <c r="E3" s="23">
        <v>2</v>
      </c>
      <c r="F3" s="23">
        <v>1</v>
      </c>
      <c r="I3" s="26" t="s">
        <v>51</v>
      </c>
      <c r="J3" s="27">
        <v>30</v>
      </c>
      <c r="K3" s="27">
        <v>1.5</v>
      </c>
      <c r="L3" s="27">
        <v>15</v>
      </c>
      <c r="M3" s="27">
        <v>0.75</v>
      </c>
      <c r="R3" s="24" t="s">
        <v>51</v>
      </c>
      <c r="S3" s="23">
        <v>1.5</v>
      </c>
      <c r="T3" s="23">
        <v>1.6</v>
      </c>
      <c r="U3" s="23">
        <v>1.4</v>
      </c>
      <c r="V3" s="23">
        <v>0.75</v>
      </c>
      <c r="W3" s="23">
        <v>0.7</v>
      </c>
      <c r="X3" s="23">
        <v>0.8</v>
      </c>
      <c r="Y3" s="23">
        <v>54</v>
      </c>
    </row>
    <row r="4" spans="3:25" ht="15">
      <c r="C4" s="23">
        <v>15</v>
      </c>
      <c r="D4" s="24" t="s">
        <v>52</v>
      </c>
      <c r="E4" s="23">
        <v>0</v>
      </c>
      <c r="F4" s="23">
        <v>1</v>
      </c>
      <c r="I4" s="26" t="s">
        <v>52</v>
      </c>
      <c r="J4" s="27">
        <v>19</v>
      </c>
      <c r="K4" s="27">
        <v>0.95</v>
      </c>
      <c r="L4" s="27">
        <v>29</v>
      </c>
      <c r="M4" s="27">
        <v>1.45</v>
      </c>
      <c r="R4" s="24" t="s">
        <v>52</v>
      </c>
      <c r="S4" s="23">
        <v>0.95</v>
      </c>
      <c r="T4" s="23">
        <v>0.54545454545454541</v>
      </c>
      <c r="U4" s="23">
        <v>1.4444444444444444</v>
      </c>
      <c r="V4" s="23">
        <v>1.45</v>
      </c>
      <c r="W4" s="23">
        <v>1.4545454545454546</v>
      </c>
      <c r="X4" s="23">
        <v>1.4444444444444444</v>
      </c>
      <c r="Y4" s="23">
        <v>48</v>
      </c>
    </row>
    <row r="5" spans="3:25" ht="15">
      <c r="C5" s="23">
        <v>15</v>
      </c>
      <c r="D5" s="24" t="s">
        <v>53</v>
      </c>
      <c r="E5" s="23">
        <v>1</v>
      </c>
      <c r="F5" s="23">
        <v>2</v>
      </c>
      <c r="I5" s="26" t="s">
        <v>53</v>
      </c>
      <c r="J5" s="27">
        <v>22</v>
      </c>
      <c r="K5" s="27">
        <v>1.1000000000000001</v>
      </c>
      <c r="L5" s="27">
        <v>30</v>
      </c>
      <c r="M5" s="27">
        <v>1.5</v>
      </c>
      <c r="R5" s="24" t="s">
        <v>53</v>
      </c>
      <c r="S5" s="23">
        <v>1.1000000000000001</v>
      </c>
      <c r="T5" s="23">
        <v>1.2</v>
      </c>
      <c r="U5" s="23">
        <v>1</v>
      </c>
      <c r="V5" s="23">
        <v>1.5</v>
      </c>
      <c r="W5" s="23">
        <v>1</v>
      </c>
      <c r="X5" s="23">
        <v>2</v>
      </c>
      <c r="Y5" s="23">
        <v>36</v>
      </c>
    </row>
    <row r="6" spans="3:25" ht="15">
      <c r="C6" s="23">
        <v>15</v>
      </c>
      <c r="D6" s="24" t="s">
        <v>54</v>
      </c>
      <c r="E6" s="23">
        <v>0</v>
      </c>
      <c r="F6" s="23">
        <v>1</v>
      </c>
      <c r="I6" s="26" t="s">
        <v>54</v>
      </c>
      <c r="J6" s="27">
        <v>40</v>
      </c>
      <c r="K6" s="27">
        <v>2</v>
      </c>
      <c r="L6" s="27">
        <v>17</v>
      </c>
      <c r="M6" s="27">
        <v>0.85</v>
      </c>
      <c r="P6" s="1"/>
      <c r="R6" s="24" t="s">
        <v>54</v>
      </c>
      <c r="S6" s="23">
        <v>2</v>
      </c>
      <c r="T6" s="23">
        <v>2.2999999999999998</v>
      </c>
      <c r="U6" s="23">
        <v>1.7</v>
      </c>
      <c r="V6" s="23">
        <v>0.85</v>
      </c>
      <c r="W6" s="23">
        <v>1.2</v>
      </c>
      <c r="X6" s="23">
        <v>0.5</v>
      </c>
      <c r="Y6" s="23">
        <v>61</v>
      </c>
    </row>
    <row r="7" spans="3:25" ht="30">
      <c r="C7" s="23">
        <v>15</v>
      </c>
      <c r="D7" s="24" t="s">
        <v>55</v>
      </c>
      <c r="E7" s="23">
        <v>0</v>
      </c>
      <c r="F7" s="23">
        <v>1</v>
      </c>
      <c r="I7" s="26" t="s">
        <v>55</v>
      </c>
      <c r="J7" s="27">
        <v>8</v>
      </c>
      <c r="K7" s="27">
        <v>0.4</v>
      </c>
      <c r="L7" s="27">
        <v>34</v>
      </c>
      <c r="M7" s="27">
        <v>1.7</v>
      </c>
      <c r="R7" s="24" t="s">
        <v>55</v>
      </c>
      <c r="S7" s="23">
        <v>0.4</v>
      </c>
      <c r="T7" s="23">
        <v>0.44444444444444442</v>
      </c>
      <c r="U7" s="23">
        <v>0.36363636363636365</v>
      </c>
      <c r="V7" s="23">
        <v>1.7</v>
      </c>
      <c r="W7" s="23">
        <v>1.5555555555555556</v>
      </c>
      <c r="X7" s="23">
        <v>1.8181818181818181</v>
      </c>
      <c r="Y7" s="23">
        <v>28</v>
      </c>
    </row>
    <row r="8" spans="3:25" ht="30">
      <c r="C8" s="23">
        <v>15</v>
      </c>
      <c r="D8" s="24" t="s">
        <v>56</v>
      </c>
      <c r="E8" s="23">
        <v>1</v>
      </c>
      <c r="F8" s="23">
        <v>2</v>
      </c>
      <c r="I8" s="26" t="s">
        <v>56</v>
      </c>
      <c r="J8" s="27">
        <v>27</v>
      </c>
      <c r="K8" s="27">
        <v>1.35</v>
      </c>
      <c r="L8" s="27">
        <v>21</v>
      </c>
      <c r="M8" s="27">
        <v>1.05</v>
      </c>
      <c r="R8" s="24" t="s">
        <v>56</v>
      </c>
      <c r="S8" s="23">
        <v>1.35</v>
      </c>
      <c r="T8" s="23">
        <v>1.2727272727272727</v>
      </c>
      <c r="U8" s="23">
        <v>1.4444444444444444</v>
      </c>
      <c r="V8" s="23">
        <v>1.05</v>
      </c>
      <c r="W8" s="23">
        <v>0.81818181818181823</v>
      </c>
      <c r="X8" s="23">
        <v>1.3333333333333333</v>
      </c>
      <c r="Y8" s="23">
        <v>37</v>
      </c>
    </row>
    <row r="9" spans="3:25" ht="15">
      <c r="C9" s="23">
        <v>15</v>
      </c>
      <c r="D9" s="24" t="s">
        <v>57</v>
      </c>
      <c r="E9" s="23">
        <v>1</v>
      </c>
      <c r="F9" s="23">
        <v>2</v>
      </c>
      <c r="I9" s="26" t="s">
        <v>57</v>
      </c>
      <c r="J9" s="27">
        <v>25</v>
      </c>
      <c r="K9" s="27">
        <v>1.25</v>
      </c>
      <c r="L9" s="27">
        <v>27</v>
      </c>
      <c r="M9" s="27">
        <v>1.35</v>
      </c>
      <c r="P9" s="1"/>
      <c r="R9" s="24" t="s">
        <v>57</v>
      </c>
      <c r="S9" s="23">
        <v>1.25</v>
      </c>
      <c r="T9" s="23">
        <v>1.5454545454545454</v>
      </c>
      <c r="U9" s="23">
        <v>0.88888888888888884</v>
      </c>
      <c r="V9" s="23">
        <v>1.35</v>
      </c>
      <c r="W9" s="23">
        <v>1.3636363636363635</v>
      </c>
      <c r="X9" s="23">
        <v>1.3333333333333333</v>
      </c>
      <c r="Y9" s="23">
        <v>39</v>
      </c>
    </row>
    <row r="10" spans="3:25" ht="15">
      <c r="C10" s="23">
        <v>15</v>
      </c>
      <c r="D10" s="24" t="s">
        <v>58</v>
      </c>
      <c r="E10" s="23">
        <v>2</v>
      </c>
      <c r="F10" s="23">
        <v>1</v>
      </c>
      <c r="I10" s="26" t="s">
        <v>58</v>
      </c>
      <c r="J10" s="27">
        <v>48</v>
      </c>
      <c r="K10" s="27">
        <v>2.4</v>
      </c>
      <c r="L10" s="27">
        <v>18</v>
      </c>
      <c r="M10" s="27">
        <v>0.9</v>
      </c>
      <c r="R10" s="24" t="s">
        <v>58</v>
      </c>
      <c r="S10" s="23">
        <v>2.4</v>
      </c>
      <c r="T10" s="23">
        <v>2.8888888888888888</v>
      </c>
      <c r="U10" s="23">
        <v>2</v>
      </c>
      <c r="V10" s="23">
        <v>0.9</v>
      </c>
      <c r="W10" s="23">
        <v>1.1111111111111112</v>
      </c>
      <c r="X10" s="23">
        <v>0.72727272727272729</v>
      </c>
      <c r="Y10" s="23">
        <v>79</v>
      </c>
    </row>
    <row r="11" spans="3:25" ht="15">
      <c r="C11" s="23">
        <v>15</v>
      </c>
      <c r="D11" s="24" t="s">
        <v>59</v>
      </c>
      <c r="E11" s="23">
        <v>1</v>
      </c>
      <c r="F11" s="23">
        <v>0</v>
      </c>
      <c r="I11" s="26" t="s">
        <v>59</v>
      </c>
      <c r="J11" s="27">
        <v>39</v>
      </c>
      <c r="K11" s="27">
        <v>1.95</v>
      </c>
      <c r="L11" s="27">
        <v>15</v>
      </c>
      <c r="M11" s="27">
        <v>0.75</v>
      </c>
      <c r="R11" s="24" t="s">
        <v>59</v>
      </c>
      <c r="S11" s="23">
        <v>1.95</v>
      </c>
      <c r="T11" s="23">
        <v>2.2000000000000002</v>
      </c>
      <c r="U11" s="23">
        <v>1.7</v>
      </c>
      <c r="V11" s="23">
        <v>0.75</v>
      </c>
      <c r="W11" s="23">
        <v>0.7</v>
      </c>
      <c r="X11" s="23">
        <v>0.8</v>
      </c>
      <c r="Y11" s="23">
        <v>64</v>
      </c>
    </row>
    <row r="12" spans="3:25" ht="15">
      <c r="C12" s="23">
        <v>15</v>
      </c>
      <c r="D12" s="24" t="s">
        <v>60</v>
      </c>
      <c r="E12" s="23">
        <v>1</v>
      </c>
      <c r="F12" s="23">
        <v>0</v>
      </c>
      <c r="I12" s="26" t="s">
        <v>60</v>
      </c>
      <c r="J12" s="27">
        <v>21</v>
      </c>
      <c r="K12" s="27">
        <v>1.05</v>
      </c>
      <c r="L12" s="27">
        <v>22</v>
      </c>
      <c r="M12" s="27">
        <v>1.1000000000000001</v>
      </c>
      <c r="P12" s="1"/>
      <c r="R12" s="24" t="s">
        <v>60</v>
      </c>
      <c r="S12" s="23">
        <v>1.05</v>
      </c>
      <c r="T12" s="23">
        <v>1.2</v>
      </c>
      <c r="U12" s="23">
        <v>0.9</v>
      </c>
      <c r="V12" s="23">
        <v>1.1000000000000001</v>
      </c>
      <c r="W12" s="23">
        <v>1.6</v>
      </c>
      <c r="X12" s="23">
        <v>0.6</v>
      </c>
      <c r="Y12" s="23">
        <v>48</v>
      </c>
    </row>
    <row r="13" spans="3:25" ht="15">
      <c r="C13" s="23">
        <v>15</v>
      </c>
      <c r="D13" s="24" t="s">
        <v>61</v>
      </c>
      <c r="E13" s="23">
        <v>1</v>
      </c>
      <c r="F13" s="23">
        <v>0</v>
      </c>
      <c r="I13" s="26" t="s">
        <v>61</v>
      </c>
      <c r="J13" s="27">
        <v>12</v>
      </c>
      <c r="K13" s="27">
        <v>0.6</v>
      </c>
      <c r="L13" s="27">
        <v>27</v>
      </c>
      <c r="M13" s="27">
        <v>1.35</v>
      </c>
      <c r="R13" s="24" t="s">
        <v>61</v>
      </c>
      <c r="S13" s="23">
        <v>0.6</v>
      </c>
      <c r="T13" s="23">
        <v>0.7</v>
      </c>
      <c r="U13" s="23">
        <v>0.5</v>
      </c>
      <c r="V13" s="23">
        <v>1.35</v>
      </c>
      <c r="W13" s="23">
        <v>1.5</v>
      </c>
      <c r="X13" s="23">
        <v>1.2</v>
      </c>
      <c r="Y13" s="23">
        <v>29</v>
      </c>
    </row>
    <row r="14" spans="3:25" ht="15">
      <c r="C14" s="23">
        <v>15</v>
      </c>
      <c r="D14" s="24" t="s">
        <v>62</v>
      </c>
      <c r="E14" s="23">
        <v>2</v>
      </c>
      <c r="F14" s="23">
        <v>2</v>
      </c>
      <c r="I14" s="26" t="s">
        <v>62</v>
      </c>
      <c r="J14" s="27">
        <v>26</v>
      </c>
      <c r="K14" s="27">
        <v>1.3</v>
      </c>
      <c r="L14" s="27">
        <v>16</v>
      </c>
      <c r="M14" s="27">
        <v>0.8</v>
      </c>
      <c r="R14" s="24" t="s">
        <v>62</v>
      </c>
      <c r="S14" s="23">
        <v>1.3</v>
      </c>
      <c r="T14" s="23">
        <v>1.2</v>
      </c>
      <c r="U14" s="23">
        <v>1.4</v>
      </c>
      <c r="V14" s="23">
        <v>0.8</v>
      </c>
      <c r="W14" s="23">
        <v>1</v>
      </c>
      <c r="X14" s="23">
        <v>0.6</v>
      </c>
      <c r="Y14" s="23">
        <v>67</v>
      </c>
    </row>
    <row r="15" spans="3:25" ht="15">
      <c r="C15" s="23">
        <v>15</v>
      </c>
      <c r="D15" s="24" t="s">
        <v>63</v>
      </c>
      <c r="E15" s="23">
        <v>0</v>
      </c>
      <c r="F15" s="23">
        <v>1</v>
      </c>
      <c r="I15" s="26" t="s">
        <v>63</v>
      </c>
      <c r="J15" s="27">
        <v>30</v>
      </c>
      <c r="K15" s="27">
        <v>1.5</v>
      </c>
      <c r="L15" s="27">
        <v>21</v>
      </c>
      <c r="M15" s="27">
        <v>1.05</v>
      </c>
      <c r="P15" s="1"/>
      <c r="R15" s="24" t="s">
        <v>63</v>
      </c>
      <c r="S15" s="23">
        <v>1.5</v>
      </c>
      <c r="T15" s="23">
        <v>1.6</v>
      </c>
      <c r="U15" s="23">
        <v>1.4</v>
      </c>
      <c r="V15" s="23">
        <v>1.05</v>
      </c>
      <c r="W15" s="23">
        <v>0.9</v>
      </c>
      <c r="X15" s="23">
        <v>1.2</v>
      </c>
      <c r="Y15" s="23">
        <v>69</v>
      </c>
    </row>
    <row r="16" spans="3:25" ht="15">
      <c r="C16" s="23">
        <v>15</v>
      </c>
      <c r="D16" s="24" t="s">
        <v>64</v>
      </c>
      <c r="E16" s="23">
        <v>0</v>
      </c>
      <c r="F16" s="23">
        <v>1</v>
      </c>
      <c r="I16" s="26" t="s">
        <v>64</v>
      </c>
      <c r="J16" s="27">
        <v>15</v>
      </c>
      <c r="K16" s="27">
        <v>0.75</v>
      </c>
      <c r="L16" s="27">
        <v>23</v>
      </c>
      <c r="M16" s="27">
        <v>1.1499999999999999</v>
      </c>
      <c r="R16" s="24" t="s">
        <v>64</v>
      </c>
      <c r="S16" s="23">
        <v>0.75</v>
      </c>
      <c r="T16" s="23">
        <v>0.7</v>
      </c>
      <c r="U16" s="23">
        <v>0.8</v>
      </c>
      <c r="V16" s="23">
        <v>1.1499999999999999</v>
      </c>
      <c r="W16" s="23">
        <v>1.2</v>
      </c>
      <c r="X16" s="23">
        <v>1.1000000000000001</v>
      </c>
      <c r="Y16" s="23">
        <v>42</v>
      </c>
    </row>
    <row r="17" spans="3:25" ht="15">
      <c r="C17" s="23">
        <v>15</v>
      </c>
      <c r="D17" s="24" t="s">
        <v>65</v>
      </c>
      <c r="E17" s="23">
        <v>0</v>
      </c>
      <c r="F17" s="23">
        <v>1</v>
      </c>
      <c r="I17" s="26" t="s">
        <v>65</v>
      </c>
      <c r="J17" s="27">
        <v>14</v>
      </c>
      <c r="K17" s="27">
        <v>0.7</v>
      </c>
      <c r="L17" s="27">
        <v>42</v>
      </c>
      <c r="M17" s="27">
        <v>2.1</v>
      </c>
      <c r="R17" s="24" t="s">
        <v>65</v>
      </c>
      <c r="S17" s="23">
        <v>0.7</v>
      </c>
      <c r="T17" s="23">
        <v>0.77777777777777779</v>
      </c>
      <c r="U17" s="23">
        <v>0.63636363636363635</v>
      </c>
      <c r="V17" s="23">
        <v>2.1</v>
      </c>
      <c r="W17" s="23">
        <v>1.7777777777777777</v>
      </c>
      <c r="X17" s="23">
        <v>2.3636363636363638</v>
      </c>
      <c r="Y17" s="23">
        <v>18</v>
      </c>
    </row>
    <row r="18" spans="3:25" ht="15">
      <c r="C18" s="23">
        <v>15</v>
      </c>
      <c r="D18" s="24" t="s">
        <v>66</v>
      </c>
      <c r="E18" s="23">
        <v>1</v>
      </c>
      <c r="F18" s="23">
        <v>0</v>
      </c>
      <c r="I18" s="26" t="s">
        <v>66</v>
      </c>
      <c r="J18" s="27">
        <v>33</v>
      </c>
      <c r="K18" s="27">
        <v>1.65</v>
      </c>
      <c r="L18" s="27">
        <v>21</v>
      </c>
      <c r="M18" s="27">
        <v>1.05</v>
      </c>
      <c r="R18" s="24" t="s">
        <v>66</v>
      </c>
      <c r="S18" s="23">
        <v>1.65</v>
      </c>
      <c r="T18" s="23">
        <v>2</v>
      </c>
      <c r="U18" s="23">
        <v>1.3</v>
      </c>
      <c r="V18" s="23">
        <v>1.05</v>
      </c>
      <c r="W18" s="23">
        <v>0.6</v>
      </c>
      <c r="X18" s="23">
        <v>1.5</v>
      </c>
      <c r="Y18" s="23">
        <v>61</v>
      </c>
    </row>
    <row r="19" spans="3:25" ht="15">
      <c r="C19" s="23">
        <v>15</v>
      </c>
      <c r="D19" s="24" t="s">
        <v>67</v>
      </c>
      <c r="E19" s="23">
        <v>2</v>
      </c>
      <c r="F19" s="23">
        <v>2</v>
      </c>
      <c r="I19" s="26" t="s">
        <v>67</v>
      </c>
      <c r="J19" s="27">
        <v>22</v>
      </c>
      <c r="K19" s="27">
        <v>1.1000000000000001</v>
      </c>
      <c r="L19" s="27">
        <v>27</v>
      </c>
      <c r="M19" s="27">
        <v>1.35</v>
      </c>
      <c r="R19" s="24" t="s">
        <v>67</v>
      </c>
      <c r="S19" s="23">
        <v>1.1000000000000001</v>
      </c>
      <c r="T19" s="23">
        <v>1.1000000000000001</v>
      </c>
      <c r="U19" s="23">
        <v>1.1000000000000001</v>
      </c>
      <c r="V19" s="23">
        <v>1.35</v>
      </c>
      <c r="W19" s="23">
        <v>1.4</v>
      </c>
      <c r="X19" s="23">
        <v>1.3</v>
      </c>
      <c r="Y19" s="23">
        <v>46</v>
      </c>
    </row>
    <row r="20" spans="3:25" ht="15">
      <c r="C20" s="23">
        <v>15</v>
      </c>
      <c r="D20" s="24" t="s">
        <v>68</v>
      </c>
      <c r="E20" s="23">
        <v>1</v>
      </c>
      <c r="F20" s="23">
        <v>0</v>
      </c>
      <c r="I20" s="26" t="s">
        <v>68</v>
      </c>
      <c r="J20" s="27">
        <v>25</v>
      </c>
      <c r="K20" s="27">
        <v>1.25</v>
      </c>
      <c r="L20" s="27">
        <v>30</v>
      </c>
      <c r="M20" s="27">
        <v>1.5</v>
      </c>
      <c r="R20" s="24" t="s">
        <v>68</v>
      </c>
      <c r="S20" s="23">
        <v>1.25</v>
      </c>
      <c r="T20" s="23">
        <v>1.5</v>
      </c>
      <c r="U20" s="23">
        <v>1</v>
      </c>
      <c r="V20" s="23">
        <v>1.5</v>
      </c>
      <c r="W20" s="23">
        <v>1.2</v>
      </c>
      <c r="X20" s="23">
        <v>1.8</v>
      </c>
      <c r="Y20" s="23">
        <v>41</v>
      </c>
    </row>
    <row r="21" spans="3:25" ht="15">
      <c r="C21" s="23">
        <v>15</v>
      </c>
      <c r="D21" s="24" t="s">
        <v>69</v>
      </c>
      <c r="E21" s="23">
        <v>1</v>
      </c>
      <c r="F21" s="23">
        <v>0</v>
      </c>
      <c r="I21" s="26" t="s">
        <v>69</v>
      </c>
      <c r="J21" s="27">
        <v>26</v>
      </c>
      <c r="K21" s="27">
        <v>1.3</v>
      </c>
      <c r="L21" s="27">
        <v>24</v>
      </c>
      <c r="M21" s="27">
        <v>1.2</v>
      </c>
      <c r="R21" s="24" t="s">
        <v>69</v>
      </c>
      <c r="S21" s="23">
        <v>1.3</v>
      </c>
      <c r="T21" s="23">
        <v>0.9</v>
      </c>
      <c r="U21" s="23">
        <v>1.7</v>
      </c>
      <c r="V21" s="23">
        <v>1.2</v>
      </c>
      <c r="W21" s="23">
        <v>0.8</v>
      </c>
      <c r="X21" s="23">
        <v>1.6</v>
      </c>
      <c r="Y21" s="23">
        <v>44</v>
      </c>
    </row>
    <row r="22" spans="3:25" ht="15">
      <c r="C22" s="23">
        <v>15</v>
      </c>
      <c r="D22" s="24" t="s">
        <v>70</v>
      </c>
      <c r="E22" s="23">
        <v>2</v>
      </c>
      <c r="F22" s="23">
        <v>1</v>
      </c>
      <c r="I22" s="26" t="s">
        <v>70</v>
      </c>
      <c r="J22" s="27">
        <v>12</v>
      </c>
      <c r="K22" s="27">
        <v>0.6</v>
      </c>
      <c r="L22" s="27">
        <v>35</v>
      </c>
      <c r="M22" s="27">
        <v>1.75</v>
      </c>
      <c r="R22" s="24" t="s">
        <v>70</v>
      </c>
      <c r="S22" s="23">
        <v>0.6</v>
      </c>
      <c r="T22" s="23">
        <v>0.4</v>
      </c>
      <c r="U22" s="23">
        <v>0.8</v>
      </c>
      <c r="V22" s="23">
        <v>1.75</v>
      </c>
      <c r="W22" s="23">
        <v>1.6</v>
      </c>
      <c r="X22" s="23">
        <v>1.9</v>
      </c>
      <c r="Y22" s="23">
        <v>19</v>
      </c>
    </row>
    <row r="23" spans="3:25" ht="30">
      <c r="C23" s="23">
        <v>16</v>
      </c>
      <c r="D23" s="24" t="s">
        <v>51</v>
      </c>
      <c r="E23" s="23">
        <v>1</v>
      </c>
      <c r="F23" s="23">
        <v>0</v>
      </c>
      <c r="I23" s="26" t="s">
        <v>75</v>
      </c>
      <c r="J23" s="27"/>
      <c r="K23" s="27"/>
      <c r="L23" s="27"/>
      <c r="M23" s="27"/>
    </row>
    <row r="24" spans="3:25" ht="15">
      <c r="C24" s="23">
        <v>16</v>
      </c>
      <c r="D24" s="24" t="s">
        <v>52</v>
      </c>
      <c r="E24" s="23">
        <v>3</v>
      </c>
      <c r="F24" s="23">
        <v>2</v>
      </c>
      <c r="I24" s="26" t="s">
        <v>72</v>
      </c>
      <c r="J24" s="27">
        <v>494</v>
      </c>
      <c r="K24" s="27">
        <v>1.2350000000000001</v>
      </c>
      <c r="L24" s="27">
        <v>494</v>
      </c>
      <c r="M24" s="27">
        <v>1.2350000000000001</v>
      </c>
    </row>
    <row r="25" spans="3:25" ht="15">
      <c r="C25" s="23">
        <v>16</v>
      </c>
      <c r="D25" s="24" t="s">
        <v>53</v>
      </c>
      <c r="E25" s="23">
        <v>2</v>
      </c>
      <c r="F25" s="23">
        <v>2</v>
      </c>
    </row>
    <row r="26" spans="3:25" ht="15">
      <c r="C26" s="23">
        <v>16</v>
      </c>
      <c r="D26" s="24" t="s">
        <v>54</v>
      </c>
      <c r="E26" s="23">
        <v>1</v>
      </c>
      <c r="F26" s="23">
        <v>3</v>
      </c>
    </row>
    <row r="27" spans="3:25" ht="30">
      <c r="C27" s="23">
        <v>16</v>
      </c>
      <c r="D27" s="24" t="s">
        <v>55</v>
      </c>
      <c r="E27" s="23">
        <v>0</v>
      </c>
      <c r="F27" s="23">
        <v>0</v>
      </c>
    </row>
    <row r="28" spans="3:25" ht="30">
      <c r="C28" s="23">
        <v>16</v>
      </c>
      <c r="D28" s="24" t="s">
        <v>56</v>
      </c>
      <c r="E28" s="23">
        <v>5</v>
      </c>
      <c r="F28" s="23">
        <v>1</v>
      </c>
    </row>
    <row r="29" spans="3:25" ht="15">
      <c r="C29" s="23">
        <v>16</v>
      </c>
      <c r="D29" s="24" t="s">
        <v>57</v>
      </c>
      <c r="E29" s="23">
        <v>0</v>
      </c>
      <c r="F29" s="23">
        <v>1</v>
      </c>
    </row>
    <row r="30" spans="3:25" ht="15">
      <c r="C30" s="23">
        <v>16</v>
      </c>
      <c r="D30" s="24" t="s">
        <v>58</v>
      </c>
      <c r="E30" s="23">
        <v>1</v>
      </c>
      <c r="F30" s="23">
        <v>0</v>
      </c>
    </row>
    <row r="31" spans="3:25" ht="15">
      <c r="C31" s="23">
        <v>16</v>
      </c>
      <c r="D31" s="24" t="s">
        <v>59</v>
      </c>
      <c r="E31" s="23">
        <v>2</v>
      </c>
      <c r="F31" s="23">
        <v>1</v>
      </c>
    </row>
    <row r="32" spans="3:25" ht="15">
      <c r="C32" s="23">
        <v>16</v>
      </c>
      <c r="D32" s="24" t="s">
        <v>60</v>
      </c>
      <c r="E32" s="23">
        <v>0</v>
      </c>
      <c r="F32" s="23">
        <v>0</v>
      </c>
    </row>
    <row r="33" spans="3:6" ht="15">
      <c r="C33" s="23">
        <v>16</v>
      </c>
      <c r="D33" s="24" t="s">
        <v>61</v>
      </c>
      <c r="E33" s="23">
        <v>0</v>
      </c>
      <c r="F33" s="23">
        <v>1</v>
      </c>
    </row>
    <row r="34" spans="3:6" ht="15">
      <c r="C34" s="23">
        <v>16</v>
      </c>
      <c r="D34" s="24" t="s">
        <v>62</v>
      </c>
      <c r="E34" s="23">
        <v>3</v>
      </c>
      <c r="F34" s="23">
        <v>1</v>
      </c>
    </row>
    <row r="35" spans="3:6" ht="15">
      <c r="C35" s="23">
        <v>16</v>
      </c>
      <c r="D35" s="24" t="s">
        <v>63</v>
      </c>
      <c r="E35" s="23">
        <v>0</v>
      </c>
      <c r="F35" s="23">
        <v>0</v>
      </c>
    </row>
    <row r="36" spans="3:6" ht="15">
      <c r="C36" s="23">
        <v>16</v>
      </c>
      <c r="D36" s="24" t="s">
        <v>64</v>
      </c>
      <c r="E36" s="23">
        <v>0</v>
      </c>
      <c r="F36" s="23">
        <v>0</v>
      </c>
    </row>
    <row r="37" spans="3:6" ht="15">
      <c r="C37" s="23">
        <v>16</v>
      </c>
      <c r="D37" s="24" t="s">
        <v>65</v>
      </c>
      <c r="E37" s="23">
        <v>2</v>
      </c>
      <c r="F37" s="23">
        <v>2</v>
      </c>
    </row>
    <row r="38" spans="3:6" ht="15">
      <c r="C38" s="23">
        <v>16</v>
      </c>
      <c r="D38" s="24" t="s">
        <v>66</v>
      </c>
      <c r="E38" s="23">
        <v>1</v>
      </c>
      <c r="F38" s="23">
        <v>2</v>
      </c>
    </row>
    <row r="39" spans="3:6" ht="15">
      <c r="C39" s="23">
        <v>16</v>
      </c>
      <c r="D39" s="24" t="s">
        <v>67</v>
      </c>
      <c r="E39" s="23">
        <v>0</v>
      </c>
      <c r="F39" s="23">
        <v>1</v>
      </c>
    </row>
    <row r="40" spans="3:6" ht="15">
      <c r="C40" s="23">
        <v>16</v>
      </c>
      <c r="D40" s="24" t="s">
        <v>68</v>
      </c>
      <c r="E40" s="23">
        <v>1</v>
      </c>
      <c r="F40" s="23">
        <v>0</v>
      </c>
    </row>
    <row r="41" spans="3:6" ht="15">
      <c r="C41" s="23">
        <v>16</v>
      </c>
      <c r="D41" s="24" t="s">
        <v>69</v>
      </c>
      <c r="E41" s="23">
        <v>1</v>
      </c>
      <c r="F41" s="23">
        <v>5</v>
      </c>
    </row>
    <row r="42" spans="3:6" ht="15">
      <c r="C42" s="23">
        <v>16</v>
      </c>
      <c r="D42" s="24" t="s">
        <v>70</v>
      </c>
      <c r="E42" s="23">
        <v>2</v>
      </c>
      <c r="F42" s="23">
        <v>3</v>
      </c>
    </row>
    <row r="43" spans="3:6" ht="30">
      <c r="C43" s="23">
        <v>17</v>
      </c>
      <c r="D43" s="24" t="s">
        <v>51</v>
      </c>
      <c r="E43" s="23">
        <v>0</v>
      </c>
      <c r="F43" s="23">
        <v>1</v>
      </c>
    </row>
    <row r="44" spans="3:6" ht="15">
      <c r="C44" s="23">
        <v>17</v>
      </c>
      <c r="D44" s="24" t="s">
        <v>52</v>
      </c>
      <c r="E44" s="23">
        <v>1</v>
      </c>
      <c r="F44" s="23">
        <v>1</v>
      </c>
    </row>
    <row r="45" spans="3:6" ht="15">
      <c r="C45" s="23">
        <v>17</v>
      </c>
      <c r="D45" s="24" t="s">
        <v>53</v>
      </c>
      <c r="E45" s="23">
        <v>2</v>
      </c>
      <c r="F45" s="23">
        <v>1</v>
      </c>
    </row>
    <row r="46" spans="3:6" ht="15">
      <c r="C46" s="23">
        <v>17</v>
      </c>
      <c r="D46" s="24" t="s">
        <v>54</v>
      </c>
      <c r="E46" s="23">
        <v>3</v>
      </c>
      <c r="F46" s="23">
        <v>0</v>
      </c>
    </row>
    <row r="47" spans="3:6" ht="30">
      <c r="C47" s="23">
        <v>17</v>
      </c>
      <c r="D47" s="24" t="s">
        <v>55</v>
      </c>
      <c r="E47" s="23">
        <v>0</v>
      </c>
      <c r="F47" s="23">
        <v>2</v>
      </c>
    </row>
    <row r="48" spans="3:6" ht="30">
      <c r="C48" s="23">
        <v>17</v>
      </c>
      <c r="D48" s="24" t="s">
        <v>56</v>
      </c>
      <c r="E48" s="23">
        <v>0</v>
      </c>
      <c r="F48" s="23">
        <v>1</v>
      </c>
    </row>
    <row r="49" spans="3:6" ht="15">
      <c r="C49" s="23">
        <v>17</v>
      </c>
      <c r="D49" s="24" t="s">
        <v>57</v>
      </c>
      <c r="E49" s="23">
        <v>1</v>
      </c>
      <c r="F49" s="23">
        <v>3</v>
      </c>
    </row>
    <row r="50" spans="3:6" ht="15">
      <c r="C50" s="23">
        <v>17</v>
      </c>
      <c r="D50" s="24" t="s">
        <v>58</v>
      </c>
      <c r="E50" s="23">
        <v>1</v>
      </c>
      <c r="F50" s="23">
        <v>0</v>
      </c>
    </row>
    <row r="51" spans="3:6" ht="15">
      <c r="C51" s="23">
        <v>17</v>
      </c>
      <c r="D51" s="24" t="s">
        <v>59</v>
      </c>
      <c r="E51" s="23">
        <v>2</v>
      </c>
      <c r="F51" s="23">
        <v>0</v>
      </c>
    </row>
    <row r="52" spans="3:6" ht="15">
      <c r="C52" s="23">
        <v>17</v>
      </c>
      <c r="D52" s="24" t="s">
        <v>60</v>
      </c>
      <c r="E52" s="23">
        <v>1</v>
      </c>
      <c r="F52" s="23">
        <v>1</v>
      </c>
    </row>
    <row r="53" spans="3:6" ht="15">
      <c r="C53" s="23">
        <v>17</v>
      </c>
      <c r="D53" s="24" t="s">
        <v>61</v>
      </c>
      <c r="E53" s="23">
        <v>0</v>
      </c>
      <c r="F53" s="23">
        <v>3</v>
      </c>
    </row>
    <row r="54" spans="3:6" ht="15">
      <c r="C54" s="23">
        <v>17</v>
      </c>
      <c r="D54" s="24" t="s">
        <v>62</v>
      </c>
      <c r="E54" s="23">
        <v>3</v>
      </c>
      <c r="F54" s="23">
        <v>0</v>
      </c>
    </row>
    <row r="55" spans="3:6" ht="15">
      <c r="C55" s="23">
        <v>17</v>
      </c>
      <c r="D55" s="24" t="s">
        <v>63</v>
      </c>
      <c r="E55" s="23">
        <v>2</v>
      </c>
      <c r="F55" s="23">
        <v>0</v>
      </c>
    </row>
    <row r="56" spans="3:6" ht="15">
      <c r="C56" s="23">
        <v>17</v>
      </c>
      <c r="D56" s="24" t="s">
        <v>64</v>
      </c>
      <c r="E56" s="23">
        <v>1</v>
      </c>
      <c r="F56" s="23">
        <v>0</v>
      </c>
    </row>
    <row r="57" spans="3:6" ht="15">
      <c r="C57" s="23">
        <v>17</v>
      </c>
      <c r="D57" s="24" t="s">
        <v>65</v>
      </c>
      <c r="E57" s="23">
        <v>0</v>
      </c>
      <c r="F57" s="23">
        <v>2</v>
      </c>
    </row>
    <row r="58" spans="3:6" ht="15">
      <c r="C58" s="23">
        <v>17</v>
      </c>
      <c r="D58" s="24" t="s">
        <v>66</v>
      </c>
      <c r="E58" s="23">
        <v>3</v>
      </c>
      <c r="F58" s="23">
        <v>1</v>
      </c>
    </row>
    <row r="59" spans="3:6" ht="15">
      <c r="C59" s="23">
        <v>17</v>
      </c>
      <c r="D59" s="24" t="s">
        <v>67</v>
      </c>
      <c r="E59" s="23">
        <v>1</v>
      </c>
      <c r="F59" s="23">
        <v>1</v>
      </c>
    </row>
    <row r="60" spans="3:6" ht="15">
      <c r="C60" s="23">
        <v>17</v>
      </c>
      <c r="D60" s="24" t="s">
        <v>68</v>
      </c>
      <c r="E60" s="23">
        <v>1</v>
      </c>
      <c r="F60" s="23">
        <v>2</v>
      </c>
    </row>
    <row r="61" spans="3:6" ht="15">
      <c r="C61" s="23">
        <v>17</v>
      </c>
      <c r="D61" s="24" t="s">
        <v>69</v>
      </c>
      <c r="E61" s="23">
        <v>1</v>
      </c>
      <c r="F61" s="23">
        <v>1</v>
      </c>
    </row>
    <row r="62" spans="3:6" ht="15">
      <c r="C62" s="23">
        <v>17</v>
      </c>
      <c r="D62" s="24" t="s">
        <v>70</v>
      </c>
      <c r="E62" s="23">
        <v>0</v>
      </c>
      <c r="F62" s="23">
        <v>3</v>
      </c>
    </row>
    <row r="63" spans="3:6" ht="30">
      <c r="C63" s="23">
        <v>18</v>
      </c>
      <c r="D63" s="24" t="s">
        <v>51</v>
      </c>
      <c r="E63" s="23">
        <v>1</v>
      </c>
      <c r="F63" s="23">
        <v>0</v>
      </c>
    </row>
    <row r="64" spans="3:6" ht="15">
      <c r="C64" s="23">
        <v>18</v>
      </c>
      <c r="D64" s="24" t="s">
        <v>52</v>
      </c>
      <c r="E64" s="23">
        <v>1</v>
      </c>
      <c r="F64" s="23">
        <v>3</v>
      </c>
    </row>
    <row r="65" spans="3:6" ht="15">
      <c r="C65" s="23">
        <v>18</v>
      </c>
      <c r="D65" s="24" t="s">
        <v>53</v>
      </c>
      <c r="E65" s="23">
        <v>0</v>
      </c>
      <c r="F65" s="23">
        <v>1</v>
      </c>
    </row>
    <row r="66" spans="3:6" ht="15">
      <c r="C66" s="23">
        <v>18</v>
      </c>
      <c r="D66" s="24" t="s">
        <v>54</v>
      </c>
      <c r="E66" s="23">
        <v>1</v>
      </c>
      <c r="F66" s="23">
        <v>0</v>
      </c>
    </row>
    <row r="67" spans="3:6" ht="30">
      <c r="C67" s="23">
        <v>18</v>
      </c>
      <c r="D67" s="24" t="s">
        <v>55</v>
      </c>
      <c r="E67" s="23">
        <v>0</v>
      </c>
      <c r="F67" s="23">
        <v>1</v>
      </c>
    </row>
    <row r="68" spans="3:6" ht="30">
      <c r="C68" s="23">
        <v>18</v>
      </c>
      <c r="D68" s="24" t="s">
        <v>56</v>
      </c>
      <c r="E68" s="23">
        <v>1</v>
      </c>
      <c r="F68" s="23">
        <v>0</v>
      </c>
    </row>
    <row r="69" spans="3:6" ht="15">
      <c r="C69" s="23">
        <v>18</v>
      </c>
      <c r="D69" s="24" t="s">
        <v>57</v>
      </c>
      <c r="E69" s="23">
        <v>1</v>
      </c>
      <c r="F69" s="23">
        <v>1</v>
      </c>
    </row>
    <row r="70" spans="3:6" ht="15">
      <c r="C70" s="23">
        <v>18</v>
      </c>
      <c r="D70" s="24" t="s">
        <v>58</v>
      </c>
      <c r="E70" s="23">
        <v>3</v>
      </c>
      <c r="F70" s="23">
        <v>1</v>
      </c>
    </row>
    <row r="71" spans="3:6" ht="15">
      <c r="C71" s="23">
        <v>18</v>
      </c>
      <c r="D71" s="24" t="s">
        <v>59</v>
      </c>
      <c r="E71" s="23">
        <v>1</v>
      </c>
      <c r="F71" s="23">
        <v>1</v>
      </c>
    </row>
    <row r="72" spans="3:6" ht="15">
      <c r="C72" s="23">
        <v>18</v>
      </c>
      <c r="D72" s="24" t="s">
        <v>60</v>
      </c>
      <c r="E72" s="23">
        <v>0</v>
      </c>
      <c r="F72" s="23">
        <v>2</v>
      </c>
    </row>
    <row r="73" spans="3:6" ht="15">
      <c r="C73" s="23">
        <v>18</v>
      </c>
      <c r="D73" s="24" t="s">
        <v>61</v>
      </c>
      <c r="E73" s="23">
        <v>1</v>
      </c>
      <c r="F73" s="23">
        <v>1</v>
      </c>
    </row>
    <row r="74" spans="3:6" ht="15">
      <c r="C74" s="23">
        <v>18</v>
      </c>
      <c r="D74" s="24" t="s">
        <v>62</v>
      </c>
      <c r="E74" s="23">
        <v>1</v>
      </c>
      <c r="F74" s="23">
        <v>0</v>
      </c>
    </row>
    <row r="75" spans="3:6" ht="15">
      <c r="C75" s="23">
        <v>18</v>
      </c>
      <c r="D75" s="24" t="s">
        <v>63</v>
      </c>
      <c r="E75" s="23">
        <v>2</v>
      </c>
      <c r="F75" s="23">
        <v>0</v>
      </c>
    </row>
    <row r="76" spans="3:6" ht="15">
      <c r="C76" s="23">
        <v>18</v>
      </c>
      <c r="D76" s="24" t="s">
        <v>64</v>
      </c>
      <c r="E76" s="23">
        <v>1</v>
      </c>
      <c r="F76" s="23">
        <v>1</v>
      </c>
    </row>
    <row r="77" spans="3:6" ht="15">
      <c r="C77" s="23">
        <v>18</v>
      </c>
      <c r="D77" s="24" t="s">
        <v>65</v>
      </c>
      <c r="E77" s="23">
        <v>1</v>
      </c>
      <c r="F77" s="23">
        <v>1</v>
      </c>
    </row>
    <row r="78" spans="3:6" ht="15">
      <c r="C78" s="23">
        <v>18</v>
      </c>
      <c r="D78" s="24" t="s">
        <v>66</v>
      </c>
      <c r="E78" s="23">
        <v>0</v>
      </c>
      <c r="F78" s="23">
        <v>1</v>
      </c>
    </row>
    <row r="79" spans="3:6" ht="15">
      <c r="C79" s="23">
        <v>18</v>
      </c>
      <c r="D79" s="24" t="s">
        <v>67</v>
      </c>
      <c r="E79" s="23">
        <v>1</v>
      </c>
      <c r="F79" s="23">
        <v>1</v>
      </c>
    </row>
    <row r="80" spans="3:6" ht="15">
      <c r="C80" s="23">
        <v>18</v>
      </c>
      <c r="D80" s="24" t="s">
        <v>68</v>
      </c>
      <c r="E80" s="23">
        <v>3</v>
      </c>
      <c r="F80" s="23">
        <v>0</v>
      </c>
    </row>
    <row r="81" spans="3:6" ht="15">
      <c r="C81" s="23">
        <v>18</v>
      </c>
      <c r="D81" s="24" t="s">
        <v>69</v>
      </c>
      <c r="E81" s="23">
        <v>0</v>
      </c>
      <c r="F81" s="23">
        <v>1</v>
      </c>
    </row>
    <row r="82" spans="3:6" ht="15">
      <c r="C82" s="23">
        <v>18</v>
      </c>
      <c r="D82" s="24" t="s">
        <v>70</v>
      </c>
      <c r="E82" s="23">
        <v>0</v>
      </c>
      <c r="F82" s="23">
        <v>3</v>
      </c>
    </row>
    <row r="83" spans="3:6" ht="30">
      <c r="C83" s="23">
        <v>19</v>
      </c>
      <c r="D83" s="24" t="s">
        <v>51</v>
      </c>
      <c r="E83" s="23">
        <v>2</v>
      </c>
      <c r="F83" s="23">
        <v>0</v>
      </c>
    </row>
    <row r="84" spans="3:6" ht="15">
      <c r="C84" s="23">
        <v>19</v>
      </c>
      <c r="D84" s="24" t="s">
        <v>52</v>
      </c>
      <c r="E84" s="23">
        <v>0</v>
      </c>
      <c r="F84" s="23">
        <v>2</v>
      </c>
    </row>
    <row r="85" spans="3:6" ht="15">
      <c r="C85" s="23">
        <v>19</v>
      </c>
      <c r="D85" s="24" t="s">
        <v>53</v>
      </c>
      <c r="E85" s="23">
        <v>2</v>
      </c>
      <c r="F85" s="23">
        <v>2</v>
      </c>
    </row>
    <row r="86" spans="3:6" ht="15">
      <c r="C86" s="23">
        <v>19</v>
      </c>
      <c r="D86" s="24" t="s">
        <v>54</v>
      </c>
      <c r="E86" s="23">
        <v>3</v>
      </c>
      <c r="F86" s="23">
        <v>0</v>
      </c>
    </row>
    <row r="87" spans="3:6" ht="30">
      <c r="C87" s="23">
        <v>19</v>
      </c>
      <c r="D87" s="24" t="s">
        <v>55</v>
      </c>
      <c r="E87" s="23">
        <v>2</v>
      </c>
      <c r="F87" s="23">
        <v>2</v>
      </c>
    </row>
    <row r="88" spans="3:6" ht="30">
      <c r="C88" s="23">
        <v>19</v>
      </c>
      <c r="D88" s="24" t="s">
        <v>56</v>
      </c>
      <c r="E88" s="23">
        <v>2</v>
      </c>
      <c r="F88" s="23">
        <v>2</v>
      </c>
    </row>
    <row r="89" spans="3:6" ht="15">
      <c r="C89" s="23">
        <v>19</v>
      </c>
      <c r="D89" s="24" t="s">
        <v>57</v>
      </c>
      <c r="E89" s="23">
        <v>1</v>
      </c>
      <c r="F89" s="23">
        <v>1</v>
      </c>
    </row>
    <row r="90" spans="3:6" ht="15">
      <c r="C90" s="23">
        <v>19</v>
      </c>
      <c r="D90" s="24" t="s">
        <v>58</v>
      </c>
      <c r="E90" s="23">
        <v>2</v>
      </c>
      <c r="F90" s="23">
        <v>0</v>
      </c>
    </row>
    <row r="91" spans="3:6" ht="15">
      <c r="C91" s="23">
        <v>19</v>
      </c>
      <c r="D91" s="24" t="s">
        <v>59</v>
      </c>
      <c r="E91" s="23">
        <v>3</v>
      </c>
      <c r="F91" s="23">
        <v>0</v>
      </c>
    </row>
    <row r="92" spans="3:6" ht="15">
      <c r="C92" s="23">
        <v>19</v>
      </c>
      <c r="D92" s="24" t="s">
        <v>60</v>
      </c>
      <c r="E92" s="23">
        <v>2</v>
      </c>
      <c r="F92" s="23">
        <v>2</v>
      </c>
    </row>
    <row r="93" spans="3:6" ht="15">
      <c r="C93" s="23">
        <v>19</v>
      </c>
      <c r="D93" s="24" t="s">
        <v>61</v>
      </c>
      <c r="E93" s="23">
        <v>0</v>
      </c>
      <c r="F93" s="23">
        <v>2</v>
      </c>
    </row>
    <row r="94" spans="3:6" ht="15">
      <c r="C94" s="23">
        <v>19</v>
      </c>
      <c r="D94" s="24" t="s">
        <v>62</v>
      </c>
      <c r="E94" s="23">
        <v>1</v>
      </c>
      <c r="F94" s="23">
        <v>1</v>
      </c>
    </row>
    <row r="95" spans="3:6" ht="15">
      <c r="C95" s="23">
        <v>19</v>
      </c>
      <c r="D95" s="24" t="s">
        <v>63</v>
      </c>
      <c r="E95" s="23">
        <v>2</v>
      </c>
      <c r="F95" s="23">
        <v>2</v>
      </c>
    </row>
    <row r="96" spans="3:6" ht="15">
      <c r="C96" s="23">
        <v>19</v>
      </c>
      <c r="D96" s="24" t="s">
        <v>64</v>
      </c>
      <c r="E96" s="23">
        <v>0</v>
      </c>
      <c r="F96" s="23">
        <v>2</v>
      </c>
    </row>
    <row r="97" spans="3:6" ht="15">
      <c r="C97" s="23">
        <v>19</v>
      </c>
      <c r="D97" s="24" t="s">
        <v>65</v>
      </c>
      <c r="E97" s="23">
        <v>0</v>
      </c>
      <c r="F97" s="23">
        <v>3</v>
      </c>
    </row>
    <row r="98" spans="3:6" ht="15">
      <c r="C98" s="23">
        <v>19</v>
      </c>
      <c r="D98" s="24" t="s">
        <v>66</v>
      </c>
      <c r="E98" s="23">
        <v>2</v>
      </c>
      <c r="F98" s="23">
        <v>0</v>
      </c>
    </row>
    <row r="99" spans="3:6" ht="15">
      <c r="C99" s="23">
        <v>19</v>
      </c>
      <c r="D99" s="24" t="s">
        <v>67</v>
      </c>
      <c r="E99" s="23">
        <v>0</v>
      </c>
      <c r="F99" s="23">
        <v>3</v>
      </c>
    </row>
    <row r="100" spans="3:6" ht="15">
      <c r="C100" s="23">
        <v>19</v>
      </c>
      <c r="D100" s="24" t="s">
        <v>68</v>
      </c>
      <c r="E100" s="23">
        <v>1</v>
      </c>
      <c r="F100" s="23">
        <v>2</v>
      </c>
    </row>
    <row r="101" spans="3:6" ht="15">
      <c r="C101" s="23">
        <v>19</v>
      </c>
      <c r="D101" s="24" t="s">
        <v>69</v>
      </c>
      <c r="E101" s="23">
        <v>2</v>
      </c>
      <c r="F101" s="23">
        <v>1</v>
      </c>
    </row>
    <row r="102" spans="3:6" ht="15">
      <c r="C102" s="23">
        <v>19</v>
      </c>
      <c r="D102" s="24" t="s">
        <v>70</v>
      </c>
      <c r="E102" s="23">
        <v>2</v>
      </c>
      <c r="F102" s="23">
        <v>2</v>
      </c>
    </row>
    <row r="103" spans="3:6" ht="30">
      <c r="C103" s="23">
        <v>20</v>
      </c>
      <c r="D103" s="24" t="s">
        <v>51</v>
      </c>
      <c r="E103" s="23">
        <v>2</v>
      </c>
      <c r="F103" s="23">
        <v>0</v>
      </c>
    </row>
    <row r="104" spans="3:6" ht="15">
      <c r="C104" s="23">
        <v>20</v>
      </c>
      <c r="D104" s="24" t="s">
        <v>52</v>
      </c>
      <c r="E104" s="23">
        <v>1</v>
      </c>
      <c r="F104" s="23">
        <v>1</v>
      </c>
    </row>
    <row r="105" spans="3:6" ht="15">
      <c r="C105" s="23">
        <v>20</v>
      </c>
      <c r="D105" s="24" t="s">
        <v>53</v>
      </c>
      <c r="E105" s="23">
        <v>0</v>
      </c>
      <c r="F105" s="23">
        <v>3</v>
      </c>
    </row>
    <row r="106" spans="3:6" ht="15">
      <c r="C106" s="23">
        <v>20</v>
      </c>
      <c r="D106" s="24" t="s">
        <v>54</v>
      </c>
      <c r="E106" s="23">
        <v>1</v>
      </c>
      <c r="F106" s="23">
        <v>1</v>
      </c>
    </row>
    <row r="107" spans="3:6" ht="30">
      <c r="C107" s="23">
        <v>20</v>
      </c>
      <c r="D107" s="24" t="s">
        <v>55</v>
      </c>
      <c r="E107" s="23">
        <v>0</v>
      </c>
      <c r="F107" s="23">
        <v>5</v>
      </c>
    </row>
    <row r="108" spans="3:6" ht="30">
      <c r="C108" s="23">
        <v>20</v>
      </c>
      <c r="D108" s="24" t="s">
        <v>56</v>
      </c>
      <c r="E108" s="23">
        <v>1</v>
      </c>
      <c r="F108" s="23">
        <v>1</v>
      </c>
    </row>
    <row r="109" spans="3:6" ht="15">
      <c r="C109" s="23">
        <v>20</v>
      </c>
      <c r="D109" s="24" t="s">
        <v>57</v>
      </c>
      <c r="E109" s="23">
        <v>3</v>
      </c>
      <c r="F109" s="23">
        <v>0</v>
      </c>
    </row>
    <row r="110" spans="3:6" ht="15">
      <c r="C110" s="23">
        <v>20</v>
      </c>
      <c r="D110" s="24" t="s">
        <v>58</v>
      </c>
      <c r="E110" s="23">
        <v>2</v>
      </c>
      <c r="F110" s="23">
        <v>2</v>
      </c>
    </row>
    <row r="111" spans="3:6" ht="15">
      <c r="C111" s="23">
        <v>20</v>
      </c>
      <c r="D111" s="24" t="s">
        <v>59</v>
      </c>
      <c r="E111" s="23">
        <v>5</v>
      </c>
      <c r="F111" s="23">
        <v>0</v>
      </c>
    </row>
    <row r="112" spans="3:6" ht="15">
      <c r="C112" s="23">
        <v>20</v>
      </c>
      <c r="D112" s="24" t="s">
        <v>60</v>
      </c>
      <c r="E112" s="23">
        <v>1</v>
      </c>
      <c r="F112" s="23">
        <v>0</v>
      </c>
    </row>
    <row r="113" spans="3:6" ht="15">
      <c r="C113" s="23">
        <v>20</v>
      </c>
      <c r="D113" s="24" t="s">
        <v>61</v>
      </c>
      <c r="E113" s="23">
        <v>1</v>
      </c>
      <c r="F113" s="23">
        <v>2</v>
      </c>
    </row>
    <row r="114" spans="3:6" ht="15">
      <c r="C114" s="23">
        <v>20</v>
      </c>
      <c r="D114" s="24" t="s">
        <v>62</v>
      </c>
      <c r="E114" s="23">
        <v>1</v>
      </c>
      <c r="F114" s="23">
        <v>1</v>
      </c>
    </row>
    <row r="115" spans="3:6" ht="15">
      <c r="C115" s="23">
        <v>20</v>
      </c>
      <c r="D115" s="24" t="s">
        <v>63</v>
      </c>
      <c r="E115" s="23">
        <v>2</v>
      </c>
      <c r="F115" s="23">
        <v>2</v>
      </c>
    </row>
    <row r="116" spans="3:6" ht="15">
      <c r="C116" s="23">
        <v>20</v>
      </c>
      <c r="D116" s="24" t="s">
        <v>64</v>
      </c>
      <c r="E116" s="23">
        <v>2</v>
      </c>
      <c r="F116" s="23">
        <v>1</v>
      </c>
    </row>
    <row r="117" spans="3:6" ht="15">
      <c r="C117" s="23">
        <v>20</v>
      </c>
      <c r="D117" s="24" t="s">
        <v>65</v>
      </c>
      <c r="E117" s="23">
        <v>2</v>
      </c>
      <c r="F117" s="23">
        <v>2</v>
      </c>
    </row>
    <row r="118" spans="3:6" ht="15">
      <c r="C118" s="23">
        <v>20</v>
      </c>
      <c r="D118" s="24" t="s">
        <v>66</v>
      </c>
      <c r="E118" s="23">
        <v>2</v>
      </c>
      <c r="F118" s="23">
        <v>0</v>
      </c>
    </row>
    <row r="119" spans="3:6" ht="15">
      <c r="C119" s="23">
        <v>20</v>
      </c>
      <c r="D119" s="24" t="s">
        <v>67</v>
      </c>
      <c r="E119" s="23">
        <v>0</v>
      </c>
      <c r="F119" s="23">
        <v>2</v>
      </c>
    </row>
    <row r="120" spans="3:6" ht="15">
      <c r="C120" s="23">
        <v>20</v>
      </c>
      <c r="D120" s="24" t="s">
        <v>68</v>
      </c>
      <c r="E120" s="23">
        <v>0</v>
      </c>
      <c r="F120" s="23">
        <v>2</v>
      </c>
    </row>
    <row r="121" spans="3:6" ht="15">
      <c r="C121" s="23">
        <v>20</v>
      </c>
      <c r="D121" s="24" t="s">
        <v>69</v>
      </c>
      <c r="E121" s="23">
        <v>2</v>
      </c>
      <c r="F121" s="23">
        <v>2</v>
      </c>
    </row>
    <row r="122" spans="3:6" ht="15">
      <c r="C122" s="23">
        <v>20</v>
      </c>
      <c r="D122" s="24" t="s">
        <v>70</v>
      </c>
      <c r="E122" s="23">
        <v>0</v>
      </c>
      <c r="F122" s="23">
        <v>1</v>
      </c>
    </row>
    <row r="123" spans="3:6" ht="30">
      <c r="C123" s="23">
        <v>21</v>
      </c>
      <c r="D123" s="24" t="s">
        <v>51</v>
      </c>
      <c r="E123" s="23">
        <v>1</v>
      </c>
      <c r="F123" s="23">
        <v>1</v>
      </c>
    </row>
    <row r="124" spans="3:6" ht="15">
      <c r="C124" s="23">
        <v>21</v>
      </c>
      <c r="D124" s="24" t="s">
        <v>52</v>
      </c>
      <c r="E124" s="23">
        <v>1</v>
      </c>
      <c r="F124" s="23">
        <v>2</v>
      </c>
    </row>
    <row r="125" spans="3:6" ht="15">
      <c r="C125" s="23">
        <v>21</v>
      </c>
      <c r="D125" s="24" t="s">
        <v>53</v>
      </c>
      <c r="E125" s="23">
        <v>1</v>
      </c>
      <c r="F125" s="23">
        <v>0</v>
      </c>
    </row>
    <row r="126" spans="3:6" ht="15">
      <c r="C126" s="23">
        <v>21</v>
      </c>
      <c r="D126" s="24" t="s">
        <v>54</v>
      </c>
      <c r="E126" s="23">
        <v>3</v>
      </c>
      <c r="F126" s="23">
        <v>0</v>
      </c>
    </row>
    <row r="127" spans="3:6" ht="30">
      <c r="C127" s="23">
        <v>21</v>
      </c>
      <c r="D127" s="24" t="s">
        <v>55</v>
      </c>
      <c r="E127" s="23">
        <v>0</v>
      </c>
      <c r="F127" s="23">
        <v>0</v>
      </c>
    </row>
    <row r="128" spans="3:6" ht="30">
      <c r="C128" s="23">
        <v>21</v>
      </c>
      <c r="D128" s="24" t="s">
        <v>56</v>
      </c>
      <c r="E128" s="23">
        <v>2</v>
      </c>
      <c r="F128" s="23">
        <v>1</v>
      </c>
    </row>
    <row r="129" spans="3:6" ht="15">
      <c r="C129" s="23">
        <v>21</v>
      </c>
      <c r="D129" s="24" t="s">
        <v>57</v>
      </c>
      <c r="E129" s="23">
        <v>0</v>
      </c>
      <c r="F129" s="23">
        <v>0</v>
      </c>
    </row>
    <row r="130" spans="3:6" ht="15">
      <c r="C130" s="23">
        <v>21</v>
      </c>
      <c r="D130" s="24" t="s">
        <v>58</v>
      </c>
      <c r="E130" s="23">
        <v>1</v>
      </c>
      <c r="F130" s="23">
        <v>0</v>
      </c>
    </row>
    <row r="131" spans="3:6" ht="15">
      <c r="C131" s="23">
        <v>21</v>
      </c>
      <c r="D131" s="24" t="s">
        <v>59</v>
      </c>
      <c r="E131" s="23">
        <v>0</v>
      </c>
      <c r="F131" s="23">
        <v>1</v>
      </c>
    </row>
    <row r="132" spans="3:6" ht="15">
      <c r="C132" s="23">
        <v>21</v>
      </c>
      <c r="D132" s="24" t="s">
        <v>60</v>
      </c>
      <c r="E132" s="23">
        <v>0</v>
      </c>
      <c r="F132" s="23">
        <v>3</v>
      </c>
    </row>
    <row r="133" spans="3:6" ht="15">
      <c r="C133" s="23">
        <v>21</v>
      </c>
      <c r="D133" s="24" t="s">
        <v>61</v>
      </c>
      <c r="E133" s="23">
        <v>0</v>
      </c>
      <c r="F133" s="23">
        <v>1</v>
      </c>
    </row>
    <row r="134" spans="3:6" ht="15">
      <c r="C134" s="23">
        <v>21</v>
      </c>
      <c r="D134" s="24" t="s">
        <v>62</v>
      </c>
      <c r="E134" s="23">
        <v>1</v>
      </c>
      <c r="F134" s="23">
        <v>0</v>
      </c>
    </row>
    <row r="135" spans="3:6" ht="15">
      <c r="C135" s="23">
        <v>21</v>
      </c>
      <c r="D135" s="24" t="s">
        <v>63</v>
      </c>
      <c r="E135" s="23">
        <v>1</v>
      </c>
      <c r="F135" s="23">
        <v>0</v>
      </c>
    </row>
    <row r="136" spans="3:6" ht="15">
      <c r="C136" s="23">
        <v>21</v>
      </c>
      <c r="D136" s="24" t="s">
        <v>64</v>
      </c>
      <c r="E136" s="23">
        <v>0</v>
      </c>
      <c r="F136" s="23">
        <v>0</v>
      </c>
    </row>
    <row r="137" spans="3:6" ht="15">
      <c r="C137" s="23">
        <v>21</v>
      </c>
      <c r="D137" s="24" t="s">
        <v>65</v>
      </c>
      <c r="E137" s="23">
        <v>1</v>
      </c>
      <c r="F137" s="23">
        <v>1</v>
      </c>
    </row>
    <row r="138" spans="3:6" ht="15">
      <c r="C138" s="23">
        <v>21</v>
      </c>
      <c r="D138" s="24" t="s">
        <v>66</v>
      </c>
      <c r="E138" s="23">
        <v>2</v>
      </c>
      <c r="F138" s="23">
        <v>0</v>
      </c>
    </row>
    <row r="139" spans="3:6" ht="15">
      <c r="C139" s="23">
        <v>21</v>
      </c>
      <c r="D139" s="24" t="s">
        <v>67</v>
      </c>
      <c r="E139" s="23">
        <v>0</v>
      </c>
      <c r="F139" s="23">
        <v>1</v>
      </c>
    </row>
    <row r="140" spans="3:6" ht="15">
      <c r="C140" s="23">
        <v>21</v>
      </c>
      <c r="D140" s="24" t="s">
        <v>68</v>
      </c>
      <c r="E140" s="23">
        <v>0</v>
      </c>
      <c r="F140" s="23">
        <v>2</v>
      </c>
    </row>
    <row r="141" spans="3:6" ht="15">
      <c r="C141" s="23">
        <v>21</v>
      </c>
      <c r="D141" s="24" t="s">
        <v>69</v>
      </c>
      <c r="E141" s="23">
        <v>0</v>
      </c>
      <c r="F141" s="23">
        <v>1</v>
      </c>
    </row>
    <row r="142" spans="3:6" ht="15">
      <c r="C142" s="23">
        <v>21</v>
      </c>
      <c r="D142" s="24" t="s">
        <v>70</v>
      </c>
      <c r="E142" s="23">
        <v>0</v>
      </c>
      <c r="F142" s="23">
        <v>0</v>
      </c>
    </row>
    <row r="143" spans="3:6" ht="30">
      <c r="C143" s="23">
        <v>22</v>
      </c>
      <c r="D143" s="24" t="s">
        <v>51</v>
      </c>
      <c r="E143" s="23">
        <v>4</v>
      </c>
      <c r="F143" s="23">
        <v>0</v>
      </c>
    </row>
    <row r="144" spans="3:6" ht="15">
      <c r="C144" s="23">
        <v>22</v>
      </c>
      <c r="D144" s="24" t="s">
        <v>52</v>
      </c>
      <c r="E144" s="23">
        <v>2</v>
      </c>
      <c r="F144" s="23">
        <v>3</v>
      </c>
    </row>
    <row r="145" spans="3:6" ht="15">
      <c r="C145" s="23">
        <v>22</v>
      </c>
      <c r="D145" s="24" t="s">
        <v>53</v>
      </c>
      <c r="E145" s="23">
        <v>2</v>
      </c>
      <c r="F145" s="23">
        <v>1</v>
      </c>
    </row>
    <row r="146" spans="3:6" ht="15">
      <c r="C146" s="23">
        <v>22</v>
      </c>
      <c r="D146" s="24" t="s">
        <v>54</v>
      </c>
      <c r="E146" s="23">
        <v>6</v>
      </c>
      <c r="F146" s="23">
        <v>0</v>
      </c>
    </row>
    <row r="147" spans="3:6" ht="30">
      <c r="C147" s="23">
        <v>22</v>
      </c>
      <c r="D147" s="24" t="s">
        <v>55</v>
      </c>
      <c r="E147" s="23">
        <v>0</v>
      </c>
      <c r="F147" s="23">
        <v>1</v>
      </c>
    </row>
    <row r="148" spans="3:6" ht="30">
      <c r="C148" s="23">
        <v>22</v>
      </c>
      <c r="D148" s="24" t="s">
        <v>56</v>
      </c>
      <c r="E148" s="23">
        <v>1</v>
      </c>
      <c r="F148" s="23">
        <v>2</v>
      </c>
    </row>
    <row r="149" spans="3:6" ht="15">
      <c r="C149" s="23">
        <v>22</v>
      </c>
      <c r="D149" s="24" t="s">
        <v>57</v>
      </c>
      <c r="E149" s="23">
        <v>3</v>
      </c>
      <c r="F149" s="23">
        <v>2</v>
      </c>
    </row>
    <row r="150" spans="3:6" ht="15">
      <c r="C150" s="23">
        <v>22</v>
      </c>
      <c r="D150" s="24" t="s">
        <v>58</v>
      </c>
      <c r="E150" s="23">
        <v>6</v>
      </c>
      <c r="F150" s="23">
        <v>2</v>
      </c>
    </row>
    <row r="151" spans="3:6" ht="15">
      <c r="C151" s="23">
        <v>22</v>
      </c>
      <c r="D151" s="24" t="s">
        <v>59</v>
      </c>
      <c r="E151" s="23">
        <v>3</v>
      </c>
      <c r="F151" s="23">
        <v>0</v>
      </c>
    </row>
    <row r="152" spans="3:6" ht="15">
      <c r="C152" s="23">
        <v>22</v>
      </c>
      <c r="D152" s="24" t="s">
        <v>60</v>
      </c>
      <c r="E152" s="23">
        <v>0</v>
      </c>
      <c r="F152" s="23">
        <v>0</v>
      </c>
    </row>
    <row r="153" spans="3:6" ht="15">
      <c r="C153" s="23">
        <v>22</v>
      </c>
      <c r="D153" s="24" t="s">
        <v>61</v>
      </c>
      <c r="E153" s="23">
        <v>0</v>
      </c>
      <c r="F153" s="23">
        <v>0</v>
      </c>
    </row>
    <row r="154" spans="3:6" ht="15">
      <c r="C154" s="23">
        <v>22</v>
      </c>
      <c r="D154" s="24" t="s">
        <v>62</v>
      </c>
      <c r="E154" s="23">
        <v>1</v>
      </c>
      <c r="F154" s="23">
        <v>1</v>
      </c>
    </row>
    <row r="155" spans="3:6" ht="15">
      <c r="C155" s="23">
        <v>22</v>
      </c>
      <c r="D155" s="24" t="s">
        <v>63</v>
      </c>
      <c r="E155" s="23">
        <v>0</v>
      </c>
      <c r="F155" s="23">
        <v>3</v>
      </c>
    </row>
    <row r="156" spans="3:6" ht="15">
      <c r="C156" s="23">
        <v>22</v>
      </c>
      <c r="D156" s="24" t="s">
        <v>64</v>
      </c>
      <c r="E156" s="23">
        <v>0</v>
      </c>
      <c r="F156" s="23">
        <v>4</v>
      </c>
    </row>
    <row r="157" spans="3:6" ht="15">
      <c r="C157" s="23">
        <v>22</v>
      </c>
      <c r="D157" s="24" t="s">
        <v>65</v>
      </c>
      <c r="E157" s="23">
        <v>2</v>
      </c>
      <c r="F157" s="23">
        <v>6</v>
      </c>
    </row>
    <row r="158" spans="3:6" ht="15">
      <c r="C158" s="23">
        <v>22</v>
      </c>
      <c r="D158" s="24" t="s">
        <v>66</v>
      </c>
      <c r="E158" s="23">
        <v>1</v>
      </c>
      <c r="F158" s="23">
        <v>1</v>
      </c>
    </row>
    <row r="159" spans="3:6" ht="15">
      <c r="C159" s="23">
        <v>22</v>
      </c>
      <c r="D159" s="24" t="s">
        <v>67</v>
      </c>
      <c r="E159" s="23">
        <v>1</v>
      </c>
      <c r="F159" s="23">
        <v>0</v>
      </c>
    </row>
    <row r="160" spans="3:6" ht="15">
      <c r="C160" s="23">
        <v>22</v>
      </c>
      <c r="D160" s="24" t="s">
        <v>68</v>
      </c>
      <c r="E160" s="23">
        <v>0</v>
      </c>
      <c r="F160" s="23">
        <v>6</v>
      </c>
    </row>
    <row r="161" spans="3:6" ht="15">
      <c r="C161" s="23">
        <v>22</v>
      </c>
      <c r="D161" s="24" t="s">
        <v>69</v>
      </c>
      <c r="E161" s="23">
        <v>3</v>
      </c>
      <c r="F161" s="23">
        <v>1</v>
      </c>
    </row>
    <row r="162" spans="3:6" ht="15">
      <c r="C162" s="23">
        <v>22</v>
      </c>
      <c r="D162" s="24" t="s">
        <v>70</v>
      </c>
      <c r="E162" s="23">
        <v>1</v>
      </c>
      <c r="F162" s="23">
        <v>3</v>
      </c>
    </row>
    <row r="163" spans="3:6" ht="30">
      <c r="C163" s="23">
        <v>23</v>
      </c>
      <c r="D163" s="24" t="s">
        <v>51</v>
      </c>
      <c r="E163" s="23">
        <v>0</v>
      </c>
      <c r="F163" s="23">
        <v>0</v>
      </c>
    </row>
    <row r="164" spans="3:6" ht="15">
      <c r="C164" s="23">
        <v>23</v>
      </c>
      <c r="D164" s="24" t="s">
        <v>52</v>
      </c>
      <c r="E164" s="23">
        <v>0</v>
      </c>
      <c r="F164" s="23">
        <v>3</v>
      </c>
    </row>
    <row r="165" spans="3:6" ht="15">
      <c r="C165" s="23">
        <v>23</v>
      </c>
      <c r="D165" s="24" t="s">
        <v>53</v>
      </c>
      <c r="E165" s="23">
        <v>4</v>
      </c>
      <c r="F165" s="23">
        <v>0</v>
      </c>
    </row>
    <row r="166" spans="3:6" ht="15">
      <c r="C166" s="23">
        <v>23</v>
      </c>
      <c r="D166" s="24" t="s">
        <v>54</v>
      </c>
      <c r="E166" s="23">
        <v>0</v>
      </c>
      <c r="F166" s="23">
        <v>0</v>
      </c>
    </row>
    <row r="167" spans="3:6" ht="30">
      <c r="C167" s="23">
        <v>23</v>
      </c>
      <c r="D167" s="24" t="s">
        <v>55</v>
      </c>
      <c r="E167" s="23">
        <v>0</v>
      </c>
      <c r="F167" s="23">
        <v>2</v>
      </c>
    </row>
    <row r="168" spans="3:6" ht="30">
      <c r="C168" s="23">
        <v>23</v>
      </c>
      <c r="D168" s="24" t="s">
        <v>56</v>
      </c>
      <c r="E168" s="23">
        <v>1</v>
      </c>
      <c r="F168" s="23">
        <v>2</v>
      </c>
    </row>
    <row r="169" spans="3:6" ht="15">
      <c r="C169" s="23">
        <v>23</v>
      </c>
      <c r="D169" s="24" t="s">
        <v>57</v>
      </c>
      <c r="E169" s="23">
        <v>2</v>
      </c>
      <c r="F169" s="23">
        <v>3</v>
      </c>
    </row>
    <row r="170" spans="3:6" ht="15">
      <c r="C170" s="23">
        <v>23</v>
      </c>
      <c r="D170" s="24" t="s">
        <v>58</v>
      </c>
      <c r="E170" s="23">
        <v>2</v>
      </c>
      <c r="F170" s="23">
        <v>0</v>
      </c>
    </row>
    <row r="171" spans="3:6" ht="15">
      <c r="C171" s="23">
        <v>23</v>
      </c>
      <c r="D171" s="24" t="s">
        <v>59</v>
      </c>
      <c r="E171" s="23">
        <v>4</v>
      </c>
      <c r="F171" s="23">
        <v>1</v>
      </c>
    </row>
    <row r="172" spans="3:6" ht="15">
      <c r="C172" s="23">
        <v>23</v>
      </c>
      <c r="D172" s="24" t="s">
        <v>60</v>
      </c>
      <c r="E172" s="23">
        <v>3</v>
      </c>
      <c r="F172" s="23">
        <v>2</v>
      </c>
    </row>
    <row r="173" spans="3:6" ht="15">
      <c r="C173" s="23">
        <v>23</v>
      </c>
      <c r="D173" s="24" t="s">
        <v>61</v>
      </c>
      <c r="E173" s="23">
        <v>0</v>
      </c>
      <c r="F173" s="23">
        <v>1</v>
      </c>
    </row>
    <row r="174" spans="3:6" ht="15">
      <c r="C174" s="23">
        <v>23</v>
      </c>
      <c r="D174" s="24" t="s">
        <v>62</v>
      </c>
      <c r="E174" s="23">
        <v>3</v>
      </c>
      <c r="F174" s="23">
        <v>0</v>
      </c>
    </row>
    <row r="175" spans="3:6" ht="15">
      <c r="C175" s="23">
        <v>23</v>
      </c>
      <c r="D175" s="24" t="s">
        <v>63</v>
      </c>
      <c r="E175" s="23">
        <v>2</v>
      </c>
      <c r="F175" s="23">
        <v>1</v>
      </c>
    </row>
    <row r="176" spans="3:6" ht="15">
      <c r="C176" s="23">
        <v>23</v>
      </c>
      <c r="D176" s="24" t="s">
        <v>64</v>
      </c>
      <c r="E176" s="23">
        <v>1</v>
      </c>
      <c r="F176" s="23">
        <v>4</v>
      </c>
    </row>
    <row r="177" spans="3:6" ht="15">
      <c r="C177" s="23">
        <v>23</v>
      </c>
      <c r="D177" s="24" t="s">
        <v>65</v>
      </c>
      <c r="E177" s="23">
        <v>1</v>
      </c>
      <c r="F177" s="23">
        <v>3</v>
      </c>
    </row>
    <row r="178" spans="3:6" ht="15">
      <c r="C178" s="23">
        <v>23</v>
      </c>
      <c r="D178" s="24" t="s">
        <v>66</v>
      </c>
      <c r="E178" s="23">
        <v>0</v>
      </c>
      <c r="F178" s="23">
        <v>1</v>
      </c>
    </row>
    <row r="179" spans="3:6" ht="15">
      <c r="C179" s="23">
        <v>23</v>
      </c>
      <c r="D179" s="24" t="s">
        <v>67</v>
      </c>
      <c r="E179" s="23">
        <v>3</v>
      </c>
      <c r="F179" s="23">
        <v>1</v>
      </c>
    </row>
    <row r="180" spans="3:6" ht="15">
      <c r="C180" s="23">
        <v>23</v>
      </c>
      <c r="D180" s="24" t="s">
        <v>68</v>
      </c>
      <c r="E180" s="23">
        <v>1</v>
      </c>
      <c r="F180" s="23">
        <v>0</v>
      </c>
    </row>
    <row r="181" spans="3:6" ht="15">
      <c r="C181" s="23">
        <v>23</v>
      </c>
      <c r="D181" s="24" t="s">
        <v>69</v>
      </c>
      <c r="E181" s="23">
        <v>1</v>
      </c>
      <c r="F181" s="23">
        <v>0</v>
      </c>
    </row>
    <row r="182" spans="3:6" ht="15">
      <c r="C182" s="23">
        <v>23</v>
      </c>
      <c r="D182" s="24" t="s">
        <v>70</v>
      </c>
      <c r="E182" s="23">
        <v>0</v>
      </c>
      <c r="F182" s="23">
        <v>4</v>
      </c>
    </row>
    <row r="183" spans="3:6" ht="30">
      <c r="C183" s="23">
        <v>24</v>
      </c>
      <c r="D183" s="24" t="s">
        <v>51</v>
      </c>
      <c r="E183" s="23">
        <v>2</v>
      </c>
      <c r="F183" s="23">
        <v>1</v>
      </c>
    </row>
    <row r="184" spans="3:6" ht="15">
      <c r="C184" s="23">
        <v>24</v>
      </c>
      <c r="D184" s="24" t="s">
        <v>52</v>
      </c>
      <c r="E184" s="23">
        <v>0</v>
      </c>
      <c r="F184" s="23">
        <v>1</v>
      </c>
    </row>
    <row r="185" spans="3:6" ht="15">
      <c r="C185" s="23">
        <v>24</v>
      </c>
      <c r="D185" s="24" t="s">
        <v>53</v>
      </c>
      <c r="E185" s="23">
        <v>0</v>
      </c>
      <c r="F185" s="23">
        <v>2</v>
      </c>
    </row>
    <row r="186" spans="3:6" ht="15">
      <c r="C186" s="23">
        <v>24</v>
      </c>
      <c r="D186" s="24" t="s">
        <v>54</v>
      </c>
      <c r="E186" s="23">
        <v>1</v>
      </c>
      <c r="F186" s="23">
        <v>1</v>
      </c>
    </row>
    <row r="187" spans="3:6" ht="30">
      <c r="C187" s="23">
        <v>24</v>
      </c>
      <c r="D187" s="24" t="s">
        <v>55</v>
      </c>
      <c r="E187" s="23">
        <v>1</v>
      </c>
      <c r="F187" s="23">
        <v>2</v>
      </c>
    </row>
    <row r="188" spans="3:6" ht="30">
      <c r="C188" s="23">
        <v>24</v>
      </c>
      <c r="D188" s="24" t="s">
        <v>56</v>
      </c>
      <c r="E188" s="23">
        <v>2</v>
      </c>
      <c r="F188" s="23">
        <v>2</v>
      </c>
    </row>
    <row r="189" spans="3:6" ht="15">
      <c r="C189" s="23">
        <v>24</v>
      </c>
      <c r="D189" s="24" t="s">
        <v>57</v>
      </c>
      <c r="E189" s="23">
        <v>2</v>
      </c>
      <c r="F189" s="23">
        <v>3</v>
      </c>
    </row>
    <row r="190" spans="3:6" ht="15">
      <c r="C190" s="23">
        <v>24</v>
      </c>
      <c r="D190" s="24" t="s">
        <v>58</v>
      </c>
      <c r="E190" s="23">
        <v>5</v>
      </c>
      <c r="F190" s="23">
        <v>0</v>
      </c>
    </row>
    <row r="191" spans="3:6" ht="15">
      <c r="C191" s="23">
        <v>24</v>
      </c>
      <c r="D191" s="24" t="s">
        <v>59</v>
      </c>
      <c r="E191" s="23">
        <v>2</v>
      </c>
      <c r="F191" s="23">
        <v>2</v>
      </c>
    </row>
    <row r="192" spans="3:6" ht="15">
      <c r="C192" s="23">
        <v>24</v>
      </c>
      <c r="D192" s="24" t="s">
        <v>60</v>
      </c>
      <c r="E192" s="23">
        <v>2</v>
      </c>
      <c r="F192" s="23">
        <v>2</v>
      </c>
    </row>
    <row r="193" spans="3:6" ht="15">
      <c r="C193" s="23">
        <v>24</v>
      </c>
      <c r="D193" s="24" t="s">
        <v>61</v>
      </c>
      <c r="E193" s="23">
        <v>2</v>
      </c>
      <c r="F193" s="23">
        <v>1</v>
      </c>
    </row>
    <row r="194" spans="3:6" ht="15">
      <c r="C194" s="23">
        <v>24</v>
      </c>
      <c r="D194" s="24" t="s">
        <v>62</v>
      </c>
      <c r="E194" s="23">
        <v>1</v>
      </c>
      <c r="F194" s="23">
        <v>1</v>
      </c>
    </row>
    <row r="195" spans="3:6" ht="15">
      <c r="C195" s="23">
        <v>24</v>
      </c>
      <c r="D195" s="24" t="s">
        <v>63</v>
      </c>
      <c r="E195" s="23">
        <v>3</v>
      </c>
      <c r="F195" s="23">
        <v>2</v>
      </c>
    </row>
    <row r="196" spans="3:6" ht="15">
      <c r="C196" s="23">
        <v>24</v>
      </c>
      <c r="D196" s="24" t="s">
        <v>64</v>
      </c>
      <c r="E196" s="23">
        <v>1</v>
      </c>
      <c r="F196" s="23">
        <v>0</v>
      </c>
    </row>
    <row r="197" spans="3:6" ht="15">
      <c r="C197" s="23">
        <v>24</v>
      </c>
      <c r="D197" s="24" t="s">
        <v>65</v>
      </c>
      <c r="E197" s="23">
        <v>0</v>
      </c>
      <c r="F197" s="23">
        <v>0</v>
      </c>
    </row>
    <row r="198" spans="3:6" ht="15">
      <c r="C198" s="23">
        <v>24</v>
      </c>
      <c r="D198" s="24" t="s">
        <v>66</v>
      </c>
      <c r="E198" s="23">
        <v>2</v>
      </c>
      <c r="F198" s="23">
        <v>0</v>
      </c>
    </row>
    <row r="199" spans="3:6" ht="15">
      <c r="C199" s="23">
        <v>24</v>
      </c>
      <c r="D199" s="24" t="s">
        <v>67</v>
      </c>
      <c r="E199" s="23">
        <v>0</v>
      </c>
      <c r="F199" s="23">
        <v>5</v>
      </c>
    </row>
    <row r="200" spans="3:6" ht="15">
      <c r="C200" s="23">
        <v>24</v>
      </c>
      <c r="D200" s="24" t="s">
        <v>68</v>
      </c>
      <c r="E200" s="23">
        <v>2</v>
      </c>
      <c r="F200" s="23">
        <v>2</v>
      </c>
    </row>
    <row r="201" spans="3:6" ht="15">
      <c r="C201" s="23">
        <v>24</v>
      </c>
      <c r="D201" s="24" t="s">
        <v>69</v>
      </c>
      <c r="E201" s="23">
        <v>1</v>
      </c>
      <c r="F201" s="23">
        <v>2</v>
      </c>
    </row>
    <row r="202" spans="3:6" ht="15">
      <c r="C202" s="23">
        <v>24</v>
      </c>
      <c r="D202" s="24" t="s">
        <v>70</v>
      </c>
      <c r="E202" s="23">
        <v>0</v>
      </c>
      <c r="F202" s="23">
        <v>0</v>
      </c>
    </row>
    <row r="203" spans="3:6" ht="30">
      <c r="C203" s="23">
        <v>25</v>
      </c>
      <c r="D203" s="24" t="s">
        <v>51</v>
      </c>
      <c r="E203" s="23">
        <v>2</v>
      </c>
      <c r="F203" s="23">
        <v>0</v>
      </c>
    </row>
    <row r="204" spans="3:6" ht="15">
      <c r="C204" s="23">
        <v>25</v>
      </c>
      <c r="D204" s="24" t="s">
        <v>52</v>
      </c>
      <c r="E204" s="23">
        <v>2</v>
      </c>
      <c r="F204" s="23">
        <v>1</v>
      </c>
    </row>
    <row r="205" spans="3:6" ht="15">
      <c r="C205" s="23">
        <v>25</v>
      </c>
      <c r="D205" s="24" t="s">
        <v>53</v>
      </c>
      <c r="E205" s="23">
        <v>0</v>
      </c>
      <c r="F205" s="23">
        <v>2</v>
      </c>
    </row>
    <row r="206" spans="3:6" ht="15">
      <c r="C206" s="23">
        <v>25</v>
      </c>
      <c r="D206" s="24" t="s">
        <v>54</v>
      </c>
      <c r="E206" s="23">
        <v>1</v>
      </c>
      <c r="F206" s="23">
        <v>2</v>
      </c>
    </row>
    <row r="207" spans="3:6" ht="30">
      <c r="C207" s="23">
        <v>25</v>
      </c>
      <c r="D207" s="24" t="s">
        <v>55</v>
      </c>
      <c r="E207" s="23">
        <v>0</v>
      </c>
      <c r="F207" s="23">
        <v>0</v>
      </c>
    </row>
    <row r="208" spans="3:6" ht="30">
      <c r="C208" s="23">
        <v>25</v>
      </c>
      <c r="D208" s="24" t="s">
        <v>56</v>
      </c>
      <c r="E208" s="23">
        <v>2</v>
      </c>
      <c r="F208" s="23">
        <v>1</v>
      </c>
    </row>
    <row r="209" spans="3:6" ht="15">
      <c r="C209" s="23">
        <v>25</v>
      </c>
      <c r="D209" s="24" t="s">
        <v>57</v>
      </c>
      <c r="E209" s="23">
        <v>0</v>
      </c>
      <c r="F209" s="23">
        <v>0</v>
      </c>
    </row>
    <row r="210" spans="3:6" ht="15">
      <c r="C210" s="23">
        <v>25</v>
      </c>
      <c r="D210" s="24" t="s">
        <v>58</v>
      </c>
      <c r="E210" s="23">
        <v>3</v>
      </c>
      <c r="F210" s="23">
        <v>2</v>
      </c>
    </row>
    <row r="211" spans="3:6" ht="15">
      <c r="C211" s="23">
        <v>25</v>
      </c>
      <c r="D211" s="24" t="s">
        <v>59</v>
      </c>
      <c r="E211" s="23">
        <v>2</v>
      </c>
      <c r="F211" s="23">
        <v>3</v>
      </c>
    </row>
    <row r="212" spans="3:6" ht="15">
      <c r="C212" s="23">
        <v>25</v>
      </c>
      <c r="D212" s="24" t="s">
        <v>60</v>
      </c>
      <c r="E212" s="23">
        <v>0</v>
      </c>
      <c r="F212" s="23">
        <v>2</v>
      </c>
    </row>
    <row r="213" spans="3:6" ht="15">
      <c r="C213" s="23">
        <v>25</v>
      </c>
      <c r="D213" s="24" t="s">
        <v>61</v>
      </c>
      <c r="E213" s="23">
        <v>2</v>
      </c>
      <c r="F213" s="23">
        <v>0</v>
      </c>
    </row>
    <row r="214" spans="3:6" ht="15">
      <c r="C214" s="23">
        <v>25</v>
      </c>
      <c r="D214" s="24" t="s">
        <v>62</v>
      </c>
      <c r="E214" s="23">
        <v>2</v>
      </c>
      <c r="F214" s="23">
        <v>1</v>
      </c>
    </row>
    <row r="215" spans="3:6" ht="15">
      <c r="C215" s="23">
        <v>25</v>
      </c>
      <c r="D215" s="24" t="s">
        <v>63</v>
      </c>
      <c r="E215" s="23">
        <v>2</v>
      </c>
      <c r="F215" s="23">
        <v>2</v>
      </c>
    </row>
    <row r="216" spans="3:6" ht="15">
      <c r="C216" s="23">
        <v>25</v>
      </c>
      <c r="D216" s="24" t="s">
        <v>64</v>
      </c>
      <c r="E216" s="23">
        <v>2</v>
      </c>
      <c r="F216" s="23">
        <v>1</v>
      </c>
    </row>
    <row r="217" spans="3:6" ht="15">
      <c r="C217" s="23">
        <v>25</v>
      </c>
      <c r="D217" s="24" t="s">
        <v>65</v>
      </c>
      <c r="E217" s="23">
        <v>1</v>
      </c>
      <c r="F217" s="23">
        <v>2</v>
      </c>
    </row>
    <row r="218" spans="3:6" ht="15">
      <c r="C218" s="23">
        <v>25</v>
      </c>
      <c r="D218" s="24" t="s">
        <v>66</v>
      </c>
      <c r="E218" s="23">
        <v>2</v>
      </c>
      <c r="F218" s="23">
        <v>2</v>
      </c>
    </row>
    <row r="219" spans="3:6" ht="15">
      <c r="C219" s="23">
        <v>25</v>
      </c>
      <c r="D219" s="24" t="s">
        <v>67</v>
      </c>
      <c r="E219" s="23">
        <v>2</v>
      </c>
      <c r="F219" s="23">
        <v>1</v>
      </c>
    </row>
    <row r="220" spans="3:6" ht="15">
      <c r="C220" s="23">
        <v>25</v>
      </c>
      <c r="D220" s="24" t="s">
        <v>68</v>
      </c>
      <c r="E220" s="23">
        <v>1</v>
      </c>
      <c r="F220" s="23">
        <v>2</v>
      </c>
    </row>
    <row r="221" spans="3:6" ht="15">
      <c r="C221" s="23">
        <v>25</v>
      </c>
      <c r="D221" s="24" t="s">
        <v>69</v>
      </c>
      <c r="E221" s="23">
        <v>1</v>
      </c>
      <c r="F221" s="23">
        <v>2</v>
      </c>
    </row>
    <row r="222" spans="3:6" ht="15">
      <c r="C222" s="23">
        <v>25</v>
      </c>
      <c r="D222" s="24" t="s">
        <v>70</v>
      </c>
      <c r="E222" s="23">
        <v>1</v>
      </c>
      <c r="F222" s="23">
        <v>2</v>
      </c>
    </row>
    <row r="223" spans="3:6" ht="30">
      <c r="C223" s="23">
        <v>26</v>
      </c>
      <c r="D223" s="24" t="s">
        <v>51</v>
      </c>
      <c r="E223" s="23">
        <v>2</v>
      </c>
      <c r="F223" s="23">
        <v>1</v>
      </c>
    </row>
    <row r="224" spans="3:6" ht="15">
      <c r="C224" s="23">
        <v>26</v>
      </c>
      <c r="D224" s="24" t="s">
        <v>52</v>
      </c>
      <c r="E224" s="23">
        <v>1</v>
      </c>
      <c r="F224" s="23">
        <v>0</v>
      </c>
    </row>
    <row r="225" spans="3:6" ht="15">
      <c r="C225" s="23">
        <v>26</v>
      </c>
      <c r="D225" s="24" t="s">
        <v>53</v>
      </c>
      <c r="E225" s="23">
        <v>0</v>
      </c>
      <c r="F225" s="23">
        <v>0</v>
      </c>
    </row>
    <row r="226" spans="3:6" ht="15">
      <c r="C226" s="23">
        <v>26</v>
      </c>
      <c r="D226" s="24" t="s">
        <v>54</v>
      </c>
      <c r="E226" s="23">
        <v>2</v>
      </c>
      <c r="F226" s="23">
        <v>0</v>
      </c>
    </row>
    <row r="227" spans="3:6" ht="30">
      <c r="C227" s="23">
        <v>26</v>
      </c>
      <c r="D227" s="24" t="s">
        <v>55</v>
      </c>
      <c r="E227" s="23">
        <v>0</v>
      </c>
      <c r="F227" s="23">
        <v>3</v>
      </c>
    </row>
    <row r="228" spans="3:6" ht="30">
      <c r="C228" s="23">
        <v>26</v>
      </c>
      <c r="D228" s="24" t="s">
        <v>56</v>
      </c>
      <c r="E228" s="23">
        <v>1</v>
      </c>
      <c r="F228" s="23">
        <v>0</v>
      </c>
    </row>
    <row r="229" spans="3:6" ht="15">
      <c r="C229" s="23">
        <v>26</v>
      </c>
      <c r="D229" s="24" t="s">
        <v>57</v>
      </c>
      <c r="E229" s="23">
        <v>3</v>
      </c>
      <c r="F229" s="23">
        <v>0</v>
      </c>
    </row>
    <row r="230" spans="3:6" ht="15">
      <c r="C230" s="23">
        <v>26</v>
      </c>
      <c r="D230" s="24" t="s">
        <v>58</v>
      </c>
      <c r="E230" s="23">
        <v>2</v>
      </c>
      <c r="F230" s="23">
        <v>0</v>
      </c>
    </row>
    <row r="231" spans="3:6" ht="15">
      <c r="C231" s="23">
        <v>26</v>
      </c>
      <c r="D231" s="24" t="s">
        <v>59</v>
      </c>
      <c r="E231" s="23">
        <v>0</v>
      </c>
      <c r="F231" s="23">
        <v>2</v>
      </c>
    </row>
    <row r="232" spans="3:6" ht="15">
      <c r="C232" s="23">
        <v>26</v>
      </c>
      <c r="D232" s="24" t="s">
        <v>60</v>
      </c>
      <c r="E232" s="23">
        <v>0</v>
      </c>
      <c r="F232" s="23">
        <v>0</v>
      </c>
    </row>
    <row r="233" spans="3:6" ht="15">
      <c r="C233" s="23">
        <v>26</v>
      </c>
      <c r="D233" s="24" t="s">
        <v>61</v>
      </c>
      <c r="E233" s="23">
        <v>0</v>
      </c>
      <c r="F233" s="23">
        <v>2</v>
      </c>
    </row>
    <row r="234" spans="3:6" ht="15">
      <c r="C234" s="23">
        <v>26</v>
      </c>
      <c r="D234" s="24" t="s">
        <v>62</v>
      </c>
      <c r="E234" s="23">
        <v>0</v>
      </c>
      <c r="F234" s="23">
        <v>1</v>
      </c>
    </row>
    <row r="235" spans="3:6" ht="15">
      <c r="C235" s="23">
        <v>26</v>
      </c>
      <c r="D235" s="24" t="s">
        <v>63</v>
      </c>
      <c r="E235" s="23">
        <v>1</v>
      </c>
      <c r="F235" s="23">
        <v>2</v>
      </c>
    </row>
    <row r="236" spans="3:6" ht="15">
      <c r="C236" s="23">
        <v>26</v>
      </c>
      <c r="D236" s="24" t="s">
        <v>64</v>
      </c>
      <c r="E236" s="23">
        <v>1</v>
      </c>
      <c r="F236" s="23">
        <v>0</v>
      </c>
    </row>
    <row r="237" spans="3:6" ht="15">
      <c r="C237" s="23">
        <v>26</v>
      </c>
      <c r="D237" s="24" t="s">
        <v>65</v>
      </c>
      <c r="E237" s="23">
        <v>0</v>
      </c>
      <c r="F237" s="23">
        <v>1</v>
      </c>
    </row>
    <row r="238" spans="3:6" ht="15">
      <c r="C238" s="23">
        <v>26</v>
      </c>
      <c r="D238" s="24" t="s">
        <v>66</v>
      </c>
      <c r="E238" s="23">
        <v>3</v>
      </c>
      <c r="F238" s="23">
        <v>0</v>
      </c>
    </row>
    <row r="239" spans="3:6" ht="15">
      <c r="C239" s="23">
        <v>26</v>
      </c>
      <c r="D239" s="24" t="s">
        <v>67</v>
      </c>
      <c r="E239" s="23">
        <v>3</v>
      </c>
      <c r="F239" s="23">
        <v>0</v>
      </c>
    </row>
    <row r="240" spans="3:6" ht="15">
      <c r="C240" s="23">
        <v>26</v>
      </c>
      <c r="D240" s="24" t="s">
        <v>68</v>
      </c>
      <c r="E240" s="23">
        <v>0</v>
      </c>
      <c r="F240" s="23">
        <v>3</v>
      </c>
    </row>
    <row r="241" spans="3:6" ht="15">
      <c r="C241" s="23">
        <v>26</v>
      </c>
      <c r="D241" s="24" t="s">
        <v>69</v>
      </c>
      <c r="E241" s="23">
        <v>0</v>
      </c>
      <c r="F241" s="23">
        <v>1</v>
      </c>
    </row>
    <row r="242" spans="3:6" ht="15">
      <c r="C242" s="23">
        <v>26</v>
      </c>
      <c r="D242" s="24" t="s">
        <v>70</v>
      </c>
      <c r="E242" s="23">
        <v>0</v>
      </c>
      <c r="F242" s="23">
        <v>3</v>
      </c>
    </row>
    <row r="243" spans="3:6" ht="30">
      <c r="C243" s="23">
        <v>27</v>
      </c>
      <c r="D243" s="24" t="s">
        <v>51</v>
      </c>
      <c r="E243" s="23">
        <v>1</v>
      </c>
      <c r="F243" s="23">
        <v>2</v>
      </c>
    </row>
    <row r="244" spans="3:6" ht="15">
      <c r="C244" s="23">
        <v>27</v>
      </c>
      <c r="D244" s="24" t="s">
        <v>52</v>
      </c>
      <c r="E244" s="23">
        <v>1</v>
      </c>
      <c r="F244" s="23">
        <v>0</v>
      </c>
    </row>
    <row r="245" spans="3:6" ht="15">
      <c r="C245" s="23">
        <v>27</v>
      </c>
      <c r="D245" s="24" t="s">
        <v>53</v>
      </c>
      <c r="E245" s="23">
        <v>1</v>
      </c>
      <c r="F245" s="23">
        <v>1</v>
      </c>
    </row>
    <row r="246" spans="3:6" ht="15">
      <c r="C246" s="23">
        <v>27</v>
      </c>
      <c r="D246" s="24" t="s">
        <v>54</v>
      </c>
      <c r="E246" s="23">
        <v>3</v>
      </c>
      <c r="F246" s="23">
        <v>1</v>
      </c>
    </row>
    <row r="247" spans="3:6" ht="30">
      <c r="C247" s="23">
        <v>27</v>
      </c>
      <c r="D247" s="24" t="s">
        <v>55</v>
      </c>
      <c r="E247" s="23">
        <v>0</v>
      </c>
      <c r="F247" s="23">
        <v>2</v>
      </c>
    </row>
    <row r="248" spans="3:6" ht="30">
      <c r="C248" s="23">
        <v>27</v>
      </c>
      <c r="D248" s="24" t="s">
        <v>56</v>
      </c>
      <c r="E248" s="23">
        <v>0</v>
      </c>
      <c r="F248" s="23">
        <v>3</v>
      </c>
    </row>
    <row r="249" spans="3:6" ht="15">
      <c r="C249" s="23">
        <v>27</v>
      </c>
      <c r="D249" s="24" t="s">
        <v>57</v>
      </c>
      <c r="E249" s="23">
        <v>0</v>
      </c>
      <c r="F249" s="23">
        <v>2</v>
      </c>
    </row>
    <row r="250" spans="3:6" ht="15">
      <c r="C250" s="23">
        <v>27</v>
      </c>
      <c r="D250" s="24" t="s">
        <v>58</v>
      </c>
      <c r="E250" s="23">
        <v>2</v>
      </c>
      <c r="F250" s="23">
        <v>0</v>
      </c>
    </row>
    <row r="251" spans="3:6" ht="15">
      <c r="C251" s="23">
        <v>27</v>
      </c>
      <c r="D251" s="24" t="s">
        <v>59</v>
      </c>
      <c r="E251" s="23">
        <v>3</v>
      </c>
      <c r="F251" s="23">
        <v>3</v>
      </c>
    </row>
    <row r="252" spans="3:6" ht="15">
      <c r="C252" s="23">
        <v>27</v>
      </c>
      <c r="D252" s="24" t="s">
        <v>60</v>
      </c>
      <c r="E252" s="23">
        <v>0</v>
      </c>
      <c r="F252" s="23">
        <v>2</v>
      </c>
    </row>
    <row r="253" spans="3:6" ht="15">
      <c r="C253" s="23">
        <v>27</v>
      </c>
      <c r="D253" s="24" t="s">
        <v>61</v>
      </c>
      <c r="E253" s="23">
        <v>1</v>
      </c>
      <c r="F253" s="23">
        <v>3</v>
      </c>
    </row>
    <row r="254" spans="3:6" ht="15">
      <c r="C254" s="23">
        <v>27</v>
      </c>
      <c r="D254" s="24" t="s">
        <v>62</v>
      </c>
      <c r="E254" s="23">
        <v>2</v>
      </c>
      <c r="F254" s="23">
        <v>0</v>
      </c>
    </row>
    <row r="255" spans="3:6" ht="15">
      <c r="C255" s="23">
        <v>27</v>
      </c>
      <c r="D255" s="24" t="s">
        <v>63</v>
      </c>
      <c r="E255" s="23">
        <v>2</v>
      </c>
      <c r="F255" s="23">
        <v>1</v>
      </c>
    </row>
    <row r="256" spans="3:6" ht="15">
      <c r="C256" s="23">
        <v>27</v>
      </c>
      <c r="D256" s="24" t="s">
        <v>64</v>
      </c>
      <c r="E256" s="23">
        <v>1</v>
      </c>
      <c r="F256" s="23">
        <v>1</v>
      </c>
    </row>
    <row r="257" spans="3:6" ht="15">
      <c r="C257" s="23">
        <v>27</v>
      </c>
      <c r="D257" s="24" t="s">
        <v>65</v>
      </c>
      <c r="E257" s="23">
        <v>0</v>
      </c>
      <c r="F257" s="23">
        <v>1</v>
      </c>
    </row>
    <row r="258" spans="3:6" ht="15">
      <c r="C258" s="23">
        <v>27</v>
      </c>
      <c r="D258" s="24" t="s">
        <v>66</v>
      </c>
      <c r="E258" s="23">
        <v>3</v>
      </c>
      <c r="F258" s="23">
        <v>3</v>
      </c>
    </row>
    <row r="259" spans="3:6" ht="15">
      <c r="C259" s="23">
        <v>27</v>
      </c>
      <c r="D259" s="24" t="s">
        <v>67</v>
      </c>
      <c r="E259" s="23">
        <v>2</v>
      </c>
      <c r="F259" s="23">
        <v>1</v>
      </c>
    </row>
    <row r="260" spans="3:6" ht="15">
      <c r="C260" s="23">
        <v>27</v>
      </c>
      <c r="D260" s="24" t="s">
        <v>68</v>
      </c>
      <c r="E260" s="23">
        <v>2</v>
      </c>
      <c r="F260" s="23">
        <v>0</v>
      </c>
    </row>
    <row r="261" spans="3:6" ht="15">
      <c r="C261" s="23">
        <v>27</v>
      </c>
      <c r="D261" s="24" t="s">
        <v>69</v>
      </c>
      <c r="E261" s="23">
        <v>3</v>
      </c>
      <c r="F261" s="23">
        <v>0</v>
      </c>
    </row>
    <row r="262" spans="3:6" ht="15">
      <c r="C262" s="23">
        <v>27</v>
      </c>
      <c r="D262" s="24" t="s">
        <v>70</v>
      </c>
      <c r="E262" s="23">
        <v>1</v>
      </c>
      <c r="F262" s="23">
        <v>2</v>
      </c>
    </row>
    <row r="263" spans="3:6" ht="30">
      <c r="C263" s="23">
        <v>28</v>
      </c>
      <c r="D263" s="24" t="s">
        <v>51</v>
      </c>
      <c r="E263" s="23">
        <v>2</v>
      </c>
      <c r="F263" s="23">
        <v>2</v>
      </c>
    </row>
    <row r="264" spans="3:6" ht="15">
      <c r="C264" s="23">
        <v>28</v>
      </c>
      <c r="D264" s="24" t="s">
        <v>52</v>
      </c>
      <c r="E264" s="23">
        <v>1</v>
      </c>
      <c r="F264" s="23">
        <v>2</v>
      </c>
    </row>
    <row r="265" spans="3:6" ht="15">
      <c r="C265" s="23">
        <v>28</v>
      </c>
      <c r="D265" s="24" t="s">
        <v>53</v>
      </c>
      <c r="E265" s="23">
        <v>1</v>
      </c>
      <c r="F265" s="23">
        <v>2</v>
      </c>
    </row>
    <row r="266" spans="3:6" ht="15">
      <c r="C266" s="23">
        <v>28</v>
      </c>
      <c r="D266" s="24" t="s">
        <v>54</v>
      </c>
      <c r="E266" s="23">
        <v>2</v>
      </c>
      <c r="F266" s="23">
        <v>1</v>
      </c>
    </row>
    <row r="267" spans="3:6" ht="30">
      <c r="C267" s="23">
        <v>28</v>
      </c>
      <c r="D267" s="24" t="s">
        <v>55</v>
      </c>
      <c r="E267" s="23">
        <v>1</v>
      </c>
      <c r="F267" s="23">
        <v>2</v>
      </c>
    </row>
    <row r="268" spans="3:6" ht="30">
      <c r="C268" s="23">
        <v>28</v>
      </c>
      <c r="D268" s="24" t="s">
        <v>56</v>
      </c>
      <c r="E268" s="23">
        <v>0</v>
      </c>
      <c r="F268" s="23">
        <v>0</v>
      </c>
    </row>
    <row r="269" spans="3:6" ht="15">
      <c r="C269" s="23">
        <v>28</v>
      </c>
      <c r="D269" s="24" t="s">
        <v>57</v>
      </c>
      <c r="E269" s="23">
        <v>2</v>
      </c>
      <c r="F269" s="23">
        <v>1</v>
      </c>
    </row>
    <row r="270" spans="3:6" ht="15">
      <c r="C270" s="23">
        <v>28</v>
      </c>
      <c r="D270" s="24" t="s">
        <v>58</v>
      </c>
      <c r="E270" s="23">
        <v>0</v>
      </c>
      <c r="F270" s="23">
        <v>1</v>
      </c>
    </row>
    <row r="271" spans="3:6" ht="15">
      <c r="C271" s="23">
        <v>28</v>
      </c>
      <c r="D271" s="24" t="s">
        <v>59</v>
      </c>
      <c r="E271" s="23">
        <v>4</v>
      </c>
      <c r="F271" s="23">
        <v>0</v>
      </c>
    </row>
    <row r="272" spans="3:6" ht="15">
      <c r="C272" s="23">
        <v>28</v>
      </c>
      <c r="D272" s="24" t="s">
        <v>60</v>
      </c>
      <c r="E272" s="23">
        <v>2</v>
      </c>
      <c r="F272" s="23">
        <v>1</v>
      </c>
    </row>
    <row r="273" spans="3:6" ht="15">
      <c r="C273" s="23">
        <v>28</v>
      </c>
      <c r="D273" s="24" t="s">
        <v>61</v>
      </c>
      <c r="E273" s="23">
        <v>2</v>
      </c>
      <c r="F273" s="23">
        <v>1</v>
      </c>
    </row>
    <row r="274" spans="3:6" ht="15">
      <c r="C274" s="23">
        <v>28</v>
      </c>
      <c r="D274" s="24" t="s">
        <v>62</v>
      </c>
      <c r="E274" s="23">
        <v>1</v>
      </c>
      <c r="F274" s="23">
        <v>0</v>
      </c>
    </row>
    <row r="275" spans="3:6" ht="15">
      <c r="C275" s="23">
        <v>28</v>
      </c>
      <c r="D275" s="24" t="s">
        <v>63</v>
      </c>
      <c r="E275" s="23">
        <v>2</v>
      </c>
      <c r="F275" s="23">
        <v>1</v>
      </c>
    </row>
    <row r="276" spans="3:6" ht="15">
      <c r="C276" s="23">
        <v>28</v>
      </c>
      <c r="D276" s="24" t="s">
        <v>64</v>
      </c>
      <c r="E276" s="23">
        <v>0</v>
      </c>
      <c r="F276" s="23">
        <v>0</v>
      </c>
    </row>
    <row r="277" spans="3:6" ht="15">
      <c r="C277" s="23">
        <v>28</v>
      </c>
      <c r="D277" s="24" t="s">
        <v>65</v>
      </c>
      <c r="E277" s="23">
        <v>0</v>
      </c>
      <c r="F277" s="23">
        <v>4</v>
      </c>
    </row>
    <row r="278" spans="3:6" ht="15">
      <c r="C278" s="23">
        <v>28</v>
      </c>
      <c r="D278" s="24" t="s">
        <v>66</v>
      </c>
      <c r="E278" s="23">
        <v>1</v>
      </c>
      <c r="F278" s="23">
        <v>2</v>
      </c>
    </row>
    <row r="279" spans="3:6" ht="15">
      <c r="C279" s="23">
        <v>28</v>
      </c>
      <c r="D279" s="24" t="s">
        <v>67</v>
      </c>
      <c r="E279" s="23">
        <v>1</v>
      </c>
      <c r="F279" s="23">
        <v>2</v>
      </c>
    </row>
    <row r="280" spans="3:6" ht="15">
      <c r="C280" s="23">
        <v>28</v>
      </c>
      <c r="D280" s="24" t="s">
        <v>68</v>
      </c>
      <c r="E280" s="23">
        <v>1</v>
      </c>
      <c r="F280" s="23">
        <v>2</v>
      </c>
    </row>
    <row r="281" spans="3:6" ht="15">
      <c r="C281" s="23">
        <v>28</v>
      </c>
      <c r="D281" s="24" t="s">
        <v>69</v>
      </c>
      <c r="E281" s="23">
        <v>2</v>
      </c>
      <c r="F281" s="23">
        <v>2</v>
      </c>
    </row>
    <row r="282" spans="3:6" ht="15">
      <c r="C282" s="23">
        <v>28</v>
      </c>
      <c r="D282" s="24" t="s">
        <v>70</v>
      </c>
      <c r="E282" s="23">
        <v>2</v>
      </c>
      <c r="F282" s="23">
        <v>1</v>
      </c>
    </row>
    <row r="283" spans="3:6" ht="30">
      <c r="C283" s="23">
        <v>29</v>
      </c>
      <c r="D283" s="24" t="s">
        <v>51</v>
      </c>
      <c r="E283" s="23">
        <v>1</v>
      </c>
      <c r="F283" s="23">
        <v>1</v>
      </c>
    </row>
    <row r="284" spans="3:6" ht="15">
      <c r="C284" s="23">
        <v>29</v>
      </c>
      <c r="D284" s="24" t="s">
        <v>52</v>
      </c>
      <c r="E284" s="23">
        <v>1</v>
      </c>
      <c r="F284" s="23">
        <v>0</v>
      </c>
    </row>
    <row r="285" spans="3:6" ht="15">
      <c r="C285" s="23">
        <v>29</v>
      </c>
      <c r="D285" s="24" t="s">
        <v>53</v>
      </c>
      <c r="E285" s="23">
        <v>1</v>
      </c>
      <c r="F285" s="23">
        <v>3</v>
      </c>
    </row>
    <row r="286" spans="3:6" ht="15">
      <c r="C286" s="23">
        <v>29</v>
      </c>
      <c r="D286" s="24" t="s">
        <v>54</v>
      </c>
      <c r="E286" s="23">
        <v>2</v>
      </c>
      <c r="F286" s="23">
        <v>1</v>
      </c>
    </row>
    <row r="287" spans="3:6" ht="30">
      <c r="C287" s="23">
        <v>29</v>
      </c>
      <c r="D287" s="24" t="s">
        <v>55</v>
      </c>
      <c r="E287" s="23">
        <v>1</v>
      </c>
      <c r="F287" s="23">
        <v>4</v>
      </c>
    </row>
    <row r="288" spans="3:6" ht="30">
      <c r="C288" s="23">
        <v>29</v>
      </c>
      <c r="D288" s="24" t="s">
        <v>56</v>
      </c>
      <c r="E288" s="23">
        <v>4</v>
      </c>
      <c r="F288" s="23">
        <v>1</v>
      </c>
    </row>
    <row r="289" spans="3:6" ht="15">
      <c r="C289" s="23">
        <v>29</v>
      </c>
      <c r="D289" s="24" t="s">
        <v>57</v>
      </c>
      <c r="E289" s="23">
        <v>2</v>
      </c>
      <c r="F289" s="23">
        <v>0</v>
      </c>
    </row>
    <row r="290" spans="3:6" ht="15">
      <c r="C290" s="23">
        <v>29</v>
      </c>
      <c r="D290" s="24" t="s">
        <v>58</v>
      </c>
      <c r="E290" s="23">
        <v>1</v>
      </c>
      <c r="F290" s="23">
        <v>1</v>
      </c>
    </row>
    <row r="291" spans="3:6" ht="15">
      <c r="C291" s="23">
        <v>29</v>
      </c>
      <c r="D291" s="24" t="s">
        <v>59</v>
      </c>
      <c r="E291" s="23">
        <v>1</v>
      </c>
      <c r="F291" s="23">
        <v>0</v>
      </c>
    </row>
    <row r="292" spans="3:6" ht="15">
      <c r="C292" s="23">
        <v>29</v>
      </c>
      <c r="D292" s="24" t="s">
        <v>60</v>
      </c>
      <c r="E292" s="23">
        <v>1</v>
      </c>
      <c r="F292" s="23">
        <v>0</v>
      </c>
    </row>
    <row r="293" spans="3:6" ht="15">
      <c r="C293" s="23">
        <v>29</v>
      </c>
      <c r="D293" s="24" t="s">
        <v>61</v>
      </c>
      <c r="E293" s="23">
        <v>1</v>
      </c>
      <c r="F293" s="23">
        <v>2</v>
      </c>
    </row>
    <row r="294" spans="3:6" ht="15">
      <c r="C294" s="23">
        <v>29</v>
      </c>
      <c r="D294" s="24" t="s">
        <v>62</v>
      </c>
      <c r="E294" s="23">
        <v>0</v>
      </c>
      <c r="F294" s="23">
        <v>1</v>
      </c>
    </row>
    <row r="295" spans="3:6" ht="15">
      <c r="C295" s="23">
        <v>29</v>
      </c>
      <c r="D295" s="24" t="s">
        <v>63</v>
      </c>
      <c r="E295" s="23">
        <v>2</v>
      </c>
      <c r="F295" s="23">
        <v>1</v>
      </c>
    </row>
    <row r="296" spans="3:6" ht="15">
      <c r="C296" s="23">
        <v>29</v>
      </c>
      <c r="D296" s="24" t="s">
        <v>64</v>
      </c>
      <c r="E296" s="23">
        <v>1</v>
      </c>
      <c r="F296" s="23">
        <v>4</v>
      </c>
    </row>
    <row r="297" spans="3:6" ht="15">
      <c r="C297" s="23">
        <v>29</v>
      </c>
      <c r="D297" s="24" t="s">
        <v>65</v>
      </c>
      <c r="E297" s="23">
        <v>3</v>
      </c>
      <c r="F297" s="23">
        <v>1</v>
      </c>
    </row>
    <row r="298" spans="3:6" ht="15">
      <c r="C298" s="23">
        <v>29</v>
      </c>
      <c r="D298" s="24" t="s">
        <v>66</v>
      </c>
      <c r="E298" s="23">
        <v>1</v>
      </c>
      <c r="F298" s="23">
        <v>2</v>
      </c>
    </row>
    <row r="299" spans="3:6" ht="15">
      <c r="C299" s="23">
        <v>29</v>
      </c>
      <c r="D299" s="24" t="s">
        <v>67</v>
      </c>
      <c r="E299" s="23">
        <v>0</v>
      </c>
      <c r="F299" s="23">
        <v>1</v>
      </c>
    </row>
    <row r="300" spans="3:6" ht="15">
      <c r="C300" s="23">
        <v>29</v>
      </c>
      <c r="D300" s="24" t="s">
        <v>68</v>
      </c>
      <c r="E300" s="23">
        <v>4</v>
      </c>
      <c r="F300" s="23">
        <v>1</v>
      </c>
    </row>
    <row r="301" spans="3:6" ht="15">
      <c r="C301" s="23">
        <v>29</v>
      </c>
      <c r="D301" s="24" t="s">
        <v>69</v>
      </c>
      <c r="E301" s="23">
        <v>0</v>
      </c>
      <c r="F301" s="23">
        <v>1</v>
      </c>
    </row>
    <row r="302" spans="3:6" ht="15">
      <c r="C302" s="23">
        <v>29</v>
      </c>
      <c r="D302" s="24" t="s">
        <v>70</v>
      </c>
      <c r="E302" s="23">
        <v>0</v>
      </c>
      <c r="F302" s="23">
        <v>2</v>
      </c>
    </row>
    <row r="303" spans="3:6" ht="30">
      <c r="C303" s="23">
        <v>30</v>
      </c>
      <c r="D303" s="24" t="s">
        <v>51</v>
      </c>
      <c r="E303" s="23">
        <v>1</v>
      </c>
      <c r="F303" s="23">
        <v>0</v>
      </c>
    </row>
    <row r="304" spans="3:6" ht="15">
      <c r="C304" s="23">
        <v>30</v>
      </c>
      <c r="D304" s="24" t="s">
        <v>52</v>
      </c>
      <c r="E304" s="23">
        <v>0</v>
      </c>
      <c r="F304" s="23">
        <v>2</v>
      </c>
    </row>
    <row r="305" spans="3:6" ht="15">
      <c r="C305" s="23">
        <v>30</v>
      </c>
      <c r="D305" s="24" t="s">
        <v>53</v>
      </c>
      <c r="E305" s="23">
        <v>0</v>
      </c>
      <c r="F305" s="23">
        <v>1</v>
      </c>
    </row>
    <row r="306" spans="3:6" ht="15">
      <c r="C306" s="23">
        <v>30</v>
      </c>
      <c r="D306" s="24" t="s">
        <v>54</v>
      </c>
      <c r="E306" s="23">
        <v>5</v>
      </c>
      <c r="F306" s="23">
        <v>0</v>
      </c>
    </row>
    <row r="307" spans="3:6" ht="30">
      <c r="C307" s="23">
        <v>30</v>
      </c>
      <c r="D307" s="24" t="s">
        <v>55</v>
      </c>
      <c r="E307" s="23">
        <v>2</v>
      </c>
      <c r="F307" s="23">
        <v>0</v>
      </c>
    </row>
    <row r="308" spans="3:6" ht="30">
      <c r="C308" s="23">
        <v>30</v>
      </c>
      <c r="D308" s="24" t="s">
        <v>56</v>
      </c>
      <c r="E308" s="23">
        <v>1</v>
      </c>
      <c r="F308" s="23">
        <v>1</v>
      </c>
    </row>
    <row r="309" spans="3:6" ht="15">
      <c r="C309" s="23">
        <v>30</v>
      </c>
      <c r="D309" s="24" t="s">
        <v>57</v>
      </c>
      <c r="E309" s="23">
        <v>0</v>
      </c>
      <c r="F309" s="23">
        <v>2</v>
      </c>
    </row>
    <row r="310" spans="3:6" ht="15">
      <c r="C310" s="23">
        <v>30</v>
      </c>
      <c r="D310" s="24" t="s">
        <v>58</v>
      </c>
      <c r="E310" s="23">
        <v>1</v>
      </c>
      <c r="F310" s="23">
        <v>1</v>
      </c>
    </row>
    <row r="311" spans="3:6" ht="15">
      <c r="C311" s="23">
        <v>30</v>
      </c>
      <c r="D311" s="24" t="s">
        <v>59</v>
      </c>
      <c r="E311" s="23">
        <v>1</v>
      </c>
      <c r="F311" s="23">
        <v>1</v>
      </c>
    </row>
    <row r="312" spans="3:6" ht="15">
      <c r="C312" s="23">
        <v>30</v>
      </c>
      <c r="D312" s="24" t="s">
        <v>60</v>
      </c>
      <c r="E312" s="23">
        <v>2</v>
      </c>
      <c r="F312" s="23">
        <v>0</v>
      </c>
    </row>
    <row r="313" spans="3:6" ht="15">
      <c r="C313" s="23">
        <v>30</v>
      </c>
      <c r="D313" s="24" t="s">
        <v>61</v>
      </c>
      <c r="E313" s="23">
        <v>0</v>
      </c>
      <c r="F313" s="23">
        <v>1</v>
      </c>
    </row>
    <row r="314" spans="3:6" ht="15">
      <c r="C314" s="23">
        <v>30</v>
      </c>
      <c r="D314" s="24" t="s">
        <v>62</v>
      </c>
      <c r="E314" s="23">
        <v>3</v>
      </c>
      <c r="F314" s="23">
        <v>2</v>
      </c>
    </row>
    <row r="315" spans="3:6" ht="15">
      <c r="C315" s="23">
        <v>30</v>
      </c>
      <c r="D315" s="24" t="s">
        <v>63</v>
      </c>
      <c r="E315" s="23">
        <v>1</v>
      </c>
      <c r="F315" s="23">
        <v>0</v>
      </c>
    </row>
    <row r="316" spans="3:6" ht="15">
      <c r="C316" s="23">
        <v>30</v>
      </c>
      <c r="D316" s="24" t="s">
        <v>64</v>
      </c>
      <c r="E316" s="23">
        <v>0</v>
      </c>
      <c r="F316" s="23">
        <v>2</v>
      </c>
    </row>
    <row r="317" spans="3:6" ht="15">
      <c r="C317" s="23">
        <v>30</v>
      </c>
      <c r="D317" s="24" t="s">
        <v>65</v>
      </c>
      <c r="E317" s="23">
        <v>0</v>
      </c>
      <c r="F317" s="23">
        <v>5</v>
      </c>
    </row>
    <row r="318" spans="3:6" ht="15">
      <c r="C318" s="23">
        <v>30</v>
      </c>
      <c r="D318" s="24" t="s">
        <v>66</v>
      </c>
      <c r="E318" s="23">
        <v>1</v>
      </c>
      <c r="F318" s="23">
        <v>0</v>
      </c>
    </row>
    <row r="319" spans="3:6" ht="15">
      <c r="C319" s="23">
        <v>30</v>
      </c>
      <c r="D319" s="24" t="s">
        <v>67</v>
      </c>
      <c r="E319" s="23">
        <v>1</v>
      </c>
      <c r="F319" s="23">
        <v>1</v>
      </c>
    </row>
    <row r="320" spans="3:6" ht="15">
      <c r="C320" s="23">
        <v>30</v>
      </c>
      <c r="D320" s="24" t="s">
        <v>68</v>
      </c>
      <c r="E320" s="23">
        <v>2</v>
      </c>
      <c r="F320" s="23">
        <v>3</v>
      </c>
    </row>
    <row r="321" spans="3:6" ht="15">
      <c r="C321" s="23">
        <v>30</v>
      </c>
      <c r="D321" s="24" t="s">
        <v>69</v>
      </c>
      <c r="E321" s="23">
        <v>2</v>
      </c>
      <c r="F321" s="23">
        <v>0</v>
      </c>
    </row>
    <row r="322" spans="3:6" ht="15">
      <c r="C322" s="23">
        <v>30</v>
      </c>
      <c r="D322" s="24" t="s">
        <v>70</v>
      </c>
      <c r="E322" s="23">
        <v>0</v>
      </c>
      <c r="F322" s="23">
        <v>1</v>
      </c>
    </row>
    <row r="323" spans="3:6" ht="30">
      <c r="C323" s="23">
        <v>31</v>
      </c>
      <c r="D323" s="24" t="s">
        <v>51</v>
      </c>
      <c r="E323" s="23">
        <v>3</v>
      </c>
      <c r="F323" s="23">
        <v>0</v>
      </c>
    </row>
    <row r="324" spans="3:6" ht="15">
      <c r="C324" s="23">
        <v>31</v>
      </c>
      <c r="D324" s="24" t="s">
        <v>52</v>
      </c>
      <c r="E324" s="23">
        <v>2</v>
      </c>
      <c r="F324" s="23">
        <v>1</v>
      </c>
    </row>
    <row r="325" spans="3:6" ht="15">
      <c r="C325" s="23">
        <v>31</v>
      </c>
      <c r="D325" s="24" t="s">
        <v>53</v>
      </c>
      <c r="E325" s="23">
        <v>1</v>
      </c>
      <c r="F325" s="23">
        <v>2</v>
      </c>
    </row>
    <row r="326" spans="3:6" ht="15">
      <c r="C326" s="23">
        <v>31</v>
      </c>
      <c r="D326" s="24" t="s">
        <v>54</v>
      </c>
      <c r="E326" s="23">
        <v>0</v>
      </c>
      <c r="F326" s="23">
        <v>0</v>
      </c>
    </row>
    <row r="327" spans="3:6" ht="30">
      <c r="C327" s="23">
        <v>31</v>
      </c>
      <c r="D327" s="24" t="s">
        <v>55</v>
      </c>
      <c r="E327" s="23">
        <v>1</v>
      </c>
      <c r="F327" s="23">
        <v>2</v>
      </c>
    </row>
    <row r="328" spans="3:6" ht="30">
      <c r="C328" s="23">
        <v>31</v>
      </c>
      <c r="D328" s="24" t="s">
        <v>56</v>
      </c>
      <c r="E328" s="23">
        <v>1</v>
      </c>
      <c r="F328" s="23">
        <v>0</v>
      </c>
    </row>
    <row r="329" spans="3:6" ht="15">
      <c r="C329" s="23">
        <v>31</v>
      </c>
      <c r="D329" s="24" t="s">
        <v>57</v>
      </c>
      <c r="E329" s="23">
        <v>0</v>
      </c>
      <c r="F329" s="23">
        <v>2</v>
      </c>
    </row>
    <row r="330" spans="3:6" ht="15">
      <c r="C330" s="23">
        <v>31</v>
      </c>
      <c r="D330" s="24" t="s">
        <v>58</v>
      </c>
      <c r="E330" s="23">
        <v>5</v>
      </c>
      <c r="F330" s="23">
        <v>2</v>
      </c>
    </row>
    <row r="331" spans="3:6" ht="15">
      <c r="C331" s="23">
        <v>31</v>
      </c>
      <c r="D331" s="24" t="s">
        <v>59</v>
      </c>
      <c r="E331" s="23">
        <v>2</v>
      </c>
      <c r="F331" s="23">
        <v>0</v>
      </c>
    </row>
    <row r="332" spans="3:6" ht="15">
      <c r="C332" s="23">
        <v>31</v>
      </c>
      <c r="D332" s="24" t="s">
        <v>60</v>
      </c>
      <c r="E332" s="23">
        <v>1</v>
      </c>
      <c r="F332" s="23">
        <v>1</v>
      </c>
    </row>
    <row r="333" spans="3:6" ht="15">
      <c r="C333" s="23">
        <v>31</v>
      </c>
      <c r="D333" s="24" t="s">
        <v>61</v>
      </c>
      <c r="E333" s="23">
        <v>0</v>
      </c>
      <c r="F333" s="23">
        <v>3</v>
      </c>
    </row>
    <row r="334" spans="3:6" ht="15">
      <c r="C334" s="23">
        <v>31</v>
      </c>
      <c r="D334" s="24" t="s">
        <v>62</v>
      </c>
      <c r="E334" s="23">
        <v>0</v>
      </c>
      <c r="F334" s="23">
        <v>1</v>
      </c>
    </row>
    <row r="335" spans="3:6" ht="15">
      <c r="C335" s="23">
        <v>31</v>
      </c>
      <c r="D335" s="24" t="s">
        <v>63</v>
      </c>
      <c r="E335" s="23">
        <v>1</v>
      </c>
      <c r="F335" s="23">
        <v>0</v>
      </c>
    </row>
    <row r="336" spans="3:6" ht="15">
      <c r="C336" s="23">
        <v>31</v>
      </c>
      <c r="D336" s="24" t="s">
        <v>64</v>
      </c>
      <c r="E336" s="23">
        <v>1</v>
      </c>
      <c r="F336" s="23">
        <v>1</v>
      </c>
    </row>
    <row r="337" spans="3:6" ht="15">
      <c r="C337" s="23">
        <v>31</v>
      </c>
      <c r="D337" s="24" t="s">
        <v>65</v>
      </c>
      <c r="E337" s="23">
        <v>0</v>
      </c>
      <c r="F337" s="23">
        <v>1</v>
      </c>
    </row>
    <row r="338" spans="3:6" ht="15">
      <c r="C338" s="23">
        <v>31</v>
      </c>
      <c r="D338" s="24" t="s">
        <v>66</v>
      </c>
      <c r="E338" s="23">
        <v>2</v>
      </c>
      <c r="F338" s="23">
        <v>5</v>
      </c>
    </row>
    <row r="339" spans="3:6" ht="15">
      <c r="C339" s="23">
        <v>31</v>
      </c>
      <c r="D339" s="24" t="s">
        <v>67</v>
      </c>
      <c r="E339" s="23">
        <v>2</v>
      </c>
      <c r="F339" s="23">
        <v>1</v>
      </c>
    </row>
    <row r="340" spans="3:6" ht="15">
      <c r="C340" s="23">
        <v>31</v>
      </c>
      <c r="D340" s="24" t="s">
        <v>68</v>
      </c>
      <c r="E340" s="23">
        <v>1</v>
      </c>
      <c r="F340" s="23">
        <v>0</v>
      </c>
    </row>
    <row r="341" spans="3:6" ht="15">
      <c r="C341" s="23">
        <v>31</v>
      </c>
      <c r="D341" s="24" t="s">
        <v>69</v>
      </c>
      <c r="E341" s="23">
        <v>0</v>
      </c>
      <c r="F341" s="23">
        <v>0</v>
      </c>
    </row>
    <row r="342" spans="3:6" ht="15">
      <c r="C342" s="23">
        <v>31</v>
      </c>
      <c r="D342" s="24" t="s">
        <v>70</v>
      </c>
      <c r="E342" s="23">
        <v>0</v>
      </c>
      <c r="F342" s="23">
        <v>1</v>
      </c>
    </row>
    <row r="343" spans="3:6" ht="30">
      <c r="C343" s="23">
        <v>32</v>
      </c>
      <c r="D343" s="24" t="s">
        <v>51</v>
      </c>
      <c r="E343" s="23">
        <v>0</v>
      </c>
      <c r="F343" s="23">
        <v>1</v>
      </c>
    </row>
    <row r="344" spans="3:6" ht="15">
      <c r="C344" s="23">
        <v>32</v>
      </c>
      <c r="D344" s="24" t="s">
        <v>52</v>
      </c>
      <c r="E344" s="23">
        <v>2</v>
      </c>
      <c r="F344" s="23">
        <v>0</v>
      </c>
    </row>
    <row r="345" spans="3:6" ht="15">
      <c r="C345" s="23">
        <v>32</v>
      </c>
      <c r="D345" s="24" t="s">
        <v>53</v>
      </c>
      <c r="E345" s="23">
        <v>1</v>
      </c>
      <c r="F345" s="23">
        <v>0</v>
      </c>
    </row>
    <row r="346" spans="3:6" ht="15">
      <c r="C346" s="23">
        <v>32</v>
      </c>
      <c r="D346" s="24" t="s">
        <v>54</v>
      </c>
      <c r="E346" s="23">
        <v>3</v>
      </c>
      <c r="F346" s="23">
        <v>4</v>
      </c>
    </row>
    <row r="347" spans="3:6" ht="30">
      <c r="C347" s="23">
        <v>32</v>
      </c>
      <c r="D347" s="24" t="s">
        <v>55</v>
      </c>
      <c r="E347" s="23">
        <v>0</v>
      </c>
      <c r="F347" s="23">
        <v>1</v>
      </c>
    </row>
    <row r="348" spans="3:6" ht="30">
      <c r="C348" s="23">
        <v>32</v>
      </c>
      <c r="D348" s="24" t="s">
        <v>56</v>
      </c>
      <c r="E348" s="23">
        <v>1</v>
      </c>
      <c r="F348" s="23">
        <v>0</v>
      </c>
    </row>
    <row r="349" spans="3:6" ht="15">
      <c r="C349" s="23">
        <v>32</v>
      </c>
      <c r="D349" s="24" t="s">
        <v>57</v>
      </c>
      <c r="E349" s="23">
        <v>2</v>
      </c>
      <c r="F349" s="23">
        <v>1</v>
      </c>
    </row>
    <row r="350" spans="3:6" ht="15">
      <c r="C350" s="23">
        <v>32</v>
      </c>
      <c r="D350" s="24" t="s">
        <v>58</v>
      </c>
      <c r="E350" s="23">
        <v>4</v>
      </c>
      <c r="F350" s="23">
        <v>3</v>
      </c>
    </row>
    <row r="351" spans="3:6" ht="15">
      <c r="C351" s="23">
        <v>32</v>
      </c>
      <c r="D351" s="24" t="s">
        <v>59</v>
      </c>
      <c r="E351" s="23">
        <v>1</v>
      </c>
      <c r="F351" s="23">
        <v>0</v>
      </c>
    </row>
    <row r="352" spans="3:6" ht="15">
      <c r="C352" s="23">
        <v>32</v>
      </c>
      <c r="D352" s="24" t="s">
        <v>60</v>
      </c>
      <c r="E352" s="23">
        <v>0</v>
      </c>
      <c r="F352" s="23">
        <v>1</v>
      </c>
    </row>
    <row r="353" spans="3:6" ht="15">
      <c r="C353" s="23">
        <v>32</v>
      </c>
      <c r="D353" s="24" t="s">
        <v>61</v>
      </c>
      <c r="E353" s="23">
        <v>0</v>
      </c>
      <c r="F353" s="23">
        <v>2</v>
      </c>
    </row>
    <row r="354" spans="3:6" ht="15">
      <c r="C354" s="23">
        <v>32</v>
      </c>
      <c r="D354" s="24" t="s">
        <v>62</v>
      </c>
      <c r="E354" s="23">
        <v>0</v>
      </c>
      <c r="F354" s="23">
        <v>3</v>
      </c>
    </row>
    <row r="355" spans="3:6" ht="15">
      <c r="C355" s="23">
        <v>32</v>
      </c>
      <c r="D355" s="24" t="s">
        <v>63</v>
      </c>
      <c r="E355" s="23">
        <v>1</v>
      </c>
      <c r="F355" s="23">
        <v>1</v>
      </c>
    </row>
    <row r="356" spans="3:6" ht="15">
      <c r="C356" s="23">
        <v>32</v>
      </c>
      <c r="D356" s="24" t="s">
        <v>64</v>
      </c>
      <c r="E356" s="23">
        <v>1</v>
      </c>
      <c r="F356" s="23">
        <v>1</v>
      </c>
    </row>
    <row r="357" spans="3:6" ht="15">
      <c r="C357" s="23">
        <v>32</v>
      </c>
      <c r="D357" s="24" t="s">
        <v>65</v>
      </c>
      <c r="E357" s="23">
        <v>0</v>
      </c>
      <c r="F357" s="23">
        <v>3</v>
      </c>
    </row>
    <row r="358" spans="3:6" ht="15">
      <c r="C358" s="23">
        <v>32</v>
      </c>
      <c r="D358" s="24" t="s">
        <v>66</v>
      </c>
      <c r="E358" s="23">
        <v>3</v>
      </c>
      <c r="F358" s="23">
        <v>0</v>
      </c>
    </row>
    <row r="359" spans="3:6" ht="15">
      <c r="C359" s="23">
        <v>32</v>
      </c>
      <c r="D359" s="24" t="s">
        <v>67</v>
      </c>
      <c r="E359" s="23">
        <v>1</v>
      </c>
      <c r="F359" s="23">
        <v>2</v>
      </c>
    </row>
    <row r="360" spans="3:6" ht="15">
      <c r="C360" s="23">
        <v>32</v>
      </c>
      <c r="D360" s="24" t="s">
        <v>68</v>
      </c>
      <c r="E360" s="23">
        <v>2</v>
      </c>
      <c r="F360" s="23">
        <v>1</v>
      </c>
    </row>
    <row r="361" spans="3:6" ht="15">
      <c r="C361" s="23">
        <v>32</v>
      </c>
      <c r="D361" s="24" t="s">
        <v>69</v>
      </c>
      <c r="E361" s="23">
        <v>3</v>
      </c>
      <c r="F361" s="23">
        <v>0</v>
      </c>
    </row>
    <row r="362" spans="3:6" ht="15">
      <c r="C362" s="23">
        <v>32</v>
      </c>
      <c r="D362" s="24" t="s">
        <v>70</v>
      </c>
      <c r="E362" s="23">
        <v>1</v>
      </c>
      <c r="F362" s="23">
        <v>2</v>
      </c>
    </row>
    <row r="363" spans="3:6" ht="30">
      <c r="C363" s="23">
        <v>33</v>
      </c>
      <c r="D363" s="24" t="s">
        <v>51</v>
      </c>
      <c r="E363" s="23">
        <v>1</v>
      </c>
      <c r="F363" s="23">
        <v>1</v>
      </c>
    </row>
    <row r="364" spans="3:6" ht="15">
      <c r="C364" s="23">
        <v>33</v>
      </c>
      <c r="D364" s="24" t="s">
        <v>52</v>
      </c>
      <c r="E364" s="23">
        <v>0</v>
      </c>
      <c r="F364" s="23">
        <v>2</v>
      </c>
    </row>
    <row r="365" spans="3:6" ht="15">
      <c r="C365" s="23">
        <v>33</v>
      </c>
      <c r="D365" s="24" t="s">
        <v>53</v>
      </c>
      <c r="E365" s="23">
        <v>0</v>
      </c>
      <c r="F365" s="23">
        <v>3</v>
      </c>
    </row>
    <row r="366" spans="3:6" ht="15">
      <c r="C366" s="23">
        <v>33</v>
      </c>
      <c r="D366" s="24" t="s">
        <v>54</v>
      </c>
      <c r="E366" s="23">
        <v>1</v>
      </c>
      <c r="F366" s="23">
        <v>2</v>
      </c>
    </row>
    <row r="367" spans="3:6" ht="30">
      <c r="C367" s="23">
        <v>33</v>
      </c>
      <c r="D367" s="24" t="s">
        <v>55</v>
      </c>
      <c r="E367" s="23">
        <v>0</v>
      </c>
      <c r="F367" s="23">
        <v>0</v>
      </c>
    </row>
    <row r="368" spans="3:6" ht="30">
      <c r="C368" s="23">
        <v>33</v>
      </c>
      <c r="D368" s="24" t="s">
        <v>56</v>
      </c>
      <c r="E368" s="23">
        <v>1</v>
      </c>
      <c r="F368" s="23">
        <v>1</v>
      </c>
    </row>
    <row r="369" spans="3:6" ht="15">
      <c r="C369" s="23">
        <v>33</v>
      </c>
      <c r="D369" s="24" t="s">
        <v>57</v>
      </c>
      <c r="E369" s="23">
        <v>2</v>
      </c>
      <c r="F369" s="23">
        <v>1</v>
      </c>
    </row>
    <row r="370" spans="3:6" ht="15">
      <c r="C370" s="23">
        <v>33</v>
      </c>
      <c r="D370" s="24" t="s">
        <v>58</v>
      </c>
      <c r="E370" s="23">
        <v>3</v>
      </c>
      <c r="F370" s="23">
        <v>0</v>
      </c>
    </row>
    <row r="371" spans="3:6" ht="15">
      <c r="C371" s="23">
        <v>33</v>
      </c>
      <c r="D371" s="24" t="s">
        <v>59</v>
      </c>
      <c r="E371" s="23">
        <v>2</v>
      </c>
      <c r="F371" s="23">
        <v>0</v>
      </c>
    </row>
    <row r="372" spans="3:6" ht="15">
      <c r="C372" s="23">
        <v>33</v>
      </c>
      <c r="D372" s="24" t="s">
        <v>60</v>
      </c>
      <c r="E372" s="23">
        <v>2</v>
      </c>
      <c r="F372" s="23">
        <v>0</v>
      </c>
    </row>
    <row r="373" spans="3:6" ht="15">
      <c r="C373" s="23">
        <v>33</v>
      </c>
      <c r="D373" s="24" t="s">
        <v>61</v>
      </c>
      <c r="E373" s="23">
        <v>1</v>
      </c>
      <c r="F373" s="23">
        <v>1</v>
      </c>
    </row>
    <row r="374" spans="3:6" ht="15">
      <c r="C374" s="23">
        <v>33</v>
      </c>
      <c r="D374" s="24" t="s">
        <v>62</v>
      </c>
      <c r="E374" s="23">
        <v>1</v>
      </c>
      <c r="F374" s="23">
        <v>0</v>
      </c>
    </row>
    <row r="375" spans="3:6" ht="15">
      <c r="C375" s="23">
        <v>33</v>
      </c>
      <c r="D375" s="24" t="s">
        <v>63</v>
      </c>
      <c r="E375" s="23">
        <v>0</v>
      </c>
      <c r="F375" s="23">
        <v>2</v>
      </c>
    </row>
    <row r="376" spans="3:6" ht="15">
      <c r="C376" s="23">
        <v>33</v>
      </c>
      <c r="D376" s="24" t="s">
        <v>64</v>
      </c>
      <c r="E376" s="23">
        <v>1</v>
      </c>
      <c r="F376" s="23">
        <v>0</v>
      </c>
    </row>
    <row r="377" spans="3:6" ht="15">
      <c r="C377" s="23">
        <v>33</v>
      </c>
      <c r="D377" s="24" t="s">
        <v>65</v>
      </c>
      <c r="E377" s="23">
        <v>1</v>
      </c>
      <c r="F377" s="23">
        <v>2</v>
      </c>
    </row>
    <row r="378" spans="3:6" ht="15">
      <c r="C378" s="23">
        <v>33</v>
      </c>
      <c r="D378" s="24" t="s">
        <v>66</v>
      </c>
      <c r="E378" s="23">
        <v>1</v>
      </c>
      <c r="F378" s="23">
        <v>1</v>
      </c>
    </row>
    <row r="379" spans="3:6" ht="15">
      <c r="C379" s="23">
        <v>33</v>
      </c>
      <c r="D379" s="24" t="s">
        <v>67</v>
      </c>
      <c r="E379" s="23">
        <v>2</v>
      </c>
      <c r="F379" s="23">
        <v>1</v>
      </c>
    </row>
    <row r="380" spans="3:6" ht="15">
      <c r="C380" s="23">
        <v>33</v>
      </c>
      <c r="D380" s="24" t="s">
        <v>68</v>
      </c>
      <c r="E380" s="23">
        <v>0</v>
      </c>
      <c r="F380" s="23">
        <v>0</v>
      </c>
    </row>
    <row r="381" spans="3:6" ht="15">
      <c r="C381" s="23">
        <v>33</v>
      </c>
      <c r="D381" s="24" t="s">
        <v>69</v>
      </c>
      <c r="E381" s="23">
        <v>0</v>
      </c>
      <c r="F381" s="23">
        <v>1</v>
      </c>
    </row>
    <row r="382" spans="3:6" ht="15">
      <c r="C382" s="23">
        <v>33</v>
      </c>
      <c r="D382" s="24" t="s">
        <v>70</v>
      </c>
      <c r="E382" s="23">
        <v>0</v>
      </c>
      <c r="F382" s="23">
        <v>1</v>
      </c>
    </row>
    <row r="383" spans="3:6" ht="30">
      <c r="C383" s="23">
        <v>34</v>
      </c>
      <c r="D383" s="24" t="s">
        <v>51</v>
      </c>
      <c r="E383" s="23">
        <v>2</v>
      </c>
      <c r="F383" s="23">
        <v>3</v>
      </c>
    </row>
    <row r="384" spans="3:6" ht="15">
      <c r="C384" s="23">
        <v>34</v>
      </c>
      <c r="D384" s="24" t="s">
        <v>52</v>
      </c>
      <c r="E384" s="23">
        <v>0</v>
      </c>
      <c r="F384" s="23">
        <v>2</v>
      </c>
    </row>
    <row r="385" spans="3:6" ht="15">
      <c r="C385" s="23">
        <v>34</v>
      </c>
      <c r="D385" s="24" t="s">
        <v>53</v>
      </c>
      <c r="E385" s="23">
        <v>3</v>
      </c>
      <c r="F385" s="23">
        <v>2</v>
      </c>
    </row>
    <row r="386" spans="3:6" ht="15">
      <c r="C386" s="23">
        <v>34</v>
      </c>
      <c r="D386" s="24" t="s">
        <v>54</v>
      </c>
      <c r="E386" s="23">
        <v>2</v>
      </c>
      <c r="F386" s="23">
        <v>0</v>
      </c>
    </row>
    <row r="387" spans="3:6" ht="30">
      <c r="C387" s="23">
        <v>34</v>
      </c>
      <c r="D387" s="24" t="s">
        <v>55</v>
      </c>
      <c r="E387" s="23">
        <v>0</v>
      </c>
      <c r="F387" s="23">
        <v>4</v>
      </c>
    </row>
    <row r="388" spans="3:6" ht="30">
      <c r="C388" s="23">
        <v>34</v>
      </c>
      <c r="D388" s="24" t="s">
        <v>56</v>
      </c>
      <c r="E388" s="23">
        <v>0</v>
      </c>
      <c r="F388" s="23">
        <v>0</v>
      </c>
    </row>
    <row r="389" spans="3:6" ht="15">
      <c r="C389" s="23">
        <v>34</v>
      </c>
      <c r="D389" s="24" t="s">
        <v>57</v>
      </c>
      <c r="E389" s="23">
        <v>0</v>
      </c>
      <c r="F389" s="23">
        <v>2</v>
      </c>
    </row>
    <row r="390" spans="3:6" ht="15">
      <c r="C390" s="23">
        <v>34</v>
      </c>
      <c r="D390" s="24" t="s">
        <v>58</v>
      </c>
      <c r="E390" s="23">
        <v>2</v>
      </c>
      <c r="F390" s="23">
        <v>2</v>
      </c>
    </row>
    <row r="391" spans="3:6" ht="15">
      <c r="C391" s="23">
        <v>34</v>
      </c>
      <c r="D391" s="24" t="s">
        <v>59</v>
      </c>
      <c r="E391" s="23">
        <v>0</v>
      </c>
      <c r="F391" s="23">
        <v>0</v>
      </c>
    </row>
    <row r="392" spans="3:6" ht="15">
      <c r="C392" s="23">
        <v>34</v>
      </c>
      <c r="D392" s="24" t="s">
        <v>60</v>
      </c>
      <c r="E392" s="23">
        <v>3</v>
      </c>
      <c r="F392" s="23">
        <v>3</v>
      </c>
    </row>
    <row r="393" spans="3:6" ht="15">
      <c r="C393" s="23">
        <v>34</v>
      </c>
      <c r="D393" s="24" t="s">
        <v>61</v>
      </c>
      <c r="E393" s="23">
        <v>0</v>
      </c>
      <c r="F393" s="23">
        <v>0</v>
      </c>
    </row>
    <row r="394" spans="3:6" ht="15">
      <c r="C394" s="23">
        <v>34</v>
      </c>
      <c r="D394" s="24" t="s">
        <v>62</v>
      </c>
      <c r="E394" s="23">
        <v>0</v>
      </c>
      <c r="F394" s="23">
        <v>0</v>
      </c>
    </row>
    <row r="395" spans="3:6" ht="15">
      <c r="C395" s="23">
        <v>34</v>
      </c>
      <c r="D395" s="24" t="s">
        <v>63</v>
      </c>
      <c r="E395" s="23">
        <v>4</v>
      </c>
      <c r="F395" s="23">
        <v>0</v>
      </c>
    </row>
    <row r="396" spans="3:6" ht="15">
      <c r="C396" s="23">
        <v>34</v>
      </c>
      <c r="D396" s="24" t="s">
        <v>64</v>
      </c>
      <c r="E396" s="23">
        <v>1</v>
      </c>
      <c r="F396" s="23">
        <v>0</v>
      </c>
    </row>
    <row r="397" spans="3:6" ht="15">
      <c r="C397" s="23">
        <v>34</v>
      </c>
      <c r="D397" s="24" t="s">
        <v>65</v>
      </c>
      <c r="E397" s="23">
        <v>0</v>
      </c>
      <c r="F397" s="23">
        <v>1</v>
      </c>
    </row>
    <row r="398" spans="3:6" ht="15">
      <c r="C398" s="23">
        <v>34</v>
      </c>
      <c r="D398" s="24" t="s">
        <v>66</v>
      </c>
      <c r="E398" s="23">
        <v>2</v>
      </c>
      <c r="F398" s="23">
        <v>0</v>
      </c>
    </row>
    <row r="399" spans="3:6" ht="15">
      <c r="C399" s="23">
        <v>34</v>
      </c>
      <c r="D399" s="24" t="s">
        <v>67</v>
      </c>
      <c r="E399" s="23">
        <v>0</v>
      </c>
      <c r="F399" s="23">
        <v>0</v>
      </c>
    </row>
    <row r="400" spans="3:6" ht="15">
      <c r="C400" s="23">
        <v>34</v>
      </c>
      <c r="D400" s="24" t="s">
        <v>68</v>
      </c>
      <c r="E400" s="23">
        <v>2</v>
      </c>
      <c r="F400" s="23">
        <v>2</v>
      </c>
    </row>
    <row r="401" spans="3:6" ht="15">
      <c r="C401" s="23">
        <v>34</v>
      </c>
      <c r="D401" s="24" t="s">
        <v>69</v>
      </c>
      <c r="E401" s="23">
        <v>3</v>
      </c>
      <c r="F401" s="23">
        <v>3</v>
      </c>
    </row>
    <row r="402" spans="3:6" ht="15">
      <c r="C402" s="23">
        <v>34</v>
      </c>
      <c r="D402" s="24" t="s">
        <v>70</v>
      </c>
      <c r="E402" s="23">
        <v>0</v>
      </c>
      <c r="F402" s="23">
        <v>0</v>
      </c>
    </row>
    <row r="403" spans="3:6" ht="15">
      <c r="C403" s="23"/>
      <c r="D403" s="24"/>
      <c r="E403" s="23"/>
      <c r="F403" s="23"/>
    </row>
    <row r="404" spans="3:6" ht="15">
      <c r="C404" s="23"/>
      <c r="D404" s="24"/>
      <c r="E404" s="23"/>
      <c r="F404" s="23"/>
    </row>
    <row r="405" spans="3:6" ht="15">
      <c r="C405" s="23"/>
      <c r="D405" s="24"/>
      <c r="E405" s="23"/>
      <c r="F405" s="23"/>
    </row>
    <row r="406" spans="3:6" ht="15">
      <c r="C406" s="23"/>
      <c r="D406" s="24"/>
      <c r="E406" s="23"/>
      <c r="F406" s="23"/>
    </row>
    <row r="407" spans="3:6" ht="15">
      <c r="C407" s="23"/>
      <c r="D407" s="24"/>
      <c r="E407" s="23"/>
      <c r="F407" s="23"/>
    </row>
    <row r="408" spans="3:6" ht="15">
      <c r="C408" s="23"/>
      <c r="D408" s="24"/>
      <c r="E408" s="23"/>
      <c r="F408" s="23"/>
    </row>
    <row r="409" spans="3:6" ht="15">
      <c r="C409" s="23"/>
      <c r="D409" s="24"/>
      <c r="E409" s="23"/>
      <c r="F409" s="23"/>
    </row>
    <row r="410" spans="3:6" ht="15">
      <c r="C410" s="23"/>
      <c r="D410" s="24"/>
      <c r="E410" s="23"/>
      <c r="F410" s="23"/>
    </row>
    <row r="411" spans="3:6" ht="15">
      <c r="C411" s="23"/>
      <c r="D411" s="24"/>
      <c r="E411" s="23"/>
      <c r="F411" s="23"/>
    </row>
    <row r="412" spans="3:6" ht="15">
      <c r="C412" s="23"/>
      <c r="D412" s="24"/>
      <c r="E412" s="23"/>
      <c r="F412" s="2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avgPt and PosRuoloCasa</vt:lpstr>
      <vt:lpstr>Sheet2</vt:lpstr>
      <vt:lpstr>Foglio2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Iurisci, Vodafone</dc:creator>
  <cp:lastModifiedBy>Fernando Iurisci</cp:lastModifiedBy>
  <dcterms:created xsi:type="dcterms:W3CDTF">2026-01-08T20:25:08Z</dcterms:created>
  <dcterms:modified xsi:type="dcterms:W3CDTF">2026-05-09T20:28:43Z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359f705-2ba0-454b-9cfc-6ce5bcaac040_Enabled">
    <vt:lpwstr>true</vt:lpwstr>
  </property>
  <property fmtid="{D5CDD505-2E9C-101B-9397-08002B2CF9AE}" pid="3" name="MSIP_Label_0359f705-2ba0-454b-9cfc-6ce5bcaac040_SetDate">
    <vt:lpwstr>2026-01-11T21:23:53Z</vt:lpwstr>
  </property>
  <property fmtid="{D5CDD505-2E9C-101B-9397-08002B2CF9AE}" pid="4" name="MSIP_Label_0359f705-2ba0-454b-9cfc-6ce5bcaac040_Method">
    <vt:lpwstr>Standard</vt:lpwstr>
  </property>
  <property fmtid="{D5CDD505-2E9C-101B-9397-08002B2CF9AE}" pid="5" name="MSIP_Label_0359f705-2ba0-454b-9cfc-6ce5bcaac040_Name">
    <vt:lpwstr>0359f705-2ba0-454b-9cfc-6ce5bcaac040</vt:lpwstr>
  </property>
  <property fmtid="{D5CDD505-2E9C-101B-9397-08002B2CF9AE}" pid="6" name="MSIP_Label_0359f705-2ba0-454b-9cfc-6ce5bcaac040_SiteId">
    <vt:lpwstr>68283f3b-8487-4c86-adb3-a5228f18b893</vt:lpwstr>
  </property>
  <property fmtid="{D5CDD505-2E9C-101B-9397-08002B2CF9AE}" pid="7" name="MSIP_Label_0359f705-2ba0-454b-9cfc-6ce5bcaac040_ActionId">
    <vt:lpwstr>179d7afc-4f44-454a-b719-6128784deb55</vt:lpwstr>
  </property>
  <property fmtid="{D5CDD505-2E9C-101B-9397-08002B2CF9AE}" pid="8" name="MSIP_Label_0359f705-2ba0-454b-9cfc-6ce5bcaac040_ContentBits">
    <vt:lpwstr>2</vt:lpwstr>
  </property>
  <property fmtid="{D5CDD505-2E9C-101B-9397-08002B2CF9AE}" pid="9" name="MSIP_Label_0359f705-2ba0-454b-9cfc-6ce5bcaac040_Tag">
    <vt:lpwstr>10, 3, 0, 1</vt:lpwstr>
  </property>
</Properties>
</file>