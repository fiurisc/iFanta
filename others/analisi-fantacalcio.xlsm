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vodafone-my.sharepoint.com/personal/fernando_iurisci_vodafone_com/Documents/"/>
    </mc:Choice>
  </mc:AlternateContent>
  <xr:revisionPtr revIDLastSave="77634" documentId="8_{3AD7354C-3804-4829-ACC7-A59FF42A9FD4}" xr6:coauthVersionLast="47" xr6:coauthVersionMax="47" xr10:uidLastSave="{7256D3C9-808C-4E5C-9964-B568BD2572C8}"/>
  <bookViews>
    <workbookView xWindow="-98" yWindow="-98" windowWidth="28996" windowHeight="15675" activeTab="5" xr2:uid="{ACE3FCC3-DDF1-41BB-910E-56E1C89267D1}"/>
  </bookViews>
  <sheets>
    <sheet name="Sheet1" sheetId="1" r:id="rId1"/>
    <sheet name="pt" sheetId="4" r:id="rId2"/>
    <sheet name="avgPt" sheetId="5" r:id="rId3"/>
    <sheet name="avgPt and Ruolo" sheetId="6" r:id="rId4"/>
    <sheet name="avgPt and PosRuolo and casa" sheetId="9" r:id="rId5"/>
    <sheet name="avgPt and PosRuoloCasa" sheetId="7" r:id="rId6"/>
    <sheet name="Sheet2" sheetId="2" r:id="rId7"/>
    <sheet name="Sheet3" sheetId="3" r:id="rId8"/>
    <sheet name="Sheet8" sheetId="8" r:id="rId9"/>
  </sheets>
  <definedNames>
    <definedName name="_xlnm._FilterDatabase" localSheetId="0" hidden="1">Sheet1!$A$1:$Z$381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48" i="7" l="1"/>
  <c r="K36" i="7"/>
  <c r="C3" i="7"/>
  <c r="C4" i="7"/>
  <c r="C5" i="7"/>
  <c r="C6" i="7"/>
  <c r="C7" i="7"/>
  <c r="C8" i="7"/>
  <c r="C9" i="7"/>
  <c r="C10" i="7"/>
  <c r="C11" i="7"/>
  <c r="C2" i="7"/>
  <c r="C15" i="7"/>
  <c r="C16" i="7"/>
  <c r="C17" i="7"/>
  <c r="C18" i="7"/>
  <c r="C19" i="7"/>
  <c r="C20" i="7"/>
  <c r="C21" i="7"/>
  <c r="C22" i="7"/>
  <c r="C23" i="7"/>
  <c r="C14" i="7"/>
  <c r="K39" i="7"/>
  <c r="K40" i="7"/>
  <c r="K41" i="7"/>
  <c r="K42" i="7"/>
  <c r="K43" i="7"/>
  <c r="K44" i="7"/>
  <c r="K45" i="7"/>
  <c r="K46" i="7"/>
  <c r="K47" i="7"/>
  <c r="K48" i="7"/>
  <c r="V36" i="7"/>
  <c r="E36" i="7"/>
  <c r="F36" i="7"/>
  <c r="G36" i="7"/>
  <c r="H36" i="7"/>
  <c r="I36" i="7"/>
  <c r="J36" i="7"/>
  <c r="L36" i="7"/>
  <c r="M36" i="7"/>
  <c r="N36" i="7"/>
  <c r="O36" i="7"/>
  <c r="P36" i="7"/>
  <c r="Q36" i="7"/>
  <c r="R36" i="7"/>
  <c r="S36" i="7"/>
  <c r="T36" i="7"/>
  <c r="U36" i="7"/>
  <c r="C27" i="7"/>
  <c r="C28" i="7"/>
  <c r="C29" i="7"/>
  <c r="C30" i="7"/>
  <c r="C31" i="7"/>
  <c r="C32" i="7"/>
  <c r="C33" i="7"/>
  <c r="C34" i="7"/>
  <c r="C35" i="7"/>
  <c r="C26" i="7"/>
  <c r="D36" i="7"/>
  <c r="E39" i="7"/>
  <c r="F39" i="7"/>
  <c r="G39" i="7"/>
  <c r="H39" i="7"/>
  <c r="I39" i="7"/>
  <c r="J39" i="7"/>
  <c r="L39" i="7"/>
  <c r="M39" i="7"/>
  <c r="N39" i="7"/>
  <c r="O39" i="7"/>
  <c r="P39" i="7"/>
  <c r="Q39" i="7"/>
  <c r="R39" i="7"/>
  <c r="S39" i="7"/>
  <c r="T39" i="7"/>
  <c r="U39" i="7"/>
  <c r="V39" i="7"/>
  <c r="W39" i="7"/>
  <c r="E40" i="7"/>
  <c r="F40" i="7"/>
  <c r="G40" i="7"/>
  <c r="H40" i="7"/>
  <c r="I40" i="7"/>
  <c r="J40" i="7"/>
  <c r="L40" i="7"/>
  <c r="M40" i="7"/>
  <c r="N40" i="7"/>
  <c r="O40" i="7"/>
  <c r="P40" i="7"/>
  <c r="Q40" i="7"/>
  <c r="R40" i="7"/>
  <c r="S40" i="7"/>
  <c r="T40" i="7"/>
  <c r="U40" i="7"/>
  <c r="V40" i="7"/>
  <c r="W40" i="7"/>
  <c r="E41" i="7"/>
  <c r="F41" i="7"/>
  <c r="G41" i="7"/>
  <c r="H41" i="7"/>
  <c r="I41" i="7"/>
  <c r="J41" i="7"/>
  <c r="L41" i="7"/>
  <c r="M41" i="7"/>
  <c r="N41" i="7"/>
  <c r="O41" i="7"/>
  <c r="P41" i="7"/>
  <c r="Q41" i="7"/>
  <c r="R41" i="7"/>
  <c r="S41" i="7"/>
  <c r="T41" i="7"/>
  <c r="U41" i="7"/>
  <c r="V41" i="7"/>
  <c r="W41" i="7"/>
  <c r="E42" i="7"/>
  <c r="F42" i="7"/>
  <c r="G42" i="7"/>
  <c r="H42" i="7"/>
  <c r="I42" i="7"/>
  <c r="J42" i="7"/>
  <c r="L42" i="7"/>
  <c r="M42" i="7"/>
  <c r="N42" i="7"/>
  <c r="O42" i="7"/>
  <c r="P42" i="7"/>
  <c r="Q42" i="7"/>
  <c r="R42" i="7"/>
  <c r="S42" i="7"/>
  <c r="T42" i="7"/>
  <c r="U42" i="7"/>
  <c r="V42" i="7"/>
  <c r="W42" i="7"/>
  <c r="E43" i="7"/>
  <c r="F43" i="7"/>
  <c r="G43" i="7"/>
  <c r="H43" i="7"/>
  <c r="I43" i="7"/>
  <c r="J43" i="7"/>
  <c r="L43" i="7"/>
  <c r="M43" i="7"/>
  <c r="N43" i="7"/>
  <c r="O43" i="7"/>
  <c r="P43" i="7"/>
  <c r="Q43" i="7"/>
  <c r="R43" i="7"/>
  <c r="S43" i="7"/>
  <c r="T43" i="7"/>
  <c r="U43" i="7"/>
  <c r="V43" i="7"/>
  <c r="W43" i="7"/>
  <c r="E44" i="7"/>
  <c r="F44" i="7"/>
  <c r="G44" i="7"/>
  <c r="H44" i="7"/>
  <c r="I44" i="7"/>
  <c r="J44" i="7"/>
  <c r="L44" i="7"/>
  <c r="M44" i="7"/>
  <c r="N44" i="7"/>
  <c r="O44" i="7"/>
  <c r="P44" i="7"/>
  <c r="Q44" i="7"/>
  <c r="R44" i="7"/>
  <c r="S44" i="7"/>
  <c r="T44" i="7"/>
  <c r="U44" i="7"/>
  <c r="V44" i="7"/>
  <c r="W44" i="7"/>
  <c r="E45" i="7"/>
  <c r="F45" i="7"/>
  <c r="G45" i="7"/>
  <c r="H45" i="7"/>
  <c r="I45" i="7"/>
  <c r="J45" i="7"/>
  <c r="L45" i="7"/>
  <c r="M45" i="7"/>
  <c r="N45" i="7"/>
  <c r="O45" i="7"/>
  <c r="P45" i="7"/>
  <c r="Q45" i="7"/>
  <c r="R45" i="7"/>
  <c r="S45" i="7"/>
  <c r="T45" i="7"/>
  <c r="U45" i="7"/>
  <c r="V45" i="7"/>
  <c r="W45" i="7"/>
  <c r="E46" i="7"/>
  <c r="F46" i="7"/>
  <c r="G46" i="7"/>
  <c r="H46" i="7"/>
  <c r="I46" i="7"/>
  <c r="J46" i="7"/>
  <c r="L46" i="7"/>
  <c r="M46" i="7"/>
  <c r="N46" i="7"/>
  <c r="O46" i="7"/>
  <c r="P46" i="7"/>
  <c r="Q46" i="7"/>
  <c r="R46" i="7"/>
  <c r="S46" i="7"/>
  <c r="T46" i="7"/>
  <c r="U46" i="7"/>
  <c r="V46" i="7"/>
  <c r="W46" i="7"/>
  <c r="E47" i="7"/>
  <c r="F47" i="7"/>
  <c r="G47" i="7"/>
  <c r="H47" i="7"/>
  <c r="I47" i="7"/>
  <c r="J47" i="7"/>
  <c r="L47" i="7"/>
  <c r="M47" i="7"/>
  <c r="N47" i="7"/>
  <c r="O47" i="7"/>
  <c r="P47" i="7"/>
  <c r="Q47" i="7"/>
  <c r="R47" i="7"/>
  <c r="S47" i="7"/>
  <c r="T47" i="7"/>
  <c r="U47" i="7"/>
  <c r="V47" i="7"/>
  <c r="W47" i="7"/>
  <c r="E48" i="7"/>
  <c r="F48" i="7"/>
  <c r="G48" i="7"/>
  <c r="H48" i="7"/>
  <c r="I48" i="7"/>
  <c r="J48" i="7"/>
  <c r="L48" i="7"/>
  <c r="M48" i="7"/>
  <c r="N48" i="7"/>
  <c r="O48" i="7"/>
  <c r="P48" i="7"/>
  <c r="Q48" i="7"/>
  <c r="R48" i="7"/>
  <c r="S48" i="7"/>
  <c r="T48" i="7"/>
  <c r="U48" i="7"/>
  <c r="W48" i="7"/>
  <c r="D40" i="7"/>
  <c r="D41" i="7"/>
  <c r="D42" i="7"/>
  <c r="D43" i="7"/>
  <c r="D44" i="7"/>
  <c r="D45" i="7"/>
  <c r="D46" i="7"/>
  <c r="D47" i="7"/>
  <c r="D48" i="7"/>
  <c r="D39" i="7"/>
  <c r="V36" i="9"/>
  <c r="U36" i="9"/>
  <c r="T36" i="9"/>
  <c r="S36" i="9"/>
  <c r="R36" i="9"/>
  <c r="Q36" i="9"/>
  <c r="P36" i="9"/>
  <c r="O36" i="9"/>
  <c r="N36" i="9"/>
  <c r="M36" i="9"/>
  <c r="M37" i="9" s="1"/>
  <c r="L36" i="9"/>
  <c r="K36" i="9"/>
  <c r="J36" i="9"/>
  <c r="I36" i="9"/>
  <c r="H36" i="9"/>
  <c r="G36" i="9"/>
  <c r="F36" i="9"/>
  <c r="E36" i="9"/>
  <c r="D36" i="9"/>
  <c r="V35" i="9"/>
  <c r="U35" i="9"/>
  <c r="T35" i="9"/>
  <c r="S35" i="9"/>
  <c r="R35" i="9"/>
  <c r="Q35" i="9"/>
  <c r="P35" i="9"/>
  <c r="O35" i="9"/>
  <c r="N35" i="9"/>
  <c r="N37" i="9" s="1"/>
  <c r="M35" i="9"/>
  <c r="L35" i="9"/>
  <c r="K35" i="9"/>
  <c r="J35" i="9"/>
  <c r="I35" i="9"/>
  <c r="H35" i="9"/>
  <c r="G35" i="9"/>
  <c r="F35" i="9"/>
  <c r="E35" i="9"/>
  <c r="D35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V28" i="9"/>
  <c r="U28" i="9"/>
  <c r="T28" i="9"/>
  <c r="T37" i="9" s="1"/>
  <c r="S28" i="9"/>
  <c r="R28" i="9"/>
  <c r="Q28" i="9"/>
  <c r="Q37" i="9" s="1"/>
  <c r="P28" i="9"/>
  <c r="P37" i="9" s="1"/>
  <c r="O28" i="9"/>
  <c r="N28" i="9"/>
  <c r="M28" i="9"/>
  <c r="L28" i="9"/>
  <c r="K28" i="9"/>
  <c r="J28" i="9"/>
  <c r="I28" i="9"/>
  <c r="H28" i="9"/>
  <c r="G28" i="9"/>
  <c r="F28" i="9"/>
  <c r="E28" i="9"/>
  <c r="D28" i="9"/>
  <c r="V27" i="9"/>
  <c r="V37" i="9" s="1"/>
  <c r="U27" i="9"/>
  <c r="U37" i="9" s="1"/>
  <c r="T27" i="9"/>
  <c r="S27" i="9"/>
  <c r="S37" i="9" s="1"/>
  <c r="R27" i="9"/>
  <c r="R37" i="9" s="1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4" i="9"/>
  <c r="AB36" i="9" s="1"/>
  <c r="C23" i="9"/>
  <c r="AB35" i="9" s="1"/>
  <c r="C22" i="9"/>
  <c r="AB34" i="9" s="1"/>
  <c r="C21" i="9"/>
  <c r="C20" i="9"/>
  <c r="C19" i="9"/>
  <c r="C18" i="9"/>
  <c r="C17" i="9"/>
  <c r="C16" i="9"/>
  <c r="AB28" i="9" s="1"/>
  <c r="AC15" i="9"/>
  <c r="C15" i="9"/>
  <c r="AB27" i="9" s="1"/>
  <c r="C12" i="9"/>
  <c r="C11" i="9"/>
  <c r="C10" i="9"/>
  <c r="C9" i="9"/>
  <c r="C8" i="9"/>
  <c r="C7" i="9"/>
  <c r="C6" i="9"/>
  <c r="C5" i="9"/>
  <c r="C4" i="9"/>
  <c r="AC3" i="9"/>
  <c r="C3" i="9"/>
  <c r="C13" i="9" s="1"/>
  <c r="AC15" i="4"/>
  <c r="AC3" i="4"/>
  <c r="AC15" i="5"/>
  <c r="AC3" i="5"/>
  <c r="AC15" i="6"/>
  <c r="AC3" i="6"/>
  <c r="AC2" i="7"/>
  <c r="AC14" i="7"/>
  <c r="C36" i="4"/>
  <c r="C35" i="4"/>
  <c r="C34" i="4"/>
  <c r="C33" i="4"/>
  <c r="C37" i="4" s="1"/>
  <c r="C32" i="4"/>
  <c r="C31" i="4"/>
  <c r="C30" i="4"/>
  <c r="C29" i="4"/>
  <c r="C28" i="4"/>
  <c r="C27" i="4"/>
  <c r="C24" i="4"/>
  <c r="C23" i="4"/>
  <c r="C22" i="4"/>
  <c r="C21" i="4"/>
  <c r="C20" i="4"/>
  <c r="C19" i="4"/>
  <c r="C18" i="4"/>
  <c r="C17" i="4"/>
  <c r="C16" i="4"/>
  <c r="C15" i="4"/>
  <c r="C25" i="4" s="1"/>
  <c r="C12" i="4"/>
  <c r="C11" i="4"/>
  <c r="C13" i="4" s="1"/>
  <c r="C10" i="4"/>
  <c r="C9" i="4"/>
  <c r="C8" i="4"/>
  <c r="C7" i="4"/>
  <c r="C6" i="4"/>
  <c r="C5" i="4"/>
  <c r="C4" i="4"/>
  <c r="C3" i="4"/>
  <c r="C36" i="5"/>
  <c r="C35" i="5"/>
  <c r="C34" i="5"/>
  <c r="C33" i="5"/>
  <c r="C37" i="5" s="1"/>
  <c r="C32" i="5"/>
  <c r="C31" i="5"/>
  <c r="C30" i="5"/>
  <c r="C29" i="5"/>
  <c r="C28" i="5"/>
  <c r="C27" i="5"/>
  <c r="C24" i="5"/>
  <c r="C23" i="5"/>
  <c r="C22" i="5"/>
  <c r="C21" i="5"/>
  <c r="C20" i="5"/>
  <c r="C19" i="5"/>
  <c r="C18" i="5"/>
  <c r="C17" i="5"/>
  <c r="C16" i="5"/>
  <c r="C15" i="5"/>
  <c r="C25" i="5" s="1"/>
  <c r="C12" i="5"/>
  <c r="C11" i="5"/>
  <c r="C13" i="5" s="1"/>
  <c r="C10" i="5"/>
  <c r="C9" i="5"/>
  <c r="C8" i="5"/>
  <c r="C7" i="5"/>
  <c r="C6" i="5"/>
  <c r="C5" i="5"/>
  <c r="C4" i="5"/>
  <c r="C3" i="5"/>
  <c r="C24" i="6"/>
  <c r="AB36" i="6" s="1"/>
  <c r="C23" i="6"/>
  <c r="AB35" i="6" s="1"/>
  <c r="C22" i="6"/>
  <c r="AB34" i="6" s="1"/>
  <c r="C21" i="6"/>
  <c r="AB33" i="6" s="1"/>
  <c r="C20" i="6"/>
  <c r="AB32" i="6" s="1"/>
  <c r="C19" i="6"/>
  <c r="AB31" i="6" s="1"/>
  <c r="C18" i="6"/>
  <c r="AB30" i="6" s="1"/>
  <c r="C17" i="6"/>
  <c r="AB29" i="6" s="1"/>
  <c r="C16" i="6"/>
  <c r="C15" i="6"/>
  <c r="AB27" i="6" s="1"/>
  <c r="C12" i="6"/>
  <c r="C11" i="6"/>
  <c r="C10" i="6"/>
  <c r="C9" i="6"/>
  <c r="C8" i="6"/>
  <c r="C7" i="6"/>
  <c r="C6" i="6"/>
  <c r="C5" i="6"/>
  <c r="C4" i="6"/>
  <c r="C3" i="6"/>
  <c r="C13" i="6" s="1"/>
  <c r="AC27" i="5"/>
  <c r="AC27" i="4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F27" i="5"/>
  <c r="F28" i="5"/>
  <c r="F29" i="5"/>
  <c r="F30" i="5"/>
  <c r="F31" i="5"/>
  <c r="F32" i="5"/>
  <c r="F33" i="5"/>
  <c r="F34" i="5"/>
  <c r="F35" i="5"/>
  <c r="F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E36" i="5"/>
  <c r="D36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E35" i="5"/>
  <c r="D35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E34" i="5"/>
  <c r="D34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E33" i="5"/>
  <c r="D33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E32" i="5"/>
  <c r="D32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E31" i="5"/>
  <c r="D31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E30" i="5"/>
  <c r="D30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E29" i="5"/>
  <c r="D29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E28" i="5"/>
  <c r="D28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E27" i="5"/>
  <c r="D27" i="5"/>
  <c r="D27" i="4"/>
  <c r="D28" i="4"/>
  <c r="D29" i="4"/>
  <c r="D30" i="4"/>
  <c r="D31" i="4"/>
  <c r="D32" i="4"/>
  <c r="D33" i="4"/>
  <c r="D34" i="4"/>
  <c r="D35" i="4"/>
  <c r="D36" i="4"/>
  <c r="D37" i="4"/>
  <c r="E27" i="4"/>
  <c r="E37" i="4" s="1"/>
  <c r="E28" i="4"/>
  <c r="E29" i="4"/>
  <c r="E30" i="4"/>
  <c r="E31" i="4"/>
  <c r="E32" i="4"/>
  <c r="E33" i="4"/>
  <c r="E34" i="4"/>
  <c r="E35" i="4"/>
  <c r="E36" i="4"/>
  <c r="F27" i="4"/>
  <c r="F28" i="4"/>
  <c r="F37" i="4" s="1"/>
  <c r="F29" i="4"/>
  <c r="F30" i="4"/>
  <c r="F31" i="4"/>
  <c r="F32" i="4"/>
  <c r="F33" i="4"/>
  <c r="F34" i="4"/>
  <c r="F35" i="4"/>
  <c r="F36" i="4"/>
  <c r="G27" i="4"/>
  <c r="G37" i="4" s="1"/>
  <c r="G28" i="4"/>
  <c r="G29" i="4"/>
  <c r="G30" i="4"/>
  <c r="G31" i="4"/>
  <c r="G32" i="4"/>
  <c r="G33" i="4"/>
  <c r="G34" i="4"/>
  <c r="G35" i="4"/>
  <c r="G36" i="4"/>
  <c r="H27" i="4"/>
  <c r="H28" i="4"/>
  <c r="H29" i="4"/>
  <c r="H30" i="4"/>
  <c r="H31" i="4"/>
  <c r="H32" i="4"/>
  <c r="H33" i="4"/>
  <c r="H34" i="4"/>
  <c r="H35" i="4"/>
  <c r="H36" i="4"/>
  <c r="I27" i="4"/>
  <c r="I37" i="4" s="1"/>
  <c r="I28" i="4"/>
  <c r="I29" i="4"/>
  <c r="I30" i="4"/>
  <c r="I31" i="4"/>
  <c r="I32" i="4"/>
  <c r="I33" i="4"/>
  <c r="I34" i="4"/>
  <c r="I35" i="4"/>
  <c r="I36" i="4"/>
  <c r="J27" i="4"/>
  <c r="J37" i="4" s="1"/>
  <c r="J28" i="4"/>
  <c r="J29" i="4"/>
  <c r="J30" i="4"/>
  <c r="J31" i="4"/>
  <c r="J32" i="4"/>
  <c r="J33" i="4"/>
  <c r="J34" i="4"/>
  <c r="J35" i="4"/>
  <c r="J36" i="4"/>
  <c r="K27" i="4"/>
  <c r="K37" i="4" s="1"/>
  <c r="K28" i="4"/>
  <c r="K29" i="4"/>
  <c r="K30" i="4"/>
  <c r="K31" i="4"/>
  <c r="K32" i="4"/>
  <c r="K33" i="4"/>
  <c r="K34" i="4"/>
  <c r="K35" i="4"/>
  <c r="K36" i="4"/>
  <c r="L27" i="4"/>
  <c r="L28" i="4"/>
  <c r="L29" i="4"/>
  <c r="L30" i="4"/>
  <c r="L31" i="4"/>
  <c r="L32" i="4"/>
  <c r="L33" i="4"/>
  <c r="L34" i="4"/>
  <c r="L35" i="4"/>
  <c r="L36" i="4"/>
  <c r="L37" i="4"/>
  <c r="M27" i="4"/>
  <c r="M28" i="4"/>
  <c r="M29" i="4"/>
  <c r="M30" i="4"/>
  <c r="M31" i="4"/>
  <c r="M32" i="4"/>
  <c r="M33" i="4"/>
  <c r="M34" i="4"/>
  <c r="M35" i="4"/>
  <c r="M36" i="4"/>
  <c r="M37" i="4"/>
  <c r="N27" i="4"/>
  <c r="N37" i="4" s="1"/>
  <c r="N28" i="4"/>
  <c r="N29" i="4"/>
  <c r="N30" i="4"/>
  <c r="N31" i="4"/>
  <c r="N32" i="4"/>
  <c r="N33" i="4"/>
  <c r="N34" i="4"/>
  <c r="N35" i="4"/>
  <c r="N36" i="4"/>
  <c r="O37" i="4"/>
  <c r="P37" i="4"/>
  <c r="Q37" i="4"/>
  <c r="R37" i="4"/>
  <c r="S37" i="4"/>
  <c r="T37" i="4"/>
  <c r="U37" i="4"/>
  <c r="V37" i="4"/>
  <c r="O27" i="4"/>
  <c r="O28" i="4"/>
  <c r="O29" i="4"/>
  <c r="O30" i="4"/>
  <c r="O31" i="4"/>
  <c r="O32" i="4"/>
  <c r="O33" i="4"/>
  <c r="O34" i="4"/>
  <c r="O35" i="4"/>
  <c r="O36" i="4"/>
  <c r="Q27" i="4"/>
  <c r="R27" i="4"/>
  <c r="S27" i="4"/>
  <c r="T27" i="4"/>
  <c r="U27" i="4"/>
  <c r="V27" i="4"/>
  <c r="Q28" i="4"/>
  <c r="R28" i="4"/>
  <c r="S28" i="4"/>
  <c r="T28" i="4"/>
  <c r="U28" i="4"/>
  <c r="V28" i="4"/>
  <c r="Q29" i="4"/>
  <c r="R29" i="4"/>
  <c r="S29" i="4"/>
  <c r="T29" i="4"/>
  <c r="U29" i="4"/>
  <c r="V29" i="4"/>
  <c r="Q30" i="4"/>
  <c r="R30" i="4"/>
  <c r="S30" i="4"/>
  <c r="T30" i="4"/>
  <c r="U30" i="4"/>
  <c r="V30" i="4"/>
  <c r="Q31" i="4"/>
  <c r="R31" i="4"/>
  <c r="S31" i="4"/>
  <c r="T31" i="4"/>
  <c r="U31" i="4"/>
  <c r="V31" i="4"/>
  <c r="Q32" i="4"/>
  <c r="R32" i="4"/>
  <c r="S32" i="4"/>
  <c r="T32" i="4"/>
  <c r="U32" i="4"/>
  <c r="V32" i="4"/>
  <c r="Q33" i="4"/>
  <c r="R33" i="4"/>
  <c r="S33" i="4"/>
  <c r="T33" i="4"/>
  <c r="U33" i="4"/>
  <c r="V33" i="4"/>
  <c r="Q34" i="4"/>
  <c r="R34" i="4"/>
  <c r="S34" i="4"/>
  <c r="T34" i="4"/>
  <c r="U34" i="4"/>
  <c r="V34" i="4"/>
  <c r="Q35" i="4"/>
  <c r="R35" i="4"/>
  <c r="S35" i="4"/>
  <c r="T35" i="4"/>
  <c r="U35" i="4"/>
  <c r="V35" i="4"/>
  <c r="Q36" i="4"/>
  <c r="R36" i="4"/>
  <c r="S36" i="4"/>
  <c r="T36" i="4"/>
  <c r="U36" i="4"/>
  <c r="V36" i="4"/>
  <c r="P28" i="4"/>
  <c r="P29" i="4"/>
  <c r="P30" i="4"/>
  <c r="P31" i="4"/>
  <c r="P32" i="4"/>
  <c r="P33" i="4"/>
  <c r="P34" i="4"/>
  <c r="P35" i="4"/>
  <c r="P36" i="4"/>
  <c r="P27" i="4"/>
  <c r="C361" i="1"/>
  <c r="AC26" i="7" l="1"/>
  <c r="C39" i="7"/>
  <c r="C48" i="7"/>
  <c r="C47" i="7"/>
  <c r="C46" i="7"/>
  <c r="C45" i="7"/>
  <c r="C44" i="7"/>
  <c r="C43" i="7"/>
  <c r="C42" i="7"/>
  <c r="C41" i="7"/>
  <c r="C40" i="7"/>
  <c r="AC28" i="7"/>
  <c r="AC27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C36" i="7"/>
  <c r="W49" i="7"/>
  <c r="AB23" i="7"/>
  <c r="AB22" i="7"/>
  <c r="AB21" i="7"/>
  <c r="C12" i="7"/>
  <c r="C27" i="9"/>
  <c r="H37" i="9"/>
  <c r="C24" i="7"/>
  <c r="AB29" i="9"/>
  <c r="AB30" i="9"/>
  <c r="L37" i="9"/>
  <c r="K37" i="9"/>
  <c r="J37" i="9"/>
  <c r="I37" i="9"/>
  <c r="C35" i="9"/>
  <c r="AB31" i="9"/>
  <c r="G37" i="9"/>
  <c r="C34" i="9"/>
  <c r="AB32" i="9"/>
  <c r="F37" i="9"/>
  <c r="AC27" i="9"/>
  <c r="E37" i="9"/>
  <c r="C25" i="9"/>
  <c r="C32" i="9"/>
  <c r="C31" i="9"/>
  <c r="C30" i="9"/>
  <c r="C29" i="9"/>
  <c r="D37" i="9"/>
  <c r="O37" i="9"/>
  <c r="AB33" i="9"/>
  <c r="C28" i="9"/>
  <c r="C33" i="9"/>
  <c r="C36" i="9"/>
  <c r="C27" i="6"/>
  <c r="C35" i="6"/>
  <c r="C34" i="6"/>
  <c r="C33" i="6"/>
  <c r="C32" i="6"/>
  <c r="C28" i="6"/>
  <c r="C36" i="6"/>
  <c r="C29" i="6"/>
  <c r="C31" i="6"/>
  <c r="C30" i="6"/>
  <c r="AC27" i="6"/>
  <c r="C25" i="6"/>
  <c r="AB28" i="6"/>
  <c r="AB14" i="7"/>
  <c r="AB15" i="7"/>
  <c r="AB16" i="7"/>
  <c r="AB17" i="7"/>
  <c r="AB18" i="7"/>
  <c r="AB19" i="7"/>
  <c r="AB20" i="7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V37" i="5"/>
  <c r="U37" i="5"/>
  <c r="T37" i="5"/>
  <c r="S37" i="5"/>
  <c r="R37" i="5"/>
  <c r="Q37" i="5"/>
  <c r="H37" i="4"/>
  <c r="AB24" i="7" l="1"/>
  <c r="C49" i="7"/>
  <c r="D49" i="7"/>
  <c r="AC29" i="7"/>
  <c r="C37" i="9"/>
  <c r="C37" i="6"/>
  <c r="AC30" i="7" l="1"/>
</calcChain>
</file>

<file path=xl/sharedStrings.xml><?xml version="1.0" encoding="utf-8"?>
<sst xmlns="http://schemas.openxmlformats.org/spreadsheetml/2006/main" count="2309" uniqueCount="377">
  <si>
    <t>ID</t>
  </si>
  <si>
    <t>gio</t>
  </si>
  <si>
    <t>pos</t>
  </si>
  <si>
    <t>squadra</t>
  </si>
  <si>
    <t>pt</t>
  </si>
  <si>
    <t>ptd</t>
  </si>
  <si>
    <t>ptf</t>
  </si>
  <si>
    <t>pgio</t>
  </si>
  <si>
    <t>pgiod</t>
  </si>
  <si>
    <t>pgiof</t>
  </si>
  <si>
    <t>vitt</t>
  </si>
  <si>
    <t>vittd</t>
  </si>
  <si>
    <t>vittf</t>
  </si>
  <si>
    <t>par</t>
  </si>
  <si>
    <t>pard</t>
  </si>
  <si>
    <t>parf</t>
  </si>
  <si>
    <t>sco</t>
  </si>
  <si>
    <t>scod</t>
  </si>
  <si>
    <t>scof</t>
  </si>
  <si>
    <t>gs</t>
  </si>
  <si>
    <t>gsd</t>
  </si>
  <si>
    <t>gsf</t>
  </si>
  <si>
    <t>gf</t>
  </si>
  <si>
    <t>gfd</t>
  </si>
  <si>
    <t>gff</t>
  </si>
  <si>
    <t>INTER</t>
  </si>
  <si>
    <t>NAPOLI</t>
  </si>
  <si>
    <t>COMO</t>
  </si>
  <si>
    <t>JUVENTUS</t>
  </si>
  <si>
    <t>CREMONESE</t>
  </si>
  <si>
    <t>ROMA</t>
  </si>
  <si>
    <t>UDINESE</t>
  </si>
  <si>
    <t>PISA</t>
  </si>
  <si>
    <t>VERONA</t>
  </si>
  <si>
    <t>FIORENTINA</t>
  </si>
  <si>
    <t>ATALANTA</t>
  </si>
  <si>
    <t>CAGLIARI</t>
  </si>
  <si>
    <t>GENOA</t>
  </si>
  <si>
    <t>LECCE</t>
  </si>
  <si>
    <t>MILAN</t>
  </si>
  <si>
    <t>BOLOGNA</t>
  </si>
  <si>
    <t>PARMA</t>
  </si>
  <si>
    <t>LAZIO</t>
  </si>
  <si>
    <t>SASSUOLO</t>
  </si>
  <si>
    <t>TORINO</t>
  </si>
  <si>
    <t>P</t>
  </si>
  <si>
    <t>D</t>
  </si>
  <si>
    <t>C</t>
  </si>
  <si>
    <t>A</t>
  </si>
  <si>
    <t>AUDERO</t>
  </si>
  <si>
    <t>SOLET</t>
  </si>
  <si>
    <t>TERRACCIANO F.</t>
  </si>
  <si>
    <t>AKANJI</t>
  </si>
  <si>
    <t>GUDMUNDSSON A.</t>
  </si>
  <si>
    <t>THORSTVEDT</t>
  </si>
  <si>
    <t>SOULE’</t>
  </si>
  <si>
    <t>BERARDI</t>
  </si>
  <si>
    <t>COLOMBO</t>
  </si>
  <si>
    <t>CAPRILE</t>
  </si>
  <si>
    <t>FRESE</t>
  </si>
  <si>
    <t>PULISIC</t>
  </si>
  <si>
    <t>DOIG</t>
  </si>
  <si>
    <t>ADAMS C.</t>
  </si>
  <si>
    <t>LOFTUS CHEEK</t>
  </si>
  <si>
    <t>OPENDA</t>
  </si>
  <si>
    <t>SOHM</t>
  </si>
  <si>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</si>
  <si>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</si>
  <si>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</si>
  <si>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</si>
  <si>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</si>
  <si>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</si>
  <si>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</si>
  <si>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</si>
  <si>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</si>
  <si>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</si>
  <si>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12:57:40:572</t>
  </si>
  <si>
    <t>13:39:25:482</t>
  </si>
  <si>
    <t>avv</t>
  </si>
  <si>
    <t>fact</t>
  </si>
  <si>
    <t>ruolo</t>
  </si>
  <si>
    <t>casa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</si>
  <si>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</si>
  <si>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</si>
  <si>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</si>
  <si>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</si>
  <si>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</si>
  <si>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</si>
  <si>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</si>
  <si>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</si>
  <si>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</si>
  <si>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</si>
  <si>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</si>
  <si>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</si>
  <si>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</si>
  <si>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</si>
  <si>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</si>
  <si>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</si>
  <si>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</si>
  <si>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</si>
  <si>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</si>
  <si>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18:22:26:393</t>
  </si>
  <si>
    <t>18:22:28:915</t>
  </si>
  <si>
    <t>18:22:31:661</t>
  </si>
  <si>
    <t>18:22:36:162</t>
  </si>
  <si>
    <t>18:22:42:664</t>
  </si>
  <si>
    <t>18:22:50:914</t>
  </si>
  <si>
    <t>18:22:59:162</t>
  </si>
  <si>
    <t>18:23:08:166</t>
  </si>
  <si>
    <t>18:23:16:915</t>
  </si>
  <si>
    <t>18:23:25:410</t>
  </si>
  <si>
    <t>18:23:33:677</t>
  </si>
  <si>
    <t>18:23:42:445</t>
  </si>
  <si>
    <t>18:23:50:724</t>
  </si>
  <si>
    <t>18:23:59:234</t>
  </si>
  <si>
    <t>18:24:08:226</t>
  </si>
  <si>
    <t>18:24:17:229</t>
  </si>
  <si>
    <t>18:24:26:481</t>
  </si>
  <si>
    <t>18:24:35:480</t>
  </si>
  <si>
    <t>18:24:44:481</t>
  </si>
  <si>
    <t>18:24:44:729</t>
  </si>
  <si>
    <t>18:39:12:868</t>
  </si>
  <si>
    <t>18:39:15:369</t>
  </si>
  <si>
    <t>18:39:18:615</t>
  </si>
  <si>
    <t>18:39:27:367</t>
  </si>
  <si>
    <t>18:39:36:388</t>
  </si>
  <si>
    <t>18:39:45:645</t>
  </si>
  <si>
    <t>18:39:55:154</t>
  </si>
  <si>
    <t>18:40:04:647</t>
  </si>
  <si>
    <t>18:40:13:898</t>
  </si>
  <si>
    <t>18:40:23:402</t>
  </si>
  <si>
    <t>18:40:32:902</t>
  </si>
  <si>
    <t>18:40:33:148</t>
  </si>
  <si>
    <t>18:40:41:905</t>
  </si>
  <si>
    <t>18:40:51:147</t>
  </si>
  <si>
    <t>18:40:59:901</t>
  </si>
  <si>
    <t>18:41:09:648</t>
  </si>
  <si>
    <t>18:41:19:402</t>
  </si>
  <si>
    <t>18:41:29:397</t>
  </si>
  <si>
    <t>18:41:38:900</t>
  </si>
  <si>
    <t>18:41:48:649</t>
  </si>
  <si>
    <t>LUCCA</t>
  </si>
  <si>
    <t>CASTELLANOS</t>
  </si>
  <si>
    <t>MILINKOVIC SAVIC V.</t>
  </si>
  <si>
    <t>MARTIN</t>
  </si>
  <si>
    <t>SPINAZZOLA</t>
  </si>
  <si>
    <t>BASCHIROTTO</t>
  </si>
  <si>
    <t>POSCH</t>
  </si>
  <si>
    <t>NORTON CUFFY</t>
  </si>
  <si>
    <t>SAELEMAEKERS</t>
  </si>
  <si>
    <t>PAZ N.</t>
  </si>
  <si>
    <t>FRENDRUP</t>
  </si>
  <si>
    <t>SIMEONE</t>
  </si>
  <si>
    <t>MERET</t>
  </si>
  <si>
    <t>PICCOLI</t>
  </si>
  <si>
    <t>CANCELLIERI</t>
  </si>
  <si>
    <t>TRAMONI M.</t>
  </si>
  <si>
    <t>BATURINA</t>
  </si>
  <si>
    <t>CARBONI V.</t>
  </si>
  <si>
    <t>GUTIERREZ</t>
  </si>
  <si>
    <t>ANGORI</t>
  </si>
  <si>
    <t>VOJVODA</t>
  </si>
  <si>
    <t>ROWE</t>
  </si>
  <si>
    <t>CAMARDA</t>
  </si>
  <si>
    <t>HOJLUND</t>
  </si>
  <si>
    <t>RODRIGUEZ JE.</t>
  </si>
  <si>
    <t>**** Panchinari ****</t>
  </si>
  <si>
    <t>**** Titolari ****</t>
  </si>
  <si>
    <t>FALCONE</t>
  </si>
  <si>
    <t>ROMAGNOLI</t>
  </si>
  <si>
    <t>DI LORENZO</t>
  </si>
  <si>
    <t>ZAPPACOSTA</t>
  </si>
  <si>
    <t>POBEGA</t>
  </si>
  <si>
    <t>ORSOLINI</t>
  </si>
  <si>
    <t>POLITANO</t>
  </si>
  <si>
    <t>MANDRAGORA</t>
  </si>
  <si>
    <t>ESPOSITO SE.</t>
  </si>
  <si>
    <t>CASTRO S.</t>
  </si>
  <si>
    <t>SCAMACCA</t>
  </si>
  <si>
    <t>DE GEA</t>
  </si>
  <si>
    <t>ESPOSITO F.P.</t>
  </si>
  <si>
    <t>DALLINGA</t>
  </si>
  <si>
    <t>DOMINGUEZ B.</t>
  </si>
  <si>
    <t>FERGUSON</t>
  </si>
  <si>
    <t>FABBIAN</t>
  </si>
  <si>
    <t>FREULER</t>
  </si>
  <si>
    <t>MANCINI</t>
  </si>
  <si>
    <t>RANIERI L.</t>
  </si>
  <si>
    <t>VARDY</t>
  </si>
  <si>
    <t>VERGARA</t>
  </si>
  <si>
    <t>DIA</t>
  </si>
  <si>
    <t>CASADEI</t>
  </si>
  <si>
    <t>VITIK</t>
  </si>
  <si>
    <t>AHANOR</t>
  </si>
  <si>
    <t>MURIC</t>
  </si>
  <si>
    <t>MARUSIC</t>
  </si>
  <si>
    <t>BISSECK</t>
  </si>
  <si>
    <t>PONGRACIC</t>
  </si>
  <si>
    <t>KELLY L.</t>
  </si>
  <si>
    <t>EDERSON D.S.</t>
  </si>
  <si>
    <t>ASLLANI</t>
  </si>
  <si>
    <t>LUIS HENRIQUE</t>
  </si>
  <si>
    <t>MARTINEZ L.</t>
  </si>
  <si>
    <t>DE KETELAERE</t>
  </si>
  <si>
    <t>SANABRIA</t>
  </si>
  <si>
    <t>OKOYE</t>
  </si>
  <si>
    <t>EKHATOR</t>
  </si>
  <si>
    <t>CUTRONE</t>
  </si>
  <si>
    <t>MORATA</t>
  </si>
  <si>
    <t>PASALIC</t>
  </si>
  <si>
    <t>ZHEGROVA</t>
  </si>
  <si>
    <t>GUENDOUZI</t>
  </si>
  <si>
    <t>CARLOS AUGUSTO</t>
  </si>
  <si>
    <t>HYSAJ</t>
  </si>
  <si>
    <t>DUMFRIES</t>
  </si>
  <si>
    <t>DI GREGORIO</t>
  </si>
  <si>
    <t>BARTESAGHI</t>
  </si>
  <si>
    <t>KALULU</t>
  </si>
  <si>
    <t>IDZES</t>
  </si>
  <si>
    <t>BERNEDE</t>
  </si>
  <si>
    <t>DA CUNHA</t>
  </si>
  <si>
    <t>THORSBY</t>
  </si>
  <si>
    <t>DAVID</t>
  </si>
  <si>
    <t>BORRELLI</t>
  </si>
  <si>
    <t>BONFANTI N.</t>
  </si>
  <si>
    <t>ONDREJKA</t>
  </si>
  <si>
    <t>ATTA</t>
  </si>
  <si>
    <t>DELPRATO</t>
  </si>
  <si>
    <t>SOMMER</t>
  </si>
  <si>
    <t>BASTONI</t>
  </si>
  <si>
    <t>MUHAREMOVIC</t>
  </si>
  <si>
    <t>LUPERTO</t>
  </si>
  <si>
    <t>MCTOMINAY</t>
  </si>
  <si>
    <t>MALINOVSKYI</t>
  </si>
  <si>
    <t>RABIOT</t>
  </si>
  <si>
    <t>DE ROON</t>
  </si>
  <si>
    <t>PINAMONTI</t>
  </si>
  <si>
    <t>ZAPATA D.</t>
  </si>
  <si>
    <t>BONAZZOLI</t>
  </si>
  <si>
    <t>DI GENNARO</t>
  </si>
  <si>
    <t>LANG</t>
  </si>
  <si>
    <t>IMMOBILE</t>
  </si>
  <si>
    <t>MORO L.</t>
  </si>
  <si>
    <t>MODRIC</t>
  </si>
  <si>
    <t>VANDEPUTTE</t>
  </si>
  <si>
    <t>LOBOTKA</t>
  </si>
  <si>
    <t>KEMPF</t>
  </si>
  <si>
    <t>BEUKEMA</t>
  </si>
  <si>
    <t>TROILO</t>
  </si>
  <si>
    <t>PROVEDEL</t>
  </si>
  <si>
    <t>CANESTRELLI</t>
  </si>
  <si>
    <t>CAMBIASO</t>
  </si>
  <si>
    <t>RRAHMANI</t>
  </si>
  <si>
    <t>KOOPMEINERS</t>
  </si>
  <si>
    <t>ZANIOLO</t>
  </si>
  <si>
    <t>VLASIC</t>
  </si>
  <si>
    <t>ELMAS</t>
  </si>
  <si>
    <t>PELLEGRINO M.</t>
  </si>
  <si>
    <t>FERGUSON E.</t>
  </si>
  <si>
    <t>DOUVIKAS</t>
  </si>
  <si>
    <t>LEALI</t>
  </si>
  <si>
    <t>BONNY</t>
  </si>
  <si>
    <t>DOVBYK</t>
  </si>
  <si>
    <t>DIAO</t>
  </si>
  <si>
    <t>ODGAARD</t>
  </si>
  <si>
    <t>FOFANA Y.</t>
  </si>
  <si>
    <t>SAMARDZIC</t>
  </si>
  <si>
    <t>ZANOLI</t>
  </si>
  <si>
    <t>VALERI</t>
  </si>
  <si>
    <t>DODO</t>
  </si>
  <si>
    <t>SVILAR</t>
  </si>
  <si>
    <t>PAVLOVIC</t>
  </si>
  <si>
    <t>RENSCH</t>
  </si>
  <si>
    <t>VASQUEZ</t>
  </si>
  <si>
    <t>PEZZELLA GIU.</t>
  </si>
  <si>
    <t>NERES</t>
  </si>
  <si>
    <t>ISAKSEN</t>
  </si>
  <si>
    <t>KEITA M.</t>
  </si>
  <si>
    <t>GAETANO</t>
  </si>
  <si>
    <t>KRSTOVIC</t>
  </si>
  <si>
    <t>NKUNKU</t>
  </si>
  <si>
    <t>GOLLINI</t>
  </si>
  <si>
    <t>NJIE</t>
  </si>
  <si>
    <t>LUKAKU</t>
  </si>
  <si>
    <t>LOOKMAN</t>
  </si>
  <si>
    <t>ANJORIN</t>
  </si>
  <si>
    <t>BAILEY</t>
  </si>
  <si>
    <t>STANCIU</t>
  </si>
  <si>
    <t>VALLE</t>
  </si>
  <si>
    <t>GILA</t>
  </si>
  <si>
    <t>MINA</t>
  </si>
  <si>
    <t>BUTEZ</t>
  </si>
  <si>
    <t>DJIMSITI</t>
  </si>
  <si>
    <t>DIMARCO</t>
  </si>
  <si>
    <t>BREMER</t>
  </si>
  <si>
    <t>LOCATELLI</t>
  </si>
  <si>
    <t>SUCIC P.</t>
  </si>
  <si>
    <t>KARLSTROM</t>
  </si>
  <si>
    <t>PERRONE</t>
  </si>
  <si>
    <t>YILDIZ</t>
  </si>
  <si>
    <t>LEAO</t>
  </si>
  <si>
    <t>DAVIS K.</t>
  </si>
  <si>
    <t>MAIGNAN</t>
  </si>
  <si>
    <t>GIOVANE</t>
  </si>
  <si>
    <t>MOSQUERA</t>
  </si>
  <si>
    <t>NGONGE</t>
  </si>
  <si>
    <t>BASIC</t>
  </si>
  <si>
    <t>JASHARI</t>
  </si>
  <si>
    <t>KONE’ I.</t>
  </si>
  <si>
    <t>KRISTENSEN T.</t>
  </si>
  <si>
    <t>MIRANDA J.</t>
  </si>
  <si>
    <t>GABBIA</t>
  </si>
  <si>
    <t>PINSOGLIO</t>
  </si>
  <si>
    <t>KONE’ M.</t>
  </si>
  <si>
    <t>DE SILVESTRI</t>
  </si>
  <si>
    <t>CARNESECCHI</t>
  </si>
  <si>
    <t>LAZARO</t>
  </si>
  <si>
    <t>PALESTRA</t>
  </si>
  <si>
    <t>MARIPAN</t>
  </si>
  <si>
    <t>THURAM K.</t>
  </si>
  <si>
    <t>BARELLA</t>
  </si>
  <si>
    <t>CALHANOGLU</t>
  </si>
  <si>
    <t>ZALEWSKI</t>
  </si>
  <si>
    <t>KEAN</t>
  </si>
  <si>
    <t>THURAM</t>
  </si>
  <si>
    <t>VITINHA O.</t>
  </si>
  <si>
    <t>ROSSI F.</t>
  </si>
  <si>
    <t>DYBALA</t>
  </si>
  <si>
    <t>CAMBIAGHI</t>
  </si>
  <si>
    <t>LAURIENTE’</t>
  </si>
  <si>
    <t>NDOUR</t>
  </si>
  <si>
    <t>MKHITARYAN</t>
  </si>
  <si>
    <t>MIRETTI</t>
  </si>
  <si>
    <t>COCO</t>
  </si>
  <si>
    <t>GALLO</t>
  </si>
  <si>
    <t>DE VRIJ</t>
  </si>
  <si>
    <t>x</t>
  </si>
  <si>
    <t>**** Dertermino la rosa (2) con tutti i valori utili aggiornati alla giornata (11) ****</t>
  </si>
  <si>
    <t>**** Determino i fattori di rating su base punti/presenza ultime giornate ****</t>
  </si>
  <si>
    <t>Rating dei singoli giocatori</t>
  </si>
  <si>
    <t>**** Ordino i giocatori su base rating ****</t>
  </si>
  <si>
    <t>ind</t>
  </si>
  <si>
    <t>nome</t>
  </si>
  <si>
    <t>rat</t>
  </si>
  <si>
    <t>rat1</t>
  </si>
  <si>
    <t>rat2</t>
  </si>
  <si>
    <t>rat3</t>
  </si>
  <si>
    <t>rat4</t>
  </si>
  <si>
    <t>rat5</t>
  </si>
  <si>
    <t>campo</t>
  </si>
  <si>
    <t>SPORTIELLO</t>
  </si>
  <si>
    <t>GATTI</t>
  </si>
  <si>
    <t>RUGANI</t>
  </si>
  <si>
    <t>VOLPATO</t>
  </si>
  <si>
    <t>avg</t>
  </si>
  <si>
    <t>ass</t>
  </si>
  <si>
    <t>min</t>
  </si>
  <si>
    <t>14:56:09:165</t>
  </si>
  <si>
    <t>14:56:09:412</t>
  </si>
  <si>
    <t>14:56:21:903</t>
  </si>
  <si>
    <t>14:56:36:158</t>
  </si>
  <si>
    <t>14:56:41:992</t>
  </si>
  <si>
    <t>14:56:49:332</t>
  </si>
  <si>
    <t>14:56:55:758</t>
  </si>
  <si>
    <t>14:57:01:876</t>
  </si>
  <si>
    <t>14:57:08:785</t>
  </si>
  <si>
    <t>14:57:21:787</t>
  </si>
  <si>
    <t>14:57:37:487</t>
  </si>
  <si>
    <t>14:57:51:735</t>
  </si>
  <si>
    <t>14:58:01:868</t>
  </si>
  <si>
    <t>14:58:10:789</t>
  </si>
  <si>
    <t>14:58:21:041</t>
  </si>
  <si>
    <t>14:58:37:106</t>
  </si>
  <si>
    <t>14:58:48:942</t>
  </si>
  <si>
    <t>14:59:04:860</t>
  </si>
  <si>
    <t>14:59:17:113</t>
  </si>
  <si>
    <t>14:59:29:409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</si>
</sst>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8"/>
      <name val="Aptos"/>
    </font>
    <font>
      <sz val="10"/>
      <color indexed="8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5" fillId="0" borderId="0"/>
    <xf numFmtId="0" fontId="5" fillId="0" borderId="0"/>
  </cellStyleXfs>
  <cellXfs count="14">
    <xf numFmtId="0" fontId="0" fillId="0" borderId="0" xfId="0"/>
    <xf numFmtId="0" fontId="3" fillId="2" borderId="1" xfId="2" applyFont="1" applyFill="1" applyBorder="1" applyAlignment="1">
      <alignment horizontal="center"/>
    </xf>
    <xf numFmtId="0" fontId="3" fillId="0" borderId="2" xfId="2" applyFont="1" applyBorder="1" applyAlignment="1">
      <alignment horizontal="right" wrapText="1"/>
    </xf>
    <xf numFmtId="0" fontId="3" fillId="0" borderId="2" xfId="2" applyFont="1" applyBorder="1" applyAlignment="1">
      <alignment wrapText="1"/>
    </xf>
    <xf numFmtId="164" fontId="0" fillId="0" borderId="0" xfId="1" applyNumberFormat="1" applyFont="1"/>
    <xf numFmtId="10" fontId="0" fillId="0" borderId="0" xfId="1" applyNumberFormat="1" applyFont="1"/>
    <xf numFmtId="0" fontId="0" fillId="0" borderId="3" xfId="0" applyBorder="1"/>
    <xf numFmtId="0" fontId="2" fillId="0" borderId="3" xfId="0" applyFont="1" applyBorder="1"/>
    <xf numFmtId="0" fontId="6" fillId="2" borderId="1" xfId="3" applyFont="1" applyFill="1" applyBorder="1" applyAlignment="1">
      <alignment horizontal="center"/>
    </xf>
    <xf numFmtId="0" fontId="6" fillId="0" borderId="2" xfId="3" applyFont="1" applyBorder="1" applyAlignment="1">
      <alignment wrapText="1"/>
    </xf>
    <xf numFmtId="0" fontId="6" fillId="0" borderId="2" xfId="3" applyFont="1" applyBorder="1" applyAlignment="1">
      <alignment horizontal="right" wrapText="1"/>
    </xf>
    <xf numFmtId="0" fontId="6" fillId="0" borderId="2" xfId="4" applyFont="1" applyBorder="1" applyAlignment="1">
      <alignment horizontal="right" wrapText="1"/>
    </xf>
    <xf numFmtId="0" fontId="5" fillId="0" borderId="0" xfId="4"/>
    <xf numFmtId="0" fontId="6" fillId="0" borderId="2" xfId="4" applyFont="1" applyBorder="1" applyAlignment="1">
      <alignment wrapText="1"/>
    </xf>
  </cellXfs>
  <cellStyles count="5">
    <cellStyle name="Normal" xfId="0" builtinId="0"/>
    <cellStyle name="Normal_Sheet1" xfId="2" xr:uid="{6E106110-6E26-423B-8AF4-B5CF38696010}"/>
    <cellStyle name="Normal_Sheet2" xfId="3" xr:uid="{0B09AB02-F2DB-4048-8983-23AB7ADA937E}"/>
    <cellStyle name="Normal_Sheet8" xfId="4" xr:uid="{EE0B949D-4877-403D-8A98-4C907B6A37E0}"/>
    <cellStyle name="Percent" xfId="1" builtinId="5"/>
  </cellStyles>
  <dxfs count="13"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E8ADB-CA1E-46C4-B3AD-1EFB9D62198B}">
  <sheetPr codeName="Sheet1" filterMode="1"/>
  <dimension ref="A1:Z381"/>
  <sheetViews>
    <sheetView workbookViewId="0">
      <selection activeCell="C361" sqref="C361"/>
    </sheetView>
  </sheetViews>
  <sheetFormatPr defaultRowHeight="14.25" x14ac:dyDescent="0.45"/>
  <cols>
    <col min="5" max="5" width="22.796875" customWidth="1"/>
  </cols>
  <sheetData>
    <row r="1" spans="1:26" x14ac:dyDescent="0.45">
      <c r="A1" s="1" t="s">
        <v>0</v>
      </c>
      <c r="B1" s="1" t="s">
        <v>1</v>
      </c>
      <c r="C1" s="1"/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</row>
    <row r="2" spans="1:26" hidden="1" x14ac:dyDescent="0.45">
      <c r="A2" s="2">
        <v>21</v>
      </c>
      <c r="B2" s="2">
        <v>1</v>
      </c>
      <c r="C2" s="2"/>
      <c r="D2" s="2">
        <v>1</v>
      </c>
      <c r="E2" s="3" t="s">
        <v>25</v>
      </c>
      <c r="F2" s="2">
        <v>3</v>
      </c>
      <c r="G2" s="2">
        <v>3</v>
      </c>
      <c r="H2" s="2">
        <v>0</v>
      </c>
      <c r="I2" s="2">
        <v>1</v>
      </c>
      <c r="J2" s="2">
        <v>1</v>
      </c>
      <c r="K2" s="2">
        <v>0</v>
      </c>
      <c r="L2" s="2">
        <v>1</v>
      </c>
      <c r="M2" s="2">
        <v>1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5</v>
      </c>
      <c r="Y2" s="2">
        <v>5</v>
      </c>
      <c r="Z2" s="2">
        <v>0</v>
      </c>
    </row>
    <row r="3" spans="1:26" hidden="1" x14ac:dyDescent="0.45">
      <c r="A3" s="2">
        <v>22</v>
      </c>
      <c r="B3" s="2">
        <v>1</v>
      </c>
      <c r="C3" s="2"/>
      <c r="D3" s="2">
        <v>1</v>
      </c>
      <c r="E3" s="3" t="s">
        <v>26</v>
      </c>
      <c r="F3" s="2">
        <v>3</v>
      </c>
      <c r="G3" s="2">
        <v>0</v>
      </c>
      <c r="H3" s="2">
        <v>3</v>
      </c>
      <c r="I3" s="2">
        <v>1</v>
      </c>
      <c r="J3" s="2">
        <v>0</v>
      </c>
      <c r="K3" s="2">
        <v>1</v>
      </c>
      <c r="L3" s="2">
        <v>1</v>
      </c>
      <c r="M3" s="2">
        <v>0</v>
      </c>
      <c r="N3" s="2">
        <v>1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2</v>
      </c>
      <c r="Y3" s="2">
        <v>0</v>
      </c>
      <c r="Z3" s="2">
        <v>2</v>
      </c>
    </row>
    <row r="4" spans="1:26" hidden="1" x14ac:dyDescent="0.45">
      <c r="A4" s="2">
        <v>23</v>
      </c>
      <c r="B4" s="2">
        <v>1</v>
      </c>
      <c r="C4" s="2"/>
      <c r="D4" s="2">
        <v>1</v>
      </c>
      <c r="E4" s="3" t="s">
        <v>27</v>
      </c>
      <c r="F4" s="2">
        <v>3</v>
      </c>
      <c r="G4" s="2">
        <v>3</v>
      </c>
      <c r="H4" s="2">
        <v>0</v>
      </c>
      <c r="I4" s="2">
        <v>1</v>
      </c>
      <c r="J4" s="2">
        <v>1</v>
      </c>
      <c r="K4" s="2">
        <v>0</v>
      </c>
      <c r="L4" s="2">
        <v>1</v>
      </c>
      <c r="M4" s="2">
        <v>1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2</v>
      </c>
      <c r="Y4" s="2">
        <v>2</v>
      </c>
      <c r="Z4" s="2">
        <v>0</v>
      </c>
    </row>
    <row r="5" spans="1:26" hidden="1" x14ac:dyDescent="0.45">
      <c r="A5" s="2">
        <v>24</v>
      </c>
      <c r="B5" s="2">
        <v>1</v>
      </c>
      <c r="C5" s="2"/>
      <c r="D5" s="2">
        <v>1</v>
      </c>
      <c r="E5" s="3" t="s">
        <v>28</v>
      </c>
      <c r="F5" s="2">
        <v>3</v>
      </c>
      <c r="G5" s="2">
        <v>3</v>
      </c>
      <c r="H5" s="2">
        <v>0</v>
      </c>
      <c r="I5" s="2">
        <v>1</v>
      </c>
      <c r="J5" s="2">
        <v>1</v>
      </c>
      <c r="K5" s="2">
        <v>0</v>
      </c>
      <c r="L5" s="2">
        <v>1</v>
      </c>
      <c r="M5" s="2">
        <v>1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2</v>
      </c>
      <c r="Y5" s="2">
        <v>2</v>
      </c>
      <c r="Z5" s="2">
        <v>0</v>
      </c>
    </row>
    <row r="6" spans="1:26" hidden="1" x14ac:dyDescent="0.45">
      <c r="A6" s="2">
        <v>25</v>
      </c>
      <c r="B6" s="2">
        <v>1</v>
      </c>
      <c r="C6" s="2"/>
      <c r="D6" s="2">
        <v>1</v>
      </c>
      <c r="E6" s="3" t="s">
        <v>29</v>
      </c>
      <c r="F6" s="2">
        <v>3</v>
      </c>
      <c r="G6" s="2">
        <v>0</v>
      </c>
      <c r="H6" s="2">
        <v>3</v>
      </c>
      <c r="I6" s="2">
        <v>1</v>
      </c>
      <c r="J6" s="2">
        <v>0</v>
      </c>
      <c r="K6" s="2">
        <v>1</v>
      </c>
      <c r="L6" s="2">
        <v>1</v>
      </c>
      <c r="M6" s="2">
        <v>0</v>
      </c>
      <c r="N6" s="2">
        <v>1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0</v>
      </c>
      <c r="W6" s="2">
        <v>1</v>
      </c>
      <c r="X6" s="2">
        <v>2</v>
      </c>
      <c r="Y6" s="2">
        <v>0</v>
      </c>
      <c r="Z6" s="2">
        <v>2</v>
      </c>
    </row>
    <row r="7" spans="1:26" hidden="1" x14ac:dyDescent="0.45">
      <c r="A7" s="2">
        <v>26</v>
      </c>
      <c r="B7" s="2">
        <v>1</v>
      </c>
      <c r="C7" s="2"/>
      <c r="D7" s="2">
        <v>1</v>
      </c>
      <c r="E7" s="3" t="s">
        <v>30</v>
      </c>
      <c r="F7" s="2">
        <v>3</v>
      </c>
      <c r="G7" s="2">
        <v>3</v>
      </c>
      <c r="H7" s="2">
        <v>0</v>
      </c>
      <c r="I7" s="2">
        <v>1</v>
      </c>
      <c r="J7" s="2">
        <v>1</v>
      </c>
      <c r="K7" s="2">
        <v>0</v>
      </c>
      <c r="L7" s="2">
        <v>1</v>
      </c>
      <c r="M7" s="2">
        <v>1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1</v>
      </c>
      <c r="Y7" s="2">
        <v>1</v>
      </c>
      <c r="Z7" s="2">
        <v>0</v>
      </c>
    </row>
    <row r="8" spans="1:26" hidden="1" x14ac:dyDescent="0.45">
      <c r="A8" s="2">
        <v>27</v>
      </c>
      <c r="B8" s="2">
        <v>1</v>
      </c>
      <c r="C8" s="2"/>
      <c r="D8" s="2">
        <v>7</v>
      </c>
      <c r="E8" s="3" t="s">
        <v>31</v>
      </c>
      <c r="F8" s="2">
        <v>1</v>
      </c>
      <c r="G8" s="2">
        <v>1</v>
      </c>
      <c r="H8" s="2">
        <v>0</v>
      </c>
      <c r="I8" s="2">
        <v>1</v>
      </c>
      <c r="J8" s="2">
        <v>1</v>
      </c>
      <c r="K8" s="2">
        <v>0</v>
      </c>
      <c r="L8" s="2">
        <v>0</v>
      </c>
      <c r="M8" s="2">
        <v>0</v>
      </c>
      <c r="N8" s="2">
        <v>0</v>
      </c>
      <c r="O8" s="2">
        <v>1</v>
      </c>
      <c r="P8" s="2">
        <v>1</v>
      </c>
      <c r="Q8" s="2">
        <v>0</v>
      </c>
      <c r="R8" s="2">
        <v>0</v>
      </c>
      <c r="S8" s="2">
        <v>0</v>
      </c>
      <c r="T8" s="2">
        <v>0</v>
      </c>
      <c r="U8" s="2">
        <v>1</v>
      </c>
      <c r="V8" s="2">
        <v>1</v>
      </c>
      <c r="W8" s="2">
        <v>0</v>
      </c>
      <c r="X8" s="2">
        <v>1</v>
      </c>
      <c r="Y8" s="2">
        <v>1</v>
      </c>
      <c r="Z8" s="2">
        <v>0</v>
      </c>
    </row>
    <row r="9" spans="1:26" hidden="1" x14ac:dyDescent="0.45">
      <c r="A9" s="2">
        <v>28</v>
      </c>
      <c r="B9" s="2">
        <v>1</v>
      </c>
      <c r="C9" s="2"/>
      <c r="D9" s="2">
        <v>7</v>
      </c>
      <c r="E9" s="3" t="s">
        <v>32</v>
      </c>
      <c r="F9" s="2">
        <v>1</v>
      </c>
      <c r="G9" s="2">
        <v>0</v>
      </c>
      <c r="H9" s="2">
        <v>1</v>
      </c>
      <c r="I9" s="2">
        <v>1</v>
      </c>
      <c r="J9" s="2">
        <v>0</v>
      </c>
      <c r="K9" s="2">
        <v>1</v>
      </c>
      <c r="L9" s="2">
        <v>0</v>
      </c>
      <c r="M9" s="2">
        <v>0</v>
      </c>
      <c r="N9" s="2">
        <v>0</v>
      </c>
      <c r="O9" s="2">
        <v>1</v>
      </c>
      <c r="P9" s="2">
        <v>0</v>
      </c>
      <c r="Q9" s="2">
        <v>1</v>
      </c>
      <c r="R9" s="2">
        <v>0</v>
      </c>
      <c r="S9" s="2">
        <v>0</v>
      </c>
      <c r="T9" s="2">
        <v>0</v>
      </c>
      <c r="U9" s="2">
        <v>1</v>
      </c>
      <c r="V9" s="2">
        <v>0</v>
      </c>
      <c r="W9" s="2">
        <v>1</v>
      </c>
      <c r="X9" s="2">
        <v>1</v>
      </c>
      <c r="Y9" s="2">
        <v>0</v>
      </c>
      <c r="Z9" s="2">
        <v>1</v>
      </c>
    </row>
    <row r="10" spans="1:26" hidden="1" x14ac:dyDescent="0.45">
      <c r="A10" s="2">
        <v>29</v>
      </c>
      <c r="B10" s="2">
        <v>1</v>
      </c>
      <c r="C10" s="2"/>
      <c r="D10" s="2">
        <v>7</v>
      </c>
      <c r="E10" s="3" t="s">
        <v>33</v>
      </c>
      <c r="F10" s="2">
        <v>1</v>
      </c>
      <c r="G10" s="2">
        <v>0</v>
      </c>
      <c r="H10" s="2">
        <v>1</v>
      </c>
      <c r="I10" s="2">
        <v>1</v>
      </c>
      <c r="J10" s="2">
        <v>0</v>
      </c>
      <c r="K10" s="2">
        <v>1</v>
      </c>
      <c r="L10" s="2">
        <v>0</v>
      </c>
      <c r="M10" s="2">
        <v>0</v>
      </c>
      <c r="N10" s="2">
        <v>0</v>
      </c>
      <c r="O10" s="2">
        <v>1</v>
      </c>
      <c r="P10" s="2">
        <v>0</v>
      </c>
      <c r="Q10" s="2">
        <v>1</v>
      </c>
      <c r="R10" s="2">
        <v>0</v>
      </c>
      <c r="S10" s="2">
        <v>0</v>
      </c>
      <c r="T10" s="2">
        <v>0</v>
      </c>
      <c r="U10" s="2">
        <v>1</v>
      </c>
      <c r="V10" s="2">
        <v>0</v>
      </c>
      <c r="W10" s="2">
        <v>1</v>
      </c>
      <c r="X10" s="2">
        <v>1</v>
      </c>
      <c r="Y10" s="2">
        <v>0</v>
      </c>
      <c r="Z10" s="2">
        <v>1</v>
      </c>
    </row>
    <row r="11" spans="1:26" hidden="1" x14ac:dyDescent="0.45">
      <c r="A11" s="2">
        <v>30</v>
      </c>
      <c r="B11" s="2">
        <v>1</v>
      </c>
      <c r="C11" s="2"/>
      <c r="D11" s="2">
        <v>7</v>
      </c>
      <c r="E11" s="3" t="s">
        <v>34</v>
      </c>
      <c r="F11" s="2">
        <v>1</v>
      </c>
      <c r="G11" s="2">
        <v>0</v>
      </c>
      <c r="H11" s="2">
        <v>1</v>
      </c>
      <c r="I11" s="2">
        <v>1</v>
      </c>
      <c r="J11" s="2">
        <v>0</v>
      </c>
      <c r="K11" s="2">
        <v>1</v>
      </c>
      <c r="L11" s="2">
        <v>0</v>
      </c>
      <c r="M11" s="2">
        <v>0</v>
      </c>
      <c r="N11" s="2">
        <v>0</v>
      </c>
      <c r="O11" s="2">
        <v>1</v>
      </c>
      <c r="P11" s="2">
        <v>0</v>
      </c>
      <c r="Q11" s="2">
        <v>1</v>
      </c>
      <c r="R11" s="2">
        <v>0</v>
      </c>
      <c r="S11" s="2">
        <v>0</v>
      </c>
      <c r="T11" s="2">
        <v>0</v>
      </c>
      <c r="U11" s="2">
        <v>1</v>
      </c>
      <c r="V11" s="2">
        <v>0</v>
      </c>
      <c r="W11" s="2">
        <v>1</v>
      </c>
      <c r="X11" s="2">
        <v>1</v>
      </c>
      <c r="Y11" s="2">
        <v>0</v>
      </c>
      <c r="Z11" s="2">
        <v>1</v>
      </c>
    </row>
    <row r="12" spans="1:26" hidden="1" x14ac:dyDescent="0.45">
      <c r="A12" s="2">
        <v>31</v>
      </c>
      <c r="B12" s="2">
        <v>1</v>
      </c>
      <c r="C12" s="2"/>
      <c r="D12" s="2">
        <v>7</v>
      </c>
      <c r="E12" s="3" t="s">
        <v>35</v>
      </c>
      <c r="F12" s="2">
        <v>1</v>
      </c>
      <c r="G12" s="2">
        <v>1</v>
      </c>
      <c r="H12" s="2">
        <v>0</v>
      </c>
      <c r="I12" s="2">
        <v>1</v>
      </c>
      <c r="J12" s="2">
        <v>1</v>
      </c>
      <c r="K12" s="2">
        <v>0</v>
      </c>
      <c r="L12" s="2">
        <v>0</v>
      </c>
      <c r="M12" s="2">
        <v>0</v>
      </c>
      <c r="N12" s="2">
        <v>0</v>
      </c>
      <c r="O12" s="2">
        <v>1</v>
      </c>
      <c r="P12" s="2">
        <v>1</v>
      </c>
      <c r="Q12" s="2">
        <v>0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0</v>
      </c>
      <c r="X12" s="2">
        <v>1</v>
      </c>
      <c r="Y12" s="2">
        <v>1</v>
      </c>
      <c r="Z12" s="2">
        <v>0</v>
      </c>
    </row>
    <row r="13" spans="1:26" hidden="1" x14ac:dyDescent="0.45">
      <c r="A13" s="2">
        <v>32</v>
      </c>
      <c r="B13" s="2">
        <v>1</v>
      </c>
      <c r="C13" s="2"/>
      <c r="D13" s="2">
        <v>7</v>
      </c>
      <c r="E13" s="3" t="s">
        <v>36</v>
      </c>
      <c r="F13" s="2">
        <v>1</v>
      </c>
      <c r="G13" s="2">
        <v>1</v>
      </c>
      <c r="H13" s="2">
        <v>0</v>
      </c>
      <c r="I13" s="2">
        <v>1</v>
      </c>
      <c r="J13" s="2">
        <v>1</v>
      </c>
      <c r="K13" s="2">
        <v>0</v>
      </c>
      <c r="L13" s="2">
        <v>0</v>
      </c>
      <c r="M13" s="2">
        <v>0</v>
      </c>
      <c r="N13" s="2">
        <v>0</v>
      </c>
      <c r="O13" s="2">
        <v>1</v>
      </c>
      <c r="P13" s="2">
        <v>1</v>
      </c>
      <c r="Q13" s="2">
        <v>0</v>
      </c>
      <c r="R13" s="2">
        <v>0</v>
      </c>
      <c r="S13" s="2">
        <v>0</v>
      </c>
      <c r="T13" s="2">
        <v>0</v>
      </c>
      <c r="U13" s="2">
        <v>1</v>
      </c>
      <c r="V13" s="2">
        <v>1</v>
      </c>
      <c r="W13" s="2">
        <v>0</v>
      </c>
      <c r="X13" s="2">
        <v>1</v>
      </c>
      <c r="Y13" s="2">
        <v>1</v>
      </c>
      <c r="Z13" s="2">
        <v>0</v>
      </c>
    </row>
    <row r="14" spans="1:26" hidden="1" x14ac:dyDescent="0.45">
      <c r="A14" s="2">
        <v>33</v>
      </c>
      <c r="B14" s="2">
        <v>1</v>
      </c>
      <c r="C14" s="2"/>
      <c r="D14" s="2">
        <v>7</v>
      </c>
      <c r="E14" s="3" t="s">
        <v>37</v>
      </c>
      <c r="F14" s="2">
        <v>1</v>
      </c>
      <c r="G14" s="2">
        <v>1</v>
      </c>
      <c r="H14" s="2">
        <v>0</v>
      </c>
      <c r="I14" s="2">
        <v>1</v>
      </c>
      <c r="J14" s="2">
        <v>1</v>
      </c>
      <c r="K14" s="2">
        <v>0</v>
      </c>
      <c r="L14" s="2">
        <v>0</v>
      </c>
      <c r="M14" s="2">
        <v>0</v>
      </c>
      <c r="N14" s="2">
        <v>0</v>
      </c>
      <c r="O14" s="2">
        <v>1</v>
      </c>
      <c r="P14" s="2">
        <v>1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</row>
    <row r="15" spans="1:26" hidden="1" x14ac:dyDescent="0.45">
      <c r="A15" s="2">
        <v>34</v>
      </c>
      <c r="B15" s="2">
        <v>1</v>
      </c>
      <c r="C15" s="2"/>
      <c r="D15" s="2">
        <v>7</v>
      </c>
      <c r="E15" s="3" t="s">
        <v>38</v>
      </c>
      <c r="F15" s="2">
        <v>1</v>
      </c>
      <c r="G15" s="2">
        <v>0</v>
      </c>
      <c r="H15" s="2">
        <v>1</v>
      </c>
      <c r="I15" s="2">
        <v>1</v>
      </c>
      <c r="J15" s="2">
        <v>0</v>
      </c>
      <c r="K15" s="2">
        <v>1</v>
      </c>
      <c r="L15" s="2">
        <v>0</v>
      </c>
      <c r="M15" s="2">
        <v>0</v>
      </c>
      <c r="N15" s="2">
        <v>0</v>
      </c>
      <c r="O15" s="2">
        <v>1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</row>
    <row r="16" spans="1:26" hidden="1" x14ac:dyDescent="0.45">
      <c r="A16" s="2">
        <v>35</v>
      </c>
      <c r="B16" s="2">
        <v>1</v>
      </c>
      <c r="C16" s="2"/>
      <c r="D16" s="2">
        <v>15</v>
      </c>
      <c r="E16" s="3" t="s">
        <v>39</v>
      </c>
      <c r="F16" s="2">
        <v>0</v>
      </c>
      <c r="G16" s="2">
        <v>0</v>
      </c>
      <c r="H16" s="2">
        <v>0</v>
      </c>
      <c r="I16" s="2">
        <v>1</v>
      </c>
      <c r="J16" s="2">
        <v>1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1</v>
      </c>
      <c r="S16" s="2">
        <v>1</v>
      </c>
      <c r="T16" s="2">
        <v>0</v>
      </c>
      <c r="U16" s="2">
        <v>2</v>
      </c>
      <c r="V16" s="2">
        <v>2</v>
      </c>
      <c r="W16" s="2">
        <v>0</v>
      </c>
      <c r="X16" s="2">
        <v>1</v>
      </c>
      <c r="Y16" s="2">
        <v>1</v>
      </c>
      <c r="Z16" s="2">
        <v>0</v>
      </c>
    </row>
    <row r="17" spans="1:26" hidden="1" x14ac:dyDescent="0.45">
      <c r="A17" s="2">
        <v>36</v>
      </c>
      <c r="B17" s="2">
        <v>1</v>
      </c>
      <c r="C17" s="2"/>
      <c r="D17" s="2">
        <v>15</v>
      </c>
      <c r="E17" s="3" t="s">
        <v>40</v>
      </c>
      <c r="F17" s="2">
        <v>0</v>
      </c>
      <c r="G17" s="2">
        <v>0</v>
      </c>
      <c r="H17" s="2">
        <v>0</v>
      </c>
      <c r="I17" s="2">
        <v>1</v>
      </c>
      <c r="J17" s="2">
        <v>0</v>
      </c>
      <c r="K17" s="2">
        <v>1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1</v>
      </c>
      <c r="S17" s="2">
        <v>0</v>
      </c>
      <c r="T17" s="2">
        <v>1</v>
      </c>
      <c r="U17" s="2">
        <v>1</v>
      </c>
      <c r="V17" s="2">
        <v>0</v>
      </c>
      <c r="W17" s="2">
        <v>1</v>
      </c>
      <c r="X17" s="2">
        <v>0</v>
      </c>
      <c r="Y17" s="2">
        <v>0</v>
      </c>
      <c r="Z17" s="2">
        <v>0</v>
      </c>
    </row>
    <row r="18" spans="1:26" hidden="1" x14ac:dyDescent="0.45">
      <c r="A18" s="2">
        <v>37</v>
      </c>
      <c r="B18" s="2">
        <v>1</v>
      </c>
      <c r="C18" s="2"/>
      <c r="D18" s="2">
        <v>15</v>
      </c>
      <c r="E18" s="3" t="s">
        <v>41</v>
      </c>
      <c r="F18" s="2">
        <v>0</v>
      </c>
      <c r="G18" s="2">
        <v>0</v>
      </c>
      <c r="H18" s="2">
        <v>0</v>
      </c>
      <c r="I18" s="2">
        <v>1</v>
      </c>
      <c r="J18" s="2">
        <v>0</v>
      </c>
      <c r="K18" s="2">
        <v>1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1</v>
      </c>
      <c r="S18" s="2">
        <v>0</v>
      </c>
      <c r="T18" s="2">
        <v>1</v>
      </c>
      <c r="U18" s="2">
        <v>2</v>
      </c>
      <c r="V18" s="2">
        <v>0</v>
      </c>
      <c r="W18" s="2">
        <v>2</v>
      </c>
      <c r="X18" s="2">
        <v>0</v>
      </c>
      <c r="Y18" s="2">
        <v>0</v>
      </c>
      <c r="Z18" s="2">
        <v>0</v>
      </c>
    </row>
    <row r="19" spans="1:26" hidden="1" x14ac:dyDescent="0.45">
      <c r="A19" s="2">
        <v>38</v>
      </c>
      <c r="B19" s="2">
        <v>1</v>
      </c>
      <c r="C19" s="2"/>
      <c r="D19" s="2">
        <v>15</v>
      </c>
      <c r="E19" s="3" t="s">
        <v>42</v>
      </c>
      <c r="F19" s="2">
        <v>0</v>
      </c>
      <c r="G19" s="2">
        <v>0</v>
      </c>
      <c r="H19" s="2">
        <v>0</v>
      </c>
      <c r="I19" s="2">
        <v>1</v>
      </c>
      <c r="J19" s="2">
        <v>0</v>
      </c>
      <c r="K19" s="2">
        <v>1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1</v>
      </c>
      <c r="S19" s="2">
        <v>0</v>
      </c>
      <c r="T19" s="2">
        <v>1</v>
      </c>
      <c r="U19" s="2">
        <v>2</v>
      </c>
      <c r="V19" s="2">
        <v>0</v>
      </c>
      <c r="W19" s="2">
        <v>2</v>
      </c>
      <c r="X19" s="2">
        <v>0</v>
      </c>
      <c r="Y19" s="2">
        <v>0</v>
      </c>
      <c r="Z19" s="2">
        <v>0</v>
      </c>
    </row>
    <row r="20" spans="1:26" hidden="1" x14ac:dyDescent="0.45">
      <c r="A20" s="2">
        <v>39</v>
      </c>
      <c r="B20" s="2">
        <v>1</v>
      </c>
      <c r="C20" s="2"/>
      <c r="D20" s="2">
        <v>15</v>
      </c>
      <c r="E20" s="3" t="s">
        <v>43</v>
      </c>
      <c r="F20" s="2">
        <v>0</v>
      </c>
      <c r="G20" s="2">
        <v>0</v>
      </c>
      <c r="H20" s="2">
        <v>0</v>
      </c>
      <c r="I20" s="2">
        <v>1</v>
      </c>
      <c r="J20" s="2">
        <v>1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1</v>
      </c>
      <c r="S20" s="2">
        <v>1</v>
      </c>
      <c r="T20" s="2">
        <v>0</v>
      </c>
      <c r="U20" s="2">
        <v>2</v>
      </c>
      <c r="V20" s="2">
        <v>2</v>
      </c>
      <c r="W20" s="2">
        <v>0</v>
      </c>
      <c r="X20" s="2">
        <v>0</v>
      </c>
      <c r="Y20" s="2">
        <v>0</v>
      </c>
      <c r="Z20" s="2">
        <v>0</v>
      </c>
    </row>
    <row r="21" spans="1:26" hidden="1" x14ac:dyDescent="0.45">
      <c r="A21" s="2">
        <v>40</v>
      </c>
      <c r="B21" s="2">
        <v>1</v>
      </c>
      <c r="C21" s="2"/>
      <c r="D21" s="2">
        <v>15</v>
      </c>
      <c r="E21" s="3" t="s">
        <v>44</v>
      </c>
      <c r="F21" s="2">
        <v>0</v>
      </c>
      <c r="G21" s="2">
        <v>0</v>
      </c>
      <c r="H21" s="2">
        <v>0</v>
      </c>
      <c r="I21" s="2">
        <v>1</v>
      </c>
      <c r="J21" s="2">
        <v>0</v>
      </c>
      <c r="K21" s="2">
        <v>1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1</v>
      </c>
      <c r="S21" s="2">
        <v>0</v>
      </c>
      <c r="T21" s="2">
        <v>1</v>
      </c>
      <c r="U21" s="2">
        <v>5</v>
      </c>
      <c r="V21" s="2">
        <v>0</v>
      </c>
      <c r="W21" s="2">
        <v>5</v>
      </c>
      <c r="X21" s="2">
        <v>0</v>
      </c>
      <c r="Y21" s="2">
        <v>0</v>
      </c>
      <c r="Z21" s="2">
        <v>0</v>
      </c>
    </row>
    <row r="22" spans="1:26" hidden="1" x14ac:dyDescent="0.45">
      <c r="A22" s="2">
        <v>41</v>
      </c>
      <c r="B22" s="2">
        <v>2</v>
      </c>
      <c r="C22" s="2"/>
      <c r="D22" s="2">
        <v>1</v>
      </c>
      <c r="E22" s="3" t="s">
        <v>26</v>
      </c>
      <c r="F22" s="2">
        <v>6</v>
      </c>
      <c r="G22" s="2">
        <v>3</v>
      </c>
      <c r="H22" s="2">
        <v>3</v>
      </c>
      <c r="I22" s="2">
        <v>2</v>
      </c>
      <c r="J22" s="2">
        <v>1</v>
      </c>
      <c r="K22" s="2">
        <v>1</v>
      </c>
      <c r="L22" s="2">
        <v>2</v>
      </c>
      <c r="M22" s="2">
        <v>1</v>
      </c>
      <c r="N22" s="2">
        <v>1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3</v>
      </c>
      <c r="Y22" s="2">
        <v>1</v>
      </c>
      <c r="Z22" s="2">
        <v>2</v>
      </c>
    </row>
    <row r="23" spans="1:26" hidden="1" x14ac:dyDescent="0.45">
      <c r="A23" s="2">
        <v>42</v>
      </c>
      <c r="B23" s="2">
        <v>2</v>
      </c>
      <c r="C23" s="2"/>
      <c r="D23" s="2">
        <v>1</v>
      </c>
      <c r="E23" s="3" t="s">
        <v>28</v>
      </c>
      <c r="F23" s="2">
        <v>6</v>
      </c>
      <c r="G23" s="2">
        <v>3</v>
      </c>
      <c r="H23" s="2">
        <v>3</v>
      </c>
      <c r="I23" s="2">
        <v>2</v>
      </c>
      <c r="J23" s="2">
        <v>1</v>
      </c>
      <c r="K23" s="2">
        <v>1</v>
      </c>
      <c r="L23" s="2">
        <v>2</v>
      </c>
      <c r="M23" s="2">
        <v>1</v>
      </c>
      <c r="N23" s="2">
        <v>1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3</v>
      </c>
      <c r="Y23" s="2">
        <v>2</v>
      </c>
      <c r="Z23" s="2">
        <v>1</v>
      </c>
    </row>
    <row r="24" spans="1:26" hidden="1" x14ac:dyDescent="0.45">
      <c r="A24" s="2">
        <v>43</v>
      </c>
      <c r="B24" s="2">
        <v>2</v>
      </c>
      <c r="C24" s="2"/>
      <c r="D24" s="2">
        <v>1</v>
      </c>
      <c r="E24" s="3" t="s">
        <v>29</v>
      </c>
      <c r="F24" s="2">
        <v>6</v>
      </c>
      <c r="G24" s="2">
        <v>3</v>
      </c>
      <c r="H24" s="2">
        <v>3</v>
      </c>
      <c r="I24" s="2">
        <v>2</v>
      </c>
      <c r="J24" s="2">
        <v>1</v>
      </c>
      <c r="K24" s="2">
        <v>1</v>
      </c>
      <c r="L24" s="2">
        <v>2</v>
      </c>
      <c r="M24" s="2">
        <v>1</v>
      </c>
      <c r="N24" s="2">
        <v>1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3</v>
      </c>
      <c r="V24" s="2">
        <v>2</v>
      </c>
      <c r="W24" s="2">
        <v>1</v>
      </c>
      <c r="X24" s="2">
        <v>5</v>
      </c>
      <c r="Y24" s="2">
        <v>3</v>
      </c>
      <c r="Z24" s="2">
        <v>2</v>
      </c>
    </row>
    <row r="25" spans="1:26" hidden="1" x14ac:dyDescent="0.45">
      <c r="A25" s="2">
        <v>44</v>
      </c>
      <c r="B25" s="2">
        <v>2</v>
      </c>
      <c r="C25" s="2"/>
      <c r="D25" s="2">
        <v>1</v>
      </c>
      <c r="E25" s="3" t="s">
        <v>30</v>
      </c>
      <c r="F25" s="2">
        <v>6</v>
      </c>
      <c r="G25" s="2">
        <v>3</v>
      </c>
      <c r="H25" s="2">
        <v>3</v>
      </c>
      <c r="I25" s="2">
        <v>2</v>
      </c>
      <c r="J25" s="2">
        <v>1</v>
      </c>
      <c r="K25" s="2">
        <v>1</v>
      </c>
      <c r="L25" s="2">
        <v>2</v>
      </c>
      <c r="M25" s="2">
        <v>1</v>
      </c>
      <c r="N25" s="2">
        <v>1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2</v>
      </c>
      <c r="Y25" s="2">
        <v>1</v>
      </c>
      <c r="Z25" s="2">
        <v>1</v>
      </c>
    </row>
    <row r="26" spans="1:26" hidden="1" x14ac:dyDescent="0.45">
      <c r="A26" s="2">
        <v>45</v>
      </c>
      <c r="B26" s="2">
        <v>2</v>
      </c>
      <c r="C26" s="2"/>
      <c r="D26" s="2">
        <v>5</v>
      </c>
      <c r="E26" s="3" t="s">
        <v>31</v>
      </c>
      <c r="F26" s="2">
        <v>4</v>
      </c>
      <c r="G26" s="2">
        <v>1</v>
      </c>
      <c r="H26" s="2">
        <v>3</v>
      </c>
      <c r="I26" s="2">
        <v>2</v>
      </c>
      <c r="J26" s="2">
        <v>1</v>
      </c>
      <c r="K26" s="2">
        <v>1</v>
      </c>
      <c r="L26" s="2">
        <v>1</v>
      </c>
      <c r="M26" s="2">
        <v>0</v>
      </c>
      <c r="N26" s="2">
        <v>1</v>
      </c>
      <c r="O26" s="2">
        <v>1</v>
      </c>
      <c r="P26" s="2">
        <v>1</v>
      </c>
      <c r="Q26" s="2">
        <v>0</v>
      </c>
      <c r="R26" s="2">
        <v>0</v>
      </c>
      <c r="S26" s="2">
        <v>0</v>
      </c>
      <c r="T26" s="2">
        <v>0</v>
      </c>
      <c r="U26" s="2">
        <v>2</v>
      </c>
      <c r="V26" s="2">
        <v>1</v>
      </c>
      <c r="W26" s="2">
        <v>1</v>
      </c>
      <c r="X26" s="2">
        <v>3</v>
      </c>
      <c r="Y26" s="2">
        <v>1</v>
      </c>
      <c r="Z26" s="2">
        <v>2</v>
      </c>
    </row>
    <row r="27" spans="1:26" hidden="1" x14ac:dyDescent="0.45">
      <c r="A27" s="2">
        <v>46</v>
      </c>
      <c r="B27" s="2">
        <v>2</v>
      </c>
      <c r="C27" s="2"/>
      <c r="D27" s="2">
        <v>6</v>
      </c>
      <c r="E27" s="3" t="s">
        <v>25</v>
      </c>
      <c r="F27" s="2">
        <v>3</v>
      </c>
      <c r="G27" s="2">
        <v>3</v>
      </c>
      <c r="H27" s="2">
        <v>0</v>
      </c>
      <c r="I27" s="2">
        <v>2</v>
      </c>
      <c r="J27" s="2">
        <v>2</v>
      </c>
      <c r="K27" s="2">
        <v>0</v>
      </c>
      <c r="L27" s="2">
        <v>1</v>
      </c>
      <c r="M27" s="2">
        <v>1</v>
      </c>
      <c r="N27" s="2">
        <v>0</v>
      </c>
      <c r="O27" s="2">
        <v>0</v>
      </c>
      <c r="P27" s="2">
        <v>0</v>
      </c>
      <c r="Q27" s="2">
        <v>0</v>
      </c>
      <c r="R27" s="2">
        <v>1</v>
      </c>
      <c r="S27" s="2">
        <v>1</v>
      </c>
      <c r="T27" s="2">
        <v>0</v>
      </c>
      <c r="U27" s="2">
        <v>2</v>
      </c>
      <c r="V27" s="2">
        <v>2</v>
      </c>
      <c r="W27" s="2">
        <v>0</v>
      </c>
      <c r="X27" s="2">
        <v>6</v>
      </c>
      <c r="Y27" s="2">
        <v>6</v>
      </c>
      <c r="Z27" s="2">
        <v>0</v>
      </c>
    </row>
    <row r="28" spans="1:26" hidden="1" x14ac:dyDescent="0.45">
      <c r="A28" s="2">
        <v>47</v>
      </c>
      <c r="B28" s="2">
        <v>2</v>
      </c>
      <c r="C28" s="2"/>
      <c r="D28" s="2">
        <v>6</v>
      </c>
      <c r="E28" s="3" t="s">
        <v>42</v>
      </c>
      <c r="F28" s="2">
        <v>3</v>
      </c>
      <c r="G28" s="2">
        <v>3</v>
      </c>
      <c r="H28" s="2">
        <v>0</v>
      </c>
      <c r="I28" s="2">
        <v>2</v>
      </c>
      <c r="J28" s="2">
        <v>1</v>
      </c>
      <c r="K28" s="2">
        <v>1</v>
      </c>
      <c r="L28" s="2">
        <v>1</v>
      </c>
      <c r="M28" s="2">
        <v>1</v>
      </c>
      <c r="N28" s="2">
        <v>0</v>
      </c>
      <c r="O28" s="2">
        <v>0</v>
      </c>
      <c r="P28" s="2">
        <v>0</v>
      </c>
      <c r="Q28" s="2">
        <v>0</v>
      </c>
      <c r="R28" s="2">
        <v>1</v>
      </c>
      <c r="S28" s="2">
        <v>0</v>
      </c>
      <c r="T28" s="2">
        <v>1</v>
      </c>
      <c r="U28" s="2">
        <v>2</v>
      </c>
      <c r="V28" s="2">
        <v>0</v>
      </c>
      <c r="W28" s="2">
        <v>2</v>
      </c>
      <c r="X28" s="2">
        <v>4</v>
      </c>
      <c r="Y28" s="2">
        <v>4</v>
      </c>
      <c r="Z28" s="2">
        <v>0</v>
      </c>
    </row>
    <row r="29" spans="1:26" hidden="1" x14ac:dyDescent="0.45">
      <c r="A29" s="2">
        <v>48</v>
      </c>
      <c r="B29" s="2">
        <v>2</v>
      </c>
      <c r="C29" s="2"/>
      <c r="D29" s="2">
        <v>6</v>
      </c>
      <c r="E29" s="3" t="s">
        <v>39</v>
      </c>
      <c r="F29" s="2">
        <v>3</v>
      </c>
      <c r="G29" s="2">
        <v>0</v>
      </c>
      <c r="H29" s="2">
        <v>3</v>
      </c>
      <c r="I29" s="2">
        <v>2</v>
      </c>
      <c r="J29" s="2">
        <v>1</v>
      </c>
      <c r="K29" s="2">
        <v>1</v>
      </c>
      <c r="L29" s="2">
        <v>1</v>
      </c>
      <c r="M29" s="2">
        <v>0</v>
      </c>
      <c r="N29" s="2">
        <v>1</v>
      </c>
      <c r="O29" s="2">
        <v>0</v>
      </c>
      <c r="P29" s="2">
        <v>0</v>
      </c>
      <c r="Q29" s="2">
        <v>0</v>
      </c>
      <c r="R29" s="2">
        <v>1</v>
      </c>
      <c r="S29" s="2">
        <v>1</v>
      </c>
      <c r="T29" s="2">
        <v>0</v>
      </c>
      <c r="U29" s="2">
        <v>2</v>
      </c>
      <c r="V29" s="2">
        <v>2</v>
      </c>
      <c r="W29" s="2">
        <v>0</v>
      </c>
      <c r="X29" s="2">
        <v>3</v>
      </c>
      <c r="Y29" s="2">
        <v>1</v>
      </c>
      <c r="Z29" s="2">
        <v>2</v>
      </c>
    </row>
    <row r="30" spans="1:26" hidden="1" x14ac:dyDescent="0.45">
      <c r="A30" s="2">
        <v>49</v>
      </c>
      <c r="B30" s="2">
        <v>2</v>
      </c>
      <c r="C30" s="2"/>
      <c r="D30" s="2">
        <v>6</v>
      </c>
      <c r="E30" s="3" t="s">
        <v>27</v>
      </c>
      <c r="F30" s="2">
        <v>3</v>
      </c>
      <c r="G30" s="2">
        <v>3</v>
      </c>
      <c r="H30" s="2">
        <v>0</v>
      </c>
      <c r="I30" s="2">
        <v>2</v>
      </c>
      <c r="J30" s="2">
        <v>1</v>
      </c>
      <c r="K30" s="2">
        <v>1</v>
      </c>
      <c r="L30" s="2">
        <v>1</v>
      </c>
      <c r="M30" s="2">
        <v>1</v>
      </c>
      <c r="N30" s="2">
        <v>0</v>
      </c>
      <c r="O30" s="2">
        <v>0</v>
      </c>
      <c r="P30" s="2">
        <v>0</v>
      </c>
      <c r="Q30" s="2">
        <v>0</v>
      </c>
      <c r="R30" s="2">
        <v>1</v>
      </c>
      <c r="S30" s="2">
        <v>0</v>
      </c>
      <c r="T30" s="2">
        <v>1</v>
      </c>
      <c r="U30" s="2">
        <v>1</v>
      </c>
      <c r="V30" s="2">
        <v>0</v>
      </c>
      <c r="W30" s="2">
        <v>1</v>
      </c>
      <c r="X30" s="2">
        <v>2</v>
      </c>
      <c r="Y30" s="2">
        <v>2</v>
      </c>
      <c r="Z30" s="2">
        <v>0</v>
      </c>
    </row>
    <row r="31" spans="1:26" hidden="1" x14ac:dyDescent="0.45">
      <c r="A31" s="2">
        <v>50</v>
      </c>
      <c r="B31" s="2">
        <v>2</v>
      </c>
      <c r="C31" s="2"/>
      <c r="D31" s="2">
        <v>6</v>
      </c>
      <c r="E31" s="3" t="s">
        <v>40</v>
      </c>
      <c r="F31" s="2">
        <v>3</v>
      </c>
      <c r="G31" s="2">
        <v>3</v>
      </c>
      <c r="H31" s="2">
        <v>0</v>
      </c>
      <c r="I31" s="2">
        <v>2</v>
      </c>
      <c r="J31" s="2">
        <v>1</v>
      </c>
      <c r="K31" s="2">
        <v>1</v>
      </c>
      <c r="L31" s="2">
        <v>1</v>
      </c>
      <c r="M31" s="2">
        <v>1</v>
      </c>
      <c r="N31" s="2">
        <v>0</v>
      </c>
      <c r="O31" s="2">
        <v>0</v>
      </c>
      <c r="P31" s="2">
        <v>0</v>
      </c>
      <c r="Q31" s="2">
        <v>0</v>
      </c>
      <c r="R31" s="2">
        <v>1</v>
      </c>
      <c r="S31" s="2">
        <v>0</v>
      </c>
      <c r="T31" s="2">
        <v>1</v>
      </c>
      <c r="U31" s="2">
        <v>1</v>
      </c>
      <c r="V31" s="2">
        <v>0</v>
      </c>
      <c r="W31" s="2">
        <v>1</v>
      </c>
      <c r="X31" s="2">
        <v>1</v>
      </c>
      <c r="Y31" s="2">
        <v>1</v>
      </c>
      <c r="Z31" s="2">
        <v>0</v>
      </c>
    </row>
    <row r="32" spans="1:26" hidden="1" x14ac:dyDescent="0.45">
      <c r="A32" s="2">
        <v>51</v>
      </c>
      <c r="B32" s="2">
        <v>2</v>
      </c>
      <c r="C32" s="2"/>
      <c r="D32" s="2">
        <v>11</v>
      </c>
      <c r="E32" s="3" t="s">
        <v>35</v>
      </c>
      <c r="F32" s="2">
        <v>2</v>
      </c>
      <c r="G32" s="2">
        <v>1</v>
      </c>
      <c r="H32" s="2">
        <v>1</v>
      </c>
      <c r="I32" s="2">
        <v>2</v>
      </c>
      <c r="J32" s="2">
        <v>1</v>
      </c>
      <c r="K32" s="2">
        <v>1</v>
      </c>
      <c r="L32" s="2">
        <v>0</v>
      </c>
      <c r="M32" s="2">
        <v>0</v>
      </c>
      <c r="N32" s="2">
        <v>0</v>
      </c>
      <c r="O32" s="2">
        <v>2</v>
      </c>
      <c r="P32" s="2">
        <v>1</v>
      </c>
      <c r="Q32" s="2">
        <v>1</v>
      </c>
      <c r="R32" s="2">
        <v>0</v>
      </c>
      <c r="S32" s="2">
        <v>0</v>
      </c>
      <c r="T32" s="2">
        <v>0</v>
      </c>
      <c r="U32" s="2">
        <v>2</v>
      </c>
      <c r="V32" s="2">
        <v>1</v>
      </c>
      <c r="W32" s="2">
        <v>1</v>
      </c>
      <c r="X32" s="2">
        <v>2</v>
      </c>
      <c r="Y32" s="2">
        <v>1</v>
      </c>
      <c r="Z32" s="2">
        <v>1</v>
      </c>
    </row>
    <row r="33" spans="1:26" hidden="1" x14ac:dyDescent="0.45">
      <c r="A33" s="2">
        <v>52</v>
      </c>
      <c r="B33" s="2">
        <v>2</v>
      </c>
      <c r="C33" s="2"/>
      <c r="D33" s="2">
        <v>11</v>
      </c>
      <c r="E33" s="3" t="s">
        <v>34</v>
      </c>
      <c r="F33" s="2">
        <v>2</v>
      </c>
      <c r="G33" s="2">
        <v>0</v>
      </c>
      <c r="H33" s="2">
        <v>2</v>
      </c>
      <c r="I33" s="2">
        <v>2</v>
      </c>
      <c r="J33" s="2">
        <v>0</v>
      </c>
      <c r="K33" s="2">
        <v>2</v>
      </c>
      <c r="L33" s="2">
        <v>0</v>
      </c>
      <c r="M33" s="2">
        <v>0</v>
      </c>
      <c r="N33" s="2">
        <v>0</v>
      </c>
      <c r="O33" s="2">
        <v>2</v>
      </c>
      <c r="P33" s="2">
        <v>0</v>
      </c>
      <c r="Q33" s="2">
        <v>2</v>
      </c>
      <c r="R33" s="2">
        <v>0</v>
      </c>
      <c r="S33" s="2">
        <v>0</v>
      </c>
      <c r="T33" s="2">
        <v>0</v>
      </c>
      <c r="U33" s="2">
        <v>1</v>
      </c>
      <c r="V33" s="2">
        <v>0</v>
      </c>
      <c r="W33" s="2">
        <v>1</v>
      </c>
      <c r="X33" s="2">
        <v>1</v>
      </c>
      <c r="Y33" s="2">
        <v>0</v>
      </c>
      <c r="Z33" s="2">
        <v>1</v>
      </c>
    </row>
    <row r="34" spans="1:26" hidden="1" x14ac:dyDescent="0.45">
      <c r="A34" s="2">
        <v>53</v>
      </c>
      <c r="B34" s="2">
        <v>2</v>
      </c>
      <c r="C34" s="2"/>
      <c r="D34" s="2">
        <v>13</v>
      </c>
      <c r="E34" s="3" t="s">
        <v>36</v>
      </c>
      <c r="F34" s="2">
        <v>1</v>
      </c>
      <c r="G34" s="2">
        <v>1</v>
      </c>
      <c r="H34" s="2">
        <v>0</v>
      </c>
      <c r="I34" s="2">
        <v>2</v>
      </c>
      <c r="J34" s="2">
        <v>1</v>
      </c>
      <c r="K34" s="2">
        <v>1</v>
      </c>
      <c r="L34" s="2">
        <v>0</v>
      </c>
      <c r="M34" s="2">
        <v>0</v>
      </c>
      <c r="N34" s="2">
        <v>0</v>
      </c>
      <c r="O34" s="2">
        <v>1</v>
      </c>
      <c r="P34" s="2">
        <v>1</v>
      </c>
      <c r="Q34" s="2">
        <v>0</v>
      </c>
      <c r="R34" s="2">
        <v>1</v>
      </c>
      <c r="S34" s="2">
        <v>0</v>
      </c>
      <c r="T34" s="2">
        <v>1</v>
      </c>
      <c r="U34" s="2">
        <v>2</v>
      </c>
      <c r="V34" s="2">
        <v>1</v>
      </c>
      <c r="W34" s="2">
        <v>1</v>
      </c>
      <c r="X34" s="2">
        <v>1</v>
      </c>
      <c r="Y34" s="2">
        <v>1</v>
      </c>
      <c r="Z34" s="2">
        <v>0</v>
      </c>
    </row>
    <row r="35" spans="1:26" hidden="1" x14ac:dyDescent="0.45">
      <c r="A35" s="2">
        <v>54</v>
      </c>
      <c r="B35" s="2">
        <v>2</v>
      </c>
      <c r="C35" s="2"/>
      <c r="D35" s="2">
        <v>13</v>
      </c>
      <c r="E35" s="3" t="s">
        <v>32</v>
      </c>
      <c r="F35" s="2">
        <v>1</v>
      </c>
      <c r="G35" s="2">
        <v>0</v>
      </c>
      <c r="H35" s="2">
        <v>1</v>
      </c>
      <c r="I35" s="2">
        <v>2</v>
      </c>
      <c r="J35" s="2">
        <v>1</v>
      </c>
      <c r="K35" s="2">
        <v>1</v>
      </c>
      <c r="L35" s="2">
        <v>0</v>
      </c>
      <c r="M35" s="2">
        <v>0</v>
      </c>
      <c r="N35" s="2">
        <v>0</v>
      </c>
      <c r="O35" s="2">
        <v>1</v>
      </c>
      <c r="P35" s="2">
        <v>0</v>
      </c>
      <c r="Q35" s="2">
        <v>1</v>
      </c>
      <c r="R35" s="2">
        <v>1</v>
      </c>
      <c r="S35" s="2">
        <v>1</v>
      </c>
      <c r="T35" s="2">
        <v>0</v>
      </c>
      <c r="U35" s="2">
        <v>2</v>
      </c>
      <c r="V35" s="2">
        <v>1</v>
      </c>
      <c r="W35" s="2">
        <v>1</v>
      </c>
      <c r="X35" s="2">
        <v>1</v>
      </c>
      <c r="Y35" s="2">
        <v>0</v>
      </c>
      <c r="Z35" s="2">
        <v>1</v>
      </c>
    </row>
    <row r="36" spans="1:26" hidden="1" x14ac:dyDescent="0.45">
      <c r="A36" s="2">
        <v>55</v>
      </c>
      <c r="B36" s="2">
        <v>2</v>
      </c>
      <c r="C36" s="2"/>
      <c r="D36" s="2">
        <v>13</v>
      </c>
      <c r="E36" s="3" t="s">
        <v>37</v>
      </c>
      <c r="F36" s="2">
        <v>1</v>
      </c>
      <c r="G36" s="2">
        <v>1</v>
      </c>
      <c r="H36" s="2">
        <v>0</v>
      </c>
      <c r="I36" s="2">
        <v>2</v>
      </c>
      <c r="J36" s="2">
        <v>2</v>
      </c>
      <c r="K36" s="2">
        <v>0</v>
      </c>
      <c r="L36" s="2">
        <v>0</v>
      </c>
      <c r="M36" s="2">
        <v>0</v>
      </c>
      <c r="N36" s="2">
        <v>0</v>
      </c>
      <c r="O36" s="2">
        <v>1</v>
      </c>
      <c r="P36" s="2">
        <v>1</v>
      </c>
      <c r="Q36" s="2">
        <v>0</v>
      </c>
      <c r="R36" s="2">
        <v>1</v>
      </c>
      <c r="S36" s="2">
        <v>1</v>
      </c>
      <c r="T36" s="2">
        <v>0</v>
      </c>
      <c r="U36" s="2">
        <v>1</v>
      </c>
      <c r="V36" s="2">
        <v>1</v>
      </c>
      <c r="W36" s="2">
        <v>0</v>
      </c>
      <c r="X36" s="2">
        <v>0</v>
      </c>
      <c r="Y36" s="2">
        <v>0</v>
      </c>
      <c r="Z36" s="2">
        <v>0</v>
      </c>
    </row>
    <row r="37" spans="1:26" hidden="1" x14ac:dyDescent="0.45">
      <c r="A37" s="2">
        <v>56</v>
      </c>
      <c r="B37" s="2">
        <v>2</v>
      </c>
      <c r="C37" s="2"/>
      <c r="D37" s="2">
        <v>13</v>
      </c>
      <c r="E37" s="3" t="s">
        <v>41</v>
      </c>
      <c r="F37" s="2">
        <v>1</v>
      </c>
      <c r="G37" s="2">
        <v>1</v>
      </c>
      <c r="H37" s="2">
        <v>0</v>
      </c>
      <c r="I37" s="2">
        <v>2</v>
      </c>
      <c r="J37" s="2">
        <v>1</v>
      </c>
      <c r="K37" s="2">
        <v>1</v>
      </c>
      <c r="L37" s="2">
        <v>0</v>
      </c>
      <c r="M37" s="2">
        <v>0</v>
      </c>
      <c r="N37" s="2">
        <v>0</v>
      </c>
      <c r="O37" s="2">
        <v>1</v>
      </c>
      <c r="P37" s="2">
        <v>1</v>
      </c>
      <c r="Q37" s="2">
        <v>0</v>
      </c>
      <c r="R37" s="2">
        <v>1</v>
      </c>
      <c r="S37" s="2">
        <v>0</v>
      </c>
      <c r="T37" s="2">
        <v>1</v>
      </c>
      <c r="U37" s="2">
        <v>3</v>
      </c>
      <c r="V37" s="2">
        <v>1</v>
      </c>
      <c r="W37" s="2">
        <v>2</v>
      </c>
      <c r="X37" s="2">
        <v>1</v>
      </c>
      <c r="Y37" s="2">
        <v>1</v>
      </c>
      <c r="Z37" s="2">
        <v>0</v>
      </c>
    </row>
    <row r="38" spans="1:26" hidden="1" x14ac:dyDescent="0.45">
      <c r="A38" s="2">
        <v>57</v>
      </c>
      <c r="B38" s="2">
        <v>2</v>
      </c>
      <c r="C38" s="2"/>
      <c r="D38" s="2">
        <v>13</v>
      </c>
      <c r="E38" s="3" t="s">
        <v>38</v>
      </c>
      <c r="F38" s="2">
        <v>1</v>
      </c>
      <c r="G38" s="2">
        <v>0</v>
      </c>
      <c r="H38" s="2">
        <v>1</v>
      </c>
      <c r="I38" s="2">
        <v>2</v>
      </c>
      <c r="J38" s="2">
        <v>1</v>
      </c>
      <c r="K38" s="2">
        <v>1</v>
      </c>
      <c r="L38" s="2">
        <v>0</v>
      </c>
      <c r="M38" s="2">
        <v>0</v>
      </c>
      <c r="N38" s="2">
        <v>0</v>
      </c>
      <c r="O38" s="2">
        <v>1</v>
      </c>
      <c r="P38" s="2">
        <v>0</v>
      </c>
      <c r="Q38" s="2">
        <v>1</v>
      </c>
      <c r="R38" s="2">
        <v>1</v>
      </c>
      <c r="S38" s="2">
        <v>1</v>
      </c>
      <c r="T38" s="2">
        <v>0</v>
      </c>
      <c r="U38" s="2">
        <v>2</v>
      </c>
      <c r="V38" s="2">
        <v>2</v>
      </c>
      <c r="W38" s="2">
        <v>0</v>
      </c>
      <c r="X38" s="2">
        <v>0</v>
      </c>
      <c r="Y38" s="2">
        <v>0</v>
      </c>
      <c r="Z38" s="2">
        <v>0</v>
      </c>
    </row>
    <row r="39" spans="1:26" hidden="1" x14ac:dyDescent="0.45">
      <c r="A39" s="2">
        <v>58</v>
      </c>
      <c r="B39" s="2">
        <v>2</v>
      </c>
      <c r="C39" s="2"/>
      <c r="D39" s="2">
        <v>13</v>
      </c>
      <c r="E39" s="3" t="s">
        <v>33</v>
      </c>
      <c r="F39" s="2">
        <v>1</v>
      </c>
      <c r="G39" s="2">
        <v>0</v>
      </c>
      <c r="H39" s="2">
        <v>1</v>
      </c>
      <c r="I39" s="2">
        <v>2</v>
      </c>
      <c r="J39" s="2">
        <v>0</v>
      </c>
      <c r="K39" s="2">
        <v>2</v>
      </c>
      <c r="L39" s="2">
        <v>0</v>
      </c>
      <c r="M39" s="2">
        <v>0</v>
      </c>
      <c r="N39" s="2">
        <v>0</v>
      </c>
      <c r="O39" s="2">
        <v>1</v>
      </c>
      <c r="P39" s="2">
        <v>0</v>
      </c>
      <c r="Q39" s="2">
        <v>1</v>
      </c>
      <c r="R39" s="2">
        <v>1</v>
      </c>
      <c r="S39" s="2">
        <v>0</v>
      </c>
      <c r="T39" s="2">
        <v>1</v>
      </c>
      <c r="U39" s="2">
        <v>5</v>
      </c>
      <c r="V39" s="2">
        <v>0</v>
      </c>
      <c r="W39" s="2">
        <v>5</v>
      </c>
      <c r="X39" s="2">
        <v>1</v>
      </c>
      <c r="Y39" s="2">
        <v>0</v>
      </c>
      <c r="Z39" s="2">
        <v>1</v>
      </c>
    </row>
    <row r="40" spans="1:26" hidden="1" x14ac:dyDescent="0.45">
      <c r="A40" s="2">
        <v>59</v>
      </c>
      <c r="B40" s="2">
        <v>2</v>
      </c>
      <c r="C40" s="2"/>
      <c r="D40" s="2">
        <v>13</v>
      </c>
      <c r="E40" s="3" t="s">
        <v>44</v>
      </c>
      <c r="F40" s="2">
        <v>1</v>
      </c>
      <c r="G40" s="2">
        <v>1</v>
      </c>
      <c r="H40" s="2">
        <v>0</v>
      </c>
      <c r="I40" s="2">
        <v>2</v>
      </c>
      <c r="J40" s="2">
        <v>1</v>
      </c>
      <c r="K40" s="2">
        <v>1</v>
      </c>
      <c r="L40" s="2">
        <v>0</v>
      </c>
      <c r="M40" s="2">
        <v>0</v>
      </c>
      <c r="N40" s="2">
        <v>0</v>
      </c>
      <c r="O40" s="2">
        <v>1</v>
      </c>
      <c r="P40" s="2">
        <v>1</v>
      </c>
      <c r="Q40" s="2">
        <v>0</v>
      </c>
      <c r="R40" s="2">
        <v>1</v>
      </c>
      <c r="S40" s="2">
        <v>0</v>
      </c>
      <c r="T40" s="2">
        <v>1</v>
      </c>
      <c r="U40" s="2">
        <v>5</v>
      </c>
      <c r="V40" s="2">
        <v>0</v>
      </c>
      <c r="W40" s="2">
        <v>5</v>
      </c>
      <c r="X40" s="2">
        <v>0</v>
      </c>
      <c r="Y40" s="2">
        <v>0</v>
      </c>
      <c r="Z40" s="2">
        <v>0</v>
      </c>
    </row>
    <row r="41" spans="1:26" hidden="1" x14ac:dyDescent="0.45">
      <c r="A41" s="2">
        <v>60</v>
      </c>
      <c r="B41" s="2">
        <v>2</v>
      </c>
      <c r="C41" s="2"/>
      <c r="D41" s="2">
        <v>20</v>
      </c>
      <c r="E41" s="3" t="s">
        <v>43</v>
      </c>
      <c r="F41" s="2">
        <v>0</v>
      </c>
      <c r="G41" s="2">
        <v>0</v>
      </c>
      <c r="H41" s="2">
        <v>0</v>
      </c>
      <c r="I41" s="2">
        <v>2</v>
      </c>
      <c r="J41" s="2">
        <v>1</v>
      </c>
      <c r="K41" s="2">
        <v>1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2</v>
      </c>
      <c r="S41" s="2">
        <v>1</v>
      </c>
      <c r="T41" s="2">
        <v>1</v>
      </c>
      <c r="U41" s="2">
        <v>5</v>
      </c>
      <c r="V41" s="2">
        <v>2</v>
      </c>
      <c r="W41" s="2">
        <v>3</v>
      </c>
      <c r="X41" s="2">
        <v>2</v>
      </c>
      <c r="Y41" s="2">
        <v>0</v>
      </c>
      <c r="Z41" s="2">
        <v>2</v>
      </c>
    </row>
    <row r="42" spans="1:26" hidden="1" x14ac:dyDescent="0.45">
      <c r="A42" s="2">
        <v>61</v>
      </c>
      <c r="B42" s="2">
        <v>3</v>
      </c>
      <c r="C42" s="2"/>
      <c r="D42" s="2">
        <v>1</v>
      </c>
      <c r="E42" s="3" t="s">
        <v>26</v>
      </c>
      <c r="F42" s="2">
        <v>9</v>
      </c>
      <c r="G42" s="2">
        <v>3</v>
      </c>
      <c r="H42" s="2">
        <v>6</v>
      </c>
      <c r="I42" s="2">
        <v>3</v>
      </c>
      <c r="J42" s="2">
        <v>1</v>
      </c>
      <c r="K42" s="2">
        <v>2</v>
      </c>
      <c r="L42" s="2">
        <v>3</v>
      </c>
      <c r="M42" s="2">
        <v>1</v>
      </c>
      <c r="N42" s="2">
        <v>2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1</v>
      </c>
      <c r="V42" s="2">
        <v>0</v>
      </c>
      <c r="W42" s="2">
        <v>1</v>
      </c>
      <c r="X42" s="2">
        <v>6</v>
      </c>
      <c r="Y42" s="2">
        <v>1</v>
      </c>
      <c r="Z42" s="2">
        <v>5</v>
      </c>
    </row>
    <row r="43" spans="1:26" hidden="1" x14ac:dyDescent="0.45">
      <c r="A43" s="2">
        <v>62</v>
      </c>
      <c r="B43" s="2">
        <v>3</v>
      </c>
      <c r="C43" s="2"/>
      <c r="D43" s="2">
        <v>1</v>
      </c>
      <c r="E43" s="3" t="s">
        <v>28</v>
      </c>
      <c r="F43" s="2">
        <v>9</v>
      </c>
      <c r="G43" s="2">
        <v>6</v>
      </c>
      <c r="H43" s="2">
        <v>3</v>
      </c>
      <c r="I43" s="2">
        <v>3</v>
      </c>
      <c r="J43" s="2">
        <v>2</v>
      </c>
      <c r="K43" s="2">
        <v>1</v>
      </c>
      <c r="L43" s="2">
        <v>3</v>
      </c>
      <c r="M43" s="2">
        <v>2</v>
      </c>
      <c r="N43" s="2">
        <v>1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3</v>
      </c>
      <c r="V43" s="2">
        <v>3</v>
      </c>
      <c r="W43" s="2">
        <v>0</v>
      </c>
      <c r="X43" s="2">
        <v>7</v>
      </c>
      <c r="Y43" s="2">
        <v>6</v>
      </c>
      <c r="Z43" s="2">
        <v>1</v>
      </c>
    </row>
    <row r="44" spans="1:26" hidden="1" x14ac:dyDescent="0.45">
      <c r="A44" s="2">
        <v>63</v>
      </c>
      <c r="B44" s="2">
        <v>3</v>
      </c>
      <c r="C44" s="2"/>
      <c r="D44" s="2">
        <v>3</v>
      </c>
      <c r="E44" s="3" t="s">
        <v>29</v>
      </c>
      <c r="F44" s="2">
        <v>7</v>
      </c>
      <c r="G44" s="2">
        <v>3</v>
      </c>
      <c r="H44" s="2">
        <v>4</v>
      </c>
      <c r="I44" s="2">
        <v>3</v>
      </c>
      <c r="J44" s="2">
        <v>1</v>
      </c>
      <c r="K44" s="2">
        <v>2</v>
      </c>
      <c r="L44" s="2">
        <v>2</v>
      </c>
      <c r="M44" s="2">
        <v>1</v>
      </c>
      <c r="N44" s="2">
        <v>1</v>
      </c>
      <c r="O44" s="2">
        <v>1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3</v>
      </c>
      <c r="V44" s="2">
        <v>2</v>
      </c>
      <c r="W44" s="2">
        <v>1</v>
      </c>
      <c r="X44" s="2">
        <v>5</v>
      </c>
      <c r="Y44" s="2">
        <v>3</v>
      </c>
      <c r="Z44" s="2">
        <v>2</v>
      </c>
    </row>
    <row r="45" spans="1:26" hidden="1" x14ac:dyDescent="0.45">
      <c r="A45" s="2">
        <v>64</v>
      </c>
      <c r="B45" s="2">
        <v>3</v>
      </c>
      <c r="C45" s="2"/>
      <c r="D45" s="2">
        <v>3</v>
      </c>
      <c r="E45" s="3" t="s">
        <v>31</v>
      </c>
      <c r="F45" s="2">
        <v>7</v>
      </c>
      <c r="G45" s="2">
        <v>1</v>
      </c>
      <c r="H45" s="2">
        <v>6</v>
      </c>
      <c r="I45" s="2">
        <v>3</v>
      </c>
      <c r="J45" s="2">
        <v>1</v>
      </c>
      <c r="K45" s="2">
        <v>2</v>
      </c>
      <c r="L45" s="2">
        <v>2</v>
      </c>
      <c r="M45" s="2">
        <v>0</v>
      </c>
      <c r="N45" s="2">
        <v>2</v>
      </c>
      <c r="O45" s="2">
        <v>1</v>
      </c>
      <c r="P45" s="2">
        <v>1</v>
      </c>
      <c r="Q45" s="2">
        <v>0</v>
      </c>
      <c r="R45" s="2">
        <v>0</v>
      </c>
      <c r="S45" s="2">
        <v>0</v>
      </c>
      <c r="T45" s="2">
        <v>0</v>
      </c>
      <c r="U45" s="2">
        <v>2</v>
      </c>
      <c r="V45" s="2">
        <v>1</v>
      </c>
      <c r="W45" s="2">
        <v>1</v>
      </c>
      <c r="X45" s="2">
        <v>4</v>
      </c>
      <c r="Y45" s="2">
        <v>1</v>
      </c>
      <c r="Z45" s="2">
        <v>3</v>
      </c>
    </row>
    <row r="46" spans="1:26" hidden="1" x14ac:dyDescent="0.45">
      <c r="A46" s="2">
        <v>65</v>
      </c>
      <c r="B46" s="2">
        <v>3</v>
      </c>
      <c r="C46" s="2"/>
      <c r="D46" s="2">
        <v>5</v>
      </c>
      <c r="E46" s="3" t="s">
        <v>39</v>
      </c>
      <c r="F46" s="2">
        <v>6</v>
      </c>
      <c r="G46" s="2">
        <v>3</v>
      </c>
      <c r="H46" s="2">
        <v>3</v>
      </c>
      <c r="I46" s="2">
        <v>3</v>
      </c>
      <c r="J46" s="2">
        <v>2</v>
      </c>
      <c r="K46" s="2">
        <v>1</v>
      </c>
      <c r="L46" s="2">
        <v>2</v>
      </c>
      <c r="M46" s="2">
        <v>1</v>
      </c>
      <c r="N46" s="2">
        <v>1</v>
      </c>
      <c r="O46" s="2">
        <v>0</v>
      </c>
      <c r="P46" s="2">
        <v>0</v>
      </c>
      <c r="Q46" s="2">
        <v>0</v>
      </c>
      <c r="R46" s="2">
        <v>1</v>
      </c>
      <c r="S46" s="2">
        <v>1</v>
      </c>
      <c r="T46" s="2">
        <v>0</v>
      </c>
      <c r="U46" s="2">
        <v>2</v>
      </c>
      <c r="V46" s="2">
        <v>2</v>
      </c>
      <c r="W46" s="2">
        <v>0</v>
      </c>
      <c r="X46" s="2">
        <v>4</v>
      </c>
      <c r="Y46" s="2">
        <v>2</v>
      </c>
      <c r="Z46" s="2">
        <v>2</v>
      </c>
    </row>
    <row r="47" spans="1:26" hidden="1" x14ac:dyDescent="0.45">
      <c r="A47" s="2">
        <v>66</v>
      </c>
      <c r="B47" s="2">
        <v>3</v>
      </c>
      <c r="C47" s="2"/>
      <c r="D47" s="2">
        <v>5</v>
      </c>
      <c r="E47" s="3" t="s">
        <v>30</v>
      </c>
      <c r="F47" s="2">
        <v>6</v>
      </c>
      <c r="G47" s="2">
        <v>3</v>
      </c>
      <c r="H47" s="2">
        <v>3</v>
      </c>
      <c r="I47" s="2">
        <v>3</v>
      </c>
      <c r="J47" s="2">
        <v>2</v>
      </c>
      <c r="K47" s="2">
        <v>1</v>
      </c>
      <c r="L47" s="2">
        <v>2</v>
      </c>
      <c r="M47" s="2">
        <v>1</v>
      </c>
      <c r="N47" s="2">
        <v>1</v>
      </c>
      <c r="O47" s="2">
        <v>0</v>
      </c>
      <c r="P47" s="2">
        <v>0</v>
      </c>
      <c r="Q47" s="2">
        <v>0</v>
      </c>
      <c r="R47" s="2">
        <v>1</v>
      </c>
      <c r="S47" s="2">
        <v>1</v>
      </c>
      <c r="T47" s="2">
        <v>0</v>
      </c>
      <c r="U47" s="2">
        <v>1</v>
      </c>
      <c r="V47" s="2">
        <v>1</v>
      </c>
      <c r="W47" s="2">
        <v>0</v>
      </c>
      <c r="X47" s="2">
        <v>2</v>
      </c>
      <c r="Y47" s="2">
        <v>1</v>
      </c>
      <c r="Z47" s="2">
        <v>1</v>
      </c>
    </row>
    <row r="48" spans="1:26" hidden="1" x14ac:dyDescent="0.45">
      <c r="A48" s="2">
        <v>67</v>
      </c>
      <c r="B48" s="2">
        <v>3</v>
      </c>
      <c r="C48" s="2"/>
      <c r="D48" s="2">
        <v>7</v>
      </c>
      <c r="E48" s="3" t="s">
        <v>35</v>
      </c>
      <c r="F48" s="2">
        <v>5</v>
      </c>
      <c r="G48" s="2">
        <v>4</v>
      </c>
      <c r="H48" s="2">
        <v>1</v>
      </c>
      <c r="I48" s="2">
        <v>3</v>
      </c>
      <c r="J48" s="2">
        <v>2</v>
      </c>
      <c r="K48" s="2">
        <v>1</v>
      </c>
      <c r="L48" s="2">
        <v>1</v>
      </c>
      <c r="M48" s="2">
        <v>1</v>
      </c>
      <c r="N48" s="2">
        <v>0</v>
      </c>
      <c r="O48" s="2">
        <v>2</v>
      </c>
      <c r="P48" s="2">
        <v>1</v>
      </c>
      <c r="Q48" s="2">
        <v>1</v>
      </c>
      <c r="R48" s="2">
        <v>0</v>
      </c>
      <c r="S48" s="2">
        <v>0</v>
      </c>
      <c r="T48" s="2">
        <v>0</v>
      </c>
      <c r="U48" s="2">
        <v>3</v>
      </c>
      <c r="V48" s="2">
        <v>2</v>
      </c>
      <c r="W48" s="2">
        <v>1</v>
      </c>
      <c r="X48" s="2">
        <v>6</v>
      </c>
      <c r="Y48" s="2">
        <v>5</v>
      </c>
      <c r="Z48" s="2">
        <v>1</v>
      </c>
    </row>
    <row r="49" spans="1:26" hidden="1" x14ac:dyDescent="0.45">
      <c r="A49" s="2">
        <v>68</v>
      </c>
      <c r="B49" s="2">
        <v>3</v>
      </c>
      <c r="C49" s="2"/>
      <c r="D49" s="2">
        <v>8</v>
      </c>
      <c r="E49" s="3" t="s">
        <v>36</v>
      </c>
      <c r="F49" s="2">
        <v>4</v>
      </c>
      <c r="G49" s="2">
        <v>4</v>
      </c>
      <c r="H49" s="2">
        <v>0</v>
      </c>
      <c r="I49" s="2">
        <v>3</v>
      </c>
      <c r="J49" s="2">
        <v>2</v>
      </c>
      <c r="K49" s="2">
        <v>1</v>
      </c>
      <c r="L49" s="2">
        <v>1</v>
      </c>
      <c r="M49" s="2">
        <v>1</v>
      </c>
      <c r="N49" s="2">
        <v>0</v>
      </c>
      <c r="O49" s="2">
        <v>1</v>
      </c>
      <c r="P49" s="2">
        <v>1</v>
      </c>
      <c r="Q49" s="2">
        <v>0</v>
      </c>
      <c r="R49" s="2">
        <v>1</v>
      </c>
      <c r="S49" s="2">
        <v>0</v>
      </c>
      <c r="T49" s="2">
        <v>1</v>
      </c>
      <c r="U49" s="2">
        <v>2</v>
      </c>
      <c r="V49" s="2">
        <v>1</v>
      </c>
      <c r="W49" s="2">
        <v>1</v>
      </c>
      <c r="X49" s="2">
        <v>3</v>
      </c>
      <c r="Y49" s="2">
        <v>3</v>
      </c>
      <c r="Z49" s="2">
        <v>0</v>
      </c>
    </row>
    <row r="50" spans="1:26" hidden="1" x14ac:dyDescent="0.45">
      <c r="A50" s="2">
        <v>69</v>
      </c>
      <c r="B50" s="2">
        <v>3</v>
      </c>
      <c r="C50" s="2"/>
      <c r="D50" s="2">
        <v>8</v>
      </c>
      <c r="E50" s="3" t="s">
        <v>27</v>
      </c>
      <c r="F50" s="2">
        <v>4</v>
      </c>
      <c r="G50" s="2">
        <v>4</v>
      </c>
      <c r="H50" s="2">
        <v>0</v>
      </c>
      <c r="I50" s="2">
        <v>3</v>
      </c>
      <c r="J50" s="2">
        <v>2</v>
      </c>
      <c r="K50" s="2">
        <v>1</v>
      </c>
      <c r="L50" s="2">
        <v>1</v>
      </c>
      <c r="M50" s="2">
        <v>1</v>
      </c>
      <c r="N50" s="2">
        <v>0</v>
      </c>
      <c r="O50" s="2">
        <v>1</v>
      </c>
      <c r="P50" s="2">
        <v>1</v>
      </c>
      <c r="Q50" s="2">
        <v>0</v>
      </c>
      <c r="R50" s="2">
        <v>1</v>
      </c>
      <c r="S50" s="2">
        <v>0</v>
      </c>
      <c r="T50" s="2">
        <v>1</v>
      </c>
      <c r="U50" s="2">
        <v>2</v>
      </c>
      <c r="V50" s="2">
        <v>1</v>
      </c>
      <c r="W50" s="2">
        <v>1</v>
      </c>
      <c r="X50" s="2">
        <v>3</v>
      </c>
      <c r="Y50" s="2">
        <v>3</v>
      </c>
      <c r="Z50" s="2">
        <v>0</v>
      </c>
    </row>
    <row r="51" spans="1:26" hidden="1" x14ac:dyDescent="0.45">
      <c r="A51" s="2">
        <v>70</v>
      </c>
      <c r="B51" s="2">
        <v>3</v>
      </c>
      <c r="C51" s="2"/>
      <c r="D51" s="2">
        <v>8</v>
      </c>
      <c r="E51" s="3" t="s">
        <v>44</v>
      </c>
      <c r="F51" s="2">
        <v>4</v>
      </c>
      <c r="G51" s="2">
        <v>1</v>
      </c>
      <c r="H51" s="2">
        <v>3</v>
      </c>
      <c r="I51" s="2">
        <v>3</v>
      </c>
      <c r="J51" s="2">
        <v>1</v>
      </c>
      <c r="K51" s="2">
        <v>2</v>
      </c>
      <c r="L51" s="2">
        <v>1</v>
      </c>
      <c r="M51" s="2">
        <v>0</v>
      </c>
      <c r="N51" s="2">
        <v>1</v>
      </c>
      <c r="O51" s="2">
        <v>1</v>
      </c>
      <c r="P51" s="2">
        <v>1</v>
      </c>
      <c r="Q51" s="2">
        <v>0</v>
      </c>
      <c r="R51" s="2">
        <v>1</v>
      </c>
      <c r="S51" s="2">
        <v>0</v>
      </c>
      <c r="T51" s="2">
        <v>1</v>
      </c>
      <c r="U51" s="2">
        <v>5</v>
      </c>
      <c r="V51" s="2">
        <v>0</v>
      </c>
      <c r="W51" s="2">
        <v>5</v>
      </c>
      <c r="X51" s="2">
        <v>1</v>
      </c>
      <c r="Y51" s="2">
        <v>0</v>
      </c>
      <c r="Z51" s="2">
        <v>1</v>
      </c>
    </row>
    <row r="52" spans="1:26" hidden="1" x14ac:dyDescent="0.45">
      <c r="A52" s="2">
        <v>71</v>
      </c>
      <c r="B52" s="2">
        <v>3</v>
      </c>
      <c r="C52" s="2"/>
      <c r="D52" s="2">
        <v>11</v>
      </c>
      <c r="E52" s="3" t="s">
        <v>25</v>
      </c>
      <c r="F52" s="2">
        <v>3</v>
      </c>
      <c r="G52" s="2">
        <v>3</v>
      </c>
      <c r="H52" s="2">
        <v>0</v>
      </c>
      <c r="I52" s="2">
        <v>3</v>
      </c>
      <c r="J52" s="2">
        <v>2</v>
      </c>
      <c r="K52" s="2">
        <v>1</v>
      </c>
      <c r="L52" s="2">
        <v>1</v>
      </c>
      <c r="M52" s="2">
        <v>1</v>
      </c>
      <c r="N52" s="2">
        <v>0</v>
      </c>
      <c r="O52" s="2">
        <v>0</v>
      </c>
      <c r="P52" s="2">
        <v>0</v>
      </c>
      <c r="Q52" s="2">
        <v>0</v>
      </c>
      <c r="R52" s="2">
        <v>2</v>
      </c>
      <c r="S52" s="2">
        <v>1</v>
      </c>
      <c r="T52" s="2">
        <v>1</v>
      </c>
      <c r="U52" s="2">
        <v>6</v>
      </c>
      <c r="V52" s="2">
        <v>2</v>
      </c>
      <c r="W52" s="2">
        <v>4</v>
      </c>
      <c r="X52" s="2">
        <v>9</v>
      </c>
      <c r="Y52" s="2">
        <v>6</v>
      </c>
      <c r="Z52" s="2">
        <v>3</v>
      </c>
    </row>
    <row r="53" spans="1:26" hidden="1" x14ac:dyDescent="0.45">
      <c r="A53" s="2">
        <v>72</v>
      </c>
      <c r="B53" s="2">
        <v>3</v>
      </c>
      <c r="C53" s="2"/>
      <c r="D53" s="2">
        <v>11</v>
      </c>
      <c r="E53" s="3" t="s">
        <v>42</v>
      </c>
      <c r="F53" s="2">
        <v>3</v>
      </c>
      <c r="G53" s="2">
        <v>3</v>
      </c>
      <c r="H53" s="2">
        <v>0</v>
      </c>
      <c r="I53" s="2">
        <v>3</v>
      </c>
      <c r="J53" s="2">
        <v>1</v>
      </c>
      <c r="K53" s="2">
        <v>2</v>
      </c>
      <c r="L53" s="2">
        <v>1</v>
      </c>
      <c r="M53" s="2">
        <v>1</v>
      </c>
      <c r="N53" s="2">
        <v>0</v>
      </c>
      <c r="O53" s="2">
        <v>0</v>
      </c>
      <c r="P53" s="2">
        <v>0</v>
      </c>
      <c r="Q53" s="2">
        <v>0</v>
      </c>
      <c r="R53" s="2">
        <v>2</v>
      </c>
      <c r="S53" s="2">
        <v>0</v>
      </c>
      <c r="T53" s="2">
        <v>2</v>
      </c>
      <c r="U53" s="2">
        <v>3</v>
      </c>
      <c r="V53" s="2">
        <v>0</v>
      </c>
      <c r="W53" s="2">
        <v>3</v>
      </c>
      <c r="X53" s="2">
        <v>4</v>
      </c>
      <c r="Y53" s="2">
        <v>4</v>
      </c>
      <c r="Z53" s="2">
        <v>0</v>
      </c>
    </row>
    <row r="54" spans="1:26" hidden="1" x14ac:dyDescent="0.45">
      <c r="A54" s="2">
        <v>73</v>
      </c>
      <c r="B54" s="2">
        <v>3</v>
      </c>
      <c r="C54" s="2"/>
      <c r="D54" s="2">
        <v>11</v>
      </c>
      <c r="E54" s="3" t="s">
        <v>40</v>
      </c>
      <c r="F54" s="2">
        <v>3</v>
      </c>
      <c r="G54" s="2">
        <v>3</v>
      </c>
      <c r="H54" s="2">
        <v>0</v>
      </c>
      <c r="I54" s="2">
        <v>3</v>
      </c>
      <c r="J54" s="2">
        <v>1</v>
      </c>
      <c r="K54" s="2">
        <v>2</v>
      </c>
      <c r="L54" s="2">
        <v>1</v>
      </c>
      <c r="M54" s="2">
        <v>1</v>
      </c>
      <c r="N54" s="2">
        <v>0</v>
      </c>
      <c r="O54" s="2">
        <v>0</v>
      </c>
      <c r="P54" s="2">
        <v>0</v>
      </c>
      <c r="Q54" s="2">
        <v>0</v>
      </c>
      <c r="R54" s="2">
        <v>2</v>
      </c>
      <c r="S54" s="2">
        <v>0</v>
      </c>
      <c r="T54" s="2">
        <v>2</v>
      </c>
      <c r="U54" s="2">
        <v>2</v>
      </c>
      <c r="V54" s="2">
        <v>0</v>
      </c>
      <c r="W54" s="2">
        <v>2</v>
      </c>
      <c r="X54" s="2">
        <v>1</v>
      </c>
      <c r="Y54" s="2">
        <v>1</v>
      </c>
      <c r="Z54" s="2">
        <v>0</v>
      </c>
    </row>
    <row r="55" spans="1:26" hidden="1" x14ac:dyDescent="0.45">
      <c r="A55" s="2">
        <v>74</v>
      </c>
      <c r="B55" s="2">
        <v>3</v>
      </c>
      <c r="C55" s="2"/>
      <c r="D55" s="2">
        <v>11</v>
      </c>
      <c r="E55" s="3" t="s">
        <v>43</v>
      </c>
      <c r="F55" s="2">
        <v>3</v>
      </c>
      <c r="G55" s="2">
        <v>3</v>
      </c>
      <c r="H55" s="2">
        <v>0</v>
      </c>
      <c r="I55" s="2">
        <v>3</v>
      </c>
      <c r="J55" s="2">
        <v>2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1</v>
      </c>
      <c r="T55" s="2">
        <v>1</v>
      </c>
      <c r="U55" s="2">
        <v>5</v>
      </c>
      <c r="V55" s="2">
        <v>2</v>
      </c>
      <c r="W55" s="2">
        <v>3</v>
      </c>
      <c r="X55" s="2">
        <v>3</v>
      </c>
      <c r="Y55" s="2">
        <v>1</v>
      </c>
      <c r="Z55" s="2">
        <v>2</v>
      </c>
    </row>
    <row r="56" spans="1:26" hidden="1" x14ac:dyDescent="0.45">
      <c r="A56" s="2">
        <v>75</v>
      </c>
      <c r="B56" s="2">
        <v>3</v>
      </c>
      <c r="C56" s="2"/>
      <c r="D56" s="2">
        <v>15</v>
      </c>
      <c r="E56" s="3" t="s">
        <v>37</v>
      </c>
      <c r="F56" s="2">
        <v>2</v>
      </c>
      <c r="G56" s="2">
        <v>1</v>
      </c>
      <c r="H56" s="2">
        <v>1</v>
      </c>
      <c r="I56" s="2">
        <v>3</v>
      </c>
      <c r="J56" s="2">
        <v>2</v>
      </c>
      <c r="K56" s="2">
        <v>1</v>
      </c>
      <c r="L56" s="2">
        <v>0</v>
      </c>
      <c r="M56" s="2">
        <v>0</v>
      </c>
      <c r="N56" s="2">
        <v>0</v>
      </c>
      <c r="O56" s="2">
        <v>2</v>
      </c>
      <c r="P56" s="2">
        <v>1</v>
      </c>
      <c r="Q56" s="2">
        <v>1</v>
      </c>
      <c r="R56" s="2">
        <v>1</v>
      </c>
      <c r="S56" s="2">
        <v>1</v>
      </c>
      <c r="T56" s="2">
        <v>0</v>
      </c>
      <c r="U56" s="2">
        <v>2</v>
      </c>
      <c r="V56" s="2">
        <v>1</v>
      </c>
      <c r="W56" s="2">
        <v>1</v>
      </c>
      <c r="X56" s="2">
        <v>1</v>
      </c>
      <c r="Y56" s="2">
        <v>0</v>
      </c>
      <c r="Z56" s="2">
        <v>1</v>
      </c>
    </row>
    <row r="57" spans="1:26" hidden="1" x14ac:dyDescent="0.45">
      <c r="A57" s="2">
        <v>76</v>
      </c>
      <c r="B57" s="2">
        <v>3</v>
      </c>
      <c r="C57" s="2"/>
      <c r="D57" s="2">
        <v>15</v>
      </c>
      <c r="E57" s="3" t="s">
        <v>34</v>
      </c>
      <c r="F57" s="2">
        <v>2</v>
      </c>
      <c r="G57" s="2">
        <v>0</v>
      </c>
      <c r="H57" s="2">
        <v>2</v>
      </c>
      <c r="I57" s="2">
        <v>3</v>
      </c>
      <c r="J57" s="2">
        <v>1</v>
      </c>
      <c r="K57" s="2">
        <v>2</v>
      </c>
      <c r="L57" s="2">
        <v>0</v>
      </c>
      <c r="M57" s="2">
        <v>0</v>
      </c>
      <c r="N57" s="2">
        <v>0</v>
      </c>
      <c r="O57" s="2">
        <v>2</v>
      </c>
      <c r="P57" s="2">
        <v>0</v>
      </c>
      <c r="Q57" s="2">
        <v>2</v>
      </c>
      <c r="R57" s="2">
        <v>1</v>
      </c>
      <c r="S57" s="2">
        <v>1</v>
      </c>
      <c r="T57" s="2">
        <v>0</v>
      </c>
      <c r="U57" s="2">
        <v>4</v>
      </c>
      <c r="V57" s="2">
        <v>3</v>
      </c>
      <c r="W57" s="2">
        <v>1</v>
      </c>
      <c r="X57" s="2">
        <v>2</v>
      </c>
      <c r="Y57" s="2">
        <v>1</v>
      </c>
      <c r="Z57" s="2">
        <v>1</v>
      </c>
    </row>
    <row r="58" spans="1:26" hidden="1" x14ac:dyDescent="0.45">
      <c r="A58" s="2">
        <v>77</v>
      </c>
      <c r="B58" s="2">
        <v>3</v>
      </c>
      <c r="C58" s="2"/>
      <c r="D58" s="2">
        <v>15</v>
      </c>
      <c r="E58" s="3" t="s">
        <v>33</v>
      </c>
      <c r="F58" s="2">
        <v>2</v>
      </c>
      <c r="G58" s="2">
        <v>1</v>
      </c>
      <c r="H58" s="2">
        <v>1</v>
      </c>
      <c r="I58" s="2">
        <v>3</v>
      </c>
      <c r="J58" s="2">
        <v>1</v>
      </c>
      <c r="K58" s="2">
        <v>2</v>
      </c>
      <c r="L58" s="2">
        <v>0</v>
      </c>
      <c r="M58" s="2">
        <v>0</v>
      </c>
      <c r="N58" s="2">
        <v>0</v>
      </c>
      <c r="O58" s="2">
        <v>2</v>
      </c>
      <c r="P58" s="2">
        <v>1</v>
      </c>
      <c r="Q58" s="2">
        <v>1</v>
      </c>
      <c r="R58" s="2">
        <v>1</v>
      </c>
      <c r="S58" s="2">
        <v>0</v>
      </c>
      <c r="T58" s="2">
        <v>1</v>
      </c>
      <c r="U58" s="2">
        <v>5</v>
      </c>
      <c r="V58" s="2">
        <v>0</v>
      </c>
      <c r="W58" s="2">
        <v>5</v>
      </c>
      <c r="X58" s="2">
        <v>1</v>
      </c>
      <c r="Y58" s="2">
        <v>0</v>
      </c>
      <c r="Z58" s="2">
        <v>1</v>
      </c>
    </row>
    <row r="59" spans="1:26" hidden="1" x14ac:dyDescent="0.45">
      <c r="A59" s="2">
        <v>78</v>
      </c>
      <c r="B59" s="2">
        <v>3</v>
      </c>
      <c r="C59" s="2"/>
      <c r="D59" s="2">
        <v>18</v>
      </c>
      <c r="E59" s="3" t="s">
        <v>32</v>
      </c>
      <c r="F59" s="2">
        <v>1</v>
      </c>
      <c r="G59" s="2">
        <v>0</v>
      </c>
      <c r="H59" s="2">
        <v>1</v>
      </c>
      <c r="I59" s="2">
        <v>3</v>
      </c>
      <c r="J59" s="2">
        <v>2</v>
      </c>
      <c r="K59" s="2">
        <v>1</v>
      </c>
      <c r="L59" s="2">
        <v>0</v>
      </c>
      <c r="M59" s="2">
        <v>0</v>
      </c>
      <c r="N59" s="2">
        <v>0</v>
      </c>
      <c r="O59" s="2">
        <v>1</v>
      </c>
      <c r="P59" s="2">
        <v>0</v>
      </c>
      <c r="Q59" s="2">
        <v>1</v>
      </c>
      <c r="R59" s="2">
        <v>2</v>
      </c>
      <c r="S59" s="2">
        <v>2</v>
      </c>
      <c r="T59" s="2">
        <v>0</v>
      </c>
      <c r="U59" s="2">
        <v>3</v>
      </c>
      <c r="V59" s="2">
        <v>2</v>
      </c>
      <c r="W59" s="2">
        <v>1</v>
      </c>
      <c r="X59" s="2">
        <v>1</v>
      </c>
      <c r="Y59" s="2">
        <v>0</v>
      </c>
      <c r="Z59" s="2">
        <v>1</v>
      </c>
    </row>
    <row r="60" spans="1:26" hidden="1" x14ac:dyDescent="0.45">
      <c r="A60" s="2">
        <v>79</v>
      </c>
      <c r="B60" s="2">
        <v>3</v>
      </c>
      <c r="C60" s="2"/>
      <c r="D60" s="2">
        <v>18</v>
      </c>
      <c r="E60" s="3" t="s">
        <v>41</v>
      </c>
      <c r="F60" s="2">
        <v>1</v>
      </c>
      <c r="G60" s="2">
        <v>1</v>
      </c>
      <c r="H60" s="2">
        <v>0</v>
      </c>
      <c r="I60" s="2">
        <v>3</v>
      </c>
      <c r="J60" s="2">
        <v>1</v>
      </c>
      <c r="K60" s="2">
        <v>2</v>
      </c>
      <c r="L60" s="2">
        <v>0</v>
      </c>
      <c r="M60" s="2">
        <v>0</v>
      </c>
      <c r="N60" s="2">
        <v>0</v>
      </c>
      <c r="O60" s="2">
        <v>1</v>
      </c>
      <c r="P60" s="2">
        <v>1</v>
      </c>
      <c r="Q60" s="2">
        <v>0</v>
      </c>
      <c r="R60" s="2">
        <v>2</v>
      </c>
      <c r="S60" s="2">
        <v>0</v>
      </c>
      <c r="T60" s="2">
        <v>2</v>
      </c>
      <c r="U60" s="2">
        <v>5</v>
      </c>
      <c r="V60" s="2">
        <v>1</v>
      </c>
      <c r="W60" s="2">
        <v>4</v>
      </c>
      <c r="X60" s="2">
        <v>1</v>
      </c>
      <c r="Y60" s="2">
        <v>1</v>
      </c>
      <c r="Z60" s="2">
        <v>0</v>
      </c>
    </row>
    <row r="61" spans="1:26" hidden="1" x14ac:dyDescent="0.45">
      <c r="A61" s="2">
        <v>80</v>
      </c>
      <c r="B61" s="2">
        <v>3</v>
      </c>
      <c r="C61" s="2"/>
      <c r="D61" s="2">
        <v>18</v>
      </c>
      <c r="E61" s="3" t="s">
        <v>38</v>
      </c>
      <c r="F61" s="2">
        <v>1</v>
      </c>
      <c r="G61" s="2">
        <v>0</v>
      </c>
      <c r="H61" s="2">
        <v>1</v>
      </c>
      <c r="I61" s="2">
        <v>3</v>
      </c>
      <c r="J61" s="2">
        <v>1</v>
      </c>
      <c r="K61" s="2">
        <v>2</v>
      </c>
      <c r="L61" s="2">
        <v>0</v>
      </c>
      <c r="M61" s="2">
        <v>0</v>
      </c>
      <c r="N61" s="2">
        <v>0</v>
      </c>
      <c r="O61" s="2">
        <v>1</v>
      </c>
      <c r="P61" s="2">
        <v>0</v>
      </c>
      <c r="Q61" s="2">
        <v>1</v>
      </c>
      <c r="R61" s="2">
        <v>2</v>
      </c>
      <c r="S61" s="2">
        <v>1</v>
      </c>
      <c r="T61" s="2">
        <v>1</v>
      </c>
      <c r="U61" s="2">
        <v>6</v>
      </c>
      <c r="V61" s="2">
        <v>2</v>
      </c>
      <c r="W61" s="2">
        <v>4</v>
      </c>
      <c r="X61" s="2">
        <v>1</v>
      </c>
      <c r="Y61" s="2">
        <v>0</v>
      </c>
      <c r="Z61" s="2">
        <v>1</v>
      </c>
    </row>
    <row r="62" spans="1:26" hidden="1" x14ac:dyDescent="0.45">
      <c r="A62" s="2">
        <v>81</v>
      </c>
      <c r="B62" s="2">
        <v>4</v>
      </c>
      <c r="C62" s="2"/>
      <c r="D62" s="2">
        <v>1</v>
      </c>
      <c r="E62" s="3" t="s">
        <v>26</v>
      </c>
      <c r="F62" s="2">
        <v>12</v>
      </c>
      <c r="G62" s="2">
        <v>6</v>
      </c>
      <c r="H62" s="2">
        <v>6</v>
      </c>
      <c r="I62" s="2">
        <v>4</v>
      </c>
      <c r="J62" s="2">
        <v>2</v>
      </c>
      <c r="K62" s="2">
        <v>2</v>
      </c>
      <c r="L62" s="2">
        <v>4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3</v>
      </c>
      <c r="V62" s="2">
        <v>2</v>
      </c>
      <c r="W62" s="2">
        <v>1</v>
      </c>
      <c r="X62" s="2">
        <v>9</v>
      </c>
      <c r="Y62" s="2">
        <v>4</v>
      </c>
      <c r="Z62" s="2">
        <v>5</v>
      </c>
    </row>
    <row r="63" spans="1:26" hidden="1" x14ac:dyDescent="0.45">
      <c r="A63" s="2">
        <v>82</v>
      </c>
      <c r="B63" s="2">
        <v>4</v>
      </c>
      <c r="C63" s="2"/>
      <c r="D63" s="2">
        <v>2</v>
      </c>
      <c r="E63" s="3" t="s">
        <v>28</v>
      </c>
      <c r="F63" s="2">
        <v>10</v>
      </c>
      <c r="G63" s="2">
        <v>6</v>
      </c>
      <c r="H63" s="2">
        <v>4</v>
      </c>
      <c r="I63" s="2">
        <v>4</v>
      </c>
      <c r="J63" s="2">
        <v>2</v>
      </c>
      <c r="K63" s="2">
        <v>2</v>
      </c>
      <c r="L63" s="2">
        <v>3</v>
      </c>
      <c r="M63" s="2">
        <v>2</v>
      </c>
      <c r="N63" s="2">
        <v>1</v>
      </c>
      <c r="O63" s="2">
        <v>1</v>
      </c>
      <c r="P63" s="2">
        <v>0</v>
      </c>
      <c r="Q63" s="2">
        <v>1</v>
      </c>
      <c r="R63" s="2">
        <v>0</v>
      </c>
      <c r="S63" s="2">
        <v>0</v>
      </c>
      <c r="T63" s="2">
        <v>0</v>
      </c>
      <c r="U63" s="2">
        <v>4</v>
      </c>
      <c r="V63" s="2">
        <v>3</v>
      </c>
      <c r="W63" s="2">
        <v>1</v>
      </c>
      <c r="X63" s="2">
        <v>8</v>
      </c>
      <c r="Y63" s="2">
        <v>6</v>
      </c>
      <c r="Z63" s="2">
        <v>2</v>
      </c>
    </row>
    <row r="64" spans="1:26" hidden="1" x14ac:dyDescent="0.45">
      <c r="A64" s="2">
        <v>83</v>
      </c>
      <c r="B64" s="2">
        <v>4</v>
      </c>
      <c r="C64" s="2"/>
      <c r="D64" s="2">
        <v>3</v>
      </c>
      <c r="E64" s="3" t="s">
        <v>39</v>
      </c>
      <c r="F64" s="2">
        <v>9</v>
      </c>
      <c r="G64" s="2">
        <v>3</v>
      </c>
      <c r="H64" s="2">
        <v>6</v>
      </c>
      <c r="I64" s="2">
        <v>4</v>
      </c>
      <c r="J64" s="2">
        <v>2</v>
      </c>
      <c r="K64" s="2">
        <v>2</v>
      </c>
      <c r="L64" s="2">
        <v>3</v>
      </c>
      <c r="M64" s="2">
        <v>1</v>
      </c>
      <c r="N64" s="2">
        <v>2</v>
      </c>
      <c r="O64" s="2">
        <v>0</v>
      </c>
      <c r="P64" s="2">
        <v>0</v>
      </c>
      <c r="Q64" s="2">
        <v>0</v>
      </c>
      <c r="R64" s="2">
        <v>1</v>
      </c>
      <c r="S64" s="2">
        <v>1</v>
      </c>
      <c r="T64" s="2">
        <v>0</v>
      </c>
      <c r="U64" s="2">
        <v>2</v>
      </c>
      <c r="V64" s="2">
        <v>2</v>
      </c>
      <c r="W64" s="2">
        <v>0</v>
      </c>
      <c r="X64" s="2">
        <v>7</v>
      </c>
      <c r="Y64" s="2">
        <v>2</v>
      </c>
      <c r="Z64" s="2">
        <v>5</v>
      </c>
    </row>
    <row r="65" spans="1:26" hidden="1" x14ac:dyDescent="0.45">
      <c r="A65" s="2">
        <v>84</v>
      </c>
      <c r="B65" s="2">
        <v>4</v>
      </c>
      <c r="C65" s="2"/>
      <c r="D65" s="2">
        <v>3</v>
      </c>
      <c r="E65" s="3" t="s">
        <v>30</v>
      </c>
      <c r="F65" s="2">
        <v>9</v>
      </c>
      <c r="G65" s="2">
        <v>3</v>
      </c>
      <c r="H65" s="2">
        <v>6</v>
      </c>
      <c r="I65" s="2">
        <v>4</v>
      </c>
      <c r="J65" s="2">
        <v>2</v>
      </c>
      <c r="K65" s="2">
        <v>2</v>
      </c>
      <c r="L65" s="2">
        <v>3</v>
      </c>
      <c r="M65" s="2">
        <v>1</v>
      </c>
      <c r="N65" s="2">
        <v>2</v>
      </c>
      <c r="O65" s="2">
        <v>0</v>
      </c>
      <c r="P65" s="2">
        <v>0</v>
      </c>
      <c r="Q65" s="2">
        <v>0</v>
      </c>
      <c r="R65" s="2">
        <v>1</v>
      </c>
      <c r="S65" s="2">
        <v>1</v>
      </c>
      <c r="T65" s="2">
        <v>0</v>
      </c>
      <c r="U65" s="2">
        <v>1</v>
      </c>
      <c r="V65" s="2">
        <v>1</v>
      </c>
      <c r="W65" s="2">
        <v>0</v>
      </c>
      <c r="X65" s="2">
        <v>3</v>
      </c>
      <c r="Y65" s="2">
        <v>1</v>
      </c>
      <c r="Z65" s="2">
        <v>2</v>
      </c>
    </row>
    <row r="66" spans="1:26" hidden="1" x14ac:dyDescent="0.45">
      <c r="A66" s="2">
        <v>85</v>
      </c>
      <c r="B66" s="2">
        <v>4</v>
      </c>
      <c r="C66" s="2"/>
      <c r="D66" s="2">
        <v>5</v>
      </c>
      <c r="E66" s="3" t="s">
        <v>35</v>
      </c>
      <c r="F66" s="2">
        <v>8</v>
      </c>
      <c r="G66" s="2">
        <v>4</v>
      </c>
      <c r="H66" s="2">
        <v>4</v>
      </c>
      <c r="I66" s="2">
        <v>4</v>
      </c>
      <c r="J66" s="2">
        <v>2</v>
      </c>
      <c r="K66" s="2">
        <v>2</v>
      </c>
      <c r="L66" s="2">
        <v>2</v>
      </c>
      <c r="M66" s="2">
        <v>1</v>
      </c>
      <c r="N66" s="2">
        <v>1</v>
      </c>
      <c r="O66" s="2">
        <v>2</v>
      </c>
      <c r="P66" s="2">
        <v>1</v>
      </c>
      <c r="Q66" s="2">
        <v>1</v>
      </c>
      <c r="R66" s="2">
        <v>0</v>
      </c>
      <c r="S66" s="2">
        <v>0</v>
      </c>
      <c r="T66" s="2">
        <v>0</v>
      </c>
      <c r="U66" s="2">
        <v>3</v>
      </c>
      <c r="V66" s="2">
        <v>2</v>
      </c>
      <c r="W66" s="2">
        <v>1</v>
      </c>
      <c r="X66" s="2">
        <v>9</v>
      </c>
      <c r="Y66" s="2">
        <v>5</v>
      </c>
      <c r="Z66" s="2">
        <v>4</v>
      </c>
    </row>
    <row r="67" spans="1:26" hidden="1" x14ac:dyDescent="0.45">
      <c r="A67" s="2">
        <v>86</v>
      </c>
      <c r="B67" s="2">
        <v>4</v>
      </c>
      <c r="C67" s="2"/>
      <c r="D67" s="2">
        <v>5</v>
      </c>
      <c r="E67" s="3" t="s">
        <v>29</v>
      </c>
      <c r="F67" s="2">
        <v>8</v>
      </c>
      <c r="G67" s="2">
        <v>4</v>
      </c>
      <c r="H67" s="2">
        <v>4</v>
      </c>
      <c r="I67" s="2">
        <v>4</v>
      </c>
      <c r="J67" s="2">
        <v>2</v>
      </c>
      <c r="K67" s="2">
        <v>2</v>
      </c>
      <c r="L67" s="2">
        <v>2</v>
      </c>
      <c r="M67" s="2">
        <v>1</v>
      </c>
      <c r="N67" s="2">
        <v>1</v>
      </c>
      <c r="O67" s="2">
        <v>2</v>
      </c>
      <c r="P67" s="2">
        <v>1</v>
      </c>
      <c r="Q67" s="2">
        <v>1</v>
      </c>
      <c r="R67" s="2">
        <v>0</v>
      </c>
      <c r="S67" s="2">
        <v>0</v>
      </c>
      <c r="T67" s="2">
        <v>0</v>
      </c>
      <c r="U67" s="2">
        <v>3</v>
      </c>
      <c r="V67" s="2">
        <v>2</v>
      </c>
      <c r="W67" s="2">
        <v>1</v>
      </c>
      <c r="X67" s="2">
        <v>5</v>
      </c>
      <c r="Y67" s="2">
        <v>3</v>
      </c>
      <c r="Z67" s="2">
        <v>2</v>
      </c>
    </row>
    <row r="68" spans="1:26" hidden="1" x14ac:dyDescent="0.45">
      <c r="A68" s="2">
        <v>87</v>
      </c>
      <c r="B68" s="2">
        <v>4</v>
      </c>
      <c r="C68" s="2"/>
      <c r="D68" s="2">
        <v>7</v>
      </c>
      <c r="E68" s="3" t="s">
        <v>36</v>
      </c>
      <c r="F68" s="2">
        <v>7</v>
      </c>
      <c r="G68" s="2">
        <v>4</v>
      </c>
      <c r="H68" s="2">
        <v>3</v>
      </c>
      <c r="I68" s="2">
        <v>4</v>
      </c>
      <c r="J68" s="2">
        <v>2</v>
      </c>
      <c r="K68" s="2">
        <v>2</v>
      </c>
      <c r="L68" s="2">
        <v>2</v>
      </c>
      <c r="M68" s="2">
        <v>1</v>
      </c>
      <c r="N68" s="2">
        <v>1</v>
      </c>
      <c r="O68" s="2">
        <v>1</v>
      </c>
      <c r="P68" s="2">
        <v>1</v>
      </c>
      <c r="Q68" s="2">
        <v>0</v>
      </c>
      <c r="R68" s="2">
        <v>1</v>
      </c>
      <c r="S68" s="2">
        <v>0</v>
      </c>
      <c r="T68" s="2">
        <v>1</v>
      </c>
      <c r="U68" s="2">
        <v>3</v>
      </c>
      <c r="V68" s="2">
        <v>1</v>
      </c>
      <c r="W68" s="2">
        <v>2</v>
      </c>
      <c r="X68" s="2">
        <v>5</v>
      </c>
      <c r="Y68" s="2">
        <v>3</v>
      </c>
      <c r="Z68" s="2">
        <v>2</v>
      </c>
    </row>
    <row r="69" spans="1:26" hidden="1" x14ac:dyDescent="0.45">
      <c r="A69" s="2">
        <v>88</v>
      </c>
      <c r="B69" s="2">
        <v>4</v>
      </c>
      <c r="C69" s="2"/>
      <c r="D69" s="2">
        <v>7</v>
      </c>
      <c r="E69" s="3" t="s">
        <v>27</v>
      </c>
      <c r="F69" s="2">
        <v>7</v>
      </c>
      <c r="G69" s="2">
        <v>4</v>
      </c>
      <c r="H69" s="2">
        <v>3</v>
      </c>
      <c r="I69" s="2">
        <v>4</v>
      </c>
      <c r="J69" s="2">
        <v>2</v>
      </c>
      <c r="K69" s="2">
        <v>2</v>
      </c>
      <c r="L69" s="2">
        <v>2</v>
      </c>
      <c r="M69" s="2">
        <v>1</v>
      </c>
      <c r="N69" s="2">
        <v>1</v>
      </c>
      <c r="O69" s="2">
        <v>1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3</v>
      </c>
      <c r="V69" s="2">
        <v>1</v>
      </c>
      <c r="W69" s="2">
        <v>2</v>
      </c>
      <c r="X69" s="2">
        <v>5</v>
      </c>
      <c r="Y69" s="2">
        <v>3</v>
      </c>
      <c r="Z69" s="2">
        <v>2</v>
      </c>
    </row>
    <row r="70" spans="1:26" hidden="1" x14ac:dyDescent="0.45">
      <c r="A70" s="2">
        <v>89</v>
      </c>
      <c r="B70" s="2">
        <v>4</v>
      </c>
      <c r="C70" s="2"/>
      <c r="D70" s="2">
        <v>7</v>
      </c>
      <c r="E70" s="3" t="s">
        <v>31</v>
      </c>
      <c r="F70" s="2">
        <v>7</v>
      </c>
      <c r="G70" s="2">
        <v>1</v>
      </c>
      <c r="H70" s="2">
        <v>6</v>
      </c>
      <c r="I70" s="2">
        <v>4</v>
      </c>
      <c r="J70" s="2">
        <v>2</v>
      </c>
      <c r="K70" s="2">
        <v>2</v>
      </c>
      <c r="L70" s="2">
        <v>2</v>
      </c>
      <c r="M70" s="2">
        <v>0</v>
      </c>
      <c r="N70" s="2">
        <v>2</v>
      </c>
      <c r="O70" s="2">
        <v>1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5</v>
      </c>
      <c r="V70" s="2">
        <v>4</v>
      </c>
      <c r="W70" s="2">
        <v>1</v>
      </c>
      <c r="X70" s="2">
        <v>4</v>
      </c>
      <c r="Y70" s="2">
        <v>1</v>
      </c>
      <c r="Z70" s="2">
        <v>3</v>
      </c>
    </row>
    <row r="71" spans="1:26" hidden="1" x14ac:dyDescent="0.45">
      <c r="A71" s="2">
        <v>90</v>
      </c>
      <c r="B71" s="2">
        <v>4</v>
      </c>
      <c r="C71" s="2"/>
      <c r="D71" s="2">
        <v>10</v>
      </c>
      <c r="E71" s="3" t="s">
        <v>25</v>
      </c>
      <c r="F71" s="2">
        <v>6</v>
      </c>
      <c r="G71" s="2">
        <v>6</v>
      </c>
      <c r="H71" s="2">
        <v>0</v>
      </c>
      <c r="I71" s="2">
        <v>4</v>
      </c>
      <c r="J71" s="2">
        <v>3</v>
      </c>
      <c r="K71" s="2">
        <v>1</v>
      </c>
      <c r="L71" s="2">
        <v>2</v>
      </c>
      <c r="M71" s="2">
        <v>2</v>
      </c>
      <c r="N71" s="2">
        <v>0</v>
      </c>
      <c r="O71" s="2">
        <v>0</v>
      </c>
      <c r="P71" s="2">
        <v>0</v>
      </c>
      <c r="Q71" s="2">
        <v>0</v>
      </c>
      <c r="R71" s="2">
        <v>2</v>
      </c>
      <c r="S71" s="2">
        <v>1</v>
      </c>
      <c r="T71" s="2">
        <v>1</v>
      </c>
      <c r="U71" s="2">
        <v>7</v>
      </c>
      <c r="V71" s="2">
        <v>3</v>
      </c>
      <c r="W71" s="2">
        <v>4</v>
      </c>
      <c r="X71" s="2">
        <v>11</v>
      </c>
      <c r="Y71" s="2">
        <v>8</v>
      </c>
      <c r="Z71" s="2">
        <v>3</v>
      </c>
    </row>
    <row r="72" spans="1:26" hidden="1" x14ac:dyDescent="0.45">
      <c r="A72" s="2">
        <v>91</v>
      </c>
      <c r="B72" s="2">
        <v>4</v>
      </c>
      <c r="C72" s="2"/>
      <c r="D72" s="2">
        <v>10</v>
      </c>
      <c r="E72" s="3" t="s">
        <v>40</v>
      </c>
      <c r="F72" s="2">
        <v>6</v>
      </c>
      <c r="G72" s="2">
        <v>6</v>
      </c>
      <c r="H72" s="2">
        <v>0</v>
      </c>
      <c r="I72" s="2">
        <v>4</v>
      </c>
      <c r="J72" s="2">
        <v>2</v>
      </c>
      <c r="K72" s="2">
        <v>2</v>
      </c>
      <c r="L72" s="2">
        <v>2</v>
      </c>
      <c r="M72" s="2">
        <v>2</v>
      </c>
      <c r="N72" s="2">
        <v>0</v>
      </c>
      <c r="O72" s="2">
        <v>0</v>
      </c>
      <c r="P72" s="2">
        <v>0</v>
      </c>
      <c r="Q72" s="2">
        <v>0</v>
      </c>
      <c r="R72" s="2">
        <v>2</v>
      </c>
      <c r="S72" s="2">
        <v>0</v>
      </c>
      <c r="T72" s="2">
        <v>2</v>
      </c>
      <c r="U72" s="2">
        <v>3</v>
      </c>
      <c r="V72" s="2">
        <v>1</v>
      </c>
      <c r="W72" s="2">
        <v>2</v>
      </c>
      <c r="X72" s="2">
        <v>3</v>
      </c>
      <c r="Y72" s="2">
        <v>3</v>
      </c>
      <c r="Z72" s="2">
        <v>0</v>
      </c>
    </row>
    <row r="73" spans="1:26" hidden="1" x14ac:dyDescent="0.45">
      <c r="A73" s="2">
        <v>92</v>
      </c>
      <c r="B73" s="2">
        <v>4</v>
      </c>
      <c r="C73" s="2"/>
      <c r="D73" s="2">
        <v>12</v>
      </c>
      <c r="E73" s="3" t="s">
        <v>44</v>
      </c>
      <c r="F73" s="2">
        <v>4</v>
      </c>
      <c r="G73" s="2">
        <v>1</v>
      </c>
      <c r="H73" s="2">
        <v>3</v>
      </c>
      <c r="I73" s="2">
        <v>4</v>
      </c>
      <c r="J73" s="2">
        <v>2</v>
      </c>
      <c r="K73" s="2">
        <v>2</v>
      </c>
      <c r="L73" s="2">
        <v>1</v>
      </c>
      <c r="M73" s="2">
        <v>0</v>
      </c>
      <c r="N73" s="2">
        <v>1</v>
      </c>
      <c r="O73" s="2">
        <v>1</v>
      </c>
      <c r="P73" s="2">
        <v>1</v>
      </c>
      <c r="Q73" s="2">
        <v>0</v>
      </c>
      <c r="R73" s="2">
        <v>2</v>
      </c>
      <c r="S73" s="2">
        <v>1</v>
      </c>
      <c r="T73" s="2">
        <v>1</v>
      </c>
      <c r="U73" s="2">
        <v>8</v>
      </c>
      <c r="V73" s="2">
        <v>3</v>
      </c>
      <c r="W73" s="2">
        <v>5</v>
      </c>
      <c r="X73" s="2">
        <v>1</v>
      </c>
      <c r="Y73" s="2">
        <v>0</v>
      </c>
      <c r="Z73" s="2">
        <v>1</v>
      </c>
    </row>
    <row r="74" spans="1:26" hidden="1" x14ac:dyDescent="0.45">
      <c r="A74" s="2">
        <v>93</v>
      </c>
      <c r="B74" s="2">
        <v>4</v>
      </c>
      <c r="C74" s="2"/>
      <c r="D74" s="2">
        <v>13</v>
      </c>
      <c r="E74" s="3" t="s">
        <v>42</v>
      </c>
      <c r="F74" s="2">
        <v>3</v>
      </c>
      <c r="G74" s="2">
        <v>3</v>
      </c>
      <c r="H74" s="2">
        <v>0</v>
      </c>
      <c r="I74" s="2">
        <v>4</v>
      </c>
      <c r="J74" s="2">
        <v>2</v>
      </c>
      <c r="K74" s="2">
        <v>2</v>
      </c>
      <c r="L74" s="2">
        <v>1</v>
      </c>
      <c r="M74" s="2">
        <v>1</v>
      </c>
      <c r="N74" s="2">
        <v>0</v>
      </c>
      <c r="O74" s="2">
        <v>0</v>
      </c>
      <c r="P74" s="2">
        <v>0</v>
      </c>
      <c r="Q74" s="2">
        <v>0</v>
      </c>
      <c r="R74" s="2">
        <v>3</v>
      </c>
      <c r="S74" s="2">
        <v>1</v>
      </c>
      <c r="T74" s="2">
        <v>2</v>
      </c>
      <c r="U74" s="2">
        <v>4</v>
      </c>
      <c r="V74" s="2">
        <v>1</v>
      </c>
      <c r="W74" s="2">
        <v>3</v>
      </c>
      <c r="X74" s="2">
        <v>4</v>
      </c>
      <c r="Y74" s="2">
        <v>4</v>
      </c>
      <c r="Z74" s="2">
        <v>0</v>
      </c>
    </row>
    <row r="75" spans="1:26" hidden="1" x14ac:dyDescent="0.45">
      <c r="A75" s="2">
        <v>94</v>
      </c>
      <c r="B75" s="2">
        <v>4</v>
      </c>
      <c r="C75" s="2"/>
      <c r="D75" s="2">
        <v>13</v>
      </c>
      <c r="E75" s="3" t="s">
        <v>43</v>
      </c>
      <c r="F75" s="2">
        <v>3</v>
      </c>
      <c r="G75" s="2">
        <v>3</v>
      </c>
      <c r="H75" s="2">
        <v>0</v>
      </c>
      <c r="I75" s="2">
        <v>4</v>
      </c>
      <c r="J75" s="2">
        <v>2</v>
      </c>
      <c r="K75" s="2">
        <v>2</v>
      </c>
      <c r="L75" s="2">
        <v>1</v>
      </c>
      <c r="M75" s="2">
        <v>1</v>
      </c>
      <c r="N75" s="2">
        <v>0</v>
      </c>
      <c r="O75" s="2">
        <v>0</v>
      </c>
      <c r="P75" s="2">
        <v>0</v>
      </c>
      <c r="Q75" s="2">
        <v>0</v>
      </c>
      <c r="R75" s="2">
        <v>3</v>
      </c>
      <c r="S75" s="2">
        <v>1</v>
      </c>
      <c r="T75" s="2">
        <v>2</v>
      </c>
      <c r="U75" s="2">
        <v>7</v>
      </c>
      <c r="V75" s="2">
        <v>2</v>
      </c>
      <c r="W75" s="2">
        <v>5</v>
      </c>
      <c r="X75" s="2">
        <v>4</v>
      </c>
      <c r="Y75" s="2">
        <v>1</v>
      </c>
      <c r="Z75" s="2">
        <v>3</v>
      </c>
    </row>
    <row r="76" spans="1:26" hidden="1" x14ac:dyDescent="0.45">
      <c r="A76" s="2">
        <v>95</v>
      </c>
      <c r="B76" s="2">
        <v>4</v>
      </c>
      <c r="C76" s="2"/>
      <c r="D76" s="2">
        <v>13</v>
      </c>
      <c r="E76" s="3" t="s">
        <v>33</v>
      </c>
      <c r="F76" s="2">
        <v>3</v>
      </c>
      <c r="G76" s="2">
        <v>2</v>
      </c>
      <c r="H76" s="2">
        <v>1</v>
      </c>
      <c r="I76" s="2">
        <v>4</v>
      </c>
      <c r="J76" s="2">
        <v>2</v>
      </c>
      <c r="K76" s="2">
        <v>2</v>
      </c>
      <c r="L76" s="2">
        <v>0</v>
      </c>
      <c r="M76" s="2">
        <v>0</v>
      </c>
      <c r="N76" s="2">
        <v>0</v>
      </c>
      <c r="O76" s="2">
        <v>3</v>
      </c>
      <c r="P76" s="2">
        <v>2</v>
      </c>
      <c r="Q76" s="2">
        <v>1</v>
      </c>
      <c r="R76" s="2">
        <v>1</v>
      </c>
      <c r="S76" s="2">
        <v>0</v>
      </c>
      <c r="T76" s="2">
        <v>1</v>
      </c>
      <c r="U76" s="2">
        <v>6</v>
      </c>
      <c r="V76" s="2">
        <v>1</v>
      </c>
      <c r="W76" s="2">
        <v>5</v>
      </c>
      <c r="X76" s="2">
        <v>2</v>
      </c>
      <c r="Y76" s="2">
        <v>1</v>
      </c>
      <c r="Z76" s="2">
        <v>1</v>
      </c>
    </row>
    <row r="77" spans="1:26" hidden="1" x14ac:dyDescent="0.45">
      <c r="A77" s="2">
        <v>96</v>
      </c>
      <c r="B77" s="2">
        <v>4</v>
      </c>
      <c r="C77" s="2"/>
      <c r="D77" s="2">
        <v>16</v>
      </c>
      <c r="E77" s="3" t="s">
        <v>37</v>
      </c>
      <c r="F77" s="2">
        <v>2</v>
      </c>
      <c r="G77" s="2">
        <v>1</v>
      </c>
      <c r="H77" s="2">
        <v>1</v>
      </c>
      <c r="I77" s="2">
        <v>4</v>
      </c>
      <c r="J77" s="2">
        <v>2</v>
      </c>
      <c r="K77" s="2">
        <v>2</v>
      </c>
      <c r="L77" s="2">
        <v>0</v>
      </c>
      <c r="M77" s="2">
        <v>0</v>
      </c>
      <c r="N77" s="2">
        <v>0</v>
      </c>
      <c r="O77" s="2">
        <v>2</v>
      </c>
      <c r="P77" s="2">
        <v>1</v>
      </c>
      <c r="Q77" s="2">
        <v>1</v>
      </c>
      <c r="R77" s="2">
        <v>2</v>
      </c>
      <c r="S77" s="2">
        <v>1</v>
      </c>
      <c r="T77" s="2">
        <v>1</v>
      </c>
      <c r="U77" s="2">
        <v>4</v>
      </c>
      <c r="V77" s="2">
        <v>1</v>
      </c>
      <c r="W77" s="2">
        <v>3</v>
      </c>
      <c r="X77" s="2">
        <v>2</v>
      </c>
      <c r="Y77" s="2">
        <v>0</v>
      </c>
      <c r="Z77" s="2">
        <v>2</v>
      </c>
    </row>
    <row r="78" spans="1:26" hidden="1" x14ac:dyDescent="0.45">
      <c r="A78" s="2">
        <v>97</v>
      </c>
      <c r="B78" s="2">
        <v>4</v>
      </c>
      <c r="C78" s="2"/>
      <c r="D78" s="2">
        <v>16</v>
      </c>
      <c r="E78" s="3" t="s">
        <v>34</v>
      </c>
      <c r="F78" s="2">
        <v>2</v>
      </c>
      <c r="G78" s="2">
        <v>0</v>
      </c>
      <c r="H78" s="2">
        <v>2</v>
      </c>
      <c r="I78" s="2">
        <v>4</v>
      </c>
      <c r="J78" s="2">
        <v>2</v>
      </c>
      <c r="K78" s="2">
        <v>2</v>
      </c>
      <c r="L78" s="2">
        <v>0</v>
      </c>
      <c r="M78" s="2">
        <v>0</v>
      </c>
      <c r="N78" s="2">
        <v>0</v>
      </c>
      <c r="O78" s="2">
        <v>2</v>
      </c>
      <c r="P78" s="2">
        <v>0</v>
      </c>
      <c r="Q78" s="2">
        <v>2</v>
      </c>
      <c r="R78" s="2">
        <v>2</v>
      </c>
      <c r="S78" s="2">
        <v>2</v>
      </c>
      <c r="T78" s="2">
        <v>0</v>
      </c>
      <c r="U78" s="2">
        <v>6</v>
      </c>
      <c r="V78" s="2">
        <v>5</v>
      </c>
      <c r="W78" s="2">
        <v>1</v>
      </c>
      <c r="X78" s="2">
        <v>3</v>
      </c>
      <c r="Y78" s="2">
        <v>2</v>
      </c>
      <c r="Z78" s="2">
        <v>1</v>
      </c>
    </row>
    <row r="79" spans="1:26" hidden="1" x14ac:dyDescent="0.45">
      <c r="A79" s="2">
        <v>98</v>
      </c>
      <c r="B79" s="2">
        <v>4</v>
      </c>
      <c r="C79" s="2"/>
      <c r="D79" s="2">
        <v>16</v>
      </c>
      <c r="E79" s="3" t="s">
        <v>41</v>
      </c>
      <c r="F79" s="2">
        <v>2</v>
      </c>
      <c r="G79" s="2">
        <v>1</v>
      </c>
      <c r="H79" s="2">
        <v>1</v>
      </c>
      <c r="I79" s="2">
        <v>4</v>
      </c>
      <c r="J79" s="2">
        <v>1</v>
      </c>
      <c r="K79" s="2">
        <v>3</v>
      </c>
      <c r="L79" s="2">
        <v>0</v>
      </c>
      <c r="M79" s="2">
        <v>0</v>
      </c>
      <c r="N79" s="2">
        <v>0</v>
      </c>
      <c r="O79" s="2">
        <v>2</v>
      </c>
      <c r="P79" s="2">
        <v>1</v>
      </c>
      <c r="Q79" s="2">
        <v>1</v>
      </c>
      <c r="R79" s="2">
        <v>2</v>
      </c>
      <c r="S79" s="2">
        <v>0</v>
      </c>
      <c r="T79" s="2">
        <v>2</v>
      </c>
      <c r="U79" s="2">
        <v>5</v>
      </c>
      <c r="V79" s="2">
        <v>1</v>
      </c>
      <c r="W79" s="2">
        <v>4</v>
      </c>
      <c r="X79" s="2">
        <v>1</v>
      </c>
      <c r="Y79" s="2">
        <v>1</v>
      </c>
      <c r="Z79" s="2">
        <v>0</v>
      </c>
    </row>
    <row r="80" spans="1:26" hidden="1" x14ac:dyDescent="0.45">
      <c r="A80" s="2">
        <v>99</v>
      </c>
      <c r="B80" s="2">
        <v>4</v>
      </c>
      <c r="C80" s="2"/>
      <c r="D80" s="2">
        <v>19</v>
      </c>
      <c r="E80" s="3" t="s">
        <v>32</v>
      </c>
      <c r="F80" s="2">
        <v>1</v>
      </c>
      <c r="G80" s="2">
        <v>0</v>
      </c>
      <c r="H80" s="2">
        <v>1</v>
      </c>
      <c r="I80" s="2">
        <v>4</v>
      </c>
      <c r="J80" s="2">
        <v>2</v>
      </c>
      <c r="K80" s="2">
        <v>2</v>
      </c>
      <c r="L80" s="2">
        <v>0</v>
      </c>
      <c r="M80" s="2">
        <v>0</v>
      </c>
      <c r="N80" s="2">
        <v>0</v>
      </c>
      <c r="O80" s="2">
        <v>1</v>
      </c>
      <c r="P80" s="2">
        <v>0</v>
      </c>
      <c r="Q80" s="2">
        <v>1</v>
      </c>
      <c r="R80" s="2">
        <v>3</v>
      </c>
      <c r="S80" s="2">
        <v>2</v>
      </c>
      <c r="T80" s="2">
        <v>1</v>
      </c>
      <c r="U80" s="2">
        <v>6</v>
      </c>
      <c r="V80" s="2">
        <v>2</v>
      </c>
      <c r="W80" s="2">
        <v>4</v>
      </c>
      <c r="X80" s="2">
        <v>3</v>
      </c>
      <c r="Y80" s="2">
        <v>0</v>
      </c>
      <c r="Z80" s="2">
        <v>3</v>
      </c>
    </row>
    <row r="81" spans="1:26" hidden="1" x14ac:dyDescent="0.45">
      <c r="A81" s="2">
        <v>100</v>
      </c>
      <c r="B81" s="2">
        <v>4</v>
      </c>
      <c r="C81" s="2"/>
      <c r="D81" s="2">
        <v>19</v>
      </c>
      <c r="E81" s="3" t="s">
        <v>38</v>
      </c>
      <c r="F81" s="2">
        <v>1</v>
      </c>
      <c r="G81" s="2">
        <v>0</v>
      </c>
      <c r="H81" s="2">
        <v>1</v>
      </c>
      <c r="I81" s="2">
        <v>4</v>
      </c>
      <c r="J81" s="2">
        <v>2</v>
      </c>
      <c r="K81" s="2">
        <v>2</v>
      </c>
      <c r="L81" s="2">
        <v>0</v>
      </c>
      <c r="M81" s="2">
        <v>0</v>
      </c>
      <c r="N81" s="2">
        <v>0</v>
      </c>
      <c r="O81" s="2">
        <v>1</v>
      </c>
      <c r="P81" s="2">
        <v>0</v>
      </c>
      <c r="Q81" s="2">
        <v>1</v>
      </c>
      <c r="R81" s="2">
        <v>3</v>
      </c>
      <c r="S81" s="2">
        <v>2</v>
      </c>
      <c r="T81" s="2">
        <v>1</v>
      </c>
      <c r="U81" s="2">
        <v>8</v>
      </c>
      <c r="V81" s="2">
        <v>4</v>
      </c>
      <c r="W81" s="2">
        <v>4</v>
      </c>
      <c r="X81" s="2">
        <v>2</v>
      </c>
      <c r="Y81" s="2">
        <v>1</v>
      </c>
      <c r="Z81" s="2">
        <v>1</v>
      </c>
    </row>
    <row r="82" spans="1:26" hidden="1" x14ac:dyDescent="0.45">
      <c r="A82" s="2">
        <v>101</v>
      </c>
      <c r="B82" s="2">
        <v>5</v>
      </c>
      <c r="C82" s="2"/>
      <c r="D82" s="2">
        <v>1</v>
      </c>
      <c r="E82" s="3" t="s">
        <v>39</v>
      </c>
      <c r="F82" s="2">
        <v>12</v>
      </c>
      <c r="G82" s="2">
        <v>6</v>
      </c>
      <c r="H82" s="2">
        <v>6</v>
      </c>
      <c r="I82" s="2">
        <v>5</v>
      </c>
      <c r="J82" s="2">
        <v>3</v>
      </c>
      <c r="K82" s="2">
        <v>2</v>
      </c>
      <c r="L82" s="2">
        <v>4</v>
      </c>
      <c r="M82" s="2">
        <v>2</v>
      </c>
      <c r="N82" s="2">
        <v>2</v>
      </c>
      <c r="O82" s="2">
        <v>0</v>
      </c>
      <c r="P82" s="2">
        <v>0</v>
      </c>
      <c r="Q82" s="2">
        <v>0</v>
      </c>
      <c r="R82" s="2">
        <v>1</v>
      </c>
      <c r="S82" s="2">
        <v>1</v>
      </c>
      <c r="T82" s="2">
        <v>0</v>
      </c>
      <c r="U82" s="2">
        <v>3</v>
      </c>
      <c r="V82" s="2">
        <v>3</v>
      </c>
      <c r="W82" s="2">
        <v>0</v>
      </c>
      <c r="X82" s="2">
        <v>9</v>
      </c>
      <c r="Y82" s="2">
        <v>4</v>
      </c>
      <c r="Z82" s="2">
        <v>5</v>
      </c>
    </row>
    <row r="83" spans="1:26" hidden="1" x14ac:dyDescent="0.45">
      <c r="A83" s="2">
        <v>102</v>
      </c>
      <c r="B83" s="2">
        <v>5</v>
      </c>
      <c r="C83" s="2"/>
      <c r="D83" s="2">
        <v>1</v>
      </c>
      <c r="E83" s="3" t="s">
        <v>26</v>
      </c>
      <c r="F83" s="2">
        <v>12</v>
      </c>
      <c r="G83" s="2">
        <v>6</v>
      </c>
      <c r="H83" s="2">
        <v>6</v>
      </c>
      <c r="I83" s="2">
        <v>5</v>
      </c>
      <c r="J83" s="2">
        <v>2</v>
      </c>
      <c r="K83" s="2">
        <v>3</v>
      </c>
      <c r="L83" s="2">
        <v>4</v>
      </c>
      <c r="M83" s="2">
        <v>2</v>
      </c>
      <c r="N83" s="2">
        <v>2</v>
      </c>
      <c r="O83" s="2">
        <v>0</v>
      </c>
      <c r="P83" s="2">
        <v>0</v>
      </c>
      <c r="Q83" s="2">
        <v>0</v>
      </c>
      <c r="R83" s="2">
        <v>1</v>
      </c>
      <c r="S83" s="2">
        <v>0</v>
      </c>
      <c r="T83" s="2">
        <v>1</v>
      </c>
      <c r="U83" s="2">
        <v>5</v>
      </c>
      <c r="V83" s="2">
        <v>2</v>
      </c>
      <c r="W83" s="2">
        <v>3</v>
      </c>
      <c r="X83" s="2">
        <v>10</v>
      </c>
      <c r="Y83" s="2">
        <v>4</v>
      </c>
      <c r="Z83" s="2">
        <v>6</v>
      </c>
    </row>
    <row r="84" spans="1:26" hidden="1" x14ac:dyDescent="0.45">
      <c r="A84" s="2">
        <v>103</v>
      </c>
      <c r="B84" s="2">
        <v>5</v>
      </c>
      <c r="C84" s="2"/>
      <c r="D84" s="2">
        <v>1</v>
      </c>
      <c r="E84" s="3" t="s">
        <v>30</v>
      </c>
      <c r="F84" s="2">
        <v>12</v>
      </c>
      <c r="G84" s="2">
        <v>6</v>
      </c>
      <c r="H84" s="2">
        <v>6</v>
      </c>
      <c r="I84" s="2">
        <v>5</v>
      </c>
      <c r="J84" s="2">
        <v>3</v>
      </c>
      <c r="K84" s="2">
        <v>2</v>
      </c>
      <c r="L84" s="2">
        <v>4</v>
      </c>
      <c r="M84" s="2">
        <v>2</v>
      </c>
      <c r="N84" s="2">
        <v>2</v>
      </c>
      <c r="O84" s="2">
        <v>0</v>
      </c>
      <c r="P84" s="2">
        <v>0</v>
      </c>
      <c r="Q84" s="2">
        <v>0</v>
      </c>
      <c r="R84" s="2">
        <v>1</v>
      </c>
      <c r="S84" s="2">
        <v>1</v>
      </c>
      <c r="T84" s="2">
        <v>0</v>
      </c>
      <c r="U84" s="2">
        <v>1</v>
      </c>
      <c r="V84" s="2">
        <v>1</v>
      </c>
      <c r="W84" s="2">
        <v>0</v>
      </c>
      <c r="X84" s="2">
        <v>5</v>
      </c>
      <c r="Y84" s="2">
        <v>3</v>
      </c>
      <c r="Z84" s="2">
        <v>2</v>
      </c>
    </row>
    <row r="85" spans="1:26" hidden="1" x14ac:dyDescent="0.45">
      <c r="A85" s="2">
        <v>104</v>
      </c>
      <c r="B85" s="2">
        <v>5</v>
      </c>
      <c r="C85" s="2"/>
      <c r="D85" s="2">
        <v>4</v>
      </c>
      <c r="E85" s="3" t="s">
        <v>28</v>
      </c>
      <c r="F85" s="2">
        <v>11</v>
      </c>
      <c r="G85" s="2">
        <v>7</v>
      </c>
      <c r="H85" s="2">
        <v>4</v>
      </c>
      <c r="I85" s="2">
        <v>5</v>
      </c>
      <c r="J85" s="2">
        <v>3</v>
      </c>
      <c r="K85" s="2">
        <v>2</v>
      </c>
      <c r="L85" s="2">
        <v>3</v>
      </c>
      <c r="M85" s="2">
        <v>2</v>
      </c>
      <c r="N85" s="2">
        <v>1</v>
      </c>
      <c r="O85" s="2">
        <v>2</v>
      </c>
      <c r="P85" s="2">
        <v>1</v>
      </c>
      <c r="Q85" s="2">
        <v>1</v>
      </c>
      <c r="R85" s="2">
        <v>0</v>
      </c>
      <c r="S85" s="2">
        <v>0</v>
      </c>
      <c r="T85" s="2">
        <v>0</v>
      </c>
      <c r="U85" s="2">
        <v>5</v>
      </c>
      <c r="V85" s="2">
        <v>4</v>
      </c>
      <c r="W85" s="2">
        <v>1</v>
      </c>
      <c r="X85" s="2">
        <v>9</v>
      </c>
      <c r="Y85" s="2">
        <v>7</v>
      </c>
      <c r="Z85" s="2">
        <v>2</v>
      </c>
    </row>
    <row r="86" spans="1:26" hidden="1" x14ac:dyDescent="0.45">
      <c r="A86" s="2">
        <v>105</v>
      </c>
      <c r="B86" s="2">
        <v>5</v>
      </c>
      <c r="C86" s="2"/>
      <c r="D86" s="2">
        <v>5</v>
      </c>
      <c r="E86" s="3" t="s">
        <v>25</v>
      </c>
      <c r="F86" s="2">
        <v>9</v>
      </c>
      <c r="G86" s="2">
        <v>6</v>
      </c>
      <c r="H86" s="2">
        <v>3</v>
      </c>
      <c r="I86" s="2">
        <v>5</v>
      </c>
      <c r="J86" s="2">
        <v>3</v>
      </c>
      <c r="K86" s="2">
        <v>2</v>
      </c>
      <c r="L86" s="2">
        <v>3</v>
      </c>
      <c r="M86" s="2">
        <v>2</v>
      </c>
      <c r="N86" s="2">
        <v>1</v>
      </c>
      <c r="O86" s="2">
        <v>0</v>
      </c>
      <c r="P86" s="2">
        <v>0</v>
      </c>
      <c r="Q86" s="2">
        <v>0</v>
      </c>
      <c r="R86" s="2">
        <v>2</v>
      </c>
      <c r="S86" s="2">
        <v>1</v>
      </c>
      <c r="T86" s="2">
        <v>1</v>
      </c>
      <c r="U86" s="2">
        <v>7</v>
      </c>
      <c r="V86" s="2">
        <v>3</v>
      </c>
      <c r="W86" s="2">
        <v>4</v>
      </c>
      <c r="X86" s="2">
        <v>13</v>
      </c>
      <c r="Y86" s="2">
        <v>8</v>
      </c>
      <c r="Z86" s="2">
        <v>5</v>
      </c>
    </row>
    <row r="87" spans="1:26" hidden="1" x14ac:dyDescent="0.45">
      <c r="A87" s="2">
        <v>106</v>
      </c>
      <c r="B87" s="2">
        <v>5</v>
      </c>
      <c r="C87" s="2"/>
      <c r="D87" s="2">
        <v>5</v>
      </c>
      <c r="E87" s="3" t="s">
        <v>35</v>
      </c>
      <c r="F87" s="2">
        <v>9</v>
      </c>
      <c r="G87" s="2">
        <v>4</v>
      </c>
      <c r="H87" s="2">
        <v>5</v>
      </c>
      <c r="I87" s="2">
        <v>5</v>
      </c>
      <c r="J87" s="2">
        <v>2</v>
      </c>
      <c r="K87" s="2">
        <v>3</v>
      </c>
      <c r="L87" s="2">
        <v>2</v>
      </c>
      <c r="M87" s="2">
        <v>1</v>
      </c>
      <c r="N87" s="2">
        <v>1</v>
      </c>
      <c r="O87" s="2">
        <v>3</v>
      </c>
      <c r="P87" s="2">
        <v>1</v>
      </c>
      <c r="Q87" s="2">
        <v>2</v>
      </c>
      <c r="R87" s="2">
        <v>0</v>
      </c>
      <c r="S87" s="2">
        <v>0</v>
      </c>
      <c r="T87" s="2">
        <v>0</v>
      </c>
      <c r="U87" s="2">
        <v>4</v>
      </c>
      <c r="V87" s="2">
        <v>2</v>
      </c>
      <c r="W87" s="2">
        <v>2</v>
      </c>
      <c r="X87" s="2">
        <v>10</v>
      </c>
      <c r="Y87" s="2">
        <v>5</v>
      </c>
      <c r="Z87" s="2">
        <v>5</v>
      </c>
    </row>
    <row r="88" spans="1:26" hidden="1" x14ac:dyDescent="0.45">
      <c r="A88" s="2">
        <v>107</v>
      </c>
      <c r="B88" s="2">
        <v>5</v>
      </c>
      <c r="C88" s="2"/>
      <c r="D88" s="2">
        <v>5</v>
      </c>
      <c r="E88" s="3" t="s">
        <v>29</v>
      </c>
      <c r="F88" s="2">
        <v>9</v>
      </c>
      <c r="G88" s="2">
        <v>4</v>
      </c>
      <c r="H88" s="2">
        <v>5</v>
      </c>
      <c r="I88" s="2">
        <v>5</v>
      </c>
      <c r="J88" s="2">
        <v>2</v>
      </c>
      <c r="K88" s="2">
        <v>3</v>
      </c>
      <c r="L88" s="2">
        <v>2</v>
      </c>
      <c r="M88" s="2">
        <v>1</v>
      </c>
      <c r="N88" s="2">
        <v>1</v>
      </c>
      <c r="O88" s="2">
        <v>3</v>
      </c>
      <c r="P88" s="2">
        <v>1</v>
      </c>
      <c r="Q88" s="2">
        <v>2</v>
      </c>
      <c r="R88" s="2">
        <v>0</v>
      </c>
      <c r="S88" s="2">
        <v>0</v>
      </c>
      <c r="T88" s="2">
        <v>0</v>
      </c>
      <c r="U88" s="2">
        <v>4</v>
      </c>
      <c r="V88" s="2">
        <v>2</v>
      </c>
      <c r="W88" s="2">
        <v>2</v>
      </c>
      <c r="X88" s="2">
        <v>6</v>
      </c>
      <c r="Y88" s="2">
        <v>3</v>
      </c>
      <c r="Z88" s="2">
        <v>3</v>
      </c>
    </row>
    <row r="89" spans="1:26" hidden="1" x14ac:dyDescent="0.45">
      <c r="A89" s="2">
        <v>108</v>
      </c>
      <c r="B89" s="2">
        <v>5</v>
      </c>
      <c r="C89" s="2"/>
      <c r="D89" s="2">
        <v>8</v>
      </c>
      <c r="E89" s="3" t="s">
        <v>27</v>
      </c>
      <c r="F89" s="2">
        <v>8</v>
      </c>
      <c r="G89" s="2">
        <v>5</v>
      </c>
      <c r="H89" s="2">
        <v>3</v>
      </c>
      <c r="I89" s="2">
        <v>5</v>
      </c>
      <c r="J89" s="2">
        <v>3</v>
      </c>
      <c r="K89" s="2">
        <v>2</v>
      </c>
      <c r="L89" s="2">
        <v>2</v>
      </c>
      <c r="M89" s="2">
        <v>1</v>
      </c>
      <c r="N89" s="2">
        <v>1</v>
      </c>
      <c r="O89" s="2">
        <v>2</v>
      </c>
      <c r="P89" s="2">
        <v>2</v>
      </c>
      <c r="Q89" s="2">
        <v>0</v>
      </c>
      <c r="R89" s="2">
        <v>1</v>
      </c>
      <c r="S89" s="2">
        <v>0</v>
      </c>
      <c r="T89" s="2">
        <v>1</v>
      </c>
      <c r="U89" s="2">
        <v>4</v>
      </c>
      <c r="V89" s="2">
        <v>2</v>
      </c>
      <c r="W89" s="2">
        <v>2</v>
      </c>
      <c r="X89" s="2">
        <v>6</v>
      </c>
      <c r="Y89" s="2">
        <v>4</v>
      </c>
      <c r="Z89" s="2">
        <v>2</v>
      </c>
    </row>
    <row r="90" spans="1:26" hidden="1" x14ac:dyDescent="0.45">
      <c r="A90" s="2">
        <v>109</v>
      </c>
      <c r="B90" s="2">
        <v>5</v>
      </c>
      <c r="C90" s="2"/>
      <c r="D90" s="2">
        <v>9</v>
      </c>
      <c r="E90" s="3" t="s">
        <v>36</v>
      </c>
      <c r="F90" s="2">
        <v>7</v>
      </c>
      <c r="G90" s="2">
        <v>4</v>
      </c>
      <c r="H90" s="2">
        <v>3</v>
      </c>
      <c r="I90" s="2">
        <v>5</v>
      </c>
      <c r="J90" s="2">
        <v>3</v>
      </c>
      <c r="K90" s="2">
        <v>2</v>
      </c>
      <c r="L90" s="2">
        <v>2</v>
      </c>
      <c r="M90" s="2">
        <v>1</v>
      </c>
      <c r="N90" s="2">
        <v>1</v>
      </c>
      <c r="O90" s="2">
        <v>1</v>
      </c>
      <c r="P90" s="2">
        <v>1</v>
      </c>
      <c r="Q90" s="2">
        <v>0</v>
      </c>
      <c r="R90" s="2">
        <v>2</v>
      </c>
      <c r="S90" s="2">
        <v>1</v>
      </c>
      <c r="T90" s="2">
        <v>1</v>
      </c>
      <c r="U90" s="2">
        <v>5</v>
      </c>
      <c r="V90" s="2">
        <v>3</v>
      </c>
      <c r="W90" s="2">
        <v>2</v>
      </c>
      <c r="X90" s="2">
        <v>5</v>
      </c>
      <c r="Y90" s="2">
        <v>3</v>
      </c>
      <c r="Z90" s="2">
        <v>2</v>
      </c>
    </row>
    <row r="91" spans="1:26" hidden="1" x14ac:dyDescent="0.45">
      <c r="A91" s="2">
        <v>110</v>
      </c>
      <c r="B91" s="2">
        <v>5</v>
      </c>
      <c r="C91" s="2"/>
      <c r="D91" s="2">
        <v>9</v>
      </c>
      <c r="E91" s="3" t="s">
        <v>40</v>
      </c>
      <c r="F91" s="2">
        <v>7</v>
      </c>
      <c r="G91" s="2">
        <v>6</v>
      </c>
      <c r="H91" s="2">
        <v>1</v>
      </c>
      <c r="I91" s="2">
        <v>5</v>
      </c>
      <c r="J91" s="2">
        <v>2</v>
      </c>
      <c r="K91" s="2">
        <v>3</v>
      </c>
      <c r="L91" s="2">
        <v>2</v>
      </c>
      <c r="M91" s="2">
        <v>2</v>
      </c>
      <c r="N91" s="2">
        <v>0</v>
      </c>
      <c r="O91" s="2">
        <v>1</v>
      </c>
      <c r="P91" s="2">
        <v>0</v>
      </c>
      <c r="Q91" s="2">
        <v>1</v>
      </c>
      <c r="R91" s="2">
        <v>2</v>
      </c>
      <c r="S91" s="2">
        <v>0</v>
      </c>
      <c r="T91" s="2">
        <v>2</v>
      </c>
      <c r="U91" s="2">
        <v>5</v>
      </c>
      <c r="V91" s="2">
        <v>1</v>
      </c>
      <c r="W91" s="2">
        <v>4</v>
      </c>
      <c r="X91" s="2">
        <v>5</v>
      </c>
      <c r="Y91" s="2">
        <v>3</v>
      </c>
      <c r="Z91" s="2">
        <v>2</v>
      </c>
    </row>
    <row r="92" spans="1:26" hidden="1" x14ac:dyDescent="0.45">
      <c r="A92" s="2">
        <v>111</v>
      </c>
      <c r="B92" s="2">
        <v>5</v>
      </c>
      <c r="C92" s="2"/>
      <c r="D92" s="2">
        <v>9</v>
      </c>
      <c r="E92" s="3" t="s">
        <v>31</v>
      </c>
      <c r="F92" s="2">
        <v>7</v>
      </c>
      <c r="G92" s="2">
        <v>1</v>
      </c>
      <c r="H92" s="2">
        <v>6</v>
      </c>
      <c r="I92" s="2">
        <v>5</v>
      </c>
      <c r="J92" s="2">
        <v>2</v>
      </c>
      <c r="K92" s="2">
        <v>3</v>
      </c>
      <c r="L92" s="2">
        <v>2</v>
      </c>
      <c r="M92" s="2">
        <v>0</v>
      </c>
      <c r="N92" s="2">
        <v>2</v>
      </c>
      <c r="O92" s="2">
        <v>1</v>
      </c>
      <c r="P92" s="2">
        <v>1</v>
      </c>
      <c r="Q92" s="2">
        <v>0</v>
      </c>
      <c r="R92" s="2">
        <v>2</v>
      </c>
      <c r="S92" s="2">
        <v>1</v>
      </c>
      <c r="T92" s="2">
        <v>1</v>
      </c>
      <c r="U92" s="2">
        <v>8</v>
      </c>
      <c r="V92" s="2">
        <v>4</v>
      </c>
      <c r="W92" s="2">
        <v>4</v>
      </c>
      <c r="X92" s="2">
        <v>5</v>
      </c>
      <c r="Y92" s="2">
        <v>1</v>
      </c>
      <c r="Z92" s="2">
        <v>4</v>
      </c>
    </row>
    <row r="93" spans="1:26" hidden="1" x14ac:dyDescent="0.45">
      <c r="A93" s="2">
        <v>112</v>
      </c>
      <c r="B93" s="2">
        <v>5</v>
      </c>
      <c r="C93" s="2"/>
      <c r="D93" s="2">
        <v>12</v>
      </c>
      <c r="E93" s="3" t="s">
        <v>42</v>
      </c>
      <c r="F93" s="2">
        <v>6</v>
      </c>
      <c r="G93" s="2">
        <v>3</v>
      </c>
      <c r="H93" s="2">
        <v>3</v>
      </c>
      <c r="I93" s="2">
        <v>5</v>
      </c>
      <c r="J93" s="2">
        <v>2</v>
      </c>
      <c r="K93" s="2">
        <v>3</v>
      </c>
      <c r="L93" s="2">
        <v>2</v>
      </c>
      <c r="M93" s="2">
        <v>1</v>
      </c>
      <c r="N93" s="2">
        <v>1</v>
      </c>
      <c r="O93" s="2">
        <v>0</v>
      </c>
      <c r="P93" s="2">
        <v>0</v>
      </c>
      <c r="Q93" s="2">
        <v>0</v>
      </c>
      <c r="R93" s="2">
        <v>3</v>
      </c>
      <c r="S93" s="2">
        <v>1</v>
      </c>
      <c r="T93" s="2">
        <v>2</v>
      </c>
      <c r="U93" s="2">
        <v>4</v>
      </c>
      <c r="V93" s="2">
        <v>1</v>
      </c>
      <c r="W93" s="2">
        <v>3</v>
      </c>
      <c r="X93" s="2">
        <v>7</v>
      </c>
      <c r="Y93" s="2">
        <v>4</v>
      </c>
      <c r="Z93" s="2">
        <v>3</v>
      </c>
    </row>
    <row r="94" spans="1:26" hidden="1" x14ac:dyDescent="0.45">
      <c r="A94" s="2">
        <v>113</v>
      </c>
      <c r="B94" s="2">
        <v>5</v>
      </c>
      <c r="C94" s="2"/>
      <c r="D94" s="2">
        <v>12</v>
      </c>
      <c r="E94" s="3" t="s">
        <v>43</v>
      </c>
      <c r="F94" s="2">
        <v>6</v>
      </c>
      <c r="G94" s="2">
        <v>6</v>
      </c>
      <c r="H94" s="2">
        <v>0</v>
      </c>
      <c r="I94" s="2">
        <v>5</v>
      </c>
      <c r="J94" s="2">
        <v>3</v>
      </c>
      <c r="K94" s="2">
        <v>2</v>
      </c>
      <c r="L94" s="2">
        <v>2</v>
      </c>
      <c r="M94" s="2">
        <v>2</v>
      </c>
      <c r="N94" s="2">
        <v>0</v>
      </c>
      <c r="O94" s="2">
        <v>0</v>
      </c>
      <c r="P94" s="2">
        <v>0</v>
      </c>
      <c r="Q94" s="2">
        <v>0</v>
      </c>
      <c r="R94" s="2">
        <v>3</v>
      </c>
      <c r="S94" s="2">
        <v>1</v>
      </c>
      <c r="T94" s="2">
        <v>2</v>
      </c>
      <c r="U94" s="2">
        <v>8</v>
      </c>
      <c r="V94" s="2">
        <v>3</v>
      </c>
      <c r="W94" s="2">
        <v>5</v>
      </c>
      <c r="X94" s="2">
        <v>7</v>
      </c>
      <c r="Y94" s="2">
        <v>4</v>
      </c>
      <c r="Z94" s="2">
        <v>3</v>
      </c>
    </row>
    <row r="95" spans="1:26" hidden="1" x14ac:dyDescent="0.45">
      <c r="A95" s="2">
        <v>114</v>
      </c>
      <c r="B95" s="2">
        <v>5</v>
      </c>
      <c r="C95" s="2"/>
      <c r="D95" s="2">
        <v>14</v>
      </c>
      <c r="E95" s="3" t="s">
        <v>41</v>
      </c>
      <c r="F95" s="2">
        <v>5</v>
      </c>
      <c r="G95" s="2">
        <v>4</v>
      </c>
      <c r="H95" s="2">
        <v>1</v>
      </c>
      <c r="I95" s="2">
        <v>5</v>
      </c>
      <c r="J95" s="2">
        <v>2</v>
      </c>
      <c r="K95" s="2">
        <v>3</v>
      </c>
      <c r="L95" s="2">
        <v>1</v>
      </c>
      <c r="M95" s="2">
        <v>1</v>
      </c>
      <c r="N95" s="2">
        <v>0</v>
      </c>
      <c r="O95" s="2">
        <v>2</v>
      </c>
      <c r="P95" s="2">
        <v>1</v>
      </c>
      <c r="Q95" s="2">
        <v>1</v>
      </c>
      <c r="R95" s="2">
        <v>2</v>
      </c>
      <c r="S95" s="2">
        <v>0</v>
      </c>
      <c r="T95" s="2">
        <v>2</v>
      </c>
      <c r="U95" s="2">
        <v>6</v>
      </c>
      <c r="V95" s="2">
        <v>2</v>
      </c>
      <c r="W95" s="2">
        <v>4</v>
      </c>
      <c r="X95" s="2">
        <v>3</v>
      </c>
      <c r="Y95" s="2">
        <v>3</v>
      </c>
      <c r="Z95" s="2">
        <v>0</v>
      </c>
    </row>
    <row r="96" spans="1:26" hidden="1" x14ac:dyDescent="0.45">
      <c r="A96" s="2">
        <v>115</v>
      </c>
      <c r="B96" s="2">
        <v>5</v>
      </c>
      <c r="C96" s="2"/>
      <c r="D96" s="2">
        <v>15</v>
      </c>
      <c r="E96" s="3" t="s">
        <v>44</v>
      </c>
      <c r="F96" s="2">
        <v>4</v>
      </c>
      <c r="G96" s="2">
        <v>1</v>
      </c>
      <c r="H96" s="2">
        <v>3</v>
      </c>
      <c r="I96" s="2">
        <v>5</v>
      </c>
      <c r="J96" s="2">
        <v>2</v>
      </c>
      <c r="K96" s="2">
        <v>3</v>
      </c>
      <c r="L96" s="2">
        <v>1</v>
      </c>
      <c r="M96" s="2">
        <v>0</v>
      </c>
      <c r="N96" s="2">
        <v>1</v>
      </c>
      <c r="O96" s="2">
        <v>1</v>
      </c>
      <c r="P96" s="2">
        <v>1</v>
      </c>
      <c r="Q96" s="2">
        <v>0</v>
      </c>
      <c r="R96" s="2">
        <v>3</v>
      </c>
      <c r="S96" s="2">
        <v>1</v>
      </c>
      <c r="T96" s="2">
        <v>2</v>
      </c>
      <c r="U96" s="2">
        <v>10</v>
      </c>
      <c r="V96" s="2">
        <v>3</v>
      </c>
      <c r="W96" s="2">
        <v>7</v>
      </c>
      <c r="X96" s="2">
        <v>2</v>
      </c>
      <c r="Y96" s="2">
        <v>0</v>
      </c>
      <c r="Z96" s="2">
        <v>2</v>
      </c>
    </row>
    <row r="97" spans="1:26" hidden="1" x14ac:dyDescent="0.45">
      <c r="A97" s="2">
        <v>116</v>
      </c>
      <c r="B97" s="2">
        <v>5</v>
      </c>
      <c r="C97" s="2"/>
      <c r="D97" s="2">
        <v>16</v>
      </c>
      <c r="E97" s="3" t="s">
        <v>34</v>
      </c>
      <c r="F97" s="2">
        <v>3</v>
      </c>
      <c r="G97" s="2">
        <v>0</v>
      </c>
      <c r="H97" s="2">
        <v>3</v>
      </c>
      <c r="I97" s="2">
        <v>5</v>
      </c>
      <c r="J97" s="2">
        <v>2</v>
      </c>
      <c r="K97" s="2">
        <v>3</v>
      </c>
      <c r="L97" s="2">
        <v>0</v>
      </c>
      <c r="M97" s="2">
        <v>0</v>
      </c>
      <c r="N97" s="2">
        <v>0</v>
      </c>
      <c r="O97" s="2">
        <v>3</v>
      </c>
      <c r="P97" s="2">
        <v>0</v>
      </c>
      <c r="Q97" s="2">
        <v>3</v>
      </c>
      <c r="R97" s="2">
        <v>2</v>
      </c>
      <c r="S97" s="2">
        <v>2</v>
      </c>
      <c r="T97" s="2">
        <v>0</v>
      </c>
      <c r="U97" s="2">
        <v>6</v>
      </c>
      <c r="V97" s="2">
        <v>5</v>
      </c>
      <c r="W97" s="2">
        <v>1</v>
      </c>
      <c r="X97" s="2">
        <v>3</v>
      </c>
      <c r="Y97" s="2">
        <v>2</v>
      </c>
      <c r="Z97" s="2">
        <v>1</v>
      </c>
    </row>
    <row r="98" spans="1:26" hidden="1" x14ac:dyDescent="0.45">
      <c r="A98" s="2">
        <v>117</v>
      </c>
      <c r="B98" s="2">
        <v>5</v>
      </c>
      <c r="C98" s="2"/>
      <c r="D98" s="2">
        <v>16</v>
      </c>
      <c r="E98" s="3" t="s">
        <v>33</v>
      </c>
      <c r="F98" s="2">
        <v>3</v>
      </c>
      <c r="G98" s="2">
        <v>2</v>
      </c>
      <c r="H98" s="2">
        <v>1</v>
      </c>
      <c r="I98" s="2">
        <v>5</v>
      </c>
      <c r="J98" s="2">
        <v>2</v>
      </c>
      <c r="K98" s="2">
        <v>3</v>
      </c>
      <c r="L98" s="2">
        <v>0</v>
      </c>
      <c r="M98" s="2">
        <v>0</v>
      </c>
      <c r="N98" s="2">
        <v>0</v>
      </c>
      <c r="O98" s="2">
        <v>3</v>
      </c>
      <c r="P98" s="2">
        <v>2</v>
      </c>
      <c r="Q98" s="2">
        <v>1</v>
      </c>
      <c r="R98" s="2">
        <v>2</v>
      </c>
      <c r="S98" s="2">
        <v>0</v>
      </c>
      <c r="T98" s="2">
        <v>2</v>
      </c>
      <c r="U98" s="2">
        <v>8</v>
      </c>
      <c r="V98" s="2">
        <v>1</v>
      </c>
      <c r="W98" s="2">
        <v>7</v>
      </c>
      <c r="X98" s="2">
        <v>2</v>
      </c>
      <c r="Y98" s="2">
        <v>1</v>
      </c>
      <c r="Z98" s="2">
        <v>1</v>
      </c>
    </row>
    <row r="99" spans="1:26" hidden="1" x14ac:dyDescent="0.45">
      <c r="A99" s="2">
        <v>118</v>
      </c>
      <c r="B99" s="2">
        <v>5</v>
      </c>
      <c r="C99" s="2"/>
      <c r="D99" s="2">
        <v>18</v>
      </c>
      <c r="E99" s="3" t="s">
        <v>32</v>
      </c>
      <c r="F99" s="2">
        <v>2</v>
      </c>
      <c r="G99" s="2">
        <v>1</v>
      </c>
      <c r="H99" s="2">
        <v>1</v>
      </c>
      <c r="I99" s="2">
        <v>5</v>
      </c>
      <c r="J99" s="2">
        <v>3</v>
      </c>
      <c r="K99" s="2">
        <v>2</v>
      </c>
      <c r="L99" s="2">
        <v>0</v>
      </c>
      <c r="M99" s="2">
        <v>0</v>
      </c>
      <c r="N99" s="2">
        <v>0</v>
      </c>
      <c r="O99" s="2">
        <v>2</v>
      </c>
      <c r="P99" s="2">
        <v>1</v>
      </c>
      <c r="Q99" s="2">
        <v>1</v>
      </c>
      <c r="R99" s="2">
        <v>3</v>
      </c>
      <c r="S99" s="2">
        <v>2</v>
      </c>
      <c r="T99" s="2">
        <v>1</v>
      </c>
      <c r="U99" s="2">
        <v>6</v>
      </c>
      <c r="V99" s="2">
        <v>2</v>
      </c>
      <c r="W99" s="2">
        <v>4</v>
      </c>
      <c r="X99" s="2">
        <v>3</v>
      </c>
      <c r="Y99" s="2">
        <v>0</v>
      </c>
      <c r="Z99" s="2">
        <v>3</v>
      </c>
    </row>
    <row r="100" spans="1:26" hidden="1" x14ac:dyDescent="0.45">
      <c r="A100" s="2">
        <v>119</v>
      </c>
      <c r="B100" s="2">
        <v>5</v>
      </c>
      <c r="C100" s="2"/>
      <c r="D100" s="2">
        <v>18</v>
      </c>
      <c r="E100" s="3" t="s">
        <v>37</v>
      </c>
      <c r="F100" s="2">
        <v>2</v>
      </c>
      <c r="G100" s="2">
        <v>1</v>
      </c>
      <c r="H100" s="2">
        <v>1</v>
      </c>
      <c r="I100" s="2">
        <v>5</v>
      </c>
      <c r="J100" s="2">
        <v>3</v>
      </c>
      <c r="K100" s="2">
        <v>2</v>
      </c>
      <c r="L100" s="2">
        <v>0</v>
      </c>
      <c r="M100" s="2">
        <v>0</v>
      </c>
      <c r="N100" s="2">
        <v>0</v>
      </c>
      <c r="O100" s="2">
        <v>2</v>
      </c>
      <c r="P100" s="2">
        <v>1</v>
      </c>
      <c r="Q100" s="2">
        <v>1</v>
      </c>
      <c r="R100" s="2">
        <v>3</v>
      </c>
      <c r="S100" s="2">
        <v>2</v>
      </c>
      <c r="T100" s="2">
        <v>1</v>
      </c>
      <c r="U100" s="2">
        <v>7</v>
      </c>
      <c r="V100" s="2">
        <v>4</v>
      </c>
      <c r="W100" s="2">
        <v>3</v>
      </c>
      <c r="X100" s="2">
        <v>2</v>
      </c>
      <c r="Y100" s="2">
        <v>0</v>
      </c>
      <c r="Z100" s="2">
        <v>2</v>
      </c>
    </row>
    <row r="101" spans="1:26" hidden="1" x14ac:dyDescent="0.45">
      <c r="A101" s="2">
        <v>120</v>
      </c>
      <c r="B101" s="2">
        <v>5</v>
      </c>
      <c r="C101" s="2"/>
      <c r="D101" s="2">
        <v>18</v>
      </c>
      <c r="E101" s="3" t="s">
        <v>38</v>
      </c>
      <c r="F101" s="2">
        <v>2</v>
      </c>
      <c r="G101" s="2">
        <v>1</v>
      </c>
      <c r="H101" s="2">
        <v>1</v>
      </c>
      <c r="I101" s="2">
        <v>5</v>
      </c>
      <c r="J101" s="2">
        <v>3</v>
      </c>
      <c r="K101" s="2">
        <v>2</v>
      </c>
      <c r="L101" s="2">
        <v>0</v>
      </c>
      <c r="M101" s="2">
        <v>0</v>
      </c>
      <c r="N101" s="2">
        <v>0</v>
      </c>
      <c r="O101" s="2">
        <v>2</v>
      </c>
      <c r="P101" s="2">
        <v>1</v>
      </c>
      <c r="Q101" s="2">
        <v>1</v>
      </c>
      <c r="R101" s="2">
        <v>3</v>
      </c>
      <c r="S101" s="2">
        <v>2</v>
      </c>
      <c r="T101" s="2">
        <v>1</v>
      </c>
      <c r="U101" s="2">
        <v>10</v>
      </c>
      <c r="V101" s="2">
        <v>6</v>
      </c>
      <c r="W101" s="2">
        <v>4</v>
      </c>
      <c r="X101" s="2">
        <v>4</v>
      </c>
      <c r="Y101" s="2">
        <v>3</v>
      </c>
      <c r="Z101" s="2">
        <v>1</v>
      </c>
    </row>
    <row r="102" spans="1:26" hidden="1" x14ac:dyDescent="0.45">
      <c r="A102" s="2">
        <v>121</v>
      </c>
      <c r="B102" s="2">
        <v>6</v>
      </c>
      <c r="C102" s="2"/>
      <c r="D102" s="2">
        <v>1</v>
      </c>
      <c r="E102" s="3" t="s">
        <v>26</v>
      </c>
      <c r="F102" s="2">
        <v>15</v>
      </c>
      <c r="G102" s="2">
        <v>9</v>
      </c>
      <c r="H102" s="2">
        <v>6</v>
      </c>
      <c r="I102" s="2">
        <v>6</v>
      </c>
      <c r="J102" s="2">
        <v>3</v>
      </c>
      <c r="K102" s="2">
        <v>3</v>
      </c>
      <c r="L102" s="2">
        <v>5</v>
      </c>
      <c r="M102" s="2">
        <v>3</v>
      </c>
      <c r="N102" s="2">
        <v>2</v>
      </c>
      <c r="O102" s="2">
        <v>0</v>
      </c>
      <c r="P102" s="2">
        <v>0</v>
      </c>
      <c r="Q102" s="2">
        <v>0</v>
      </c>
      <c r="R102" s="2">
        <v>1</v>
      </c>
      <c r="S102" s="2">
        <v>0</v>
      </c>
      <c r="T102" s="2">
        <v>1</v>
      </c>
      <c r="U102" s="2">
        <v>6</v>
      </c>
      <c r="V102" s="2">
        <v>3</v>
      </c>
      <c r="W102" s="2">
        <v>3</v>
      </c>
      <c r="X102" s="2">
        <v>12</v>
      </c>
      <c r="Y102" s="2">
        <v>6</v>
      </c>
      <c r="Z102" s="2">
        <v>6</v>
      </c>
    </row>
    <row r="103" spans="1:26" hidden="1" x14ac:dyDescent="0.45">
      <c r="A103" s="2">
        <v>122</v>
      </c>
      <c r="B103" s="2">
        <v>6</v>
      </c>
      <c r="C103" s="2"/>
      <c r="D103" s="2">
        <v>1</v>
      </c>
      <c r="E103" s="3" t="s">
        <v>30</v>
      </c>
      <c r="F103" s="2">
        <v>15</v>
      </c>
      <c r="G103" s="2">
        <v>6</v>
      </c>
      <c r="H103" s="2">
        <v>9</v>
      </c>
      <c r="I103" s="2">
        <v>6</v>
      </c>
      <c r="J103" s="2">
        <v>3</v>
      </c>
      <c r="K103" s="2">
        <v>3</v>
      </c>
      <c r="L103" s="2">
        <v>5</v>
      </c>
      <c r="M103" s="2">
        <v>2</v>
      </c>
      <c r="N103" s="2">
        <v>3</v>
      </c>
      <c r="O103" s="2">
        <v>0</v>
      </c>
      <c r="P103" s="2">
        <v>0</v>
      </c>
      <c r="Q103" s="2">
        <v>0</v>
      </c>
      <c r="R103" s="2">
        <v>1</v>
      </c>
      <c r="S103" s="2">
        <v>1</v>
      </c>
      <c r="T103" s="2">
        <v>0</v>
      </c>
      <c r="U103" s="2">
        <v>2</v>
      </c>
      <c r="V103" s="2">
        <v>1</v>
      </c>
      <c r="W103" s="2">
        <v>1</v>
      </c>
      <c r="X103" s="2">
        <v>7</v>
      </c>
      <c r="Y103" s="2">
        <v>3</v>
      </c>
      <c r="Z103" s="2">
        <v>4</v>
      </c>
    </row>
    <row r="104" spans="1:26" hidden="1" x14ac:dyDescent="0.45">
      <c r="A104" s="2">
        <v>123</v>
      </c>
      <c r="B104" s="2">
        <v>6</v>
      </c>
      <c r="C104" s="2"/>
      <c r="D104" s="2">
        <v>3</v>
      </c>
      <c r="E104" s="3" t="s">
        <v>39</v>
      </c>
      <c r="F104" s="2">
        <v>13</v>
      </c>
      <c r="G104" s="2">
        <v>6</v>
      </c>
      <c r="H104" s="2">
        <v>7</v>
      </c>
      <c r="I104" s="2">
        <v>6</v>
      </c>
      <c r="J104" s="2">
        <v>3</v>
      </c>
      <c r="K104" s="2">
        <v>3</v>
      </c>
      <c r="L104" s="2">
        <v>4</v>
      </c>
      <c r="M104" s="2">
        <v>2</v>
      </c>
      <c r="N104" s="2">
        <v>2</v>
      </c>
      <c r="O104" s="2">
        <v>1</v>
      </c>
      <c r="P104" s="2">
        <v>0</v>
      </c>
      <c r="Q104" s="2">
        <v>1</v>
      </c>
      <c r="R104" s="2">
        <v>1</v>
      </c>
      <c r="S104" s="2">
        <v>1</v>
      </c>
      <c r="T104" s="2">
        <v>0</v>
      </c>
      <c r="U104" s="2">
        <v>3</v>
      </c>
      <c r="V104" s="2">
        <v>3</v>
      </c>
      <c r="W104" s="2">
        <v>0</v>
      </c>
      <c r="X104" s="2">
        <v>9</v>
      </c>
      <c r="Y104" s="2">
        <v>4</v>
      </c>
      <c r="Z104" s="2">
        <v>5</v>
      </c>
    </row>
    <row r="105" spans="1:26" hidden="1" x14ac:dyDescent="0.45">
      <c r="A105" s="2">
        <v>124</v>
      </c>
      <c r="B105" s="2">
        <v>6</v>
      </c>
      <c r="C105" s="2"/>
      <c r="D105" s="2">
        <v>4</v>
      </c>
      <c r="E105" s="3" t="s">
        <v>25</v>
      </c>
      <c r="F105" s="2">
        <v>12</v>
      </c>
      <c r="G105" s="2">
        <v>9</v>
      </c>
      <c r="H105" s="2">
        <v>3</v>
      </c>
      <c r="I105" s="2">
        <v>6</v>
      </c>
      <c r="J105" s="2">
        <v>4</v>
      </c>
      <c r="K105" s="2">
        <v>2</v>
      </c>
      <c r="L105" s="2">
        <v>4</v>
      </c>
      <c r="M105" s="2">
        <v>3</v>
      </c>
      <c r="N105" s="2">
        <v>1</v>
      </c>
      <c r="O105" s="2">
        <v>0</v>
      </c>
      <c r="P105" s="2">
        <v>0</v>
      </c>
      <c r="Q105" s="2">
        <v>0</v>
      </c>
      <c r="R105" s="2">
        <v>2</v>
      </c>
      <c r="S105" s="2">
        <v>1</v>
      </c>
      <c r="T105" s="2">
        <v>1</v>
      </c>
      <c r="U105" s="2">
        <v>8</v>
      </c>
      <c r="V105" s="2">
        <v>4</v>
      </c>
      <c r="W105" s="2">
        <v>4</v>
      </c>
      <c r="X105" s="2">
        <v>17</v>
      </c>
      <c r="Y105" s="2">
        <v>12</v>
      </c>
      <c r="Z105" s="2">
        <v>5</v>
      </c>
    </row>
    <row r="106" spans="1:26" hidden="1" x14ac:dyDescent="0.45">
      <c r="A106" s="2">
        <v>125</v>
      </c>
      <c r="B106" s="2">
        <v>6</v>
      </c>
      <c r="C106" s="2"/>
      <c r="D106" s="2">
        <v>4</v>
      </c>
      <c r="E106" s="3" t="s">
        <v>28</v>
      </c>
      <c r="F106" s="2">
        <v>12</v>
      </c>
      <c r="G106" s="2">
        <v>8</v>
      </c>
      <c r="H106" s="2">
        <v>4</v>
      </c>
      <c r="I106" s="2">
        <v>6</v>
      </c>
      <c r="J106" s="2">
        <v>4</v>
      </c>
      <c r="K106" s="2">
        <v>2</v>
      </c>
      <c r="L106" s="2">
        <v>3</v>
      </c>
      <c r="M106" s="2">
        <v>2</v>
      </c>
      <c r="N106" s="2">
        <v>1</v>
      </c>
      <c r="O106" s="2">
        <v>3</v>
      </c>
      <c r="P106" s="2">
        <v>2</v>
      </c>
      <c r="Q106" s="2">
        <v>1</v>
      </c>
      <c r="R106" s="2">
        <v>0</v>
      </c>
      <c r="S106" s="2">
        <v>0</v>
      </c>
      <c r="T106" s="2">
        <v>0</v>
      </c>
      <c r="U106" s="2">
        <v>5</v>
      </c>
      <c r="V106" s="2">
        <v>4</v>
      </c>
      <c r="W106" s="2">
        <v>1</v>
      </c>
      <c r="X106" s="2">
        <v>9</v>
      </c>
      <c r="Y106" s="2">
        <v>7</v>
      </c>
      <c r="Z106" s="2">
        <v>2</v>
      </c>
    </row>
    <row r="107" spans="1:26" hidden="1" x14ac:dyDescent="0.45">
      <c r="A107" s="2">
        <v>126</v>
      </c>
      <c r="B107" s="2">
        <v>6</v>
      </c>
      <c r="C107" s="2"/>
      <c r="D107" s="2">
        <v>6</v>
      </c>
      <c r="E107" s="3" t="s">
        <v>35</v>
      </c>
      <c r="F107" s="2">
        <v>10</v>
      </c>
      <c r="G107" s="2">
        <v>5</v>
      </c>
      <c r="H107" s="2">
        <v>5</v>
      </c>
      <c r="I107" s="2">
        <v>6</v>
      </c>
      <c r="J107" s="2">
        <v>3</v>
      </c>
      <c r="K107" s="2">
        <v>3</v>
      </c>
      <c r="L107" s="2">
        <v>2</v>
      </c>
      <c r="M107" s="2">
        <v>1</v>
      </c>
      <c r="N107" s="2">
        <v>1</v>
      </c>
      <c r="O107" s="2">
        <v>4</v>
      </c>
      <c r="P107" s="2">
        <v>2</v>
      </c>
      <c r="Q107" s="2">
        <v>2</v>
      </c>
      <c r="R107" s="2">
        <v>0</v>
      </c>
      <c r="S107" s="2">
        <v>0</v>
      </c>
      <c r="T107" s="2">
        <v>0</v>
      </c>
      <c r="U107" s="2">
        <v>5</v>
      </c>
      <c r="V107" s="2">
        <v>3</v>
      </c>
      <c r="W107" s="2">
        <v>2</v>
      </c>
      <c r="X107" s="2">
        <v>11</v>
      </c>
      <c r="Y107" s="2">
        <v>6</v>
      </c>
      <c r="Z107" s="2">
        <v>5</v>
      </c>
    </row>
    <row r="108" spans="1:26" hidden="1" x14ac:dyDescent="0.45">
      <c r="A108" s="2">
        <v>127</v>
      </c>
      <c r="B108" s="2">
        <v>6</v>
      </c>
      <c r="C108" s="2"/>
      <c r="D108" s="2">
        <v>6</v>
      </c>
      <c r="E108" s="3" t="s">
        <v>40</v>
      </c>
      <c r="F108" s="2">
        <v>10</v>
      </c>
      <c r="G108" s="2">
        <v>9</v>
      </c>
      <c r="H108" s="2">
        <v>1</v>
      </c>
      <c r="I108" s="2">
        <v>6</v>
      </c>
      <c r="J108" s="2">
        <v>3</v>
      </c>
      <c r="K108" s="2">
        <v>3</v>
      </c>
      <c r="L108" s="2">
        <v>3</v>
      </c>
      <c r="M108" s="2">
        <v>3</v>
      </c>
      <c r="N108" s="2">
        <v>0</v>
      </c>
      <c r="O108" s="2">
        <v>1</v>
      </c>
      <c r="P108" s="2">
        <v>0</v>
      </c>
      <c r="Q108" s="2">
        <v>1</v>
      </c>
      <c r="R108" s="2">
        <v>2</v>
      </c>
      <c r="S108" s="2">
        <v>0</v>
      </c>
      <c r="T108" s="2">
        <v>2</v>
      </c>
      <c r="U108" s="2">
        <v>5</v>
      </c>
      <c r="V108" s="2">
        <v>1</v>
      </c>
      <c r="W108" s="2">
        <v>4</v>
      </c>
      <c r="X108" s="2">
        <v>9</v>
      </c>
      <c r="Y108" s="2">
        <v>7</v>
      </c>
      <c r="Z108" s="2">
        <v>2</v>
      </c>
    </row>
    <row r="109" spans="1:26" hidden="1" x14ac:dyDescent="0.45">
      <c r="A109" s="2">
        <v>128</v>
      </c>
      <c r="B109" s="2">
        <v>6</v>
      </c>
      <c r="C109" s="2"/>
      <c r="D109" s="2">
        <v>8</v>
      </c>
      <c r="E109" s="3" t="s">
        <v>27</v>
      </c>
      <c r="F109" s="2">
        <v>9</v>
      </c>
      <c r="G109" s="2">
        <v>5</v>
      </c>
      <c r="H109" s="2">
        <v>4</v>
      </c>
      <c r="I109" s="2">
        <v>6</v>
      </c>
      <c r="J109" s="2">
        <v>3</v>
      </c>
      <c r="K109" s="2">
        <v>3</v>
      </c>
      <c r="L109" s="2">
        <v>2</v>
      </c>
      <c r="M109" s="2">
        <v>1</v>
      </c>
      <c r="N109" s="2">
        <v>1</v>
      </c>
      <c r="O109" s="2">
        <v>3</v>
      </c>
      <c r="P109" s="2">
        <v>2</v>
      </c>
      <c r="Q109" s="2">
        <v>1</v>
      </c>
      <c r="R109" s="2">
        <v>1</v>
      </c>
      <c r="S109" s="2">
        <v>0</v>
      </c>
      <c r="T109" s="2">
        <v>1</v>
      </c>
      <c r="U109" s="2">
        <v>5</v>
      </c>
      <c r="V109" s="2">
        <v>2</v>
      </c>
      <c r="W109" s="2">
        <v>3</v>
      </c>
      <c r="X109" s="2">
        <v>7</v>
      </c>
      <c r="Y109" s="2">
        <v>4</v>
      </c>
      <c r="Z109" s="2">
        <v>3</v>
      </c>
    </row>
    <row r="110" spans="1:26" hidden="1" x14ac:dyDescent="0.45">
      <c r="A110" s="2">
        <v>129</v>
      </c>
      <c r="B110" s="2">
        <v>6</v>
      </c>
      <c r="C110" s="2"/>
      <c r="D110" s="2">
        <v>8</v>
      </c>
      <c r="E110" s="3" t="s">
        <v>43</v>
      </c>
      <c r="F110" s="2">
        <v>9</v>
      </c>
      <c r="G110" s="2">
        <v>6</v>
      </c>
      <c r="H110" s="2">
        <v>3</v>
      </c>
      <c r="I110" s="2">
        <v>6</v>
      </c>
      <c r="J110" s="2">
        <v>3</v>
      </c>
      <c r="K110" s="2">
        <v>3</v>
      </c>
      <c r="L110" s="2">
        <v>3</v>
      </c>
      <c r="M110" s="2">
        <v>2</v>
      </c>
      <c r="N110" s="2">
        <v>1</v>
      </c>
      <c r="O110" s="2">
        <v>0</v>
      </c>
      <c r="P110" s="2">
        <v>0</v>
      </c>
      <c r="Q110" s="2">
        <v>0</v>
      </c>
      <c r="R110" s="2">
        <v>3</v>
      </c>
      <c r="S110" s="2">
        <v>1</v>
      </c>
      <c r="T110" s="2">
        <v>2</v>
      </c>
      <c r="U110" s="2">
        <v>8</v>
      </c>
      <c r="V110" s="2">
        <v>3</v>
      </c>
      <c r="W110" s="2">
        <v>5</v>
      </c>
      <c r="X110" s="2">
        <v>8</v>
      </c>
      <c r="Y110" s="2">
        <v>4</v>
      </c>
      <c r="Z110" s="2">
        <v>4</v>
      </c>
    </row>
    <row r="111" spans="1:26" hidden="1" x14ac:dyDescent="0.45">
      <c r="A111" s="2">
        <v>130</v>
      </c>
      <c r="B111" s="2">
        <v>6</v>
      </c>
      <c r="C111" s="2"/>
      <c r="D111" s="2">
        <v>8</v>
      </c>
      <c r="E111" s="3" t="s">
        <v>29</v>
      </c>
      <c r="F111" s="2">
        <v>9</v>
      </c>
      <c r="G111" s="2">
        <v>4</v>
      </c>
      <c r="H111" s="2">
        <v>5</v>
      </c>
      <c r="I111" s="2">
        <v>6</v>
      </c>
      <c r="J111" s="2">
        <v>2</v>
      </c>
      <c r="K111" s="2">
        <v>4</v>
      </c>
      <c r="L111" s="2">
        <v>2</v>
      </c>
      <c r="M111" s="2">
        <v>1</v>
      </c>
      <c r="N111" s="2">
        <v>1</v>
      </c>
      <c r="O111" s="2">
        <v>3</v>
      </c>
      <c r="P111" s="2">
        <v>1</v>
      </c>
      <c r="Q111" s="2">
        <v>2</v>
      </c>
      <c r="R111" s="2">
        <v>1</v>
      </c>
      <c r="S111" s="2">
        <v>0</v>
      </c>
      <c r="T111" s="2">
        <v>1</v>
      </c>
      <c r="U111" s="2">
        <v>8</v>
      </c>
      <c r="V111" s="2">
        <v>2</v>
      </c>
      <c r="W111" s="2">
        <v>6</v>
      </c>
      <c r="X111" s="2">
        <v>7</v>
      </c>
      <c r="Y111" s="2">
        <v>3</v>
      </c>
      <c r="Z111" s="2">
        <v>4</v>
      </c>
    </row>
    <row r="112" spans="1:26" hidden="1" x14ac:dyDescent="0.45">
      <c r="A112" s="2">
        <v>131</v>
      </c>
      <c r="B112" s="2">
        <v>6</v>
      </c>
      <c r="C112" s="2"/>
      <c r="D112" s="2">
        <v>11</v>
      </c>
      <c r="E112" s="3" t="s">
        <v>36</v>
      </c>
      <c r="F112" s="2">
        <v>8</v>
      </c>
      <c r="G112" s="2">
        <v>4</v>
      </c>
      <c r="H112" s="2">
        <v>4</v>
      </c>
      <c r="I112" s="2">
        <v>6</v>
      </c>
      <c r="J112" s="2">
        <v>3</v>
      </c>
      <c r="K112" s="2">
        <v>3</v>
      </c>
      <c r="L112" s="2">
        <v>2</v>
      </c>
      <c r="M112" s="2">
        <v>1</v>
      </c>
      <c r="N112" s="2">
        <v>1</v>
      </c>
      <c r="O112" s="2">
        <v>2</v>
      </c>
      <c r="P112" s="2">
        <v>1</v>
      </c>
      <c r="Q112" s="2">
        <v>1</v>
      </c>
      <c r="R112" s="2">
        <v>2</v>
      </c>
      <c r="S112" s="2">
        <v>1</v>
      </c>
      <c r="T112" s="2">
        <v>1</v>
      </c>
      <c r="U112" s="2">
        <v>6</v>
      </c>
      <c r="V112" s="2">
        <v>3</v>
      </c>
      <c r="W112" s="2">
        <v>3</v>
      </c>
      <c r="X112" s="2">
        <v>6</v>
      </c>
      <c r="Y112" s="2">
        <v>3</v>
      </c>
      <c r="Z112" s="2">
        <v>3</v>
      </c>
    </row>
    <row r="113" spans="1:26" hidden="1" x14ac:dyDescent="0.45">
      <c r="A113" s="2">
        <v>132</v>
      </c>
      <c r="B113" s="2">
        <v>6</v>
      </c>
      <c r="C113" s="2"/>
      <c r="D113" s="2">
        <v>11</v>
      </c>
      <c r="E113" s="3" t="s">
        <v>31</v>
      </c>
      <c r="F113" s="2">
        <v>8</v>
      </c>
      <c r="G113" s="2">
        <v>2</v>
      </c>
      <c r="H113" s="2">
        <v>6</v>
      </c>
      <c r="I113" s="2">
        <v>6</v>
      </c>
      <c r="J113" s="2">
        <v>3</v>
      </c>
      <c r="K113" s="2">
        <v>3</v>
      </c>
      <c r="L113" s="2">
        <v>2</v>
      </c>
      <c r="M113" s="2">
        <v>0</v>
      </c>
      <c r="N113" s="2">
        <v>2</v>
      </c>
      <c r="O113" s="2">
        <v>2</v>
      </c>
      <c r="P113" s="2">
        <v>2</v>
      </c>
      <c r="Q113" s="2">
        <v>0</v>
      </c>
      <c r="R113" s="2">
        <v>2</v>
      </c>
      <c r="S113" s="2">
        <v>1</v>
      </c>
      <c r="T113" s="2">
        <v>1</v>
      </c>
      <c r="U113" s="2">
        <v>9</v>
      </c>
      <c r="V113" s="2">
        <v>5</v>
      </c>
      <c r="W113" s="2">
        <v>4</v>
      </c>
      <c r="X113" s="2">
        <v>6</v>
      </c>
      <c r="Y113" s="2">
        <v>2</v>
      </c>
      <c r="Z113" s="2">
        <v>4</v>
      </c>
    </row>
    <row r="114" spans="1:26" hidden="1" x14ac:dyDescent="0.45">
      <c r="A114" s="2">
        <v>133</v>
      </c>
      <c r="B114" s="2">
        <v>6</v>
      </c>
      <c r="C114" s="2"/>
      <c r="D114" s="2">
        <v>13</v>
      </c>
      <c r="E114" s="3" t="s">
        <v>42</v>
      </c>
      <c r="F114" s="2">
        <v>7</v>
      </c>
      <c r="G114" s="2">
        <v>4</v>
      </c>
      <c r="H114" s="2">
        <v>3</v>
      </c>
      <c r="I114" s="2">
        <v>6</v>
      </c>
      <c r="J114" s="2">
        <v>3</v>
      </c>
      <c r="K114" s="2">
        <v>3</v>
      </c>
      <c r="L114" s="2">
        <v>2</v>
      </c>
      <c r="M114" s="2">
        <v>1</v>
      </c>
      <c r="N114" s="2">
        <v>1</v>
      </c>
      <c r="O114" s="2">
        <v>1</v>
      </c>
      <c r="P114" s="2">
        <v>1</v>
      </c>
      <c r="Q114" s="2">
        <v>0</v>
      </c>
      <c r="R114" s="2">
        <v>3</v>
      </c>
      <c r="S114" s="2">
        <v>1</v>
      </c>
      <c r="T114" s="2">
        <v>2</v>
      </c>
      <c r="U114" s="2">
        <v>7</v>
      </c>
      <c r="V114" s="2">
        <v>4</v>
      </c>
      <c r="W114" s="2">
        <v>3</v>
      </c>
      <c r="X114" s="2">
        <v>10</v>
      </c>
      <c r="Y114" s="2">
        <v>7</v>
      </c>
      <c r="Z114" s="2">
        <v>3</v>
      </c>
    </row>
    <row r="115" spans="1:26" hidden="1" x14ac:dyDescent="0.45">
      <c r="A115" s="2">
        <v>134</v>
      </c>
      <c r="B115" s="2">
        <v>6</v>
      </c>
      <c r="C115" s="2"/>
      <c r="D115" s="2">
        <v>14</v>
      </c>
      <c r="E115" s="3" t="s">
        <v>41</v>
      </c>
      <c r="F115" s="2">
        <v>5</v>
      </c>
      <c r="G115" s="2">
        <v>4</v>
      </c>
      <c r="H115" s="2">
        <v>1</v>
      </c>
      <c r="I115" s="2">
        <v>6</v>
      </c>
      <c r="J115" s="2">
        <v>3</v>
      </c>
      <c r="K115" s="2">
        <v>3</v>
      </c>
      <c r="L115" s="2">
        <v>1</v>
      </c>
      <c r="M115" s="2">
        <v>1</v>
      </c>
      <c r="N115" s="2">
        <v>0</v>
      </c>
      <c r="O115" s="2">
        <v>2</v>
      </c>
      <c r="P115" s="2">
        <v>1</v>
      </c>
      <c r="Q115" s="2">
        <v>1</v>
      </c>
      <c r="R115" s="2">
        <v>3</v>
      </c>
      <c r="S115" s="2">
        <v>1</v>
      </c>
      <c r="T115" s="2">
        <v>2</v>
      </c>
      <c r="U115" s="2">
        <v>7</v>
      </c>
      <c r="V115" s="2">
        <v>3</v>
      </c>
      <c r="W115" s="2">
        <v>4</v>
      </c>
      <c r="X115" s="2">
        <v>3</v>
      </c>
      <c r="Y115" s="2">
        <v>3</v>
      </c>
      <c r="Z115" s="2">
        <v>0</v>
      </c>
    </row>
    <row r="116" spans="1:26" hidden="1" x14ac:dyDescent="0.45">
      <c r="A116" s="2">
        <v>135</v>
      </c>
      <c r="B116" s="2">
        <v>6</v>
      </c>
      <c r="C116" s="2"/>
      <c r="D116" s="2">
        <v>14</v>
      </c>
      <c r="E116" s="3" t="s">
        <v>38</v>
      </c>
      <c r="F116" s="2">
        <v>5</v>
      </c>
      <c r="G116" s="2">
        <v>1</v>
      </c>
      <c r="H116" s="2">
        <v>4</v>
      </c>
      <c r="I116" s="2">
        <v>6</v>
      </c>
      <c r="J116" s="2">
        <v>3</v>
      </c>
      <c r="K116" s="2">
        <v>3</v>
      </c>
      <c r="L116" s="2">
        <v>1</v>
      </c>
      <c r="M116" s="2">
        <v>0</v>
      </c>
      <c r="N116" s="2">
        <v>1</v>
      </c>
      <c r="O116" s="2">
        <v>2</v>
      </c>
      <c r="P116" s="2">
        <v>1</v>
      </c>
      <c r="Q116" s="2">
        <v>1</v>
      </c>
      <c r="R116" s="2">
        <v>3</v>
      </c>
      <c r="S116" s="2">
        <v>2</v>
      </c>
      <c r="T116" s="2">
        <v>1</v>
      </c>
      <c r="U116" s="2">
        <v>10</v>
      </c>
      <c r="V116" s="2">
        <v>6</v>
      </c>
      <c r="W116" s="2">
        <v>4</v>
      </c>
      <c r="X116" s="2">
        <v>5</v>
      </c>
      <c r="Y116" s="2">
        <v>3</v>
      </c>
      <c r="Z116" s="2">
        <v>2</v>
      </c>
    </row>
    <row r="117" spans="1:26" hidden="1" x14ac:dyDescent="0.45">
      <c r="A117" s="2">
        <v>136</v>
      </c>
      <c r="B117" s="2">
        <v>6</v>
      </c>
      <c r="C117" s="2"/>
      <c r="D117" s="2">
        <v>14</v>
      </c>
      <c r="E117" s="3" t="s">
        <v>44</v>
      </c>
      <c r="F117" s="2">
        <v>5</v>
      </c>
      <c r="G117" s="2">
        <v>1</v>
      </c>
      <c r="H117" s="2">
        <v>4</v>
      </c>
      <c r="I117" s="2">
        <v>6</v>
      </c>
      <c r="J117" s="2">
        <v>2</v>
      </c>
      <c r="K117" s="2">
        <v>4</v>
      </c>
      <c r="L117" s="2">
        <v>1</v>
      </c>
      <c r="M117" s="2">
        <v>0</v>
      </c>
      <c r="N117" s="2">
        <v>1</v>
      </c>
      <c r="O117" s="2">
        <v>2</v>
      </c>
      <c r="P117" s="2">
        <v>1</v>
      </c>
      <c r="Q117" s="2">
        <v>1</v>
      </c>
      <c r="R117" s="2">
        <v>3</v>
      </c>
      <c r="S117" s="2">
        <v>1</v>
      </c>
      <c r="T117" s="2">
        <v>2</v>
      </c>
      <c r="U117" s="2">
        <v>13</v>
      </c>
      <c r="V117" s="2">
        <v>3</v>
      </c>
      <c r="W117" s="2">
        <v>10</v>
      </c>
      <c r="X117" s="2">
        <v>5</v>
      </c>
      <c r="Y117" s="2">
        <v>0</v>
      </c>
      <c r="Z117" s="2">
        <v>5</v>
      </c>
    </row>
    <row r="118" spans="1:26" hidden="1" x14ac:dyDescent="0.45">
      <c r="A118" s="2">
        <v>137</v>
      </c>
      <c r="B118" s="2">
        <v>6</v>
      </c>
      <c r="C118" s="2"/>
      <c r="D118" s="2">
        <v>17</v>
      </c>
      <c r="E118" s="3" t="s">
        <v>34</v>
      </c>
      <c r="F118" s="2">
        <v>3</v>
      </c>
      <c r="G118" s="2">
        <v>0</v>
      </c>
      <c r="H118" s="2">
        <v>3</v>
      </c>
      <c r="I118" s="2">
        <v>6</v>
      </c>
      <c r="J118" s="2">
        <v>3</v>
      </c>
      <c r="K118" s="2">
        <v>3</v>
      </c>
      <c r="L118" s="2">
        <v>0</v>
      </c>
      <c r="M118" s="2">
        <v>0</v>
      </c>
      <c r="N118" s="2">
        <v>0</v>
      </c>
      <c r="O118" s="2">
        <v>3</v>
      </c>
      <c r="P118" s="2">
        <v>0</v>
      </c>
      <c r="Q118" s="2">
        <v>3</v>
      </c>
      <c r="R118" s="2">
        <v>3</v>
      </c>
      <c r="S118" s="2">
        <v>3</v>
      </c>
      <c r="T118" s="2">
        <v>0</v>
      </c>
      <c r="U118" s="2">
        <v>8</v>
      </c>
      <c r="V118" s="2">
        <v>7</v>
      </c>
      <c r="W118" s="2">
        <v>1</v>
      </c>
      <c r="X118" s="2">
        <v>4</v>
      </c>
      <c r="Y118" s="2">
        <v>3</v>
      </c>
      <c r="Z118" s="2">
        <v>1</v>
      </c>
    </row>
    <row r="119" spans="1:26" hidden="1" x14ac:dyDescent="0.45">
      <c r="A119" s="2">
        <v>138</v>
      </c>
      <c r="B119" s="2">
        <v>6</v>
      </c>
      <c r="C119" s="2"/>
      <c r="D119" s="2">
        <v>17</v>
      </c>
      <c r="E119" s="3" t="s">
        <v>33</v>
      </c>
      <c r="F119" s="2">
        <v>3</v>
      </c>
      <c r="G119" s="2">
        <v>2</v>
      </c>
      <c r="H119" s="2">
        <v>1</v>
      </c>
      <c r="I119" s="2">
        <v>6</v>
      </c>
      <c r="J119" s="2">
        <v>3</v>
      </c>
      <c r="K119" s="2">
        <v>3</v>
      </c>
      <c r="L119" s="2">
        <v>0</v>
      </c>
      <c r="M119" s="2">
        <v>0</v>
      </c>
      <c r="N119" s="2">
        <v>0</v>
      </c>
      <c r="O119" s="2">
        <v>3</v>
      </c>
      <c r="P119" s="2">
        <v>2</v>
      </c>
      <c r="Q119" s="2">
        <v>1</v>
      </c>
      <c r="R119" s="2">
        <v>3</v>
      </c>
      <c r="S119" s="2">
        <v>1</v>
      </c>
      <c r="T119" s="2">
        <v>2</v>
      </c>
      <c r="U119" s="2">
        <v>9</v>
      </c>
      <c r="V119" s="2">
        <v>2</v>
      </c>
      <c r="W119" s="2">
        <v>7</v>
      </c>
      <c r="X119" s="2">
        <v>2</v>
      </c>
      <c r="Y119" s="2">
        <v>1</v>
      </c>
      <c r="Z119" s="2">
        <v>1</v>
      </c>
    </row>
    <row r="120" spans="1:26" hidden="1" x14ac:dyDescent="0.45">
      <c r="A120" s="2">
        <v>139</v>
      </c>
      <c r="B120" s="2">
        <v>6</v>
      </c>
      <c r="C120" s="2"/>
      <c r="D120" s="2">
        <v>19</v>
      </c>
      <c r="E120" s="3" t="s">
        <v>37</v>
      </c>
      <c r="F120" s="2">
        <v>2</v>
      </c>
      <c r="G120" s="2">
        <v>1</v>
      </c>
      <c r="H120" s="2">
        <v>1</v>
      </c>
      <c r="I120" s="2">
        <v>6</v>
      </c>
      <c r="J120" s="2">
        <v>3</v>
      </c>
      <c r="K120" s="2">
        <v>3</v>
      </c>
      <c r="L120" s="2">
        <v>0</v>
      </c>
      <c r="M120" s="2">
        <v>0</v>
      </c>
      <c r="N120" s="2">
        <v>0</v>
      </c>
      <c r="O120" s="2">
        <v>2</v>
      </c>
      <c r="P120" s="2">
        <v>1</v>
      </c>
      <c r="Q120" s="2">
        <v>1</v>
      </c>
      <c r="R120" s="2">
        <v>4</v>
      </c>
      <c r="S120" s="2">
        <v>2</v>
      </c>
      <c r="T120" s="2">
        <v>2</v>
      </c>
      <c r="U120" s="2">
        <v>9</v>
      </c>
      <c r="V120" s="2">
        <v>4</v>
      </c>
      <c r="W120" s="2">
        <v>5</v>
      </c>
      <c r="X120" s="2">
        <v>3</v>
      </c>
      <c r="Y120" s="2">
        <v>0</v>
      </c>
      <c r="Z120" s="2">
        <v>3</v>
      </c>
    </row>
    <row r="121" spans="1:26" hidden="1" x14ac:dyDescent="0.45">
      <c r="A121" s="2">
        <v>140</v>
      </c>
      <c r="B121" s="2">
        <v>6</v>
      </c>
      <c r="C121" s="2"/>
      <c r="D121" s="2">
        <v>19</v>
      </c>
      <c r="E121" s="3" t="s">
        <v>32</v>
      </c>
      <c r="F121" s="2">
        <v>2</v>
      </c>
      <c r="G121" s="2">
        <v>1</v>
      </c>
      <c r="H121" s="2">
        <v>1</v>
      </c>
      <c r="I121" s="2">
        <v>6</v>
      </c>
      <c r="J121" s="2">
        <v>3</v>
      </c>
      <c r="K121" s="2">
        <v>3</v>
      </c>
      <c r="L121" s="2">
        <v>0</v>
      </c>
      <c r="M121" s="2">
        <v>0</v>
      </c>
      <c r="N121" s="2">
        <v>0</v>
      </c>
      <c r="O121" s="2">
        <v>2</v>
      </c>
      <c r="P121" s="2">
        <v>1</v>
      </c>
      <c r="Q121" s="2">
        <v>1</v>
      </c>
      <c r="R121" s="2">
        <v>4</v>
      </c>
      <c r="S121" s="2">
        <v>2</v>
      </c>
      <c r="T121" s="2">
        <v>2</v>
      </c>
      <c r="U121" s="2">
        <v>10</v>
      </c>
      <c r="V121" s="2">
        <v>2</v>
      </c>
      <c r="W121" s="2">
        <v>8</v>
      </c>
      <c r="X121" s="2">
        <v>3</v>
      </c>
      <c r="Y121" s="2">
        <v>0</v>
      </c>
      <c r="Z121" s="2">
        <v>3</v>
      </c>
    </row>
    <row r="122" spans="1:26" hidden="1" x14ac:dyDescent="0.45">
      <c r="A122" s="2">
        <v>141</v>
      </c>
      <c r="B122" s="2">
        <v>7</v>
      </c>
      <c r="C122" s="2"/>
      <c r="D122" s="2">
        <v>1</v>
      </c>
      <c r="E122" s="3" t="s">
        <v>39</v>
      </c>
      <c r="F122" s="2">
        <v>16</v>
      </c>
      <c r="G122" s="2">
        <v>9</v>
      </c>
      <c r="H122" s="2">
        <v>7</v>
      </c>
      <c r="I122" s="2">
        <v>7</v>
      </c>
      <c r="J122" s="2">
        <v>4</v>
      </c>
      <c r="K122" s="2">
        <v>3</v>
      </c>
      <c r="L122" s="2">
        <v>5</v>
      </c>
      <c r="M122" s="2">
        <v>3</v>
      </c>
      <c r="N122" s="2">
        <v>2</v>
      </c>
      <c r="O122" s="2">
        <v>1</v>
      </c>
      <c r="P122" s="2">
        <v>0</v>
      </c>
      <c r="Q122" s="2">
        <v>1</v>
      </c>
      <c r="R122" s="2">
        <v>1</v>
      </c>
      <c r="S122" s="2">
        <v>1</v>
      </c>
      <c r="T122" s="2">
        <v>0</v>
      </c>
      <c r="U122" s="2">
        <v>4</v>
      </c>
      <c r="V122" s="2">
        <v>4</v>
      </c>
      <c r="W122" s="2">
        <v>0</v>
      </c>
      <c r="X122" s="2">
        <v>11</v>
      </c>
      <c r="Y122" s="2">
        <v>6</v>
      </c>
      <c r="Z122" s="2">
        <v>5</v>
      </c>
    </row>
    <row r="123" spans="1:26" hidden="1" x14ac:dyDescent="0.45">
      <c r="A123" s="2">
        <v>142</v>
      </c>
      <c r="B123" s="2">
        <v>7</v>
      </c>
      <c r="C123" s="2"/>
      <c r="D123" s="2">
        <v>2</v>
      </c>
      <c r="E123" s="3" t="s">
        <v>25</v>
      </c>
      <c r="F123" s="2">
        <v>15</v>
      </c>
      <c r="G123" s="2">
        <v>9</v>
      </c>
      <c r="H123" s="2">
        <v>6</v>
      </c>
      <c r="I123" s="2">
        <v>7</v>
      </c>
      <c r="J123" s="2">
        <v>4</v>
      </c>
      <c r="K123" s="2">
        <v>3</v>
      </c>
      <c r="L123" s="2">
        <v>5</v>
      </c>
      <c r="M123" s="2">
        <v>3</v>
      </c>
      <c r="N123" s="2">
        <v>2</v>
      </c>
      <c r="O123" s="2">
        <v>0</v>
      </c>
      <c r="P123" s="2">
        <v>0</v>
      </c>
      <c r="Q123" s="2">
        <v>0</v>
      </c>
      <c r="R123" s="2">
        <v>2</v>
      </c>
      <c r="S123" s="2">
        <v>1</v>
      </c>
      <c r="T123" s="2">
        <v>1</v>
      </c>
      <c r="U123" s="2">
        <v>8</v>
      </c>
      <c r="V123" s="2">
        <v>4</v>
      </c>
      <c r="W123" s="2">
        <v>4</v>
      </c>
      <c r="X123" s="2">
        <v>18</v>
      </c>
      <c r="Y123" s="2">
        <v>12</v>
      </c>
      <c r="Z123" s="2">
        <v>6</v>
      </c>
    </row>
    <row r="124" spans="1:26" hidden="1" x14ac:dyDescent="0.45">
      <c r="A124" s="2">
        <v>143</v>
      </c>
      <c r="B124" s="2">
        <v>7</v>
      </c>
      <c r="C124" s="2"/>
      <c r="D124" s="2">
        <v>2</v>
      </c>
      <c r="E124" s="3" t="s">
        <v>26</v>
      </c>
      <c r="F124" s="2">
        <v>15</v>
      </c>
      <c r="G124" s="2">
        <v>9</v>
      </c>
      <c r="H124" s="2">
        <v>6</v>
      </c>
      <c r="I124" s="2">
        <v>7</v>
      </c>
      <c r="J124" s="2">
        <v>3</v>
      </c>
      <c r="K124" s="2">
        <v>4</v>
      </c>
      <c r="L124" s="2">
        <v>5</v>
      </c>
      <c r="M124" s="2">
        <v>3</v>
      </c>
      <c r="N124" s="2">
        <v>2</v>
      </c>
      <c r="O124" s="2">
        <v>0</v>
      </c>
      <c r="P124" s="2">
        <v>0</v>
      </c>
      <c r="Q124" s="2">
        <v>0</v>
      </c>
      <c r="R124" s="2">
        <v>2</v>
      </c>
      <c r="S124" s="2">
        <v>0</v>
      </c>
      <c r="T124" s="2">
        <v>2</v>
      </c>
      <c r="U124" s="2">
        <v>7</v>
      </c>
      <c r="V124" s="2">
        <v>3</v>
      </c>
      <c r="W124" s="2">
        <v>4</v>
      </c>
      <c r="X124" s="2">
        <v>12</v>
      </c>
      <c r="Y124" s="2">
        <v>6</v>
      </c>
      <c r="Z124" s="2">
        <v>6</v>
      </c>
    </row>
    <row r="125" spans="1:26" hidden="1" x14ac:dyDescent="0.45">
      <c r="A125" s="2">
        <v>144</v>
      </c>
      <c r="B125" s="2">
        <v>7</v>
      </c>
      <c r="C125" s="2"/>
      <c r="D125" s="2">
        <v>2</v>
      </c>
      <c r="E125" s="3" t="s">
        <v>30</v>
      </c>
      <c r="F125" s="2">
        <v>15</v>
      </c>
      <c r="G125" s="2">
        <v>6</v>
      </c>
      <c r="H125" s="2">
        <v>9</v>
      </c>
      <c r="I125" s="2">
        <v>7</v>
      </c>
      <c r="J125" s="2">
        <v>4</v>
      </c>
      <c r="K125" s="2">
        <v>3</v>
      </c>
      <c r="L125" s="2">
        <v>5</v>
      </c>
      <c r="M125" s="2">
        <v>2</v>
      </c>
      <c r="N125" s="2">
        <v>3</v>
      </c>
      <c r="O125" s="2">
        <v>0</v>
      </c>
      <c r="P125" s="2">
        <v>0</v>
      </c>
      <c r="Q125" s="2">
        <v>0</v>
      </c>
      <c r="R125" s="2">
        <v>2</v>
      </c>
      <c r="S125" s="2">
        <v>2</v>
      </c>
      <c r="T125" s="2">
        <v>0</v>
      </c>
      <c r="U125" s="2">
        <v>3</v>
      </c>
      <c r="V125" s="2">
        <v>2</v>
      </c>
      <c r="W125" s="2">
        <v>1</v>
      </c>
      <c r="X125" s="2">
        <v>7</v>
      </c>
      <c r="Y125" s="2">
        <v>3</v>
      </c>
      <c r="Z125" s="2">
        <v>4</v>
      </c>
    </row>
    <row r="126" spans="1:26" hidden="1" x14ac:dyDescent="0.45">
      <c r="A126" s="2">
        <v>145</v>
      </c>
      <c r="B126" s="2">
        <v>7</v>
      </c>
      <c r="C126" s="2"/>
      <c r="D126" s="2">
        <v>5</v>
      </c>
      <c r="E126" s="3" t="s">
        <v>40</v>
      </c>
      <c r="F126" s="2">
        <v>13</v>
      </c>
      <c r="G126" s="2">
        <v>9</v>
      </c>
      <c r="H126" s="2">
        <v>4</v>
      </c>
      <c r="I126" s="2">
        <v>7</v>
      </c>
      <c r="J126" s="2">
        <v>3</v>
      </c>
      <c r="K126" s="2">
        <v>4</v>
      </c>
      <c r="L126" s="2">
        <v>4</v>
      </c>
      <c r="M126" s="2">
        <v>3</v>
      </c>
      <c r="N126" s="2">
        <v>1</v>
      </c>
      <c r="O126" s="2">
        <v>1</v>
      </c>
      <c r="P126" s="2">
        <v>0</v>
      </c>
      <c r="Q126" s="2">
        <v>1</v>
      </c>
      <c r="R126" s="2">
        <v>2</v>
      </c>
      <c r="S126" s="2">
        <v>0</v>
      </c>
      <c r="T126" s="2">
        <v>2</v>
      </c>
      <c r="U126" s="2">
        <v>5</v>
      </c>
      <c r="V126" s="2">
        <v>1</v>
      </c>
      <c r="W126" s="2">
        <v>4</v>
      </c>
      <c r="X126" s="2">
        <v>11</v>
      </c>
      <c r="Y126" s="2">
        <v>7</v>
      </c>
      <c r="Z126" s="2">
        <v>4</v>
      </c>
    </row>
    <row r="127" spans="1:26" hidden="1" x14ac:dyDescent="0.45">
      <c r="A127" s="2">
        <v>146</v>
      </c>
      <c r="B127" s="2">
        <v>7</v>
      </c>
      <c r="C127" s="2"/>
      <c r="D127" s="2">
        <v>6</v>
      </c>
      <c r="E127" s="3" t="s">
        <v>27</v>
      </c>
      <c r="F127" s="2">
        <v>12</v>
      </c>
      <c r="G127" s="2">
        <v>8</v>
      </c>
      <c r="H127" s="2">
        <v>4</v>
      </c>
      <c r="I127" s="2">
        <v>7</v>
      </c>
      <c r="J127" s="2">
        <v>4</v>
      </c>
      <c r="K127" s="2">
        <v>3</v>
      </c>
      <c r="L127" s="2">
        <v>3</v>
      </c>
      <c r="M127" s="2">
        <v>2</v>
      </c>
      <c r="N127" s="2">
        <v>1</v>
      </c>
      <c r="O127" s="2">
        <v>3</v>
      </c>
      <c r="P127" s="2">
        <v>2</v>
      </c>
      <c r="Q127" s="2">
        <v>1</v>
      </c>
      <c r="R127" s="2">
        <v>1</v>
      </c>
      <c r="S127" s="2">
        <v>0</v>
      </c>
      <c r="T127" s="2">
        <v>1</v>
      </c>
      <c r="U127" s="2">
        <v>5</v>
      </c>
      <c r="V127" s="2">
        <v>2</v>
      </c>
      <c r="W127" s="2">
        <v>3</v>
      </c>
      <c r="X127" s="2">
        <v>9</v>
      </c>
      <c r="Y127" s="2">
        <v>6</v>
      </c>
      <c r="Z127" s="2">
        <v>3</v>
      </c>
    </row>
    <row r="128" spans="1:26" hidden="1" x14ac:dyDescent="0.45">
      <c r="A128" s="2">
        <v>147</v>
      </c>
      <c r="B128" s="2">
        <v>7</v>
      </c>
      <c r="C128" s="2"/>
      <c r="D128" s="2">
        <v>6</v>
      </c>
      <c r="E128" s="3" t="s">
        <v>28</v>
      </c>
      <c r="F128" s="2">
        <v>12</v>
      </c>
      <c r="G128" s="2">
        <v>8</v>
      </c>
      <c r="H128" s="2">
        <v>4</v>
      </c>
      <c r="I128" s="2">
        <v>7</v>
      </c>
      <c r="J128" s="2">
        <v>4</v>
      </c>
      <c r="K128" s="2">
        <v>3</v>
      </c>
      <c r="L128" s="2">
        <v>3</v>
      </c>
      <c r="M128" s="2">
        <v>2</v>
      </c>
      <c r="N128" s="2">
        <v>1</v>
      </c>
      <c r="O128" s="2">
        <v>3</v>
      </c>
      <c r="P128" s="2">
        <v>2</v>
      </c>
      <c r="Q128" s="2">
        <v>1</v>
      </c>
      <c r="R128" s="2">
        <v>1</v>
      </c>
      <c r="S128" s="2">
        <v>0</v>
      </c>
      <c r="T128" s="2">
        <v>1</v>
      </c>
      <c r="U128" s="2">
        <v>7</v>
      </c>
      <c r="V128" s="2">
        <v>4</v>
      </c>
      <c r="W128" s="2">
        <v>3</v>
      </c>
      <c r="X128" s="2">
        <v>9</v>
      </c>
      <c r="Y128" s="2">
        <v>7</v>
      </c>
      <c r="Z128" s="2">
        <v>2</v>
      </c>
    </row>
    <row r="129" spans="1:26" hidden="1" x14ac:dyDescent="0.45">
      <c r="A129" s="2">
        <v>148</v>
      </c>
      <c r="B129" s="2">
        <v>7</v>
      </c>
      <c r="C129" s="2"/>
      <c r="D129" s="2">
        <v>8</v>
      </c>
      <c r="E129" s="3" t="s">
        <v>35</v>
      </c>
      <c r="F129" s="2">
        <v>11</v>
      </c>
      <c r="G129" s="2">
        <v>6</v>
      </c>
      <c r="H129" s="2">
        <v>5</v>
      </c>
      <c r="I129" s="2">
        <v>7</v>
      </c>
      <c r="J129" s="2">
        <v>4</v>
      </c>
      <c r="K129" s="2">
        <v>3</v>
      </c>
      <c r="L129" s="2">
        <v>2</v>
      </c>
      <c r="M129" s="2">
        <v>1</v>
      </c>
      <c r="N129" s="2">
        <v>1</v>
      </c>
      <c r="O129" s="2">
        <v>5</v>
      </c>
      <c r="P129" s="2">
        <v>3</v>
      </c>
      <c r="Q129" s="2">
        <v>2</v>
      </c>
      <c r="R129" s="2">
        <v>0</v>
      </c>
      <c r="S129" s="2">
        <v>0</v>
      </c>
      <c r="T129" s="2">
        <v>0</v>
      </c>
      <c r="U129" s="2">
        <v>5</v>
      </c>
      <c r="V129" s="2">
        <v>3</v>
      </c>
      <c r="W129" s="2">
        <v>2</v>
      </c>
      <c r="X129" s="2">
        <v>11</v>
      </c>
      <c r="Y129" s="2">
        <v>6</v>
      </c>
      <c r="Z129" s="2">
        <v>5</v>
      </c>
    </row>
    <row r="130" spans="1:26" hidden="1" x14ac:dyDescent="0.45">
      <c r="A130" s="2">
        <v>149</v>
      </c>
      <c r="B130" s="2">
        <v>7</v>
      </c>
      <c r="C130" s="2"/>
      <c r="D130" s="2">
        <v>9</v>
      </c>
      <c r="E130" s="3" t="s">
        <v>43</v>
      </c>
      <c r="F130" s="2">
        <v>10</v>
      </c>
      <c r="G130" s="2">
        <v>6</v>
      </c>
      <c r="H130" s="2">
        <v>4</v>
      </c>
      <c r="I130" s="2">
        <v>7</v>
      </c>
      <c r="J130" s="2">
        <v>3</v>
      </c>
      <c r="K130" s="2">
        <v>4</v>
      </c>
      <c r="L130" s="2">
        <v>3</v>
      </c>
      <c r="M130" s="2">
        <v>2</v>
      </c>
      <c r="N130" s="2">
        <v>1</v>
      </c>
      <c r="O130" s="2">
        <v>1</v>
      </c>
      <c r="P130" s="2">
        <v>0</v>
      </c>
      <c r="Q130" s="2">
        <v>1</v>
      </c>
      <c r="R130" s="2">
        <v>3</v>
      </c>
      <c r="S130" s="2">
        <v>1</v>
      </c>
      <c r="T130" s="2">
        <v>2</v>
      </c>
      <c r="U130" s="2">
        <v>8</v>
      </c>
      <c r="V130" s="2">
        <v>3</v>
      </c>
      <c r="W130" s="2">
        <v>5</v>
      </c>
      <c r="X130" s="2">
        <v>8</v>
      </c>
      <c r="Y130" s="2">
        <v>4</v>
      </c>
      <c r="Z130" s="2">
        <v>4</v>
      </c>
    </row>
    <row r="131" spans="1:26" hidden="1" x14ac:dyDescent="0.45">
      <c r="A131" s="2">
        <v>150</v>
      </c>
      <c r="B131" s="2">
        <v>7</v>
      </c>
      <c r="C131" s="2"/>
      <c r="D131" s="2">
        <v>9</v>
      </c>
      <c r="E131" s="3" t="s">
        <v>29</v>
      </c>
      <c r="F131" s="2">
        <v>10</v>
      </c>
      <c r="G131" s="2">
        <v>5</v>
      </c>
      <c r="H131" s="2">
        <v>5</v>
      </c>
      <c r="I131" s="2">
        <v>7</v>
      </c>
      <c r="J131" s="2">
        <v>3</v>
      </c>
      <c r="K131" s="2">
        <v>4</v>
      </c>
      <c r="L131" s="2">
        <v>2</v>
      </c>
      <c r="M131" s="2">
        <v>1</v>
      </c>
      <c r="N131" s="2">
        <v>1</v>
      </c>
      <c r="O131" s="2">
        <v>4</v>
      </c>
      <c r="P131" s="2">
        <v>2</v>
      </c>
      <c r="Q131" s="2">
        <v>2</v>
      </c>
      <c r="R131" s="2">
        <v>1</v>
      </c>
      <c r="S131" s="2">
        <v>0</v>
      </c>
      <c r="T131" s="2">
        <v>1</v>
      </c>
      <c r="U131" s="2">
        <v>9</v>
      </c>
      <c r="V131" s="2">
        <v>3</v>
      </c>
      <c r="W131" s="2">
        <v>6</v>
      </c>
      <c r="X131" s="2">
        <v>8</v>
      </c>
      <c r="Y131" s="2">
        <v>4</v>
      </c>
      <c r="Z131" s="2">
        <v>4</v>
      </c>
    </row>
    <row r="132" spans="1:26" hidden="1" x14ac:dyDescent="0.45">
      <c r="A132" s="2">
        <v>151</v>
      </c>
      <c r="B132" s="2">
        <v>7</v>
      </c>
      <c r="C132" s="2"/>
      <c r="D132" s="2">
        <v>11</v>
      </c>
      <c r="E132" s="3" t="s">
        <v>31</v>
      </c>
      <c r="F132" s="2">
        <v>9</v>
      </c>
      <c r="G132" s="2">
        <v>2</v>
      </c>
      <c r="H132" s="2">
        <v>7</v>
      </c>
      <c r="I132" s="2">
        <v>7</v>
      </c>
      <c r="J132" s="2">
        <v>3</v>
      </c>
      <c r="K132" s="2">
        <v>4</v>
      </c>
      <c r="L132" s="2">
        <v>2</v>
      </c>
      <c r="M132" s="2">
        <v>0</v>
      </c>
      <c r="N132" s="2">
        <v>2</v>
      </c>
      <c r="O132" s="2">
        <v>3</v>
      </c>
      <c r="P132" s="2">
        <v>2</v>
      </c>
      <c r="Q132" s="2">
        <v>1</v>
      </c>
      <c r="R132" s="2">
        <v>2</v>
      </c>
      <c r="S132" s="2">
        <v>1</v>
      </c>
      <c r="T132" s="2">
        <v>1</v>
      </c>
      <c r="U132" s="2">
        <v>10</v>
      </c>
      <c r="V132" s="2">
        <v>5</v>
      </c>
      <c r="W132" s="2">
        <v>5</v>
      </c>
      <c r="X132" s="2">
        <v>7</v>
      </c>
      <c r="Y132" s="2">
        <v>2</v>
      </c>
      <c r="Z132" s="2">
        <v>5</v>
      </c>
    </row>
    <row r="133" spans="1:26" hidden="1" x14ac:dyDescent="0.45">
      <c r="A133" s="2">
        <v>152</v>
      </c>
      <c r="B133" s="2">
        <v>7</v>
      </c>
      <c r="C133" s="2"/>
      <c r="D133" s="2">
        <v>12</v>
      </c>
      <c r="E133" s="3" t="s">
        <v>42</v>
      </c>
      <c r="F133" s="2">
        <v>8</v>
      </c>
      <c r="G133" s="2">
        <v>4</v>
      </c>
      <c r="H133" s="2">
        <v>4</v>
      </c>
      <c r="I133" s="2">
        <v>7</v>
      </c>
      <c r="J133" s="2">
        <v>3</v>
      </c>
      <c r="K133" s="2">
        <v>4</v>
      </c>
      <c r="L133" s="2">
        <v>2</v>
      </c>
      <c r="M133" s="2">
        <v>1</v>
      </c>
      <c r="N133" s="2">
        <v>1</v>
      </c>
      <c r="O133" s="2">
        <v>2</v>
      </c>
      <c r="P133" s="2">
        <v>1</v>
      </c>
      <c r="Q133" s="2">
        <v>1</v>
      </c>
      <c r="R133" s="2">
        <v>3</v>
      </c>
      <c r="S133" s="2">
        <v>1</v>
      </c>
      <c r="T133" s="2">
        <v>2</v>
      </c>
      <c r="U133" s="2">
        <v>7</v>
      </c>
      <c r="V133" s="2">
        <v>4</v>
      </c>
      <c r="W133" s="2">
        <v>3</v>
      </c>
      <c r="X133" s="2">
        <v>10</v>
      </c>
      <c r="Y133" s="2">
        <v>7</v>
      </c>
      <c r="Z133" s="2">
        <v>3</v>
      </c>
    </row>
    <row r="134" spans="1:26" hidden="1" x14ac:dyDescent="0.45">
      <c r="A134" s="2">
        <v>153</v>
      </c>
      <c r="B134" s="2">
        <v>7</v>
      </c>
      <c r="C134" s="2"/>
      <c r="D134" s="2">
        <v>12</v>
      </c>
      <c r="E134" s="3" t="s">
        <v>36</v>
      </c>
      <c r="F134" s="2">
        <v>8</v>
      </c>
      <c r="G134" s="2">
        <v>4</v>
      </c>
      <c r="H134" s="2">
        <v>4</v>
      </c>
      <c r="I134" s="2">
        <v>7</v>
      </c>
      <c r="J134" s="2">
        <v>4</v>
      </c>
      <c r="K134" s="2">
        <v>3</v>
      </c>
      <c r="L134" s="2">
        <v>2</v>
      </c>
      <c r="M134" s="2">
        <v>1</v>
      </c>
      <c r="N134" s="2">
        <v>1</v>
      </c>
      <c r="O134" s="2">
        <v>2</v>
      </c>
      <c r="P134" s="2">
        <v>1</v>
      </c>
      <c r="Q134" s="2">
        <v>1</v>
      </c>
      <c r="R134" s="2">
        <v>3</v>
      </c>
      <c r="S134" s="2">
        <v>2</v>
      </c>
      <c r="T134" s="2">
        <v>1</v>
      </c>
      <c r="U134" s="2">
        <v>8</v>
      </c>
      <c r="V134" s="2">
        <v>5</v>
      </c>
      <c r="W134" s="2">
        <v>3</v>
      </c>
      <c r="X134" s="2">
        <v>6</v>
      </c>
      <c r="Y134" s="2">
        <v>3</v>
      </c>
      <c r="Z134" s="2">
        <v>3</v>
      </c>
    </row>
    <row r="135" spans="1:26" hidden="1" x14ac:dyDescent="0.45">
      <c r="A135" s="2">
        <v>154</v>
      </c>
      <c r="B135" s="2">
        <v>7</v>
      </c>
      <c r="C135" s="2"/>
      <c r="D135" s="2">
        <v>12</v>
      </c>
      <c r="E135" s="3" t="s">
        <v>44</v>
      </c>
      <c r="F135" s="2">
        <v>8</v>
      </c>
      <c r="G135" s="2">
        <v>4</v>
      </c>
      <c r="H135" s="2">
        <v>4</v>
      </c>
      <c r="I135" s="2">
        <v>7</v>
      </c>
      <c r="J135" s="2">
        <v>3</v>
      </c>
      <c r="K135" s="2">
        <v>4</v>
      </c>
      <c r="L135" s="2">
        <v>2</v>
      </c>
      <c r="M135" s="2">
        <v>1</v>
      </c>
      <c r="N135" s="2">
        <v>1</v>
      </c>
      <c r="O135" s="2">
        <v>2</v>
      </c>
      <c r="P135" s="2">
        <v>1</v>
      </c>
      <c r="Q135" s="2">
        <v>1</v>
      </c>
      <c r="R135" s="2">
        <v>3</v>
      </c>
      <c r="S135" s="2">
        <v>1</v>
      </c>
      <c r="T135" s="2">
        <v>2</v>
      </c>
      <c r="U135" s="2">
        <v>13</v>
      </c>
      <c r="V135" s="2">
        <v>3</v>
      </c>
      <c r="W135" s="2">
        <v>10</v>
      </c>
      <c r="X135" s="2">
        <v>6</v>
      </c>
      <c r="Y135" s="2">
        <v>1</v>
      </c>
      <c r="Z135" s="2">
        <v>5</v>
      </c>
    </row>
    <row r="136" spans="1:26" hidden="1" x14ac:dyDescent="0.45">
      <c r="A136" s="2">
        <v>155</v>
      </c>
      <c r="B136" s="2">
        <v>7</v>
      </c>
      <c r="C136" s="2"/>
      <c r="D136" s="2">
        <v>15</v>
      </c>
      <c r="E136" s="3" t="s">
        <v>41</v>
      </c>
      <c r="F136" s="2">
        <v>6</v>
      </c>
      <c r="G136" s="2">
        <v>4</v>
      </c>
      <c r="H136" s="2">
        <v>2</v>
      </c>
      <c r="I136" s="2">
        <v>7</v>
      </c>
      <c r="J136" s="2">
        <v>3</v>
      </c>
      <c r="K136" s="2">
        <v>4</v>
      </c>
      <c r="L136" s="2">
        <v>1</v>
      </c>
      <c r="M136" s="2">
        <v>1</v>
      </c>
      <c r="N136" s="2">
        <v>0</v>
      </c>
      <c r="O136" s="2">
        <v>3</v>
      </c>
      <c r="P136" s="2">
        <v>1</v>
      </c>
      <c r="Q136" s="2">
        <v>2</v>
      </c>
      <c r="R136" s="2">
        <v>3</v>
      </c>
      <c r="S136" s="2">
        <v>1</v>
      </c>
      <c r="T136" s="2">
        <v>2</v>
      </c>
      <c r="U136" s="2">
        <v>7</v>
      </c>
      <c r="V136" s="2">
        <v>3</v>
      </c>
      <c r="W136" s="2">
        <v>4</v>
      </c>
      <c r="X136" s="2">
        <v>3</v>
      </c>
      <c r="Y136" s="2">
        <v>3</v>
      </c>
      <c r="Z136" s="2">
        <v>0</v>
      </c>
    </row>
    <row r="137" spans="1:26" hidden="1" x14ac:dyDescent="0.45">
      <c r="A137" s="2">
        <v>156</v>
      </c>
      <c r="B137" s="2">
        <v>7</v>
      </c>
      <c r="C137" s="2"/>
      <c r="D137" s="2">
        <v>15</v>
      </c>
      <c r="E137" s="3" t="s">
        <v>38</v>
      </c>
      <c r="F137" s="2">
        <v>6</v>
      </c>
      <c r="G137" s="2">
        <v>2</v>
      </c>
      <c r="H137" s="2">
        <v>4</v>
      </c>
      <c r="I137" s="2">
        <v>7</v>
      </c>
      <c r="J137" s="2">
        <v>4</v>
      </c>
      <c r="K137" s="2">
        <v>3</v>
      </c>
      <c r="L137" s="2">
        <v>1</v>
      </c>
      <c r="M137" s="2">
        <v>0</v>
      </c>
      <c r="N137" s="2">
        <v>1</v>
      </c>
      <c r="O137" s="2">
        <v>3</v>
      </c>
      <c r="P137" s="2">
        <v>2</v>
      </c>
      <c r="Q137" s="2">
        <v>1</v>
      </c>
      <c r="R137" s="2">
        <v>3</v>
      </c>
      <c r="S137" s="2">
        <v>2</v>
      </c>
      <c r="T137" s="2">
        <v>1</v>
      </c>
      <c r="U137" s="2">
        <v>10</v>
      </c>
      <c r="V137" s="2">
        <v>6</v>
      </c>
      <c r="W137" s="2">
        <v>4</v>
      </c>
      <c r="X137" s="2">
        <v>5</v>
      </c>
      <c r="Y137" s="2">
        <v>3</v>
      </c>
      <c r="Z137" s="2">
        <v>2</v>
      </c>
    </row>
    <row r="138" spans="1:26" hidden="1" x14ac:dyDescent="0.45">
      <c r="A138" s="2">
        <v>157</v>
      </c>
      <c r="B138" s="2">
        <v>7</v>
      </c>
      <c r="C138" s="2"/>
      <c r="D138" s="2">
        <v>17</v>
      </c>
      <c r="E138" s="3" t="s">
        <v>33</v>
      </c>
      <c r="F138" s="2">
        <v>4</v>
      </c>
      <c r="G138" s="2">
        <v>2</v>
      </c>
      <c r="H138" s="2">
        <v>2</v>
      </c>
      <c r="I138" s="2">
        <v>7</v>
      </c>
      <c r="J138" s="2">
        <v>3</v>
      </c>
      <c r="K138" s="2">
        <v>4</v>
      </c>
      <c r="L138" s="2">
        <v>0</v>
      </c>
      <c r="M138" s="2">
        <v>0</v>
      </c>
      <c r="N138" s="2">
        <v>0</v>
      </c>
      <c r="O138" s="2">
        <v>4</v>
      </c>
      <c r="P138" s="2">
        <v>2</v>
      </c>
      <c r="Q138" s="2">
        <v>2</v>
      </c>
      <c r="R138" s="2">
        <v>3</v>
      </c>
      <c r="S138" s="2">
        <v>1</v>
      </c>
      <c r="T138" s="2">
        <v>2</v>
      </c>
      <c r="U138" s="2">
        <v>9</v>
      </c>
      <c r="V138" s="2">
        <v>2</v>
      </c>
      <c r="W138" s="2">
        <v>7</v>
      </c>
      <c r="X138" s="2">
        <v>2</v>
      </c>
      <c r="Y138" s="2">
        <v>1</v>
      </c>
      <c r="Z138" s="2">
        <v>1</v>
      </c>
    </row>
    <row r="139" spans="1:26" hidden="1" x14ac:dyDescent="0.45">
      <c r="A139" s="2">
        <v>158</v>
      </c>
      <c r="B139" s="2">
        <v>7</v>
      </c>
      <c r="C139" s="2"/>
      <c r="D139" s="2">
        <v>18</v>
      </c>
      <c r="E139" s="3" t="s">
        <v>34</v>
      </c>
      <c r="F139" s="2">
        <v>3</v>
      </c>
      <c r="G139" s="2">
        <v>0</v>
      </c>
      <c r="H139" s="2">
        <v>3</v>
      </c>
      <c r="I139" s="2">
        <v>7</v>
      </c>
      <c r="J139" s="2">
        <v>3</v>
      </c>
      <c r="K139" s="2">
        <v>4</v>
      </c>
      <c r="L139" s="2">
        <v>0</v>
      </c>
      <c r="M139" s="2">
        <v>0</v>
      </c>
      <c r="N139" s="2">
        <v>0</v>
      </c>
      <c r="O139" s="2">
        <v>3</v>
      </c>
      <c r="P139" s="2">
        <v>0</v>
      </c>
      <c r="Q139" s="2">
        <v>3</v>
      </c>
      <c r="R139" s="2">
        <v>4</v>
      </c>
      <c r="S139" s="2">
        <v>3</v>
      </c>
      <c r="T139" s="2">
        <v>1</v>
      </c>
      <c r="U139" s="2">
        <v>10</v>
      </c>
      <c r="V139" s="2">
        <v>7</v>
      </c>
      <c r="W139" s="2">
        <v>3</v>
      </c>
      <c r="X139" s="2">
        <v>5</v>
      </c>
      <c r="Y139" s="2">
        <v>3</v>
      </c>
      <c r="Z139" s="2">
        <v>2</v>
      </c>
    </row>
    <row r="140" spans="1:26" hidden="1" x14ac:dyDescent="0.45">
      <c r="A140" s="2">
        <v>159</v>
      </c>
      <c r="B140" s="2">
        <v>7</v>
      </c>
      <c r="C140" s="2"/>
      <c r="D140" s="2">
        <v>18</v>
      </c>
      <c r="E140" s="3" t="s">
        <v>37</v>
      </c>
      <c r="F140" s="2">
        <v>3</v>
      </c>
      <c r="G140" s="2">
        <v>2</v>
      </c>
      <c r="H140" s="2">
        <v>1</v>
      </c>
      <c r="I140" s="2">
        <v>7</v>
      </c>
      <c r="J140" s="2">
        <v>4</v>
      </c>
      <c r="K140" s="2">
        <v>3</v>
      </c>
      <c r="L140" s="2">
        <v>0</v>
      </c>
      <c r="M140" s="2">
        <v>0</v>
      </c>
      <c r="N140" s="2">
        <v>0</v>
      </c>
      <c r="O140" s="2">
        <v>3</v>
      </c>
      <c r="P140" s="2">
        <v>2</v>
      </c>
      <c r="Q140" s="2">
        <v>1</v>
      </c>
      <c r="R140" s="2">
        <v>4</v>
      </c>
      <c r="S140" s="2">
        <v>2</v>
      </c>
      <c r="T140" s="2">
        <v>2</v>
      </c>
      <c r="U140" s="2">
        <v>9</v>
      </c>
      <c r="V140" s="2">
        <v>4</v>
      </c>
      <c r="W140" s="2">
        <v>5</v>
      </c>
      <c r="X140" s="2">
        <v>3</v>
      </c>
      <c r="Y140" s="2">
        <v>0</v>
      </c>
      <c r="Z140" s="2">
        <v>3</v>
      </c>
    </row>
    <row r="141" spans="1:26" hidden="1" x14ac:dyDescent="0.45">
      <c r="A141" s="2">
        <v>160</v>
      </c>
      <c r="B141" s="2">
        <v>7</v>
      </c>
      <c r="C141" s="2"/>
      <c r="D141" s="2">
        <v>18</v>
      </c>
      <c r="E141" s="3" t="s">
        <v>32</v>
      </c>
      <c r="F141" s="2">
        <v>3</v>
      </c>
      <c r="G141" s="2">
        <v>2</v>
      </c>
      <c r="H141" s="2">
        <v>1</v>
      </c>
      <c r="I141" s="2">
        <v>7</v>
      </c>
      <c r="J141" s="2">
        <v>4</v>
      </c>
      <c r="K141" s="2">
        <v>3</v>
      </c>
      <c r="L141" s="2">
        <v>0</v>
      </c>
      <c r="M141" s="2">
        <v>0</v>
      </c>
      <c r="N141" s="2">
        <v>0</v>
      </c>
      <c r="O141" s="2">
        <v>3</v>
      </c>
      <c r="P141" s="2">
        <v>2</v>
      </c>
      <c r="Q141" s="2">
        <v>1</v>
      </c>
      <c r="R141" s="2">
        <v>4</v>
      </c>
      <c r="S141" s="2">
        <v>2</v>
      </c>
      <c r="T141" s="2">
        <v>2</v>
      </c>
      <c r="U141" s="2">
        <v>10</v>
      </c>
      <c r="V141" s="2">
        <v>2</v>
      </c>
      <c r="W141" s="2">
        <v>8</v>
      </c>
      <c r="X141" s="2">
        <v>3</v>
      </c>
      <c r="Y141" s="2">
        <v>0</v>
      </c>
      <c r="Z141" s="2">
        <v>3</v>
      </c>
    </row>
    <row r="142" spans="1:26" hidden="1" x14ac:dyDescent="0.45">
      <c r="A142" s="2">
        <v>161</v>
      </c>
      <c r="B142" s="2">
        <v>8</v>
      </c>
      <c r="C142" s="2"/>
      <c r="D142" s="2">
        <v>1</v>
      </c>
      <c r="E142" s="3" t="s">
        <v>26</v>
      </c>
      <c r="F142" s="2">
        <v>18</v>
      </c>
      <c r="G142" s="2">
        <v>12</v>
      </c>
      <c r="H142" s="2">
        <v>6</v>
      </c>
      <c r="I142" s="2">
        <v>8</v>
      </c>
      <c r="J142" s="2">
        <v>4</v>
      </c>
      <c r="K142" s="2">
        <v>4</v>
      </c>
      <c r="L142" s="2">
        <v>6</v>
      </c>
      <c r="M142" s="2">
        <v>4</v>
      </c>
      <c r="N142" s="2">
        <v>2</v>
      </c>
      <c r="O142" s="2">
        <v>0</v>
      </c>
      <c r="P142" s="2">
        <v>0</v>
      </c>
      <c r="Q142" s="2">
        <v>0</v>
      </c>
      <c r="R142" s="2">
        <v>2</v>
      </c>
      <c r="S142" s="2">
        <v>0</v>
      </c>
      <c r="T142" s="2">
        <v>2</v>
      </c>
      <c r="U142" s="2">
        <v>8</v>
      </c>
      <c r="V142" s="2">
        <v>4</v>
      </c>
      <c r="W142" s="2">
        <v>4</v>
      </c>
      <c r="X142" s="2">
        <v>15</v>
      </c>
      <c r="Y142" s="2">
        <v>9</v>
      </c>
      <c r="Z142" s="2">
        <v>6</v>
      </c>
    </row>
    <row r="143" spans="1:26" hidden="1" x14ac:dyDescent="0.45">
      <c r="A143" s="2">
        <v>162</v>
      </c>
      <c r="B143" s="2">
        <v>8</v>
      </c>
      <c r="C143" s="2"/>
      <c r="D143" s="2">
        <v>1</v>
      </c>
      <c r="E143" s="3" t="s">
        <v>30</v>
      </c>
      <c r="F143" s="2">
        <v>18</v>
      </c>
      <c r="G143" s="2">
        <v>6</v>
      </c>
      <c r="H143" s="2">
        <v>12</v>
      </c>
      <c r="I143" s="2">
        <v>8</v>
      </c>
      <c r="J143" s="2">
        <v>4</v>
      </c>
      <c r="K143" s="2">
        <v>4</v>
      </c>
      <c r="L143" s="2">
        <v>6</v>
      </c>
      <c r="M143" s="2">
        <v>2</v>
      </c>
      <c r="N143" s="2">
        <v>4</v>
      </c>
      <c r="O143" s="2">
        <v>0</v>
      </c>
      <c r="P143" s="2">
        <v>0</v>
      </c>
      <c r="Q143" s="2">
        <v>0</v>
      </c>
      <c r="R143" s="2">
        <v>2</v>
      </c>
      <c r="S143" s="2">
        <v>2</v>
      </c>
      <c r="T143" s="2">
        <v>0</v>
      </c>
      <c r="U143" s="2">
        <v>3</v>
      </c>
      <c r="V143" s="2">
        <v>2</v>
      </c>
      <c r="W143" s="2">
        <v>1</v>
      </c>
      <c r="X143" s="2">
        <v>8</v>
      </c>
      <c r="Y143" s="2">
        <v>3</v>
      </c>
      <c r="Z143" s="2">
        <v>5</v>
      </c>
    </row>
    <row r="144" spans="1:26" hidden="1" x14ac:dyDescent="0.45">
      <c r="A144" s="2">
        <v>163</v>
      </c>
      <c r="B144" s="2">
        <v>8</v>
      </c>
      <c r="C144" s="2"/>
      <c r="D144" s="2">
        <v>3</v>
      </c>
      <c r="E144" s="3" t="s">
        <v>39</v>
      </c>
      <c r="F144" s="2">
        <v>17</v>
      </c>
      <c r="G144" s="2">
        <v>10</v>
      </c>
      <c r="H144" s="2">
        <v>7</v>
      </c>
      <c r="I144" s="2">
        <v>8</v>
      </c>
      <c r="J144" s="2">
        <v>5</v>
      </c>
      <c r="K144" s="2">
        <v>3</v>
      </c>
      <c r="L144" s="2">
        <v>5</v>
      </c>
      <c r="M144" s="2">
        <v>3</v>
      </c>
      <c r="N144" s="2">
        <v>2</v>
      </c>
      <c r="O144" s="2">
        <v>2</v>
      </c>
      <c r="P144" s="2">
        <v>1</v>
      </c>
      <c r="Q144" s="2">
        <v>1</v>
      </c>
      <c r="R144" s="2">
        <v>1</v>
      </c>
      <c r="S144" s="2">
        <v>1</v>
      </c>
      <c r="T144" s="2">
        <v>0</v>
      </c>
      <c r="U144" s="2">
        <v>6</v>
      </c>
      <c r="V144" s="2">
        <v>6</v>
      </c>
      <c r="W144" s="2">
        <v>0</v>
      </c>
      <c r="X144" s="2">
        <v>13</v>
      </c>
      <c r="Y144" s="2">
        <v>8</v>
      </c>
      <c r="Z144" s="2">
        <v>5</v>
      </c>
    </row>
    <row r="145" spans="1:26" hidden="1" x14ac:dyDescent="0.45">
      <c r="A145" s="2">
        <v>164</v>
      </c>
      <c r="B145" s="2">
        <v>8</v>
      </c>
      <c r="C145" s="2"/>
      <c r="D145" s="2">
        <v>4</v>
      </c>
      <c r="E145" s="3" t="s">
        <v>25</v>
      </c>
      <c r="F145" s="2">
        <v>15</v>
      </c>
      <c r="G145" s="2">
        <v>9</v>
      </c>
      <c r="H145" s="2">
        <v>6</v>
      </c>
      <c r="I145" s="2">
        <v>8</v>
      </c>
      <c r="J145" s="2">
        <v>4</v>
      </c>
      <c r="K145" s="2">
        <v>4</v>
      </c>
      <c r="L145" s="2">
        <v>5</v>
      </c>
      <c r="M145" s="2">
        <v>3</v>
      </c>
      <c r="N145" s="2">
        <v>2</v>
      </c>
      <c r="O145" s="2">
        <v>0</v>
      </c>
      <c r="P145" s="2">
        <v>0</v>
      </c>
      <c r="Q145" s="2">
        <v>0</v>
      </c>
      <c r="R145" s="2">
        <v>3</v>
      </c>
      <c r="S145" s="2">
        <v>1</v>
      </c>
      <c r="T145" s="2">
        <v>2</v>
      </c>
      <c r="U145" s="2">
        <v>11</v>
      </c>
      <c r="V145" s="2">
        <v>4</v>
      </c>
      <c r="W145" s="2">
        <v>7</v>
      </c>
      <c r="X145" s="2">
        <v>19</v>
      </c>
      <c r="Y145" s="2">
        <v>12</v>
      </c>
      <c r="Z145" s="2">
        <v>7</v>
      </c>
    </row>
    <row r="146" spans="1:26" hidden="1" x14ac:dyDescent="0.45">
      <c r="A146" s="2">
        <v>165</v>
      </c>
      <c r="B146" s="2">
        <v>8</v>
      </c>
      <c r="C146" s="2"/>
      <c r="D146" s="2">
        <v>5</v>
      </c>
      <c r="E146" s="3" t="s">
        <v>40</v>
      </c>
      <c r="F146" s="2">
        <v>14</v>
      </c>
      <c r="G146" s="2">
        <v>9</v>
      </c>
      <c r="H146" s="2">
        <v>5</v>
      </c>
      <c r="I146" s="2">
        <v>8</v>
      </c>
      <c r="J146" s="2">
        <v>3</v>
      </c>
      <c r="K146" s="2">
        <v>5</v>
      </c>
      <c r="L146" s="2">
        <v>4</v>
      </c>
      <c r="M146" s="2">
        <v>3</v>
      </c>
      <c r="N146" s="2">
        <v>1</v>
      </c>
      <c r="O146" s="2">
        <v>2</v>
      </c>
      <c r="P146" s="2">
        <v>0</v>
      </c>
      <c r="Q146" s="2">
        <v>2</v>
      </c>
      <c r="R146" s="2">
        <v>2</v>
      </c>
      <c r="S146" s="2">
        <v>0</v>
      </c>
      <c r="T146" s="2">
        <v>2</v>
      </c>
      <c r="U146" s="2">
        <v>7</v>
      </c>
      <c r="V146" s="2">
        <v>1</v>
      </c>
      <c r="W146" s="2">
        <v>6</v>
      </c>
      <c r="X146" s="2">
        <v>13</v>
      </c>
      <c r="Y146" s="2">
        <v>7</v>
      </c>
      <c r="Z146" s="2">
        <v>6</v>
      </c>
    </row>
    <row r="147" spans="1:26" hidden="1" x14ac:dyDescent="0.45">
      <c r="A147" s="2">
        <v>166</v>
      </c>
      <c r="B147" s="2">
        <v>8</v>
      </c>
      <c r="C147" s="2"/>
      <c r="D147" s="2">
        <v>6</v>
      </c>
      <c r="E147" s="3" t="s">
        <v>27</v>
      </c>
      <c r="F147" s="2">
        <v>13</v>
      </c>
      <c r="G147" s="2">
        <v>8</v>
      </c>
      <c r="H147" s="2">
        <v>5</v>
      </c>
      <c r="I147" s="2">
        <v>8</v>
      </c>
      <c r="J147" s="2">
        <v>4</v>
      </c>
      <c r="K147" s="2">
        <v>4</v>
      </c>
      <c r="L147" s="2">
        <v>3</v>
      </c>
      <c r="M147" s="2">
        <v>2</v>
      </c>
      <c r="N147" s="2">
        <v>1</v>
      </c>
      <c r="O147" s="2">
        <v>4</v>
      </c>
      <c r="P147" s="2">
        <v>2</v>
      </c>
      <c r="Q147" s="2">
        <v>2</v>
      </c>
      <c r="R147" s="2">
        <v>1</v>
      </c>
      <c r="S147" s="2">
        <v>0</v>
      </c>
      <c r="T147" s="2">
        <v>1</v>
      </c>
      <c r="U147" s="2">
        <v>5</v>
      </c>
      <c r="V147" s="2">
        <v>2</v>
      </c>
      <c r="W147" s="2">
        <v>3</v>
      </c>
      <c r="X147" s="2">
        <v>9</v>
      </c>
      <c r="Y147" s="2">
        <v>6</v>
      </c>
      <c r="Z147" s="2">
        <v>3</v>
      </c>
    </row>
    <row r="148" spans="1:26" hidden="1" x14ac:dyDescent="0.45">
      <c r="A148" s="2">
        <v>167</v>
      </c>
      <c r="B148" s="2">
        <v>8</v>
      </c>
      <c r="C148" s="2"/>
      <c r="D148" s="2">
        <v>7</v>
      </c>
      <c r="E148" s="3" t="s">
        <v>35</v>
      </c>
      <c r="F148" s="2">
        <v>12</v>
      </c>
      <c r="G148" s="2">
        <v>6</v>
      </c>
      <c r="H148" s="2">
        <v>6</v>
      </c>
      <c r="I148" s="2">
        <v>8</v>
      </c>
      <c r="J148" s="2">
        <v>4</v>
      </c>
      <c r="K148" s="2">
        <v>4</v>
      </c>
      <c r="L148" s="2">
        <v>2</v>
      </c>
      <c r="M148" s="2">
        <v>1</v>
      </c>
      <c r="N148" s="2">
        <v>1</v>
      </c>
      <c r="O148" s="2">
        <v>6</v>
      </c>
      <c r="P148" s="2">
        <v>3</v>
      </c>
      <c r="Q148" s="2">
        <v>3</v>
      </c>
      <c r="R148" s="2">
        <v>0</v>
      </c>
      <c r="S148" s="2">
        <v>0</v>
      </c>
      <c r="T148" s="2">
        <v>0</v>
      </c>
      <c r="U148" s="2">
        <v>6</v>
      </c>
      <c r="V148" s="2">
        <v>3</v>
      </c>
      <c r="W148" s="2">
        <v>3</v>
      </c>
      <c r="X148" s="2">
        <v>12</v>
      </c>
      <c r="Y148" s="2">
        <v>6</v>
      </c>
      <c r="Z148" s="2">
        <v>6</v>
      </c>
    </row>
    <row r="149" spans="1:26" hidden="1" x14ac:dyDescent="0.45">
      <c r="A149" s="2">
        <v>168</v>
      </c>
      <c r="B149" s="2">
        <v>8</v>
      </c>
      <c r="C149" s="2"/>
      <c r="D149" s="2">
        <v>7</v>
      </c>
      <c r="E149" s="3" t="s">
        <v>28</v>
      </c>
      <c r="F149" s="2">
        <v>12</v>
      </c>
      <c r="G149" s="2">
        <v>8</v>
      </c>
      <c r="H149" s="2">
        <v>4</v>
      </c>
      <c r="I149" s="2">
        <v>8</v>
      </c>
      <c r="J149" s="2">
        <v>4</v>
      </c>
      <c r="K149" s="2">
        <v>4</v>
      </c>
      <c r="L149" s="2">
        <v>3</v>
      </c>
      <c r="M149" s="2">
        <v>2</v>
      </c>
      <c r="N149" s="2">
        <v>1</v>
      </c>
      <c r="O149" s="2">
        <v>3</v>
      </c>
      <c r="P149" s="2">
        <v>2</v>
      </c>
      <c r="Q149" s="2">
        <v>1</v>
      </c>
      <c r="R149" s="2">
        <v>2</v>
      </c>
      <c r="S149" s="2">
        <v>0</v>
      </c>
      <c r="T149" s="2">
        <v>2</v>
      </c>
      <c r="U149" s="2">
        <v>8</v>
      </c>
      <c r="V149" s="2">
        <v>4</v>
      </c>
      <c r="W149" s="2">
        <v>4</v>
      </c>
      <c r="X149" s="2">
        <v>9</v>
      </c>
      <c r="Y149" s="2">
        <v>7</v>
      </c>
      <c r="Z149" s="2">
        <v>2</v>
      </c>
    </row>
    <row r="150" spans="1:26" hidden="1" x14ac:dyDescent="0.45">
      <c r="A150" s="2">
        <v>169</v>
      </c>
      <c r="B150" s="2">
        <v>8</v>
      </c>
      <c r="C150" s="2"/>
      <c r="D150" s="2">
        <v>7</v>
      </c>
      <c r="E150" s="3" t="s">
        <v>31</v>
      </c>
      <c r="F150" s="2">
        <v>12</v>
      </c>
      <c r="G150" s="2">
        <v>5</v>
      </c>
      <c r="H150" s="2">
        <v>7</v>
      </c>
      <c r="I150" s="2">
        <v>8</v>
      </c>
      <c r="J150" s="2">
        <v>4</v>
      </c>
      <c r="K150" s="2">
        <v>4</v>
      </c>
      <c r="L150" s="2">
        <v>3</v>
      </c>
      <c r="M150" s="2">
        <v>1</v>
      </c>
      <c r="N150" s="2">
        <v>2</v>
      </c>
      <c r="O150" s="2">
        <v>3</v>
      </c>
      <c r="P150" s="2">
        <v>2</v>
      </c>
      <c r="Q150" s="2">
        <v>1</v>
      </c>
      <c r="R150" s="2">
        <v>2</v>
      </c>
      <c r="S150" s="2">
        <v>1</v>
      </c>
      <c r="T150" s="2">
        <v>1</v>
      </c>
      <c r="U150" s="2">
        <v>12</v>
      </c>
      <c r="V150" s="2">
        <v>7</v>
      </c>
      <c r="W150" s="2">
        <v>5</v>
      </c>
      <c r="X150" s="2">
        <v>10</v>
      </c>
      <c r="Y150" s="2">
        <v>5</v>
      </c>
      <c r="Z150" s="2">
        <v>5</v>
      </c>
    </row>
    <row r="151" spans="1:26" hidden="1" x14ac:dyDescent="0.45">
      <c r="A151" s="2">
        <v>170</v>
      </c>
      <c r="B151" s="2">
        <v>8</v>
      </c>
      <c r="C151" s="2"/>
      <c r="D151" s="2">
        <v>10</v>
      </c>
      <c r="E151" s="3" t="s">
        <v>42</v>
      </c>
      <c r="F151" s="2">
        <v>11</v>
      </c>
      <c r="G151" s="2">
        <v>7</v>
      </c>
      <c r="H151" s="2">
        <v>4</v>
      </c>
      <c r="I151" s="2">
        <v>8</v>
      </c>
      <c r="J151" s="2">
        <v>4</v>
      </c>
      <c r="K151" s="2">
        <v>4</v>
      </c>
      <c r="L151" s="2">
        <v>3</v>
      </c>
      <c r="M151" s="2">
        <v>2</v>
      </c>
      <c r="N151" s="2">
        <v>1</v>
      </c>
      <c r="O151" s="2">
        <v>2</v>
      </c>
      <c r="P151" s="2">
        <v>1</v>
      </c>
      <c r="Q151" s="2">
        <v>1</v>
      </c>
      <c r="R151" s="2">
        <v>3</v>
      </c>
      <c r="S151" s="2">
        <v>1</v>
      </c>
      <c r="T151" s="2">
        <v>2</v>
      </c>
      <c r="U151" s="2">
        <v>7</v>
      </c>
      <c r="V151" s="2">
        <v>4</v>
      </c>
      <c r="W151" s="2">
        <v>3</v>
      </c>
      <c r="X151" s="2">
        <v>11</v>
      </c>
      <c r="Y151" s="2">
        <v>8</v>
      </c>
      <c r="Z151" s="2">
        <v>3</v>
      </c>
    </row>
    <row r="152" spans="1:26" hidden="1" x14ac:dyDescent="0.45">
      <c r="A152" s="2">
        <v>171</v>
      </c>
      <c r="B152" s="2">
        <v>8</v>
      </c>
      <c r="C152" s="2"/>
      <c r="D152" s="2">
        <v>10</v>
      </c>
      <c r="E152" s="3" t="s">
        <v>29</v>
      </c>
      <c r="F152" s="2">
        <v>11</v>
      </c>
      <c r="G152" s="2">
        <v>6</v>
      </c>
      <c r="H152" s="2">
        <v>5</v>
      </c>
      <c r="I152" s="2">
        <v>8</v>
      </c>
      <c r="J152" s="2">
        <v>4</v>
      </c>
      <c r="K152" s="2">
        <v>4</v>
      </c>
      <c r="L152" s="2">
        <v>2</v>
      </c>
      <c r="M152" s="2">
        <v>1</v>
      </c>
      <c r="N152" s="2">
        <v>1</v>
      </c>
      <c r="O152" s="2">
        <v>5</v>
      </c>
      <c r="P152" s="2">
        <v>3</v>
      </c>
      <c r="Q152" s="2">
        <v>2</v>
      </c>
      <c r="R152" s="2">
        <v>1</v>
      </c>
      <c r="S152" s="2">
        <v>0</v>
      </c>
      <c r="T152" s="2">
        <v>1</v>
      </c>
      <c r="U152" s="2">
        <v>10</v>
      </c>
      <c r="V152" s="2">
        <v>4</v>
      </c>
      <c r="W152" s="2">
        <v>6</v>
      </c>
      <c r="X152" s="2">
        <v>9</v>
      </c>
      <c r="Y152" s="2">
        <v>5</v>
      </c>
      <c r="Z152" s="2">
        <v>4</v>
      </c>
    </row>
    <row r="153" spans="1:26" hidden="1" x14ac:dyDescent="0.45">
      <c r="A153" s="2">
        <v>172</v>
      </c>
      <c r="B153" s="2">
        <v>8</v>
      </c>
      <c r="C153" s="2"/>
      <c r="D153" s="2">
        <v>10</v>
      </c>
      <c r="E153" s="3" t="s">
        <v>44</v>
      </c>
      <c r="F153" s="2">
        <v>11</v>
      </c>
      <c r="G153" s="2">
        <v>7</v>
      </c>
      <c r="H153" s="2">
        <v>4</v>
      </c>
      <c r="I153" s="2">
        <v>8</v>
      </c>
      <c r="J153" s="2">
        <v>4</v>
      </c>
      <c r="K153" s="2">
        <v>4</v>
      </c>
      <c r="L153" s="2">
        <v>3</v>
      </c>
      <c r="M153" s="2">
        <v>2</v>
      </c>
      <c r="N153" s="2">
        <v>1</v>
      </c>
      <c r="O153" s="2">
        <v>2</v>
      </c>
      <c r="P153" s="2">
        <v>1</v>
      </c>
      <c r="Q153" s="2">
        <v>1</v>
      </c>
      <c r="R153" s="2">
        <v>3</v>
      </c>
      <c r="S153" s="2">
        <v>1</v>
      </c>
      <c r="T153" s="2">
        <v>2</v>
      </c>
      <c r="U153" s="2">
        <v>14</v>
      </c>
      <c r="V153" s="2">
        <v>4</v>
      </c>
      <c r="W153" s="2">
        <v>10</v>
      </c>
      <c r="X153" s="2">
        <v>8</v>
      </c>
      <c r="Y153" s="2">
        <v>3</v>
      </c>
      <c r="Z153" s="2">
        <v>5</v>
      </c>
    </row>
    <row r="154" spans="1:26" hidden="1" x14ac:dyDescent="0.45">
      <c r="A154" s="2">
        <v>173</v>
      </c>
      <c r="B154" s="2">
        <v>8</v>
      </c>
      <c r="C154" s="2"/>
      <c r="D154" s="2">
        <v>13</v>
      </c>
      <c r="E154" s="3" t="s">
        <v>43</v>
      </c>
      <c r="F154" s="2">
        <v>10</v>
      </c>
      <c r="G154" s="2">
        <v>6</v>
      </c>
      <c r="H154" s="2">
        <v>4</v>
      </c>
      <c r="I154" s="2">
        <v>8</v>
      </c>
      <c r="J154" s="2">
        <v>4</v>
      </c>
      <c r="K154" s="2">
        <v>4</v>
      </c>
      <c r="L154" s="2">
        <v>3</v>
      </c>
      <c r="M154" s="2">
        <v>2</v>
      </c>
      <c r="N154" s="2">
        <v>1</v>
      </c>
      <c r="O154" s="2">
        <v>1</v>
      </c>
      <c r="P154" s="2">
        <v>0</v>
      </c>
      <c r="Q154" s="2">
        <v>1</v>
      </c>
      <c r="R154" s="2">
        <v>4</v>
      </c>
      <c r="S154" s="2">
        <v>2</v>
      </c>
      <c r="T154" s="2">
        <v>2</v>
      </c>
      <c r="U154" s="2">
        <v>9</v>
      </c>
      <c r="V154" s="2">
        <v>4</v>
      </c>
      <c r="W154" s="2">
        <v>5</v>
      </c>
      <c r="X154" s="2">
        <v>8</v>
      </c>
      <c r="Y154" s="2">
        <v>4</v>
      </c>
      <c r="Z154" s="2">
        <v>4</v>
      </c>
    </row>
    <row r="155" spans="1:26" hidden="1" x14ac:dyDescent="0.45">
      <c r="A155" s="2">
        <v>174</v>
      </c>
      <c r="B155" s="2">
        <v>8</v>
      </c>
      <c r="C155" s="2"/>
      <c r="D155" s="2">
        <v>14</v>
      </c>
      <c r="E155" s="3" t="s">
        <v>36</v>
      </c>
      <c r="F155" s="2">
        <v>9</v>
      </c>
      <c r="G155" s="2">
        <v>4</v>
      </c>
      <c r="H155" s="2">
        <v>5</v>
      </c>
      <c r="I155" s="2">
        <v>8</v>
      </c>
      <c r="J155" s="2">
        <v>4</v>
      </c>
      <c r="K155" s="2">
        <v>4</v>
      </c>
      <c r="L155" s="2">
        <v>2</v>
      </c>
      <c r="M155" s="2">
        <v>1</v>
      </c>
      <c r="N155" s="2">
        <v>1</v>
      </c>
      <c r="O155" s="2">
        <v>3</v>
      </c>
      <c r="P155" s="2">
        <v>1</v>
      </c>
      <c r="Q155" s="2">
        <v>2</v>
      </c>
      <c r="R155" s="2">
        <v>3</v>
      </c>
      <c r="S155" s="2">
        <v>2</v>
      </c>
      <c r="T155" s="2">
        <v>1</v>
      </c>
      <c r="U155" s="2">
        <v>10</v>
      </c>
      <c r="V155" s="2">
        <v>5</v>
      </c>
      <c r="W155" s="2">
        <v>5</v>
      </c>
      <c r="X155" s="2">
        <v>8</v>
      </c>
      <c r="Y155" s="2">
        <v>3</v>
      </c>
      <c r="Z155" s="2">
        <v>5</v>
      </c>
    </row>
    <row r="156" spans="1:26" hidden="1" x14ac:dyDescent="0.45">
      <c r="A156" s="2">
        <v>175</v>
      </c>
      <c r="B156" s="2">
        <v>8</v>
      </c>
      <c r="C156" s="2"/>
      <c r="D156" s="2">
        <v>15</v>
      </c>
      <c r="E156" s="3" t="s">
        <v>41</v>
      </c>
      <c r="F156" s="2">
        <v>7</v>
      </c>
      <c r="G156" s="2">
        <v>5</v>
      </c>
      <c r="H156" s="2">
        <v>2</v>
      </c>
      <c r="I156" s="2">
        <v>8</v>
      </c>
      <c r="J156" s="2">
        <v>4</v>
      </c>
      <c r="K156" s="2">
        <v>4</v>
      </c>
      <c r="L156" s="2">
        <v>1</v>
      </c>
      <c r="M156" s="2">
        <v>1</v>
      </c>
      <c r="N156" s="2">
        <v>0</v>
      </c>
      <c r="O156" s="2">
        <v>4</v>
      </c>
      <c r="P156" s="2">
        <v>2</v>
      </c>
      <c r="Q156" s="2">
        <v>2</v>
      </c>
      <c r="R156" s="2">
        <v>3</v>
      </c>
      <c r="S156" s="2">
        <v>1</v>
      </c>
      <c r="T156" s="2">
        <v>2</v>
      </c>
      <c r="U156" s="2">
        <v>7</v>
      </c>
      <c r="V156" s="2">
        <v>3</v>
      </c>
      <c r="W156" s="2">
        <v>4</v>
      </c>
      <c r="X156" s="2">
        <v>3</v>
      </c>
      <c r="Y156" s="2">
        <v>3</v>
      </c>
      <c r="Z156" s="2">
        <v>0</v>
      </c>
    </row>
    <row r="157" spans="1:26" hidden="1" x14ac:dyDescent="0.45">
      <c r="A157" s="2">
        <v>176</v>
      </c>
      <c r="B157" s="2">
        <v>8</v>
      </c>
      <c r="C157" s="2"/>
      <c r="D157" s="2">
        <v>16</v>
      </c>
      <c r="E157" s="3" t="s">
        <v>38</v>
      </c>
      <c r="F157" s="2">
        <v>6</v>
      </c>
      <c r="G157" s="2">
        <v>2</v>
      </c>
      <c r="H157" s="2">
        <v>4</v>
      </c>
      <c r="I157" s="2">
        <v>8</v>
      </c>
      <c r="J157" s="2">
        <v>4</v>
      </c>
      <c r="K157" s="2">
        <v>4</v>
      </c>
      <c r="L157" s="2">
        <v>1</v>
      </c>
      <c r="M157" s="2">
        <v>0</v>
      </c>
      <c r="N157" s="2">
        <v>1</v>
      </c>
      <c r="O157" s="2">
        <v>3</v>
      </c>
      <c r="P157" s="2">
        <v>2</v>
      </c>
      <c r="Q157" s="2">
        <v>1</v>
      </c>
      <c r="R157" s="2">
        <v>4</v>
      </c>
      <c r="S157" s="2">
        <v>2</v>
      </c>
      <c r="T157" s="2">
        <v>2</v>
      </c>
      <c r="U157" s="2">
        <v>13</v>
      </c>
      <c r="V157" s="2">
        <v>6</v>
      </c>
      <c r="W157" s="2">
        <v>7</v>
      </c>
      <c r="X157" s="2">
        <v>7</v>
      </c>
      <c r="Y157" s="2">
        <v>3</v>
      </c>
      <c r="Z157" s="2">
        <v>4</v>
      </c>
    </row>
    <row r="158" spans="1:26" hidden="1" x14ac:dyDescent="0.45">
      <c r="A158" s="2">
        <v>177</v>
      </c>
      <c r="B158" s="2">
        <v>8</v>
      </c>
      <c r="C158" s="2"/>
      <c r="D158" s="2">
        <v>17</v>
      </c>
      <c r="E158" s="3" t="s">
        <v>33</v>
      </c>
      <c r="F158" s="2">
        <v>5</v>
      </c>
      <c r="G158" s="2">
        <v>3</v>
      </c>
      <c r="H158" s="2">
        <v>2</v>
      </c>
      <c r="I158" s="2">
        <v>8</v>
      </c>
      <c r="J158" s="2">
        <v>4</v>
      </c>
      <c r="K158" s="2">
        <v>4</v>
      </c>
      <c r="L158" s="2">
        <v>0</v>
      </c>
      <c r="M158" s="2">
        <v>0</v>
      </c>
      <c r="N158" s="2">
        <v>0</v>
      </c>
      <c r="O158" s="2">
        <v>5</v>
      </c>
      <c r="P158" s="2">
        <v>3</v>
      </c>
      <c r="Q158" s="2">
        <v>2</v>
      </c>
      <c r="R158" s="2">
        <v>3</v>
      </c>
      <c r="S158" s="2">
        <v>1</v>
      </c>
      <c r="T158" s="2">
        <v>2</v>
      </c>
      <c r="U158" s="2">
        <v>11</v>
      </c>
      <c r="V158" s="2">
        <v>4</v>
      </c>
      <c r="W158" s="2">
        <v>7</v>
      </c>
      <c r="X158" s="2">
        <v>4</v>
      </c>
      <c r="Y158" s="2">
        <v>3</v>
      </c>
      <c r="Z158" s="2">
        <v>1</v>
      </c>
    </row>
    <row r="159" spans="1:26" hidden="1" x14ac:dyDescent="0.45">
      <c r="A159" s="2">
        <v>178</v>
      </c>
      <c r="B159" s="2">
        <v>8</v>
      </c>
      <c r="C159" s="2"/>
      <c r="D159" s="2">
        <v>18</v>
      </c>
      <c r="E159" s="3" t="s">
        <v>34</v>
      </c>
      <c r="F159" s="2">
        <v>4</v>
      </c>
      <c r="G159" s="2">
        <v>1</v>
      </c>
      <c r="H159" s="2">
        <v>3</v>
      </c>
      <c r="I159" s="2">
        <v>8</v>
      </c>
      <c r="J159" s="2">
        <v>4</v>
      </c>
      <c r="K159" s="2">
        <v>4</v>
      </c>
      <c r="L159" s="2">
        <v>0</v>
      </c>
      <c r="M159" s="2">
        <v>0</v>
      </c>
      <c r="N159" s="2">
        <v>0</v>
      </c>
      <c r="O159" s="2">
        <v>4</v>
      </c>
      <c r="P159" s="2">
        <v>1</v>
      </c>
      <c r="Q159" s="2">
        <v>3</v>
      </c>
      <c r="R159" s="2">
        <v>4</v>
      </c>
      <c r="S159" s="2">
        <v>3</v>
      </c>
      <c r="T159" s="2">
        <v>1</v>
      </c>
      <c r="U159" s="2">
        <v>12</v>
      </c>
      <c r="V159" s="2">
        <v>9</v>
      </c>
      <c r="W159" s="2">
        <v>3</v>
      </c>
      <c r="X159" s="2">
        <v>7</v>
      </c>
      <c r="Y159" s="2">
        <v>5</v>
      </c>
      <c r="Z159" s="2">
        <v>2</v>
      </c>
    </row>
    <row r="160" spans="1:26" hidden="1" x14ac:dyDescent="0.45">
      <c r="A160" s="2">
        <v>179</v>
      </c>
      <c r="B160" s="2">
        <v>8</v>
      </c>
      <c r="C160" s="2"/>
      <c r="D160" s="2">
        <v>18</v>
      </c>
      <c r="E160" s="3" t="s">
        <v>32</v>
      </c>
      <c r="F160" s="2">
        <v>4</v>
      </c>
      <c r="G160" s="2">
        <v>2</v>
      </c>
      <c r="H160" s="2">
        <v>2</v>
      </c>
      <c r="I160" s="2">
        <v>8</v>
      </c>
      <c r="J160" s="2">
        <v>4</v>
      </c>
      <c r="K160" s="2">
        <v>4</v>
      </c>
      <c r="L160" s="2">
        <v>0</v>
      </c>
      <c r="M160" s="2">
        <v>0</v>
      </c>
      <c r="N160" s="2">
        <v>0</v>
      </c>
      <c r="O160" s="2">
        <v>4</v>
      </c>
      <c r="P160" s="2">
        <v>2</v>
      </c>
      <c r="Q160" s="2">
        <v>2</v>
      </c>
      <c r="R160" s="2">
        <v>4</v>
      </c>
      <c r="S160" s="2">
        <v>2</v>
      </c>
      <c r="T160" s="2">
        <v>2</v>
      </c>
      <c r="U160" s="2">
        <v>12</v>
      </c>
      <c r="V160" s="2">
        <v>2</v>
      </c>
      <c r="W160" s="2">
        <v>10</v>
      </c>
      <c r="X160" s="2">
        <v>5</v>
      </c>
      <c r="Y160" s="2">
        <v>0</v>
      </c>
      <c r="Z160" s="2">
        <v>5</v>
      </c>
    </row>
    <row r="161" spans="1:26" hidden="1" x14ac:dyDescent="0.45">
      <c r="A161" s="2">
        <v>180</v>
      </c>
      <c r="B161" s="2">
        <v>8</v>
      </c>
      <c r="C161" s="2"/>
      <c r="D161" s="2">
        <v>20</v>
      </c>
      <c r="E161" s="3" t="s">
        <v>37</v>
      </c>
      <c r="F161" s="2">
        <v>3</v>
      </c>
      <c r="G161" s="2">
        <v>2</v>
      </c>
      <c r="H161" s="2">
        <v>1</v>
      </c>
      <c r="I161" s="2">
        <v>8</v>
      </c>
      <c r="J161" s="2">
        <v>4</v>
      </c>
      <c r="K161" s="2">
        <v>4</v>
      </c>
      <c r="L161" s="2">
        <v>0</v>
      </c>
      <c r="M161" s="2">
        <v>0</v>
      </c>
      <c r="N161" s="2">
        <v>0</v>
      </c>
      <c r="O161" s="2">
        <v>3</v>
      </c>
      <c r="P161" s="2">
        <v>2</v>
      </c>
      <c r="Q161" s="2">
        <v>1</v>
      </c>
      <c r="R161" s="2">
        <v>5</v>
      </c>
      <c r="S161" s="2">
        <v>2</v>
      </c>
      <c r="T161" s="2">
        <v>3</v>
      </c>
      <c r="U161" s="2">
        <v>11</v>
      </c>
      <c r="V161" s="2">
        <v>4</v>
      </c>
      <c r="W161" s="2">
        <v>7</v>
      </c>
      <c r="X161" s="2">
        <v>4</v>
      </c>
      <c r="Y161" s="2">
        <v>0</v>
      </c>
      <c r="Z161" s="2">
        <v>4</v>
      </c>
    </row>
    <row r="162" spans="1:26" hidden="1" x14ac:dyDescent="0.45">
      <c r="A162" s="2">
        <v>181</v>
      </c>
      <c r="B162" s="2">
        <v>9</v>
      </c>
      <c r="C162" s="2"/>
      <c r="D162" s="2">
        <v>1</v>
      </c>
      <c r="E162" s="3" t="s">
        <v>26</v>
      </c>
      <c r="F162" s="2">
        <v>21</v>
      </c>
      <c r="G162" s="2">
        <v>12</v>
      </c>
      <c r="H162" s="2">
        <v>9</v>
      </c>
      <c r="I162" s="2">
        <v>9</v>
      </c>
      <c r="J162" s="2">
        <v>4</v>
      </c>
      <c r="K162" s="2">
        <v>5</v>
      </c>
      <c r="L162" s="2">
        <v>7</v>
      </c>
      <c r="M162" s="2">
        <v>4</v>
      </c>
      <c r="N162" s="2">
        <v>3</v>
      </c>
      <c r="O162" s="2">
        <v>0</v>
      </c>
      <c r="P162" s="2">
        <v>0</v>
      </c>
      <c r="Q162" s="2">
        <v>0</v>
      </c>
      <c r="R162" s="2">
        <v>2</v>
      </c>
      <c r="S162" s="2">
        <v>0</v>
      </c>
      <c r="T162" s="2">
        <v>2</v>
      </c>
      <c r="U162" s="2">
        <v>8</v>
      </c>
      <c r="V162" s="2">
        <v>4</v>
      </c>
      <c r="W162" s="2">
        <v>4</v>
      </c>
      <c r="X162" s="2">
        <v>16</v>
      </c>
      <c r="Y162" s="2">
        <v>9</v>
      </c>
      <c r="Z162" s="2">
        <v>7</v>
      </c>
    </row>
    <row r="163" spans="1:26" hidden="1" x14ac:dyDescent="0.45">
      <c r="A163" s="2">
        <v>182</v>
      </c>
      <c r="B163" s="2">
        <v>9</v>
      </c>
      <c r="C163" s="2"/>
      <c r="D163" s="2">
        <v>1</v>
      </c>
      <c r="E163" s="3" t="s">
        <v>30</v>
      </c>
      <c r="F163" s="2">
        <v>21</v>
      </c>
      <c r="G163" s="2">
        <v>9</v>
      </c>
      <c r="H163" s="2">
        <v>12</v>
      </c>
      <c r="I163" s="2">
        <v>9</v>
      </c>
      <c r="J163" s="2">
        <v>5</v>
      </c>
      <c r="K163" s="2">
        <v>4</v>
      </c>
      <c r="L163" s="2">
        <v>7</v>
      </c>
      <c r="M163" s="2">
        <v>3</v>
      </c>
      <c r="N163" s="2">
        <v>4</v>
      </c>
      <c r="O163" s="2">
        <v>0</v>
      </c>
      <c r="P163" s="2">
        <v>0</v>
      </c>
      <c r="Q163" s="2">
        <v>0</v>
      </c>
      <c r="R163" s="2">
        <v>2</v>
      </c>
      <c r="S163" s="2">
        <v>2</v>
      </c>
      <c r="T163" s="2">
        <v>0</v>
      </c>
      <c r="U163" s="2">
        <v>4</v>
      </c>
      <c r="V163" s="2">
        <v>3</v>
      </c>
      <c r="W163" s="2">
        <v>1</v>
      </c>
      <c r="X163" s="2">
        <v>10</v>
      </c>
      <c r="Y163" s="2">
        <v>5</v>
      </c>
      <c r="Z163" s="2">
        <v>5</v>
      </c>
    </row>
    <row r="164" spans="1:26" hidden="1" x14ac:dyDescent="0.45">
      <c r="A164" s="2">
        <v>183</v>
      </c>
      <c r="B164" s="2">
        <v>9</v>
      </c>
      <c r="C164" s="2"/>
      <c r="D164" s="2">
        <v>3</v>
      </c>
      <c r="E164" s="3" t="s">
        <v>25</v>
      </c>
      <c r="F164" s="2">
        <v>18</v>
      </c>
      <c r="G164" s="2">
        <v>12</v>
      </c>
      <c r="H164" s="2">
        <v>6</v>
      </c>
      <c r="I164" s="2">
        <v>9</v>
      </c>
      <c r="J164" s="2">
        <v>5</v>
      </c>
      <c r="K164" s="2">
        <v>4</v>
      </c>
      <c r="L164" s="2">
        <v>6</v>
      </c>
      <c r="M164" s="2">
        <v>4</v>
      </c>
      <c r="N164" s="2">
        <v>2</v>
      </c>
      <c r="O164" s="2">
        <v>0</v>
      </c>
      <c r="P164" s="2">
        <v>0</v>
      </c>
      <c r="Q164" s="2">
        <v>0</v>
      </c>
      <c r="R164" s="2">
        <v>3</v>
      </c>
      <c r="S164" s="2">
        <v>1</v>
      </c>
      <c r="T164" s="2">
        <v>2</v>
      </c>
      <c r="U164" s="2">
        <v>11</v>
      </c>
      <c r="V164" s="2">
        <v>4</v>
      </c>
      <c r="W164" s="2">
        <v>7</v>
      </c>
      <c r="X164" s="2">
        <v>22</v>
      </c>
      <c r="Y164" s="2">
        <v>15</v>
      </c>
      <c r="Z164" s="2">
        <v>7</v>
      </c>
    </row>
    <row r="165" spans="1:26" hidden="1" x14ac:dyDescent="0.45">
      <c r="A165" s="2">
        <v>184</v>
      </c>
      <c r="B165" s="2">
        <v>9</v>
      </c>
      <c r="C165" s="2"/>
      <c r="D165" s="2">
        <v>3</v>
      </c>
      <c r="E165" s="3" t="s">
        <v>39</v>
      </c>
      <c r="F165" s="2">
        <v>18</v>
      </c>
      <c r="G165" s="2">
        <v>10</v>
      </c>
      <c r="H165" s="2">
        <v>8</v>
      </c>
      <c r="I165" s="2">
        <v>9</v>
      </c>
      <c r="J165" s="2">
        <v>5</v>
      </c>
      <c r="K165" s="2">
        <v>4</v>
      </c>
      <c r="L165" s="2">
        <v>5</v>
      </c>
      <c r="M165" s="2">
        <v>3</v>
      </c>
      <c r="N165" s="2">
        <v>2</v>
      </c>
      <c r="O165" s="2">
        <v>3</v>
      </c>
      <c r="P165" s="2">
        <v>1</v>
      </c>
      <c r="Q165" s="2">
        <v>2</v>
      </c>
      <c r="R165" s="2">
        <v>1</v>
      </c>
      <c r="S165" s="2">
        <v>1</v>
      </c>
      <c r="T165" s="2">
        <v>0</v>
      </c>
      <c r="U165" s="2">
        <v>7</v>
      </c>
      <c r="V165" s="2">
        <v>6</v>
      </c>
      <c r="W165" s="2">
        <v>1</v>
      </c>
      <c r="X165" s="2">
        <v>14</v>
      </c>
      <c r="Y165" s="2">
        <v>8</v>
      </c>
      <c r="Z165" s="2">
        <v>6</v>
      </c>
    </row>
    <row r="166" spans="1:26" hidden="1" x14ac:dyDescent="0.45">
      <c r="A166" s="2">
        <v>185</v>
      </c>
      <c r="B166" s="2">
        <v>9</v>
      </c>
      <c r="C166" s="2"/>
      <c r="D166" s="2">
        <v>5</v>
      </c>
      <c r="E166" s="3" t="s">
        <v>27</v>
      </c>
      <c r="F166" s="2">
        <v>16</v>
      </c>
      <c r="G166" s="2">
        <v>11</v>
      </c>
      <c r="H166" s="2">
        <v>5</v>
      </c>
      <c r="I166" s="2">
        <v>9</v>
      </c>
      <c r="J166" s="2">
        <v>5</v>
      </c>
      <c r="K166" s="2">
        <v>4</v>
      </c>
      <c r="L166" s="2">
        <v>4</v>
      </c>
      <c r="M166" s="2">
        <v>3</v>
      </c>
      <c r="N166" s="2">
        <v>1</v>
      </c>
      <c r="O166" s="2">
        <v>4</v>
      </c>
      <c r="P166" s="2">
        <v>2</v>
      </c>
      <c r="Q166" s="2">
        <v>2</v>
      </c>
      <c r="R166" s="2">
        <v>1</v>
      </c>
      <c r="S166" s="2">
        <v>0</v>
      </c>
      <c r="T166" s="2">
        <v>1</v>
      </c>
      <c r="U166" s="2">
        <v>6</v>
      </c>
      <c r="V166" s="2">
        <v>3</v>
      </c>
      <c r="W166" s="2">
        <v>3</v>
      </c>
      <c r="X166" s="2">
        <v>12</v>
      </c>
      <c r="Y166" s="2">
        <v>9</v>
      </c>
      <c r="Z166" s="2">
        <v>3</v>
      </c>
    </row>
    <row r="167" spans="1:26" hidden="1" x14ac:dyDescent="0.45">
      <c r="A167" s="2">
        <v>186</v>
      </c>
      <c r="B167" s="2">
        <v>9</v>
      </c>
      <c r="C167" s="2"/>
      <c r="D167" s="2">
        <v>6</v>
      </c>
      <c r="E167" s="3" t="s">
        <v>40</v>
      </c>
      <c r="F167" s="2">
        <v>15</v>
      </c>
      <c r="G167" s="2">
        <v>10</v>
      </c>
      <c r="H167" s="2">
        <v>5</v>
      </c>
      <c r="I167" s="2">
        <v>9</v>
      </c>
      <c r="J167" s="2">
        <v>4</v>
      </c>
      <c r="K167" s="2">
        <v>5</v>
      </c>
      <c r="L167" s="2">
        <v>4</v>
      </c>
      <c r="M167" s="2">
        <v>3</v>
      </c>
      <c r="N167" s="2">
        <v>1</v>
      </c>
      <c r="O167" s="2">
        <v>3</v>
      </c>
      <c r="P167" s="2">
        <v>1</v>
      </c>
      <c r="Q167" s="2">
        <v>2</v>
      </c>
      <c r="R167" s="2">
        <v>2</v>
      </c>
      <c r="S167" s="2">
        <v>0</v>
      </c>
      <c r="T167" s="2">
        <v>2</v>
      </c>
      <c r="U167" s="2">
        <v>7</v>
      </c>
      <c r="V167" s="2">
        <v>1</v>
      </c>
      <c r="W167" s="2">
        <v>6</v>
      </c>
      <c r="X167" s="2">
        <v>13</v>
      </c>
      <c r="Y167" s="2">
        <v>7</v>
      </c>
      <c r="Z167" s="2">
        <v>6</v>
      </c>
    </row>
    <row r="168" spans="1:26" hidden="1" x14ac:dyDescent="0.45">
      <c r="A168" s="2">
        <v>187</v>
      </c>
      <c r="B168" s="2">
        <v>9</v>
      </c>
      <c r="C168" s="2"/>
      <c r="D168" s="2">
        <v>6</v>
      </c>
      <c r="E168" s="3" t="s">
        <v>28</v>
      </c>
      <c r="F168" s="2">
        <v>15</v>
      </c>
      <c r="G168" s="2">
        <v>11</v>
      </c>
      <c r="H168" s="2">
        <v>4</v>
      </c>
      <c r="I168" s="2">
        <v>9</v>
      </c>
      <c r="J168" s="2">
        <v>5</v>
      </c>
      <c r="K168" s="2">
        <v>4</v>
      </c>
      <c r="L168" s="2">
        <v>4</v>
      </c>
      <c r="M168" s="2">
        <v>3</v>
      </c>
      <c r="N168" s="2">
        <v>1</v>
      </c>
      <c r="O168" s="2">
        <v>3</v>
      </c>
      <c r="P168" s="2">
        <v>2</v>
      </c>
      <c r="Q168" s="2">
        <v>1</v>
      </c>
      <c r="R168" s="2">
        <v>2</v>
      </c>
      <c r="S168" s="2">
        <v>0</v>
      </c>
      <c r="T168" s="2">
        <v>2</v>
      </c>
      <c r="U168" s="2">
        <v>9</v>
      </c>
      <c r="V168" s="2">
        <v>5</v>
      </c>
      <c r="W168" s="2">
        <v>4</v>
      </c>
      <c r="X168" s="2">
        <v>12</v>
      </c>
      <c r="Y168" s="2">
        <v>10</v>
      </c>
      <c r="Z168" s="2">
        <v>2</v>
      </c>
    </row>
    <row r="169" spans="1:26" hidden="1" x14ac:dyDescent="0.45">
      <c r="A169" s="2">
        <v>188</v>
      </c>
      <c r="B169" s="2">
        <v>9</v>
      </c>
      <c r="C169" s="2"/>
      <c r="D169" s="2">
        <v>8</v>
      </c>
      <c r="E169" s="3" t="s">
        <v>29</v>
      </c>
      <c r="F169" s="2">
        <v>14</v>
      </c>
      <c r="G169" s="2">
        <v>6</v>
      </c>
      <c r="H169" s="2">
        <v>8</v>
      </c>
      <c r="I169" s="2">
        <v>9</v>
      </c>
      <c r="J169" s="2">
        <v>4</v>
      </c>
      <c r="K169" s="2">
        <v>5</v>
      </c>
      <c r="L169" s="2">
        <v>3</v>
      </c>
      <c r="M169" s="2">
        <v>1</v>
      </c>
      <c r="N169" s="2">
        <v>2</v>
      </c>
      <c r="O169" s="2">
        <v>5</v>
      </c>
      <c r="P169" s="2">
        <v>3</v>
      </c>
      <c r="Q169" s="2">
        <v>2</v>
      </c>
      <c r="R169" s="2">
        <v>1</v>
      </c>
      <c r="S169" s="2">
        <v>0</v>
      </c>
      <c r="T169" s="2">
        <v>1</v>
      </c>
      <c r="U169" s="2">
        <v>10</v>
      </c>
      <c r="V169" s="2">
        <v>4</v>
      </c>
      <c r="W169" s="2">
        <v>6</v>
      </c>
      <c r="X169" s="2">
        <v>11</v>
      </c>
      <c r="Y169" s="2">
        <v>5</v>
      </c>
      <c r="Z169" s="2">
        <v>6</v>
      </c>
    </row>
    <row r="170" spans="1:26" hidden="1" x14ac:dyDescent="0.45">
      <c r="A170" s="2">
        <v>189</v>
      </c>
      <c r="B170" s="2">
        <v>9</v>
      </c>
      <c r="C170" s="2"/>
      <c r="D170" s="2">
        <v>9</v>
      </c>
      <c r="E170" s="3" t="s">
        <v>35</v>
      </c>
      <c r="F170" s="2">
        <v>13</v>
      </c>
      <c r="G170" s="2">
        <v>7</v>
      </c>
      <c r="H170" s="2">
        <v>6</v>
      </c>
      <c r="I170" s="2">
        <v>9</v>
      </c>
      <c r="J170" s="2">
        <v>5</v>
      </c>
      <c r="K170" s="2">
        <v>4</v>
      </c>
      <c r="L170" s="2">
        <v>2</v>
      </c>
      <c r="M170" s="2">
        <v>1</v>
      </c>
      <c r="N170" s="2">
        <v>1</v>
      </c>
      <c r="O170" s="2">
        <v>7</v>
      </c>
      <c r="P170" s="2">
        <v>4</v>
      </c>
      <c r="Q170" s="2">
        <v>3</v>
      </c>
      <c r="R170" s="2">
        <v>0</v>
      </c>
      <c r="S170" s="2">
        <v>0</v>
      </c>
      <c r="T170" s="2">
        <v>0</v>
      </c>
      <c r="U170" s="2">
        <v>7</v>
      </c>
      <c r="V170" s="2">
        <v>4</v>
      </c>
      <c r="W170" s="2">
        <v>3</v>
      </c>
      <c r="X170" s="2">
        <v>13</v>
      </c>
      <c r="Y170" s="2">
        <v>7</v>
      </c>
      <c r="Z170" s="2">
        <v>6</v>
      </c>
    </row>
    <row r="171" spans="1:26" hidden="1" x14ac:dyDescent="0.45">
      <c r="A171" s="2">
        <v>190</v>
      </c>
      <c r="B171" s="2">
        <v>9</v>
      </c>
      <c r="C171" s="2"/>
      <c r="D171" s="2">
        <v>9</v>
      </c>
      <c r="E171" s="3" t="s">
        <v>43</v>
      </c>
      <c r="F171" s="2">
        <v>13</v>
      </c>
      <c r="G171" s="2">
        <v>6</v>
      </c>
      <c r="H171" s="2">
        <v>7</v>
      </c>
      <c r="I171" s="2">
        <v>9</v>
      </c>
      <c r="J171" s="2">
        <v>4</v>
      </c>
      <c r="K171" s="2">
        <v>5</v>
      </c>
      <c r="L171" s="2">
        <v>4</v>
      </c>
      <c r="M171" s="2">
        <v>2</v>
      </c>
      <c r="N171" s="2">
        <v>2</v>
      </c>
      <c r="O171" s="2">
        <v>1</v>
      </c>
      <c r="P171" s="2">
        <v>0</v>
      </c>
      <c r="Q171" s="2">
        <v>1</v>
      </c>
      <c r="R171" s="2">
        <v>4</v>
      </c>
      <c r="S171" s="2">
        <v>2</v>
      </c>
      <c r="T171" s="2">
        <v>2</v>
      </c>
      <c r="U171" s="2">
        <v>10</v>
      </c>
      <c r="V171" s="2">
        <v>4</v>
      </c>
      <c r="W171" s="2">
        <v>6</v>
      </c>
      <c r="X171" s="2">
        <v>10</v>
      </c>
      <c r="Y171" s="2">
        <v>4</v>
      </c>
      <c r="Z171" s="2">
        <v>6</v>
      </c>
    </row>
    <row r="172" spans="1:26" hidden="1" x14ac:dyDescent="0.45">
      <c r="A172" s="2">
        <v>191</v>
      </c>
      <c r="B172" s="2">
        <v>9</v>
      </c>
      <c r="C172" s="2"/>
      <c r="D172" s="2">
        <v>11</v>
      </c>
      <c r="E172" s="3" t="s">
        <v>42</v>
      </c>
      <c r="F172" s="2">
        <v>12</v>
      </c>
      <c r="G172" s="2">
        <v>7</v>
      </c>
      <c r="H172" s="2">
        <v>5</v>
      </c>
      <c r="I172" s="2">
        <v>9</v>
      </c>
      <c r="J172" s="2">
        <v>4</v>
      </c>
      <c r="K172" s="2">
        <v>5</v>
      </c>
      <c r="L172" s="2">
        <v>3</v>
      </c>
      <c r="M172" s="2">
        <v>2</v>
      </c>
      <c r="N172" s="2">
        <v>1</v>
      </c>
      <c r="O172" s="2">
        <v>3</v>
      </c>
      <c r="P172" s="2">
        <v>1</v>
      </c>
      <c r="Q172" s="2">
        <v>2</v>
      </c>
      <c r="R172" s="2">
        <v>3</v>
      </c>
      <c r="S172" s="2">
        <v>1</v>
      </c>
      <c r="T172" s="2">
        <v>2</v>
      </c>
      <c r="U172" s="2">
        <v>7</v>
      </c>
      <c r="V172" s="2">
        <v>4</v>
      </c>
      <c r="W172" s="2">
        <v>3</v>
      </c>
      <c r="X172" s="2">
        <v>11</v>
      </c>
      <c r="Y172" s="2">
        <v>8</v>
      </c>
      <c r="Z172" s="2">
        <v>3</v>
      </c>
    </row>
    <row r="173" spans="1:26" hidden="1" x14ac:dyDescent="0.45">
      <c r="A173" s="2">
        <v>192</v>
      </c>
      <c r="B173" s="2">
        <v>9</v>
      </c>
      <c r="C173" s="2"/>
      <c r="D173" s="2">
        <v>11</v>
      </c>
      <c r="E173" s="3" t="s">
        <v>31</v>
      </c>
      <c r="F173" s="2">
        <v>12</v>
      </c>
      <c r="G173" s="2">
        <v>5</v>
      </c>
      <c r="H173" s="2">
        <v>7</v>
      </c>
      <c r="I173" s="2">
        <v>9</v>
      </c>
      <c r="J173" s="2">
        <v>4</v>
      </c>
      <c r="K173" s="2">
        <v>5</v>
      </c>
      <c r="L173" s="2">
        <v>3</v>
      </c>
      <c r="M173" s="2">
        <v>1</v>
      </c>
      <c r="N173" s="2">
        <v>2</v>
      </c>
      <c r="O173" s="2">
        <v>3</v>
      </c>
      <c r="P173" s="2">
        <v>2</v>
      </c>
      <c r="Q173" s="2">
        <v>1</v>
      </c>
      <c r="R173" s="2">
        <v>3</v>
      </c>
      <c r="S173" s="2">
        <v>1</v>
      </c>
      <c r="T173" s="2">
        <v>2</v>
      </c>
      <c r="U173" s="2">
        <v>15</v>
      </c>
      <c r="V173" s="2">
        <v>7</v>
      </c>
      <c r="W173" s="2">
        <v>8</v>
      </c>
      <c r="X173" s="2">
        <v>11</v>
      </c>
      <c r="Y173" s="2">
        <v>5</v>
      </c>
      <c r="Z173" s="2">
        <v>6</v>
      </c>
    </row>
    <row r="174" spans="1:26" hidden="1" x14ac:dyDescent="0.45">
      <c r="A174" s="2">
        <v>193</v>
      </c>
      <c r="B174" s="2">
        <v>9</v>
      </c>
      <c r="C174" s="2"/>
      <c r="D174" s="2">
        <v>11</v>
      </c>
      <c r="E174" s="3" t="s">
        <v>44</v>
      </c>
      <c r="F174" s="2">
        <v>12</v>
      </c>
      <c r="G174" s="2">
        <v>7</v>
      </c>
      <c r="H174" s="2">
        <v>5</v>
      </c>
      <c r="I174" s="2">
        <v>9</v>
      </c>
      <c r="J174" s="2">
        <v>4</v>
      </c>
      <c r="K174" s="2">
        <v>5</v>
      </c>
      <c r="L174" s="2">
        <v>3</v>
      </c>
      <c r="M174" s="2">
        <v>2</v>
      </c>
      <c r="N174" s="2">
        <v>1</v>
      </c>
      <c r="O174" s="2">
        <v>3</v>
      </c>
      <c r="P174" s="2">
        <v>1</v>
      </c>
      <c r="Q174" s="2">
        <v>2</v>
      </c>
      <c r="R174" s="2">
        <v>3</v>
      </c>
      <c r="S174" s="2">
        <v>1</v>
      </c>
      <c r="T174" s="2">
        <v>2</v>
      </c>
      <c r="U174" s="2">
        <v>14</v>
      </c>
      <c r="V174" s="2">
        <v>4</v>
      </c>
      <c r="W174" s="2">
        <v>10</v>
      </c>
      <c r="X174" s="2">
        <v>8</v>
      </c>
      <c r="Y174" s="2">
        <v>3</v>
      </c>
      <c r="Z174" s="2">
        <v>5</v>
      </c>
    </row>
    <row r="175" spans="1:26" hidden="1" x14ac:dyDescent="0.45">
      <c r="A175" s="2">
        <v>194</v>
      </c>
      <c r="B175" s="2">
        <v>9</v>
      </c>
      <c r="C175" s="2"/>
      <c r="D175" s="2">
        <v>14</v>
      </c>
      <c r="E175" s="3" t="s">
        <v>36</v>
      </c>
      <c r="F175" s="2">
        <v>9</v>
      </c>
      <c r="G175" s="2">
        <v>4</v>
      </c>
      <c r="H175" s="2">
        <v>5</v>
      </c>
      <c r="I175" s="2">
        <v>9</v>
      </c>
      <c r="J175" s="2">
        <v>5</v>
      </c>
      <c r="K175" s="2">
        <v>4</v>
      </c>
      <c r="L175" s="2">
        <v>2</v>
      </c>
      <c r="M175" s="2">
        <v>1</v>
      </c>
      <c r="N175" s="2">
        <v>1</v>
      </c>
      <c r="O175" s="2">
        <v>3</v>
      </c>
      <c r="P175" s="2">
        <v>1</v>
      </c>
      <c r="Q175" s="2">
        <v>2</v>
      </c>
      <c r="R175" s="2">
        <v>4</v>
      </c>
      <c r="S175" s="2">
        <v>3</v>
      </c>
      <c r="T175" s="2">
        <v>1</v>
      </c>
      <c r="U175" s="2">
        <v>12</v>
      </c>
      <c r="V175" s="2">
        <v>7</v>
      </c>
      <c r="W175" s="2">
        <v>5</v>
      </c>
      <c r="X175" s="2">
        <v>9</v>
      </c>
      <c r="Y175" s="2">
        <v>4</v>
      </c>
      <c r="Z175" s="2">
        <v>5</v>
      </c>
    </row>
    <row r="176" spans="1:26" hidden="1" x14ac:dyDescent="0.45">
      <c r="A176" s="2">
        <v>195</v>
      </c>
      <c r="B176" s="2">
        <v>9</v>
      </c>
      <c r="C176" s="2"/>
      <c r="D176" s="2">
        <v>15</v>
      </c>
      <c r="E176" s="3" t="s">
        <v>41</v>
      </c>
      <c r="F176" s="2">
        <v>7</v>
      </c>
      <c r="G176" s="2">
        <v>5</v>
      </c>
      <c r="H176" s="2">
        <v>2</v>
      </c>
      <c r="I176" s="2">
        <v>9</v>
      </c>
      <c r="J176" s="2">
        <v>4</v>
      </c>
      <c r="K176" s="2">
        <v>5</v>
      </c>
      <c r="L176" s="2">
        <v>1</v>
      </c>
      <c r="M176" s="2">
        <v>1</v>
      </c>
      <c r="N176" s="2">
        <v>0</v>
      </c>
      <c r="O176" s="2">
        <v>4</v>
      </c>
      <c r="P176" s="2">
        <v>2</v>
      </c>
      <c r="Q176" s="2">
        <v>2</v>
      </c>
      <c r="R176" s="2">
        <v>4</v>
      </c>
      <c r="S176" s="2">
        <v>1</v>
      </c>
      <c r="T176" s="2">
        <v>3</v>
      </c>
      <c r="U176" s="2">
        <v>9</v>
      </c>
      <c r="V176" s="2">
        <v>3</v>
      </c>
      <c r="W176" s="2">
        <v>6</v>
      </c>
      <c r="X176" s="2">
        <v>4</v>
      </c>
      <c r="Y176" s="2">
        <v>3</v>
      </c>
      <c r="Z176" s="2">
        <v>1</v>
      </c>
    </row>
    <row r="177" spans="1:26" hidden="1" x14ac:dyDescent="0.45">
      <c r="A177" s="2">
        <v>196</v>
      </c>
      <c r="B177" s="2">
        <v>9</v>
      </c>
      <c r="C177" s="2"/>
      <c r="D177" s="2">
        <v>16</v>
      </c>
      <c r="E177" s="3" t="s">
        <v>38</v>
      </c>
      <c r="F177" s="2">
        <v>6</v>
      </c>
      <c r="G177" s="2">
        <v>2</v>
      </c>
      <c r="H177" s="2">
        <v>4</v>
      </c>
      <c r="I177" s="2">
        <v>9</v>
      </c>
      <c r="J177" s="2">
        <v>5</v>
      </c>
      <c r="K177" s="2">
        <v>4</v>
      </c>
      <c r="L177" s="2">
        <v>1</v>
      </c>
      <c r="M177" s="2">
        <v>0</v>
      </c>
      <c r="N177" s="2">
        <v>1</v>
      </c>
      <c r="O177" s="2">
        <v>3</v>
      </c>
      <c r="P177" s="2">
        <v>2</v>
      </c>
      <c r="Q177" s="2">
        <v>1</v>
      </c>
      <c r="R177" s="2">
        <v>5</v>
      </c>
      <c r="S177" s="2">
        <v>3</v>
      </c>
      <c r="T177" s="2">
        <v>2</v>
      </c>
      <c r="U177" s="2">
        <v>14</v>
      </c>
      <c r="V177" s="2">
        <v>7</v>
      </c>
      <c r="W177" s="2">
        <v>7</v>
      </c>
      <c r="X177" s="2">
        <v>7</v>
      </c>
      <c r="Y177" s="2">
        <v>3</v>
      </c>
      <c r="Z177" s="2">
        <v>4</v>
      </c>
    </row>
    <row r="178" spans="1:26" hidden="1" x14ac:dyDescent="0.45">
      <c r="A178" s="2">
        <v>197</v>
      </c>
      <c r="B178" s="2">
        <v>9</v>
      </c>
      <c r="C178" s="2"/>
      <c r="D178" s="2">
        <v>17</v>
      </c>
      <c r="E178" s="3" t="s">
        <v>32</v>
      </c>
      <c r="F178" s="2">
        <v>5</v>
      </c>
      <c r="G178" s="2">
        <v>3</v>
      </c>
      <c r="H178" s="2">
        <v>2</v>
      </c>
      <c r="I178" s="2">
        <v>9</v>
      </c>
      <c r="J178" s="2">
        <v>5</v>
      </c>
      <c r="K178" s="2">
        <v>4</v>
      </c>
      <c r="L178" s="2">
        <v>0</v>
      </c>
      <c r="M178" s="2">
        <v>0</v>
      </c>
      <c r="N178" s="2">
        <v>0</v>
      </c>
      <c r="O178" s="2">
        <v>5</v>
      </c>
      <c r="P178" s="2">
        <v>3</v>
      </c>
      <c r="Q178" s="2">
        <v>2</v>
      </c>
      <c r="R178" s="2">
        <v>4</v>
      </c>
      <c r="S178" s="2">
        <v>2</v>
      </c>
      <c r="T178" s="2">
        <v>2</v>
      </c>
      <c r="U178" s="2">
        <v>12</v>
      </c>
      <c r="V178" s="2">
        <v>2</v>
      </c>
      <c r="W178" s="2">
        <v>10</v>
      </c>
      <c r="X178" s="2">
        <v>5</v>
      </c>
      <c r="Y178" s="2">
        <v>0</v>
      </c>
      <c r="Z178" s="2">
        <v>5</v>
      </c>
    </row>
    <row r="179" spans="1:26" hidden="1" x14ac:dyDescent="0.45">
      <c r="A179" s="2">
        <v>198</v>
      </c>
      <c r="B179" s="2">
        <v>9</v>
      </c>
      <c r="C179" s="2"/>
      <c r="D179" s="2">
        <v>17</v>
      </c>
      <c r="E179" s="3" t="s">
        <v>33</v>
      </c>
      <c r="F179" s="2">
        <v>5</v>
      </c>
      <c r="G179" s="2">
        <v>3</v>
      </c>
      <c r="H179" s="2">
        <v>2</v>
      </c>
      <c r="I179" s="2">
        <v>9</v>
      </c>
      <c r="J179" s="2">
        <v>4</v>
      </c>
      <c r="K179" s="2">
        <v>5</v>
      </c>
      <c r="L179" s="2">
        <v>0</v>
      </c>
      <c r="M179" s="2">
        <v>0</v>
      </c>
      <c r="N179" s="2">
        <v>0</v>
      </c>
      <c r="O179" s="2">
        <v>5</v>
      </c>
      <c r="P179" s="2">
        <v>3</v>
      </c>
      <c r="Q179" s="2">
        <v>2</v>
      </c>
      <c r="R179" s="2">
        <v>4</v>
      </c>
      <c r="S179" s="2">
        <v>1</v>
      </c>
      <c r="T179" s="2">
        <v>3</v>
      </c>
      <c r="U179" s="2">
        <v>14</v>
      </c>
      <c r="V179" s="2">
        <v>4</v>
      </c>
      <c r="W179" s="2">
        <v>10</v>
      </c>
      <c r="X179" s="2">
        <v>5</v>
      </c>
      <c r="Y179" s="2">
        <v>3</v>
      </c>
      <c r="Z179" s="2">
        <v>2</v>
      </c>
    </row>
    <row r="180" spans="1:26" hidden="1" x14ac:dyDescent="0.45">
      <c r="A180" s="2">
        <v>199</v>
      </c>
      <c r="B180" s="2">
        <v>9</v>
      </c>
      <c r="C180" s="2"/>
      <c r="D180" s="2">
        <v>19</v>
      </c>
      <c r="E180" s="3" t="s">
        <v>34</v>
      </c>
      <c r="F180" s="2">
        <v>4</v>
      </c>
      <c r="G180" s="2">
        <v>1</v>
      </c>
      <c r="H180" s="2">
        <v>3</v>
      </c>
      <c r="I180" s="2">
        <v>9</v>
      </c>
      <c r="J180" s="2">
        <v>4</v>
      </c>
      <c r="K180" s="2">
        <v>5</v>
      </c>
      <c r="L180" s="2">
        <v>0</v>
      </c>
      <c r="M180" s="2">
        <v>0</v>
      </c>
      <c r="N180" s="2">
        <v>0</v>
      </c>
      <c r="O180" s="2">
        <v>4</v>
      </c>
      <c r="P180" s="2">
        <v>1</v>
      </c>
      <c r="Q180" s="2">
        <v>3</v>
      </c>
      <c r="R180" s="2">
        <v>5</v>
      </c>
      <c r="S180" s="2">
        <v>3</v>
      </c>
      <c r="T180" s="2">
        <v>2</v>
      </c>
      <c r="U180" s="2">
        <v>15</v>
      </c>
      <c r="V180" s="2">
        <v>9</v>
      </c>
      <c r="W180" s="2">
        <v>6</v>
      </c>
      <c r="X180" s="2">
        <v>7</v>
      </c>
      <c r="Y180" s="2">
        <v>5</v>
      </c>
      <c r="Z180" s="2">
        <v>2</v>
      </c>
    </row>
    <row r="181" spans="1:26" hidden="1" x14ac:dyDescent="0.45">
      <c r="A181" s="2">
        <v>200</v>
      </c>
      <c r="B181" s="2">
        <v>9</v>
      </c>
      <c r="C181" s="2"/>
      <c r="D181" s="2">
        <v>20</v>
      </c>
      <c r="E181" s="3" t="s">
        <v>37</v>
      </c>
      <c r="F181" s="2">
        <v>3</v>
      </c>
      <c r="G181" s="2">
        <v>2</v>
      </c>
      <c r="H181" s="2">
        <v>1</v>
      </c>
      <c r="I181" s="2">
        <v>9</v>
      </c>
      <c r="J181" s="2">
        <v>5</v>
      </c>
      <c r="K181" s="2">
        <v>4</v>
      </c>
      <c r="L181" s="2">
        <v>0</v>
      </c>
      <c r="M181" s="2">
        <v>0</v>
      </c>
      <c r="N181" s="2">
        <v>0</v>
      </c>
      <c r="O181" s="2">
        <v>3</v>
      </c>
      <c r="P181" s="2">
        <v>2</v>
      </c>
      <c r="Q181" s="2">
        <v>1</v>
      </c>
      <c r="R181" s="2">
        <v>6</v>
      </c>
      <c r="S181" s="2">
        <v>3</v>
      </c>
      <c r="T181" s="2">
        <v>3</v>
      </c>
      <c r="U181" s="2">
        <v>13</v>
      </c>
      <c r="V181" s="2">
        <v>6</v>
      </c>
      <c r="W181" s="2">
        <v>7</v>
      </c>
      <c r="X181" s="2">
        <v>4</v>
      </c>
      <c r="Y181" s="2">
        <v>0</v>
      </c>
      <c r="Z181" s="2">
        <v>4</v>
      </c>
    </row>
    <row r="182" spans="1:26" hidden="1" x14ac:dyDescent="0.45">
      <c r="A182" s="2">
        <v>201</v>
      </c>
      <c r="B182" s="2">
        <v>10</v>
      </c>
      <c r="C182" s="2"/>
      <c r="D182" s="2">
        <v>1</v>
      </c>
      <c r="E182" s="3" t="s">
        <v>26</v>
      </c>
      <c r="F182" s="2">
        <v>22</v>
      </c>
      <c r="G182" s="2">
        <v>13</v>
      </c>
      <c r="H182" s="2">
        <v>9</v>
      </c>
      <c r="I182" s="2">
        <v>10</v>
      </c>
      <c r="J182" s="2">
        <v>5</v>
      </c>
      <c r="K182" s="2">
        <v>5</v>
      </c>
      <c r="L182" s="2">
        <v>7</v>
      </c>
      <c r="M182" s="2">
        <v>4</v>
      </c>
      <c r="N182" s="2">
        <v>3</v>
      </c>
      <c r="O182" s="2">
        <v>1</v>
      </c>
      <c r="P182" s="2">
        <v>1</v>
      </c>
      <c r="Q182" s="2">
        <v>0</v>
      </c>
      <c r="R182" s="2">
        <v>2</v>
      </c>
      <c r="S182" s="2">
        <v>0</v>
      </c>
      <c r="T182" s="2">
        <v>2</v>
      </c>
      <c r="U182" s="2">
        <v>8</v>
      </c>
      <c r="V182" s="2">
        <v>4</v>
      </c>
      <c r="W182" s="2">
        <v>4</v>
      </c>
      <c r="X182" s="2">
        <v>16</v>
      </c>
      <c r="Y182" s="2">
        <v>9</v>
      </c>
      <c r="Z182" s="2">
        <v>7</v>
      </c>
    </row>
    <row r="183" spans="1:26" hidden="1" x14ac:dyDescent="0.45">
      <c r="A183" s="2">
        <v>202</v>
      </c>
      <c r="B183" s="2">
        <v>10</v>
      </c>
      <c r="C183" s="2"/>
      <c r="D183" s="2">
        <v>2</v>
      </c>
      <c r="E183" s="3" t="s">
        <v>25</v>
      </c>
      <c r="F183" s="2">
        <v>21</v>
      </c>
      <c r="G183" s="2">
        <v>12</v>
      </c>
      <c r="H183" s="2">
        <v>9</v>
      </c>
      <c r="I183" s="2">
        <v>10</v>
      </c>
      <c r="J183" s="2">
        <v>5</v>
      </c>
      <c r="K183" s="2">
        <v>5</v>
      </c>
      <c r="L183" s="2">
        <v>7</v>
      </c>
      <c r="M183" s="2">
        <v>4</v>
      </c>
      <c r="N183" s="2">
        <v>3</v>
      </c>
      <c r="O183" s="2">
        <v>0</v>
      </c>
      <c r="P183" s="2">
        <v>0</v>
      </c>
      <c r="Q183" s="2">
        <v>0</v>
      </c>
      <c r="R183" s="2">
        <v>3</v>
      </c>
      <c r="S183" s="2">
        <v>1</v>
      </c>
      <c r="T183" s="2">
        <v>2</v>
      </c>
      <c r="U183" s="2">
        <v>12</v>
      </c>
      <c r="V183" s="2">
        <v>4</v>
      </c>
      <c r="W183" s="2">
        <v>8</v>
      </c>
      <c r="X183" s="2">
        <v>24</v>
      </c>
      <c r="Y183" s="2">
        <v>15</v>
      </c>
      <c r="Z183" s="2">
        <v>9</v>
      </c>
    </row>
    <row r="184" spans="1:26" hidden="1" x14ac:dyDescent="0.45">
      <c r="A184" s="2">
        <v>203</v>
      </c>
      <c r="B184" s="2">
        <v>10</v>
      </c>
      <c r="C184" s="2"/>
      <c r="D184" s="2">
        <v>2</v>
      </c>
      <c r="E184" s="3" t="s">
        <v>39</v>
      </c>
      <c r="F184" s="2">
        <v>21</v>
      </c>
      <c r="G184" s="2">
        <v>13</v>
      </c>
      <c r="H184" s="2">
        <v>8</v>
      </c>
      <c r="I184" s="2">
        <v>10</v>
      </c>
      <c r="J184" s="2">
        <v>6</v>
      </c>
      <c r="K184" s="2">
        <v>4</v>
      </c>
      <c r="L184" s="2">
        <v>6</v>
      </c>
      <c r="M184" s="2">
        <v>4</v>
      </c>
      <c r="N184" s="2">
        <v>2</v>
      </c>
      <c r="O184" s="2">
        <v>3</v>
      </c>
      <c r="P184" s="2">
        <v>1</v>
      </c>
      <c r="Q184" s="2">
        <v>2</v>
      </c>
      <c r="R184" s="2">
        <v>1</v>
      </c>
      <c r="S184" s="2">
        <v>1</v>
      </c>
      <c r="T184" s="2">
        <v>0</v>
      </c>
      <c r="U184" s="2">
        <v>7</v>
      </c>
      <c r="V184" s="2">
        <v>6</v>
      </c>
      <c r="W184" s="2">
        <v>1</v>
      </c>
      <c r="X184" s="2">
        <v>15</v>
      </c>
      <c r="Y184" s="2">
        <v>9</v>
      </c>
      <c r="Z184" s="2">
        <v>6</v>
      </c>
    </row>
    <row r="185" spans="1:26" hidden="1" x14ac:dyDescent="0.45">
      <c r="A185" s="2">
        <v>204</v>
      </c>
      <c r="B185" s="2">
        <v>10</v>
      </c>
      <c r="C185" s="2"/>
      <c r="D185" s="2">
        <v>2</v>
      </c>
      <c r="E185" s="3" t="s">
        <v>30</v>
      </c>
      <c r="F185" s="2">
        <v>21</v>
      </c>
      <c r="G185" s="2">
        <v>9</v>
      </c>
      <c r="H185" s="2">
        <v>12</v>
      </c>
      <c r="I185" s="2">
        <v>10</v>
      </c>
      <c r="J185" s="2">
        <v>5</v>
      </c>
      <c r="K185" s="2">
        <v>5</v>
      </c>
      <c r="L185" s="2">
        <v>7</v>
      </c>
      <c r="M185" s="2">
        <v>3</v>
      </c>
      <c r="N185" s="2">
        <v>4</v>
      </c>
      <c r="O185" s="2">
        <v>0</v>
      </c>
      <c r="P185" s="2">
        <v>0</v>
      </c>
      <c r="Q185" s="2">
        <v>0</v>
      </c>
      <c r="R185" s="2">
        <v>3</v>
      </c>
      <c r="S185" s="2">
        <v>2</v>
      </c>
      <c r="T185" s="2">
        <v>1</v>
      </c>
      <c r="U185" s="2">
        <v>5</v>
      </c>
      <c r="V185" s="2">
        <v>3</v>
      </c>
      <c r="W185" s="2">
        <v>2</v>
      </c>
      <c r="X185" s="2">
        <v>10</v>
      </c>
      <c r="Y185" s="2">
        <v>5</v>
      </c>
      <c r="Z185" s="2">
        <v>5</v>
      </c>
    </row>
    <row r="186" spans="1:26" hidden="1" x14ac:dyDescent="0.45">
      <c r="A186" s="2">
        <v>205</v>
      </c>
      <c r="B186" s="2">
        <v>10</v>
      </c>
      <c r="C186" s="2"/>
      <c r="D186" s="2">
        <v>5</v>
      </c>
      <c r="E186" s="3" t="s">
        <v>40</v>
      </c>
      <c r="F186" s="2">
        <v>18</v>
      </c>
      <c r="G186" s="2">
        <v>10</v>
      </c>
      <c r="H186" s="2">
        <v>8</v>
      </c>
      <c r="I186" s="2">
        <v>10</v>
      </c>
      <c r="J186" s="2">
        <v>4</v>
      </c>
      <c r="K186" s="2">
        <v>6</v>
      </c>
      <c r="L186" s="2">
        <v>5</v>
      </c>
      <c r="M186" s="2">
        <v>3</v>
      </c>
      <c r="N186" s="2">
        <v>2</v>
      </c>
      <c r="O186" s="2">
        <v>3</v>
      </c>
      <c r="P186" s="2">
        <v>1</v>
      </c>
      <c r="Q186" s="2">
        <v>2</v>
      </c>
      <c r="R186" s="2">
        <v>2</v>
      </c>
      <c r="S186" s="2">
        <v>0</v>
      </c>
      <c r="T186" s="2">
        <v>2</v>
      </c>
      <c r="U186" s="2">
        <v>8</v>
      </c>
      <c r="V186" s="2">
        <v>1</v>
      </c>
      <c r="W186" s="2">
        <v>7</v>
      </c>
      <c r="X186" s="2">
        <v>16</v>
      </c>
      <c r="Y186" s="2">
        <v>7</v>
      </c>
      <c r="Z186" s="2">
        <v>9</v>
      </c>
    </row>
    <row r="187" spans="1:26" hidden="1" x14ac:dyDescent="0.45">
      <c r="A187" s="2">
        <v>206</v>
      </c>
      <c r="B187" s="2">
        <v>10</v>
      </c>
      <c r="C187" s="2"/>
      <c r="D187" s="2">
        <v>5</v>
      </c>
      <c r="E187" s="3" t="s">
        <v>28</v>
      </c>
      <c r="F187" s="2">
        <v>18</v>
      </c>
      <c r="G187" s="2">
        <v>11</v>
      </c>
      <c r="H187" s="2">
        <v>7</v>
      </c>
      <c r="I187" s="2">
        <v>10</v>
      </c>
      <c r="J187" s="2">
        <v>5</v>
      </c>
      <c r="K187" s="2">
        <v>5</v>
      </c>
      <c r="L187" s="2">
        <v>5</v>
      </c>
      <c r="M187" s="2">
        <v>3</v>
      </c>
      <c r="N187" s="2">
        <v>2</v>
      </c>
      <c r="O187" s="2">
        <v>3</v>
      </c>
      <c r="P187" s="2">
        <v>2</v>
      </c>
      <c r="Q187" s="2">
        <v>1</v>
      </c>
      <c r="R187" s="2">
        <v>2</v>
      </c>
      <c r="S187" s="2">
        <v>0</v>
      </c>
      <c r="T187" s="2">
        <v>2</v>
      </c>
      <c r="U187" s="2">
        <v>10</v>
      </c>
      <c r="V187" s="2">
        <v>5</v>
      </c>
      <c r="W187" s="2">
        <v>5</v>
      </c>
      <c r="X187" s="2">
        <v>14</v>
      </c>
      <c r="Y187" s="2">
        <v>10</v>
      </c>
      <c r="Z187" s="2">
        <v>4</v>
      </c>
    </row>
    <row r="188" spans="1:26" hidden="1" x14ac:dyDescent="0.45">
      <c r="A188" s="2">
        <v>207</v>
      </c>
      <c r="B188" s="2">
        <v>10</v>
      </c>
      <c r="C188" s="2"/>
      <c r="D188" s="2">
        <v>7</v>
      </c>
      <c r="E188" s="3" t="s">
        <v>27</v>
      </c>
      <c r="F188" s="2">
        <v>17</v>
      </c>
      <c r="G188" s="2">
        <v>11</v>
      </c>
      <c r="H188" s="2">
        <v>6</v>
      </c>
      <c r="I188" s="2">
        <v>10</v>
      </c>
      <c r="J188" s="2">
        <v>5</v>
      </c>
      <c r="K188" s="2">
        <v>5</v>
      </c>
      <c r="L188" s="2">
        <v>4</v>
      </c>
      <c r="M188" s="2">
        <v>3</v>
      </c>
      <c r="N188" s="2">
        <v>1</v>
      </c>
      <c r="O188" s="2">
        <v>5</v>
      </c>
      <c r="P188" s="2">
        <v>2</v>
      </c>
      <c r="Q188" s="2">
        <v>3</v>
      </c>
      <c r="R188" s="2">
        <v>1</v>
      </c>
      <c r="S188" s="2">
        <v>0</v>
      </c>
      <c r="T188" s="2">
        <v>1</v>
      </c>
      <c r="U188" s="2">
        <v>6</v>
      </c>
      <c r="V188" s="2">
        <v>3</v>
      </c>
      <c r="W188" s="2">
        <v>3</v>
      </c>
      <c r="X188" s="2">
        <v>12</v>
      </c>
      <c r="Y188" s="2">
        <v>9</v>
      </c>
      <c r="Z188" s="2">
        <v>3</v>
      </c>
    </row>
    <row r="189" spans="1:26" hidden="1" x14ac:dyDescent="0.45">
      <c r="A189" s="2">
        <v>208</v>
      </c>
      <c r="B189" s="2">
        <v>10</v>
      </c>
      <c r="C189" s="2"/>
      <c r="D189" s="2">
        <v>8</v>
      </c>
      <c r="E189" s="3" t="s">
        <v>42</v>
      </c>
      <c r="F189" s="2">
        <v>15</v>
      </c>
      <c r="G189" s="2">
        <v>10</v>
      </c>
      <c r="H189" s="2">
        <v>5</v>
      </c>
      <c r="I189" s="2">
        <v>10</v>
      </c>
      <c r="J189" s="2">
        <v>5</v>
      </c>
      <c r="K189" s="2">
        <v>5</v>
      </c>
      <c r="L189" s="2">
        <v>4</v>
      </c>
      <c r="M189" s="2">
        <v>3</v>
      </c>
      <c r="N189" s="2">
        <v>1</v>
      </c>
      <c r="O189" s="2">
        <v>3</v>
      </c>
      <c r="P189" s="2">
        <v>1</v>
      </c>
      <c r="Q189" s="2">
        <v>2</v>
      </c>
      <c r="R189" s="2">
        <v>3</v>
      </c>
      <c r="S189" s="2">
        <v>1</v>
      </c>
      <c r="T189" s="2">
        <v>2</v>
      </c>
      <c r="U189" s="2">
        <v>7</v>
      </c>
      <c r="V189" s="2">
        <v>4</v>
      </c>
      <c r="W189" s="2">
        <v>3</v>
      </c>
      <c r="X189" s="2">
        <v>13</v>
      </c>
      <c r="Y189" s="2">
        <v>10</v>
      </c>
      <c r="Z189" s="2">
        <v>3</v>
      </c>
    </row>
    <row r="190" spans="1:26" hidden="1" x14ac:dyDescent="0.45">
      <c r="A190" s="2">
        <v>209</v>
      </c>
      <c r="B190" s="2">
        <v>10</v>
      </c>
      <c r="C190" s="2"/>
      <c r="D190" s="2">
        <v>8</v>
      </c>
      <c r="E190" s="3" t="s">
        <v>31</v>
      </c>
      <c r="F190" s="2">
        <v>15</v>
      </c>
      <c r="G190" s="2">
        <v>8</v>
      </c>
      <c r="H190" s="2">
        <v>7</v>
      </c>
      <c r="I190" s="2">
        <v>10</v>
      </c>
      <c r="J190" s="2">
        <v>5</v>
      </c>
      <c r="K190" s="2">
        <v>5</v>
      </c>
      <c r="L190" s="2">
        <v>4</v>
      </c>
      <c r="M190" s="2">
        <v>2</v>
      </c>
      <c r="N190" s="2">
        <v>2</v>
      </c>
      <c r="O190" s="2">
        <v>3</v>
      </c>
      <c r="P190" s="2">
        <v>2</v>
      </c>
      <c r="Q190" s="2">
        <v>1</v>
      </c>
      <c r="R190" s="2">
        <v>3</v>
      </c>
      <c r="S190" s="2">
        <v>1</v>
      </c>
      <c r="T190" s="2">
        <v>2</v>
      </c>
      <c r="U190" s="2">
        <v>15</v>
      </c>
      <c r="V190" s="2">
        <v>7</v>
      </c>
      <c r="W190" s="2">
        <v>8</v>
      </c>
      <c r="X190" s="2">
        <v>12</v>
      </c>
      <c r="Y190" s="2">
        <v>6</v>
      </c>
      <c r="Z190" s="2">
        <v>6</v>
      </c>
    </row>
    <row r="191" spans="1:26" hidden="1" x14ac:dyDescent="0.45">
      <c r="A191" s="2">
        <v>210</v>
      </c>
      <c r="B191" s="2">
        <v>10</v>
      </c>
      <c r="C191" s="2"/>
      <c r="D191" s="2">
        <v>10</v>
      </c>
      <c r="E191" s="3" t="s">
        <v>29</v>
      </c>
      <c r="F191" s="2">
        <v>14</v>
      </c>
      <c r="G191" s="2">
        <v>6</v>
      </c>
      <c r="H191" s="2">
        <v>8</v>
      </c>
      <c r="I191" s="2">
        <v>10</v>
      </c>
      <c r="J191" s="2">
        <v>5</v>
      </c>
      <c r="K191" s="2">
        <v>5</v>
      </c>
      <c r="L191" s="2">
        <v>3</v>
      </c>
      <c r="M191" s="2">
        <v>1</v>
      </c>
      <c r="N191" s="2">
        <v>2</v>
      </c>
      <c r="O191" s="2">
        <v>5</v>
      </c>
      <c r="P191" s="2">
        <v>3</v>
      </c>
      <c r="Q191" s="2">
        <v>2</v>
      </c>
      <c r="R191" s="2">
        <v>2</v>
      </c>
      <c r="S191" s="2">
        <v>1</v>
      </c>
      <c r="T191" s="2">
        <v>1</v>
      </c>
      <c r="U191" s="2">
        <v>12</v>
      </c>
      <c r="V191" s="2">
        <v>6</v>
      </c>
      <c r="W191" s="2">
        <v>6</v>
      </c>
      <c r="X191" s="2">
        <v>12</v>
      </c>
      <c r="Y191" s="2">
        <v>6</v>
      </c>
      <c r="Z191" s="2">
        <v>6</v>
      </c>
    </row>
    <row r="192" spans="1:26" hidden="1" x14ac:dyDescent="0.45">
      <c r="A192" s="2">
        <v>211</v>
      </c>
      <c r="B192" s="2">
        <v>10</v>
      </c>
      <c r="C192" s="2"/>
      <c r="D192" s="2">
        <v>11</v>
      </c>
      <c r="E192" s="3" t="s">
        <v>35</v>
      </c>
      <c r="F192" s="2">
        <v>13</v>
      </c>
      <c r="G192" s="2">
        <v>7</v>
      </c>
      <c r="H192" s="2">
        <v>6</v>
      </c>
      <c r="I192" s="2">
        <v>10</v>
      </c>
      <c r="J192" s="2">
        <v>5</v>
      </c>
      <c r="K192" s="2">
        <v>5</v>
      </c>
      <c r="L192" s="2">
        <v>2</v>
      </c>
      <c r="M192" s="2">
        <v>1</v>
      </c>
      <c r="N192" s="2">
        <v>1</v>
      </c>
      <c r="O192" s="2">
        <v>7</v>
      </c>
      <c r="P192" s="2">
        <v>4</v>
      </c>
      <c r="Q192" s="2">
        <v>3</v>
      </c>
      <c r="R192" s="2">
        <v>1</v>
      </c>
      <c r="S192" s="2">
        <v>0</v>
      </c>
      <c r="T192" s="2">
        <v>1</v>
      </c>
      <c r="U192" s="2">
        <v>8</v>
      </c>
      <c r="V192" s="2">
        <v>4</v>
      </c>
      <c r="W192" s="2">
        <v>4</v>
      </c>
      <c r="X192" s="2">
        <v>13</v>
      </c>
      <c r="Y192" s="2">
        <v>7</v>
      </c>
      <c r="Z192" s="2">
        <v>6</v>
      </c>
    </row>
    <row r="193" spans="1:26" hidden="1" x14ac:dyDescent="0.45">
      <c r="A193" s="2">
        <v>212</v>
      </c>
      <c r="B193" s="2">
        <v>10</v>
      </c>
      <c r="C193" s="2"/>
      <c r="D193" s="2">
        <v>11</v>
      </c>
      <c r="E193" s="3" t="s">
        <v>43</v>
      </c>
      <c r="F193" s="2">
        <v>13</v>
      </c>
      <c r="G193" s="2">
        <v>6</v>
      </c>
      <c r="H193" s="2">
        <v>7</v>
      </c>
      <c r="I193" s="2">
        <v>10</v>
      </c>
      <c r="J193" s="2">
        <v>5</v>
      </c>
      <c r="K193" s="2">
        <v>5</v>
      </c>
      <c r="L193" s="2">
        <v>4</v>
      </c>
      <c r="M193" s="2">
        <v>2</v>
      </c>
      <c r="N193" s="2">
        <v>2</v>
      </c>
      <c r="O193" s="2">
        <v>1</v>
      </c>
      <c r="P193" s="2">
        <v>0</v>
      </c>
      <c r="Q193" s="2">
        <v>1</v>
      </c>
      <c r="R193" s="2">
        <v>5</v>
      </c>
      <c r="S193" s="2">
        <v>3</v>
      </c>
      <c r="T193" s="2">
        <v>2</v>
      </c>
      <c r="U193" s="2">
        <v>12</v>
      </c>
      <c r="V193" s="2">
        <v>6</v>
      </c>
      <c r="W193" s="2">
        <v>6</v>
      </c>
      <c r="X193" s="2">
        <v>11</v>
      </c>
      <c r="Y193" s="2">
        <v>5</v>
      </c>
      <c r="Z193" s="2">
        <v>6</v>
      </c>
    </row>
    <row r="194" spans="1:26" hidden="1" x14ac:dyDescent="0.45">
      <c r="A194" s="2">
        <v>213</v>
      </c>
      <c r="B194" s="2">
        <v>10</v>
      </c>
      <c r="C194" s="2"/>
      <c r="D194" s="2">
        <v>11</v>
      </c>
      <c r="E194" s="3" t="s">
        <v>44</v>
      </c>
      <c r="F194" s="2">
        <v>13</v>
      </c>
      <c r="G194" s="2">
        <v>8</v>
      </c>
      <c r="H194" s="2">
        <v>5</v>
      </c>
      <c r="I194" s="2">
        <v>10</v>
      </c>
      <c r="J194" s="2">
        <v>5</v>
      </c>
      <c r="K194" s="2">
        <v>5</v>
      </c>
      <c r="L194" s="2">
        <v>3</v>
      </c>
      <c r="M194" s="2">
        <v>2</v>
      </c>
      <c r="N194" s="2">
        <v>1</v>
      </c>
      <c r="O194" s="2">
        <v>4</v>
      </c>
      <c r="P194" s="2">
        <v>2</v>
      </c>
      <c r="Q194" s="2">
        <v>2</v>
      </c>
      <c r="R194" s="2">
        <v>3</v>
      </c>
      <c r="S194" s="2">
        <v>1</v>
      </c>
      <c r="T194" s="2">
        <v>2</v>
      </c>
      <c r="U194" s="2">
        <v>16</v>
      </c>
      <c r="V194" s="2">
        <v>6</v>
      </c>
      <c r="W194" s="2">
        <v>10</v>
      </c>
      <c r="X194" s="2">
        <v>10</v>
      </c>
      <c r="Y194" s="2">
        <v>5</v>
      </c>
      <c r="Z194" s="2">
        <v>5</v>
      </c>
    </row>
    <row r="195" spans="1:26" hidden="1" x14ac:dyDescent="0.45">
      <c r="A195" s="2">
        <v>214</v>
      </c>
      <c r="B195" s="2">
        <v>10</v>
      </c>
      <c r="C195" s="2"/>
      <c r="D195" s="2">
        <v>14</v>
      </c>
      <c r="E195" s="3" t="s">
        <v>36</v>
      </c>
      <c r="F195" s="2">
        <v>9</v>
      </c>
      <c r="G195" s="2">
        <v>4</v>
      </c>
      <c r="H195" s="2">
        <v>5</v>
      </c>
      <c r="I195" s="2">
        <v>10</v>
      </c>
      <c r="J195" s="2">
        <v>5</v>
      </c>
      <c r="K195" s="2">
        <v>5</v>
      </c>
      <c r="L195" s="2">
        <v>2</v>
      </c>
      <c r="M195" s="2">
        <v>1</v>
      </c>
      <c r="N195" s="2">
        <v>1</v>
      </c>
      <c r="O195" s="2">
        <v>3</v>
      </c>
      <c r="P195" s="2">
        <v>1</v>
      </c>
      <c r="Q195" s="2">
        <v>2</v>
      </c>
      <c r="R195" s="2">
        <v>5</v>
      </c>
      <c r="S195" s="2">
        <v>3</v>
      </c>
      <c r="T195" s="2">
        <v>2</v>
      </c>
      <c r="U195" s="2">
        <v>14</v>
      </c>
      <c r="V195" s="2">
        <v>7</v>
      </c>
      <c r="W195" s="2">
        <v>7</v>
      </c>
      <c r="X195" s="2">
        <v>9</v>
      </c>
      <c r="Y195" s="2">
        <v>4</v>
      </c>
      <c r="Z195" s="2">
        <v>5</v>
      </c>
    </row>
    <row r="196" spans="1:26" hidden="1" x14ac:dyDescent="0.45">
      <c r="A196" s="2">
        <v>215</v>
      </c>
      <c r="B196" s="2">
        <v>10</v>
      </c>
      <c r="C196" s="2"/>
      <c r="D196" s="2">
        <v>14</v>
      </c>
      <c r="E196" s="3" t="s">
        <v>38</v>
      </c>
      <c r="F196" s="2">
        <v>9</v>
      </c>
      <c r="G196" s="2">
        <v>2</v>
      </c>
      <c r="H196" s="2">
        <v>7</v>
      </c>
      <c r="I196" s="2">
        <v>10</v>
      </c>
      <c r="J196" s="2">
        <v>5</v>
      </c>
      <c r="K196" s="2">
        <v>5</v>
      </c>
      <c r="L196" s="2">
        <v>2</v>
      </c>
      <c r="M196" s="2">
        <v>0</v>
      </c>
      <c r="N196" s="2">
        <v>2</v>
      </c>
      <c r="O196" s="2">
        <v>3</v>
      </c>
      <c r="P196" s="2">
        <v>2</v>
      </c>
      <c r="Q196" s="2">
        <v>1</v>
      </c>
      <c r="R196" s="2">
        <v>5</v>
      </c>
      <c r="S196" s="2">
        <v>3</v>
      </c>
      <c r="T196" s="2">
        <v>2</v>
      </c>
      <c r="U196" s="2">
        <v>14</v>
      </c>
      <c r="V196" s="2">
        <v>7</v>
      </c>
      <c r="W196" s="2">
        <v>7</v>
      </c>
      <c r="X196" s="2">
        <v>8</v>
      </c>
      <c r="Y196" s="2">
        <v>3</v>
      </c>
      <c r="Z196" s="2">
        <v>5</v>
      </c>
    </row>
    <row r="197" spans="1:26" hidden="1" x14ac:dyDescent="0.45">
      <c r="A197" s="2">
        <v>216</v>
      </c>
      <c r="B197" s="2">
        <v>10</v>
      </c>
      <c r="C197" s="2"/>
      <c r="D197" s="2">
        <v>16</v>
      </c>
      <c r="E197" s="3" t="s">
        <v>41</v>
      </c>
      <c r="F197" s="2">
        <v>7</v>
      </c>
      <c r="G197" s="2">
        <v>5</v>
      </c>
      <c r="H197" s="2">
        <v>2</v>
      </c>
      <c r="I197" s="2">
        <v>10</v>
      </c>
      <c r="J197" s="2">
        <v>5</v>
      </c>
      <c r="K197" s="2">
        <v>5</v>
      </c>
      <c r="L197" s="2">
        <v>1</v>
      </c>
      <c r="M197" s="2">
        <v>1</v>
      </c>
      <c r="N197" s="2">
        <v>0</v>
      </c>
      <c r="O197" s="2">
        <v>4</v>
      </c>
      <c r="P197" s="2">
        <v>2</v>
      </c>
      <c r="Q197" s="2">
        <v>2</v>
      </c>
      <c r="R197" s="2">
        <v>5</v>
      </c>
      <c r="S197" s="2">
        <v>2</v>
      </c>
      <c r="T197" s="2">
        <v>3</v>
      </c>
      <c r="U197" s="2">
        <v>12</v>
      </c>
      <c r="V197" s="2">
        <v>6</v>
      </c>
      <c r="W197" s="2">
        <v>6</v>
      </c>
      <c r="X197" s="2">
        <v>5</v>
      </c>
      <c r="Y197" s="2">
        <v>4</v>
      </c>
      <c r="Z197" s="2">
        <v>1</v>
      </c>
    </row>
    <row r="198" spans="1:26" hidden="1" x14ac:dyDescent="0.45">
      <c r="A198" s="2">
        <v>217</v>
      </c>
      <c r="B198" s="2">
        <v>10</v>
      </c>
      <c r="C198" s="2"/>
      <c r="D198" s="2">
        <v>17</v>
      </c>
      <c r="E198" s="3" t="s">
        <v>32</v>
      </c>
      <c r="F198" s="2">
        <v>6</v>
      </c>
      <c r="G198" s="2">
        <v>3</v>
      </c>
      <c r="H198" s="2">
        <v>3</v>
      </c>
      <c r="I198" s="2">
        <v>10</v>
      </c>
      <c r="J198" s="2">
        <v>5</v>
      </c>
      <c r="K198" s="2">
        <v>5</v>
      </c>
      <c r="L198" s="2">
        <v>0</v>
      </c>
      <c r="M198" s="2">
        <v>0</v>
      </c>
      <c r="N198" s="2">
        <v>0</v>
      </c>
      <c r="O198" s="2">
        <v>6</v>
      </c>
      <c r="P198" s="2">
        <v>3</v>
      </c>
      <c r="Q198" s="2">
        <v>3</v>
      </c>
      <c r="R198" s="2">
        <v>4</v>
      </c>
      <c r="S198" s="2">
        <v>2</v>
      </c>
      <c r="T198" s="2">
        <v>2</v>
      </c>
      <c r="U198" s="2">
        <v>14</v>
      </c>
      <c r="V198" s="2">
        <v>2</v>
      </c>
      <c r="W198" s="2">
        <v>12</v>
      </c>
      <c r="X198" s="2">
        <v>7</v>
      </c>
      <c r="Y198" s="2">
        <v>0</v>
      </c>
      <c r="Z198" s="2">
        <v>7</v>
      </c>
    </row>
    <row r="199" spans="1:26" hidden="1" x14ac:dyDescent="0.45">
      <c r="A199" s="2">
        <v>218</v>
      </c>
      <c r="B199" s="2">
        <v>10</v>
      </c>
      <c r="C199" s="2"/>
      <c r="D199" s="2">
        <v>17</v>
      </c>
      <c r="E199" s="3" t="s">
        <v>37</v>
      </c>
      <c r="F199" s="2">
        <v>6</v>
      </c>
      <c r="G199" s="2">
        <v>2</v>
      </c>
      <c r="H199" s="2">
        <v>4</v>
      </c>
      <c r="I199" s="2">
        <v>10</v>
      </c>
      <c r="J199" s="2">
        <v>5</v>
      </c>
      <c r="K199" s="2">
        <v>5</v>
      </c>
      <c r="L199" s="2">
        <v>1</v>
      </c>
      <c r="M199" s="2">
        <v>0</v>
      </c>
      <c r="N199" s="2">
        <v>1</v>
      </c>
      <c r="O199" s="2">
        <v>3</v>
      </c>
      <c r="P199" s="2">
        <v>2</v>
      </c>
      <c r="Q199" s="2">
        <v>1</v>
      </c>
      <c r="R199" s="2">
        <v>6</v>
      </c>
      <c r="S199" s="2">
        <v>3</v>
      </c>
      <c r="T199" s="2">
        <v>3</v>
      </c>
      <c r="U199" s="2">
        <v>14</v>
      </c>
      <c r="V199" s="2">
        <v>6</v>
      </c>
      <c r="W199" s="2">
        <v>8</v>
      </c>
      <c r="X199" s="2">
        <v>6</v>
      </c>
      <c r="Y199" s="2">
        <v>0</v>
      </c>
      <c r="Z199" s="2">
        <v>6</v>
      </c>
    </row>
    <row r="200" spans="1:26" hidden="1" x14ac:dyDescent="0.45">
      <c r="A200" s="2">
        <v>219</v>
      </c>
      <c r="B200" s="2">
        <v>10</v>
      </c>
      <c r="C200" s="2"/>
      <c r="D200" s="2">
        <v>19</v>
      </c>
      <c r="E200" s="3" t="s">
        <v>33</v>
      </c>
      <c r="F200" s="2">
        <v>5</v>
      </c>
      <c r="G200" s="2">
        <v>3</v>
      </c>
      <c r="H200" s="2">
        <v>2</v>
      </c>
      <c r="I200" s="2">
        <v>10</v>
      </c>
      <c r="J200" s="2">
        <v>5</v>
      </c>
      <c r="K200" s="2">
        <v>5</v>
      </c>
      <c r="L200" s="2">
        <v>0</v>
      </c>
      <c r="M200" s="2">
        <v>0</v>
      </c>
      <c r="N200" s="2">
        <v>0</v>
      </c>
      <c r="O200" s="2">
        <v>5</v>
      </c>
      <c r="P200" s="2">
        <v>3</v>
      </c>
      <c r="Q200" s="2">
        <v>2</v>
      </c>
      <c r="R200" s="2">
        <v>5</v>
      </c>
      <c r="S200" s="2">
        <v>2</v>
      </c>
      <c r="T200" s="2">
        <v>3</v>
      </c>
      <c r="U200" s="2">
        <v>16</v>
      </c>
      <c r="V200" s="2">
        <v>6</v>
      </c>
      <c r="W200" s="2">
        <v>10</v>
      </c>
      <c r="X200" s="2">
        <v>6</v>
      </c>
      <c r="Y200" s="2">
        <v>4</v>
      </c>
      <c r="Z200" s="2">
        <v>2</v>
      </c>
    </row>
    <row r="201" spans="1:26" hidden="1" x14ac:dyDescent="0.45">
      <c r="A201" s="2">
        <v>220</v>
      </c>
      <c r="B201" s="2">
        <v>10</v>
      </c>
      <c r="C201" s="2"/>
      <c r="D201" s="2">
        <v>20</v>
      </c>
      <c r="E201" s="3" t="s">
        <v>34</v>
      </c>
      <c r="F201" s="2">
        <v>4</v>
      </c>
      <c r="G201" s="2">
        <v>1</v>
      </c>
      <c r="H201" s="2">
        <v>3</v>
      </c>
      <c r="I201" s="2">
        <v>10</v>
      </c>
      <c r="J201" s="2">
        <v>5</v>
      </c>
      <c r="K201" s="2">
        <v>5</v>
      </c>
      <c r="L201" s="2">
        <v>0</v>
      </c>
      <c r="M201" s="2">
        <v>0</v>
      </c>
      <c r="N201" s="2">
        <v>0</v>
      </c>
      <c r="O201" s="2">
        <v>4</v>
      </c>
      <c r="P201" s="2">
        <v>1</v>
      </c>
      <c r="Q201" s="2">
        <v>3</v>
      </c>
      <c r="R201" s="2">
        <v>6</v>
      </c>
      <c r="S201" s="2">
        <v>4</v>
      </c>
      <c r="T201" s="2">
        <v>2</v>
      </c>
      <c r="U201" s="2">
        <v>16</v>
      </c>
      <c r="V201" s="2">
        <v>10</v>
      </c>
      <c r="W201" s="2">
        <v>6</v>
      </c>
      <c r="X201" s="2">
        <v>7</v>
      </c>
      <c r="Y201" s="2">
        <v>5</v>
      </c>
      <c r="Z201" s="2">
        <v>2</v>
      </c>
    </row>
    <row r="202" spans="1:26" hidden="1" x14ac:dyDescent="0.45">
      <c r="A202" s="2">
        <v>221</v>
      </c>
      <c r="B202" s="2">
        <v>11</v>
      </c>
      <c r="C202" s="2"/>
      <c r="D202" s="2">
        <v>1</v>
      </c>
      <c r="E202" s="3" t="s">
        <v>25</v>
      </c>
      <c r="F202" s="2">
        <v>24</v>
      </c>
      <c r="G202" s="2">
        <v>15</v>
      </c>
      <c r="H202" s="2">
        <v>9</v>
      </c>
      <c r="I202" s="2">
        <v>11</v>
      </c>
      <c r="J202" s="2">
        <v>6</v>
      </c>
      <c r="K202" s="2">
        <v>5</v>
      </c>
      <c r="L202" s="2">
        <v>8</v>
      </c>
      <c r="M202" s="2">
        <v>5</v>
      </c>
      <c r="N202" s="2">
        <v>3</v>
      </c>
      <c r="O202" s="2">
        <v>0</v>
      </c>
      <c r="P202" s="2">
        <v>0</v>
      </c>
      <c r="Q202" s="2">
        <v>0</v>
      </c>
      <c r="R202" s="2">
        <v>3</v>
      </c>
      <c r="S202" s="2">
        <v>1</v>
      </c>
      <c r="T202" s="2">
        <v>2</v>
      </c>
      <c r="U202" s="2">
        <v>12</v>
      </c>
      <c r="V202" s="2">
        <v>4</v>
      </c>
      <c r="W202" s="2">
        <v>8</v>
      </c>
      <c r="X202" s="2">
        <v>26</v>
      </c>
      <c r="Y202" s="2">
        <v>17</v>
      </c>
      <c r="Z202" s="2">
        <v>9</v>
      </c>
    </row>
    <row r="203" spans="1:26" hidden="1" x14ac:dyDescent="0.45">
      <c r="A203" s="2">
        <v>222</v>
      </c>
      <c r="B203" s="2">
        <v>11</v>
      </c>
      <c r="C203" s="2"/>
      <c r="D203" s="2">
        <v>1</v>
      </c>
      <c r="E203" s="3" t="s">
        <v>30</v>
      </c>
      <c r="F203" s="2">
        <v>24</v>
      </c>
      <c r="G203" s="2">
        <v>12</v>
      </c>
      <c r="H203" s="2">
        <v>12</v>
      </c>
      <c r="I203" s="2">
        <v>11</v>
      </c>
      <c r="J203" s="2">
        <v>6</v>
      </c>
      <c r="K203" s="2">
        <v>5</v>
      </c>
      <c r="L203" s="2">
        <v>8</v>
      </c>
      <c r="M203" s="2">
        <v>4</v>
      </c>
      <c r="N203" s="2">
        <v>4</v>
      </c>
      <c r="O203" s="2">
        <v>0</v>
      </c>
      <c r="P203" s="2">
        <v>0</v>
      </c>
      <c r="Q203" s="2">
        <v>0</v>
      </c>
      <c r="R203" s="2">
        <v>3</v>
      </c>
      <c r="S203" s="2">
        <v>2</v>
      </c>
      <c r="T203" s="2">
        <v>1</v>
      </c>
      <c r="U203" s="2">
        <v>5</v>
      </c>
      <c r="V203" s="2">
        <v>3</v>
      </c>
      <c r="W203" s="2">
        <v>2</v>
      </c>
      <c r="X203" s="2">
        <v>12</v>
      </c>
      <c r="Y203" s="2">
        <v>7</v>
      </c>
      <c r="Z203" s="2">
        <v>5</v>
      </c>
    </row>
    <row r="204" spans="1:26" hidden="1" x14ac:dyDescent="0.45">
      <c r="A204" s="2">
        <v>223</v>
      </c>
      <c r="B204" s="2">
        <v>11</v>
      </c>
      <c r="C204" s="2"/>
      <c r="D204" s="2">
        <v>3</v>
      </c>
      <c r="E204" s="3" t="s">
        <v>39</v>
      </c>
      <c r="F204" s="2">
        <v>22</v>
      </c>
      <c r="G204" s="2">
        <v>13</v>
      </c>
      <c r="H204" s="2">
        <v>9</v>
      </c>
      <c r="I204" s="2">
        <v>11</v>
      </c>
      <c r="J204" s="2">
        <v>6</v>
      </c>
      <c r="K204" s="2">
        <v>5</v>
      </c>
      <c r="L204" s="2">
        <v>6</v>
      </c>
      <c r="M204" s="2">
        <v>4</v>
      </c>
      <c r="N204" s="2">
        <v>2</v>
      </c>
      <c r="O204" s="2">
        <v>4</v>
      </c>
      <c r="P204" s="2">
        <v>1</v>
      </c>
      <c r="Q204" s="2">
        <v>3</v>
      </c>
      <c r="R204" s="2">
        <v>1</v>
      </c>
      <c r="S204" s="2">
        <v>1</v>
      </c>
      <c r="T204" s="2">
        <v>0</v>
      </c>
      <c r="U204" s="2">
        <v>9</v>
      </c>
      <c r="V204" s="2">
        <v>6</v>
      </c>
      <c r="W204" s="2">
        <v>3</v>
      </c>
      <c r="X204" s="2">
        <v>17</v>
      </c>
      <c r="Y204" s="2">
        <v>9</v>
      </c>
      <c r="Z204" s="2">
        <v>8</v>
      </c>
    </row>
    <row r="205" spans="1:26" hidden="1" x14ac:dyDescent="0.45">
      <c r="A205" s="2">
        <v>224</v>
      </c>
      <c r="B205" s="2">
        <v>11</v>
      </c>
      <c r="C205" s="2"/>
      <c r="D205" s="2">
        <v>3</v>
      </c>
      <c r="E205" s="3" t="s">
        <v>26</v>
      </c>
      <c r="F205" s="2">
        <v>22</v>
      </c>
      <c r="G205" s="2">
        <v>13</v>
      </c>
      <c r="H205" s="2">
        <v>9</v>
      </c>
      <c r="I205" s="2">
        <v>11</v>
      </c>
      <c r="J205" s="2">
        <v>5</v>
      </c>
      <c r="K205" s="2">
        <v>6</v>
      </c>
      <c r="L205" s="2">
        <v>7</v>
      </c>
      <c r="M205" s="2">
        <v>4</v>
      </c>
      <c r="N205" s="2">
        <v>3</v>
      </c>
      <c r="O205" s="2">
        <v>1</v>
      </c>
      <c r="P205" s="2">
        <v>1</v>
      </c>
      <c r="Q205" s="2">
        <v>0</v>
      </c>
      <c r="R205" s="2">
        <v>3</v>
      </c>
      <c r="S205" s="2">
        <v>0</v>
      </c>
      <c r="T205" s="2">
        <v>3</v>
      </c>
      <c r="U205" s="2">
        <v>10</v>
      </c>
      <c r="V205" s="2">
        <v>4</v>
      </c>
      <c r="W205" s="2">
        <v>6</v>
      </c>
      <c r="X205" s="2">
        <v>16</v>
      </c>
      <c r="Y205" s="2">
        <v>9</v>
      </c>
      <c r="Z205" s="2">
        <v>7</v>
      </c>
    </row>
    <row r="206" spans="1:26" hidden="1" x14ac:dyDescent="0.45">
      <c r="A206" s="2">
        <v>225</v>
      </c>
      <c r="B206" s="2">
        <v>11</v>
      </c>
      <c r="C206" s="2"/>
      <c r="D206" s="2">
        <v>5</v>
      </c>
      <c r="E206" s="3" t="s">
        <v>40</v>
      </c>
      <c r="F206" s="2">
        <v>21</v>
      </c>
      <c r="G206" s="2">
        <v>13</v>
      </c>
      <c r="H206" s="2">
        <v>8</v>
      </c>
      <c r="I206" s="2">
        <v>11</v>
      </c>
      <c r="J206" s="2">
        <v>5</v>
      </c>
      <c r="K206" s="2">
        <v>6</v>
      </c>
      <c r="L206" s="2">
        <v>6</v>
      </c>
      <c r="M206" s="2">
        <v>4</v>
      </c>
      <c r="N206" s="2">
        <v>2</v>
      </c>
      <c r="O206" s="2">
        <v>3</v>
      </c>
      <c r="P206" s="2">
        <v>1</v>
      </c>
      <c r="Q206" s="2">
        <v>2</v>
      </c>
      <c r="R206" s="2">
        <v>2</v>
      </c>
      <c r="S206" s="2">
        <v>0</v>
      </c>
      <c r="T206" s="2">
        <v>2</v>
      </c>
      <c r="U206" s="2">
        <v>8</v>
      </c>
      <c r="V206" s="2">
        <v>1</v>
      </c>
      <c r="W206" s="2">
        <v>7</v>
      </c>
      <c r="X206" s="2">
        <v>18</v>
      </c>
      <c r="Y206" s="2">
        <v>9</v>
      </c>
      <c r="Z206" s="2">
        <v>9</v>
      </c>
    </row>
    <row r="207" spans="1:26" hidden="1" x14ac:dyDescent="0.45">
      <c r="A207" s="2">
        <v>226</v>
      </c>
      <c r="B207" s="2">
        <v>11</v>
      </c>
      <c r="C207" s="2"/>
      <c r="D207" s="2">
        <v>6</v>
      </c>
      <c r="E207" s="3" t="s">
        <v>28</v>
      </c>
      <c r="F207" s="2">
        <v>19</v>
      </c>
      <c r="G207" s="2">
        <v>12</v>
      </c>
      <c r="H207" s="2">
        <v>7</v>
      </c>
      <c r="I207" s="2">
        <v>11</v>
      </c>
      <c r="J207" s="2">
        <v>6</v>
      </c>
      <c r="K207" s="2">
        <v>5</v>
      </c>
      <c r="L207" s="2">
        <v>5</v>
      </c>
      <c r="M207" s="2">
        <v>3</v>
      </c>
      <c r="N207" s="2">
        <v>2</v>
      </c>
      <c r="O207" s="2">
        <v>4</v>
      </c>
      <c r="P207" s="2">
        <v>3</v>
      </c>
      <c r="Q207" s="2">
        <v>1</v>
      </c>
      <c r="R207" s="2">
        <v>2</v>
      </c>
      <c r="S207" s="2">
        <v>0</v>
      </c>
      <c r="T207" s="2">
        <v>2</v>
      </c>
      <c r="U207" s="2">
        <v>10</v>
      </c>
      <c r="V207" s="2">
        <v>5</v>
      </c>
      <c r="W207" s="2">
        <v>5</v>
      </c>
      <c r="X207" s="2">
        <v>14</v>
      </c>
      <c r="Y207" s="2">
        <v>10</v>
      </c>
      <c r="Z207" s="2">
        <v>4</v>
      </c>
    </row>
    <row r="208" spans="1:26" hidden="1" x14ac:dyDescent="0.45">
      <c r="A208" s="2">
        <v>227</v>
      </c>
      <c r="B208" s="2">
        <v>11</v>
      </c>
      <c r="C208" s="2"/>
      <c r="D208" s="2">
        <v>7</v>
      </c>
      <c r="E208" s="3" t="s">
        <v>27</v>
      </c>
      <c r="F208" s="2">
        <v>18</v>
      </c>
      <c r="G208" s="2">
        <v>12</v>
      </c>
      <c r="H208" s="2">
        <v>6</v>
      </c>
      <c r="I208" s="2">
        <v>11</v>
      </c>
      <c r="J208" s="2">
        <v>6</v>
      </c>
      <c r="K208" s="2">
        <v>5</v>
      </c>
      <c r="L208" s="2">
        <v>4</v>
      </c>
      <c r="M208" s="2">
        <v>3</v>
      </c>
      <c r="N208" s="2">
        <v>1</v>
      </c>
      <c r="O208" s="2">
        <v>6</v>
      </c>
      <c r="P208" s="2">
        <v>3</v>
      </c>
      <c r="Q208" s="2">
        <v>3</v>
      </c>
      <c r="R208" s="2">
        <v>1</v>
      </c>
      <c r="S208" s="2">
        <v>0</v>
      </c>
      <c r="T208" s="2">
        <v>1</v>
      </c>
      <c r="U208" s="2">
        <v>6</v>
      </c>
      <c r="V208" s="2">
        <v>3</v>
      </c>
      <c r="W208" s="2">
        <v>3</v>
      </c>
      <c r="X208" s="2">
        <v>12</v>
      </c>
      <c r="Y208" s="2">
        <v>9</v>
      </c>
      <c r="Z208" s="2">
        <v>3</v>
      </c>
    </row>
    <row r="209" spans="1:26" hidden="1" x14ac:dyDescent="0.45">
      <c r="A209" s="2">
        <v>228</v>
      </c>
      <c r="B209" s="2">
        <v>11</v>
      </c>
      <c r="C209" s="2"/>
      <c r="D209" s="2">
        <v>8</v>
      </c>
      <c r="E209" s="3" t="s">
        <v>43</v>
      </c>
      <c r="F209" s="2">
        <v>16</v>
      </c>
      <c r="G209" s="2">
        <v>6</v>
      </c>
      <c r="H209" s="2">
        <v>10</v>
      </c>
      <c r="I209" s="2">
        <v>11</v>
      </c>
      <c r="J209" s="2">
        <v>5</v>
      </c>
      <c r="K209" s="2">
        <v>6</v>
      </c>
      <c r="L209" s="2">
        <v>5</v>
      </c>
      <c r="M209" s="2">
        <v>2</v>
      </c>
      <c r="N209" s="2">
        <v>3</v>
      </c>
      <c r="O209" s="2">
        <v>1</v>
      </c>
      <c r="P209" s="2">
        <v>0</v>
      </c>
      <c r="Q209" s="2">
        <v>1</v>
      </c>
      <c r="R209" s="2">
        <v>5</v>
      </c>
      <c r="S209" s="2">
        <v>3</v>
      </c>
      <c r="T209" s="2">
        <v>2</v>
      </c>
      <c r="U209" s="2">
        <v>12</v>
      </c>
      <c r="V209" s="2">
        <v>6</v>
      </c>
      <c r="W209" s="2">
        <v>6</v>
      </c>
      <c r="X209" s="2">
        <v>14</v>
      </c>
      <c r="Y209" s="2">
        <v>5</v>
      </c>
      <c r="Z209" s="2">
        <v>9</v>
      </c>
    </row>
    <row r="210" spans="1:26" hidden="1" x14ac:dyDescent="0.45">
      <c r="A210" s="2">
        <v>229</v>
      </c>
      <c r="B210" s="2">
        <v>11</v>
      </c>
      <c r="C210" s="2"/>
      <c r="D210" s="2">
        <v>9</v>
      </c>
      <c r="E210" s="3" t="s">
        <v>42</v>
      </c>
      <c r="F210" s="2">
        <v>15</v>
      </c>
      <c r="G210" s="2">
        <v>10</v>
      </c>
      <c r="H210" s="2">
        <v>5</v>
      </c>
      <c r="I210" s="2">
        <v>11</v>
      </c>
      <c r="J210" s="2">
        <v>5</v>
      </c>
      <c r="K210" s="2">
        <v>6</v>
      </c>
      <c r="L210" s="2">
        <v>4</v>
      </c>
      <c r="M210" s="2">
        <v>3</v>
      </c>
      <c r="N210" s="2">
        <v>1</v>
      </c>
      <c r="O210" s="2">
        <v>3</v>
      </c>
      <c r="P210" s="2">
        <v>1</v>
      </c>
      <c r="Q210" s="2">
        <v>2</v>
      </c>
      <c r="R210" s="2">
        <v>4</v>
      </c>
      <c r="S210" s="2">
        <v>1</v>
      </c>
      <c r="T210" s="2">
        <v>3</v>
      </c>
      <c r="U210" s="2">
        <v>9</v>
      </c>
      <c r="V210" s="2">
        <v>4</v>
      </c>
      <c r="W210" s="2">
        <v>5</v>
      </c>
      <c r="X210" s="2">
        <v>13</v>
      </c>
      <c r="Y210" s="2">
        <v>10</v>
      </c>
      <c r="Z210" s="2">
        <v>3</v>
      </c>
    </row>
    <row r="211" spans="1:26" hidden="1" x14ac:dyDescent="0.45">
      <c r="A211" s="2">
        <v>230</v>
      </c>
      <c r="B211" s="2">
        <v>11</v>
      </c>
      <c r="C211" s="2"/>
      <c r="D211" s="2">
        <v>9</v>
      </c>
      <c r="E211" s="3" t="s">
        <v>31</v>
      </c>
      <c r="F211" s="2">
        <v>15</v>
      </c>
      <c r="G211" s="2">
        <v>8</v>
      </c>
      <c r="H211" s="2">
        <v>7</v>
      </c>
      <c r="I211" s="2">
        <v>11</v>
      </c>
      <c r="J211" s="2">
        <v>5</v>
      </c>
      <c r="K211" s="2">
        <v>6</v>
      </c>
      <c r="L211" s="2">
        <v>4</v>
      </c>
      <c r="M211" s="2">
        <v>2</v>
      </c>
      <c r="N211" s="2">
        <v>2</v>
      </c>
      <c r="O211" s="2">
        <v>3</v>
      </c>
      <c r="P211" s="2">
        <v>2</v>
      </c>
      <c r="Q211" s="2">
        <v>1</v>
      </c>
      <c r="R211" s="2">
        <v>4</v>
      </c>
      <c r="S211" s="2">
        <v>1</v>
      </c>
      <c r="T211" s="2">
        <v>3</v>
      </c>
      <c r="U211" s="2">
        <v>17</v>
      </c>
      <c r="V211" s="2">
        <v>7</v>
      </c>
      <c r="W211" s="2">
        <v>10</v>
      </c>
      <c r="X211" s="2">
        <v>12</v>
      </c>
      <c r="Y211" s="2">
        <v>6</v>
      </c>
      <c r="Z211" s="2">
        <v>6</v>
      </c>
    </row>
    <row r="212" spans="1:26" hidden="1" x14ac:dyDescent="0.45">
      <c r="A212" s="2">
        <v>231</v>
      </c>
      <c r="B212" s="2">
        <v>11</v>
      </c>
      <c r="C212" s="2"/>
      <c r="D212" s="2">
        <v>11</v>
      </c>
      <c r="E212" s="3" t="s">
        <v>29</v>
      </c>
      <c r="F212" s="2">
        <v>14</v>
      </c>
      <c r="G212" s="2">
        <v>6</v>
      </c>
      <c r="H212" s="2">
        <v>8</v>
      </c>
      <c r="I212" s="2">
        <v>11</v>
      </c>
      <c r="J212" s="2">
        <v>5</v>
      </c>
      <c r="K212" s="2">
        <v>6</v>
      </c>
      <c r="L212" s="2">
        <v>3</v>
      </c>
      <c r="M212" s="2">
        <v>1</v>
      </c>
      <c r="N212" s="2">
        <v>2</v>
      </c>
      <c r="O212" s="2">
        <v>5</v>
      </c>
      <c r="P212" s="2">
        <v>3</v>
      </c>
      <c r="Q212" s="2">
        <v>2</v>
      </c>
      <c r="R212" s="2">
        <v>3</v>
      </c>
      <c r="S212" s="2">
        <v>1</v>
      </c>
      <c r="T212" s="2">
        <v>2</v>
      </c>
      <c r="U212" s="2">
        <v>13</v>
      </c>
      <c r="V212" s="2">
        <v>6</v>
      </c>
      <c r="W212" s="2">
        <v>7</v>
      </c>
      <c r="X212" s="2">
        <v>12</v>
      </c>
      <c r="Y212" s="2">
        <v>6</v>
      </c>
      <c r="Z212" s="2">
        <v>6</v>
      </c>
    </row>
    <row r="213" spans="1:26" hidden="1" x14ac:dyDescent="0.45">
      <c r="A213" s="2">
        <v>232</v>
      </c>
      <c r="B213" s="2">
        <v>11</v>
      </c>
      <c r="C213" s="2"/>
      <c r="D213" s="2">
        <v>11</v>
      </c>
      <c r="E213" s="3" t="s">
        <v>44</v>
      </c>
      <c r="F213" s="2">
        <v>14</v>
      </c>
      <c r="G213" s="2">
        <v>8</v>
      </c>
      <c r="H213" s="2">
        <v>6</v>
      </c>
      <c r="I213" s="2">
        <v>11</v>
      </c>
      <c r="J213" s="2">
        <v>5</v>
      </c>
      <c r="K213" s="2">
        <v>6</v>
      </c>
      <c r="L213" s="2">
        <v>3</v>
      </c>
      <c r="M213" s="2">
        <v>2</v>
      </c>
      <c r="N213" s="2">
        <v>1</v>
      </c>
      <c r="O213" s="2">
        <v>5</v>
      </c>
      <c r="P213" s="2">
        <v>2</v>
      </c>
      <c r="Q213" s="2">
        <v>3</v>
      </c>
      <c r="R213" s="2">
        <v>3</v>
      </c>
      <c r="S213" s="2">
        <v>1</v>
      </c>
      <c r="T213" s="2">
        <v>2</v>
      </c>
      <c r="U213" s="2">
        <v>16</v>
      </c>
      <c r="V213" s="2">
        <v>6</v>
      </c>
      <c r="W213" s="2">
        <v>10</v>
      </c>
      <c r="X213" s="2">
        <v>10</v>
      </c>
      <c r="Y213" s="2">
        <v>5</v>
      </c>
      <c r="Z213" s="2">
        <v>5</v>
      </c>
    </row>
    <row r="214" spans="1:26" hidden="1" x14ac:dyDescent="0.45">
      <c r="A214" s="2">
        <v>233</v>
      </c>
      <c r="B214" s="2">
        <v>11</v>
      </c>
      <c r="C214" s="2"/>
      <c r="D214" s="2">
        <v>13</v>
      </c>
      <c r="E214" s="3" t="s">
        <v>35</v>
      </c>
      <c r="F214" s="2">
        <v>13</v>
      </c>
      <c r="G214" s="2">
        <v>7</v>
      </c>
      <c r="H214" s="2">
        <v>6</v>
      </c>
      <c r="I214" s="2">
        <v>11</v>
      </c>
      <c r="J214" s="2">
        <v>6</v>
      </c>
      <c r="K214" s="2">
        <v>5</v>
      </c>
      <c r="L214" s="2">
        <v>2</v>
      </c>
      <c r="M214" s="2">
        <v>1</v>
      </c>
      <c r="N214" s="2">
        <v>1</v>
      </c>
      <c r="O214" s="2">
        <v>7</v>
      </c>
      <c r="P214" s="2">
        <v>4</v>
      </c>
      <c r="Q214" s="2">
        <v>3</v>
      </c>
      <c r="R214" s="2">
        <v>2</v>
      </c>
      <c r="S214" s="2">
        <v>1</v>
      </c>
      <c r="T214" s="2">
        <v>1</v>
      </c>
      <c r="U214" s="2">
        <v>11</v>
      </c>
      <c r="V214" s="2">
        <v>7</v>
      </c>
      <c r="W214" s="2">
        <v>4</v>
      </c>
      <c r="X214" s="2">
        <v>13</v>
      </c>
      <c r="Y214" s="2">
        <v>7</v>
      </c>
      <c r="Z214" s="2">
        <v>6</v>
      </c>
    </row>
    <row r="215" spans="1:26" hidden="1" x14ac:dyDescent="0.45">
      <c r="A215" s="2">
        <v>234</v>
      </c>
      <c r="B215" s="2">
        <v>11</v>
      </c>
      <c r="C215" s="2"/>
      <c r="D215" s="2">
        <v>14</v>
      </c>
      <c r="E215" s="3" t="s">
        <v>36</v>
      </c>
      <c r="F215" s="2">
        <v>10</v>
      </c>
      <c r="G215" s="2">
        <v>4</v>
      </c>
      <c r="H215" s="2">
        <v>6</v>
      </c>
      <c r="I215" s="2">
        <v>11</v>
      </c>
      <c r="J215" s="2">
        <v>5</v>
      </c>
      <c r="K215" s="2">
        <v>6</v>
      </c>
      <c r="L215" s="2">
        <v>2</v>
      </c>
      <c r="M215" s="2">
        <v>1</v>
      </c>
      <c r="N215" s="2">
        <v>1</v>
      </c>
      <c r="O215" s="2">
        <v>4</v>
      </c>
      <c r="P215" s="2">
        <v>1</v>
      </c>
      <c r="Q215" s="2">
        <v>3</v>
      </c>
      <c r="R215" s="2">
        <v>5</v>
      </c>
      <c r="S215" s="2">
        <v>3</v>
      </c>
      <c r="T215" s="2">
        <v>2</v>
      </c>
      <c r="U215" s="2">
        <v>14</v>
      </c>
      <c r="V215" s="2">
        <v>7</v>
      </c>
      <c r="W215" s="2">
        <v>7</v>
      </c>
      <c r="X215" s="2">
        <v>9</v>
      </c>
      <c r="Y215" s="2">
        <v>4</v>
      </c>
      <c r="Z215" s="2">
        <v>5</v>
      </c>
    </row>
    <row r="216" spans="1:26" hidden="1" x14ac:dyDescent="0.45">
      <c r="A216" s="2">
        <v>235</v>
      </c>
      <c r="B216" s="2">
        <v>11</v>
      </c>
      <c r="C216" s="2"/>
      <c r="D216" s="2">
        <v>14</v>
      </c>
      <c r="E216" s="3" t="s">
        <v>38</v>
      </c>
      <c r="F216" s="2">
        <v>10</v>
      </c>
      <c r="G216" s="2">
        <v>3</v>
      </c>
      <c r="H216" s="2">
        <v>7</v>
      </c>
      <c r="I216" s="2">
        <v>11</v>
      </c>
      <c r="J216" s="2">
        <v>6</v>
      </c>
      <c r="K216" s="2">
        <v>5</v>
      </c>
      <c r="L216" s="2">
        <v>2</v>
      </c>
      <c r="M216" s="2">
        <v>0</v>
      </c>
      <c r="N216" s="2">
        <v>2</v>
      </c>
      <c r="O216" s="2">
        <v>4</v>
      </c>
      <c r="P216" s="2">
        <v>3</v>
      </c>
      <c r="Q216" s="2">
        <v>1</v>
      </c>
      <c r="R216" s="2">
        <v>5</v>
      </c>
      <c r="S216" s="2">
        <v>3</v>
      </c>
      <c r="T216" s="2">
        <v>2</v>
      </c>
      <c r="U216" s="2">
        <v>14</v>
      </c>
      <c r="V216" s="2">
        <v>7</v>
      </c>
      <c r="W216" s="2">
        <v>7</v>
      </c>
      <c r="X216" s="2">
        <v>8</v>
      </c>
      <c r="Y216" s="2">
        <v>3</v>
      </c>
      <c r="Z216" s="2">
        <v>5</v>
      </c>
    </row>
    <row r="217" spans="1:26" hidden="1" x14ac:dyDescent="0.45">
      <c r="A217" s="2">
        <v>236</v>
      </c>
      <c r="B217" s="2">
        <v>11</v>
      </c>
      <c r="C217" s="2"/>
      <c r="D217" s="2">
        <v>16</v>
      </c>
      <c r="E217" s="3" t="s">
        <v>32</v>
      </c>
      <c r="F217" s="2">
        <v>9</v>
      </c>
      <c r="G217" s="2">
        <v>6</v>
      </c>
      <c r="H217" s="2">
        <v>3</v>
      </c>
      <c r="I217" s="2">
        <v>11</v>
      </c>
      <c r="J217" s="2">
        <v>6</v>
      </c>
      <c r="K217" s="2">
        <v>5</v>
      </c>
      <c r="L217" s="2">
        <v>1</v>
      </c>
      <c r="M217" s="2">
        <v>1</v>
      </c>
      <c r="N217" s="2">
        <v>0</v>
      </c>
      <c r="O217" s="2">
        <v>6</v>
      </c>
      <c r="P217" s="2">
        <v>3</v>
      </c>
      <c r="Q217" s="2">
        <v>3</v>
      </c>
      <c r="R217" s="2">
        <v>4</v>
      </c>
      <c r="S217" s="2">
        <v>2</v>
      </c>
      <c r="T217" s="2">
        <v>2</v>
      </c>
      <c r="U217" s="2">
        <v>14</v>
      </c>
      <c r="V217" s="2">
        <v>2</v>
      </c>
      <c r="W217" s="2">
        <v>12</v>
      </c>
      <c r="X217" s="2">
        <v>8</v>
      </c>
      <c r="Y217" s="2">
        <v>1</v>
      </c>
      <c r="Z217" s="2">
        <v>7</v>
      </c>
    </row>
    <row r="218" spans="1:26" hidden="1" x14ac:dyDescent="0.45">
      <c r="A218" s="2">
        <v>237</v>
      </c>
      <c r="B218" s="2">
        <v>11</v>
      </c>
      <c r="C218" s="2"/>
      <c r="D218" s="2">
        <v>17</v>
      </c>
      <c r="E218" s="3" t="s">
        <v>41</v>
      </c>
      <c r="F218" s="2">
        <v>8</v>
      </c>
      <c r="G218" s="2">
        <v>6</v>
      </c>
      <c r="H218" s="2">
        <v>2</v>
      </c>
      <c r="I218" s="2">
        <v>11</v>
      </c>
      <c r="J218" s="2">
        <v>6</v>
      </c>
      <c r="K218" s="2">
        <v>5</v>
      </c>
      <c r="L218" s="2">
        <v>1</v>
      </c>
      <c r="M218" s="2">
        <v>1</v>
      </c>
      <c r="N218" s="2">
        <v>0</v>
      </c>
      <c r="O218" s="2">
        <v>5</v>
      </c>
      <c r="P218" s="2">
        <v>3</v>
      </c>
      <c r="Q218" s="2">
        <v>2</v>
      </c>
      <c r="R218" s="2">
        <v>5</v>
      </c>
      <c r="S218" s="2">
        <v>2</v>
      </c>
      <c r="T218" s="2">
        <v>3</v>
      </c>
      <c r="U218" s="2">
        <v>14</v>
      </c>
      <c r="V218" s="2">
        <v>8</v>
      </c>
      <c r="W218" s="2">
        <v>6</v>
      </c>
      <c r="X218" s="2">
        <v>7</v>
      </c>
      <c r="Y218" s="2">
        <v>6</v>
      </c>
      <c r="Z218" s="2">
        <v>1</v>
      </c>
    </row>
    <row r="219" spans="1:26" hidden="1" x14ac:dyDescent="0.45">
      <c r="A219" s="2">
        <v>238</v>
      </c>
      <c r="B219" s="2">
        <v>11</v>
      </c>
      <c r="C219" s="2"/>
      <c r="D219" s="2">
        <v>18</v>
      </c>
      <c r="E219" s="3" t="s">
        <v>37</v>
      </c>
      <c r="F219" s="2">
        <v>7</v>
      </c>
      <c r="G219" s="2">
        <v>3</v>
      </c>
      <c r="H219" s="2">
        <v>4</v>
      </c>
      <c r="I219" s="2">
        <v>11</v>
      </c>
      <c r="J219" s="2">
        <v>6</v>
      </c>
      <c r="K219" s="2">
        <v>5</v>
      </c>
      <c r="L219" s="2">
        <v>1</v>
      </c>
      <c r="M219" s="2">
        <v>0</v>
      </c>
      <c r="N219" s="2">
        <v>1</v>
      </c>
      <c r="O219" s="2">
        <v>4</v>
      </c>
      <c r="P219" s="2">
        <v>3</v>
      </c>
      <c r="Q219" s="2">
        <v>1</v>
      </c>
      <c r="R219" s="2">
        <v>6</v>
      </c>
      <c r="S219" s="2">
        <v>3</v>
      </c>
      <c r="T219" s="2">
        <v>3</v>
      </c>
      <c r="U219" s="2">
        <v>16</v>
      </c>
      <c r="V219" s="2">
        <v>8</v>
      </c>
      <c r="W219" s="2">
        <v>8</v>
      </c>
      <c r="X219" s="2">
        <v>8</v>
      </c>
      <c r="Y219" s="2">
        <v>2</v>
      </c>
      <c r="Z219" s="2">
        <v>6</v>
      </c>
    </row>
    <row r="220" spans="1:26" hidden="1" x14ac:dyDescent="0.45">
      <c r="A220" s="2">
        <v>239</v>
      </c>
      <c r="B220" s="2">
        <v>11</v>
      </c>
      <c r="C220" s="2"/>
      <c r="D220" s="2">
        <v>19</v>
      </c>
      <c r="E220" s="3" t="s">
        <v>33</v>
      </c>
      <c r="F220" s="2">
        <v>6</v>
      </c>
      <c r="G220" s="2">
        <v>3</v>
      </c>
      <c r="H220" s="2">
        <v>3</v>
      </c>
      <c r="I220" s="2">
        <v>11</v>
      </c>
      <c r="J220" s="2">
        <v>5</v>
      </c>
      <c r="K220" s="2">
        <v>6</v>
      </c>
      <c r="L220" s="2">
        <v>0</v>
      </c>
      <c r="M220" s="2">
        <v>0</v>
      </c>
      <c r="N220" s="2">
        <v>0</v>
      </c>
      <c r="O220" s="2">
        <v>6</v>
      </c>
      <c r="P220" s="2">
        <v>3</v>
      </c>
      <c r="Q220" s="2">
        <v>3</v>
      </c>
      <c r="R220" s="2">
        <v>5</v>
      </c>
      <c r="S220" s="2">
        <v>2</v>
      </c>
      <c r="T220" s="2">
        <v>3</v>
      </c>
      <c r="U220" s="2">
        <v>16</v>
      </c>
      <c r="V220" s="2">
        <v>6</v>
      </c>
      <c r="W220" s="2">
        <v>10</v>
      </c>
      <c r="X220" s="2">
        <v>6</v>
      </c>
      <c r="Y220" s="2">
        <v>4</v>
      </c>
      <c r="Z220" s="2">
        <v>2</v>
      </c>
    </row>
    <row r="221" spans="1:26" hidden="1" x14ac:dyDescent="0.45">
      <c r="A221" s="2">
        <v>240</v>
      </c>
      <c r="B221" s="2">
        <v>11</v>
      </c>
      <c r="C221" s="2"/>
      <c r="D221" s="2">
        <v>20</v>
      </c>
      <c r="E221" s="3" t="s">
        <v>34</v>
      </c>
      <c r="F221" s="2">
        <v>5</v>
      </c>
      <c r="G221" s="2">
        <v>1</v>
      </c>
      <c r="H221" s="2">
        <v>4</v>
      </c>
      <c r="I221" s="2">
        <v>11</v>
      </c>
      <c r="J221" s="2">
        <v>5</v>
      </c>
      <c r="K221" s="2">
        <v>6</v>
      </c>
      <c r="L221" s="2">
        <v>0</v>
      </c>
      <c r="M221" s="2">
        <v>0</v>
      </c>
      <c r="N221" s="2">
        <v>0</v>
      </c>
      <c r="O221" s="2">
        <v>5</v>
      </c>
      <c r="P221" s="2">
        <v>1</v>
      </c>
      <c r="Q221" s="2">
        <v>4</v>
      </c>
      <c r="R221" s="2">
        <v>6</v>
      </c>
      <c r="S221" s="2">
        <v>4</v>
      </c>
      <c r="T221" s="2">
        <v>2</v>
      </c>
      <c r="U221" s="2">
        <v>18</v>
      </c>
      <c r="V221" s="2">
        <v>10</v>
      </c>
      <c r="W221" s="2">
        <v>8</v>
      </c>
      <c r="X221" s="2">
        <v>9</v>
      </c>
      <c r="Y221" s="2">
        <v>5</v>
      </c>
      <c r="Z221" s="2">
        <v>4</v>
      </c>
    </row>
    <row r="222" spans="1:26" hidden="1" x14ac:dyDescent="0.45">
      <c r="A222" s="2">
        <v>241</v>
      </c>
      <c r="B222" s="2">
        <v>12</v>
      </c>
      <c r="C222" s="2"/>
      <c r="D222" s="2">
        <v>1</v>
      </c>
      <c r="E222" s="3" t="s">
        <v>30</v>
      </c>
      <c r="F222" s="2">
        <v>27</v>
      </c>
      <c r="G222" s="2">
        <v>12</v>
      </c>
      <c r="H222" s="2">
        <v>15</v>
      </c>
      <c r="I222" s="2">
        <v>12</v>
      </c>
      <c r="J222" s="2">
        <v>6</v>
      </c>
      <c r="K222" s="2">
        <v>6</v>
      </c>
      <c r="L222" s="2">
        <v>9</v>
      </c>
      <c r="M222" s="2">
        <v>4</v>
      </c>
      <c r="N222" s="2">
        <v>5</v>
      </c>
      <c r="O222" s="2">
        <v>0</v>
      </c>
      <c r="P222" s="2">
        <v>0</v>
      </c>
      <c r="Q222" s="2">
        <v>0</v>
      </c>
      <c r="R222" s="2">
        <v>3</v>
      </c>
      <c r="S222" s="2">
        <v>2</v>
      </c>
      <c r="T222" s="2">
        <v>1</v>
      </c>
      <c r="U222" s="2">
        <v>6</v>
      </c>
      <c r="V222" s="2">
        <v>3</v>
      </c>
      <c r="W222" s="2">
        <v>3</v>
      </c>
      <c r="X222" s="2">
        <v>15</v>
      </c>
      <c r="Y222" s="2">
        <v>7</v>
      </c>
      <c r="Z222" s="2">
        <v>8</v>
      </c>
    </row>
    <row r="223" spans="1:26" hidden="1" x14ac:dyDescent="0.45">
      <c r="A223" s="2">
        <v>242</v>
      </c>
      <c r="B223" s="2">
        <v>12</v>
      </c>
      <c r="C223" s="2"/>
      <c r="D223" s="2">
        <v>2</v>
      </c>
      <c r="E223" s="3" t="s">
        <v>39</v>
      </c>
      <c r="F223" s="2">
        <v>25</v>
      </c>
      <c r="G223" s="2">
        <v>13</v>
      </c>
      <c r="H223" s="2">
        <v>12</v>
      </c>
      <c r="I223" s="2">
        <v>12</v>
      </c>
      <c r="J223" s="2">
        <v>6</v>
      </c>
      <c r="K223" s="2">
        <v>6</v>
      </c>
      <c r="L223" s="2">
        <v>7</v>
      </c>
      <c r="M223" s="2">
        <v>4</v>
      </c>
      <c r="N223" s="2">
        <v>3</v>
      </c>
      <c r="O223" s="2">
        <v>4</v>
      </c>
      <c r="P223" s="2">
        <v>1</v>
      </c>
      <c r="Q223" s="2">
        <v>3</v>
      </c>
      <c r="R223" s="2">
        <v>1</v>
      </c>
      <c r="S223" s="2">
        <v>1</v>
      </c>
      <c r="T223" s="2">
        <v>0</v>
      </c>
      <c r="U223" s="2">
        <v>9</v>
      </c>
      <c r="V223" s="2">
        <v>6</v>
      </c>
      <c r="W223" s="2">
        <v>3</v>
      </c>
      <c r="X223" s="2">
        <v>18</v>
      </c>
      <c r="Y223" s="2">
        <v>9</v>
      </c>
      <c r="Z223" s="2">
        <v>9</v>
      </c>
    </row>
    <row r="224" spans="1:26" hidden="1" x14ac:dyDescent="0.45">
      <c r="A224" s="2">
        <v>243</v>
      </c>
      <c r="B224" s="2">
        <v>12</v>
      </c>
      <c r="C224" s="2"/>
      <c r="D224" s="2">
        <v>2</v>
      </c>
      <c r="E224" s="3" t="s">
        <v>26</v>
      </c>
      <c r="F224" s="2">
        <v>25</v>
      </c>
      <c r="G224" s="2">
        <v>16</v>
      </c>
      <c r="H224" s="2">
        <v>9</v>
      </c>
      <c r="I224" s="2">
        <v>12</v>
      </c>
      <c r="J224" s="2">
        <v>6</v>
      </c>
      <c r="K224" s="2">
        <v>6</v>
      </c>
      <c r="L224" s="2">
        <v>8</v>
      </c>
      <c r="M224" s="2">
        <v>5</v>
      </c>
      <c r="N224" s="2">
        <v>3</v>
      </c>
      <c r="O224" s="2">
        <v>1</v>
      </c>
      <c r="P224" s="2">
        <v>1</v>
      </c>
      <c r="Q224" s="2">
        <v>0</v>
      </c>
      <c r="R224" s="2">
        <v>3</v>
      </c>
      <c r="S224" s="2">
        <v>0</v>
      </c>
      <c r="T224" s="2">
        <v>3</v>
      </c>
      <c r="U224" s="2">
        <v>11</v>
      </c>
      <c r="V224" s="2">
        <v>5</v>
      </c>
      <c r="W224" s="2">
        <v>6</v>
      </c>
      <c r="X224" s="2">
        <v>19</v>
      </c>
      <c r="Y224" s="2">
        <v>12</v>
      </c>
      <c r="Z224" s="2">
        <v>7</v>
      </c>
    </row>
    <row r="225" spans="1:26" hidden="1" x14ac:dyDescent="0.45">
      <c r="A225" s="2">
        <v>244</v>
      </c>
      <c r="B225" s="2">
        <v>12</v>
      </c>
      <c r="C225" s="2"/>
      <c r="D225" s="2">
        <v>4</v>
      </c>
      <c r="E225" s="3" t="s">
        <v>25</v>
      </c>
      <c r="F225" s="2">
        <v>24</v>
      </c>
      <c r="G225" s="2">
        <v>15</v>
      </c>
      <c r="H225" s="2">
        <v>9</v>
      </c>
      <c r="I225" s="2">
        <v>12</v>
      </c>
      <c r="J225" s="2">
        <v>7</v>
      </c>
      <c r="K225" s="2">
        <v>5</v>
      </c>
      <c r="L225" s="2">
        <v>8</v>
      </c>
      <c r="M225" s="2">
        <v>5</v>
      </c>
      <c r="N225" s="2">
        <v>3</v>
      </c>
      <c r="O225" s="2">
        <v>0</v>
      </c>
      <c r="P225" s="2">
        <v>0</v>
      </c>
      <c r="Q225" s="2">
        <v>0</v>
      </c>
      <c r="R225" s="2">
        <v>4</v>
      </c>
      <c r="S225" s="2">
        <v>2</v>
      </c>
      <c r="T225" s="2">
        <v>2</v>
      </c>
      <c r="U225" s="2">
        <v>13</v>
      </c>
      <c r="V225" s="2">
        <v>5</v>
      </c>
      <c r="W225" s="2">
        <v>8</v>
      </c>
      <c r="X225" s="2">
        <v>26</v>
      </c>
      <c r="Y225" s="2">
        <v>17</v>
      </c>
      <c r="Z225" s="2">
        <v>9</v>
      </c>
    </row>
    <row r="226" spans="1:26" hidden="1" x14ac:dyDescent="0.45">
      <c r="A226" s="2">
        <v>245</v>
      </c>
      <c r="B226" s="2">
        <v>12</v>
      </c>
      <c r="C226" s="2"/>
      <c r="D226" s="2">
        <v>4</v>
      </c>
      <c r="E226" s="3" t="s">
        <v>40</v>
      </c>
      <c r="F226" s="2">
        <v>24</v>
      </c>
      <c r="G226" s="2">
        <v>13</v>
      </c>
      <c r="H226" s="2">
        <v>11</v>
      </c>
      <c r="I226" s="2">
        <v>12</v>
      </c>
      <c r="J226" s="2">
        <v>5</v>
      </c>
      <c r="K226" s="2">
        <v>7</v>
      </c>
      <c r="L226" s="2">
        <v>7</v>
      </c>
      <c r="M226" s="2">
        <v>4</v>
      </c>
      <c r="N226" s="2">
        <v>3</v>
      </c>
      <c r="O226" s="2">
        <v>3</v>
      </c>
      <c r="P226" s="2">
        <v>1</v>
      </c>
      <c r="Q226" s="2">
        <v>2</v>
      </c>
      <c r="R226" s="2">
        <v>2</v>
      </c>
      <c r="S226" s="2">
        <v>0</v>
      </c>
      <c r="T226" s="2">
        <v>2</v>
      </c>
      <c r="U226" s="2">
        <v>8</v>
      </c>
      <c r="V226" s="2">
        <v>1</v>
      </c>
      <c r="W226" s="2">
        <v>7</v>
      </c>
      <c r="X226" s="2">
        <v>21</v>
      </c>
      <c r="Y226" s="2">
        <v>9</v>
      </c>
      <c r="Z226" s="2">
        <v>12</v>
      </c>
    </row>
    <row r="227" spans="1:26" hidden="1" x14ac:dyDescent="0.45">
      <c r="A227" s="2">
        <v>246</v>
      </c>
      <c r="B227" s="2">
        <v>12</v>
      </c>
      <c r="C227" s="2"/>
      <c r="D227" s="2">
        <v>6</v>
      </c>
      <c r="E227" s="3" t="s">
        <v>27</v>
      </c>
      <c r="F227" s="2">
        <v>21</v>
      </c>
      <c r="G227" s="2">
        <v>12</v>
      </c>
      <c r="H227" s="2">
        <v>9</v>
      </c>
      <c r="I227" s="2">
        <v>12</v>
      </c>
      <c r="J227" s="2">
        <v>6</v>
      </c>
      <c r="K227" s="2">
        <v>6</v>
      </c>
      <c r="L227" s="2">
        <v>5</v>
      </c>
      <c r="M227" s="2">
        <v>3</v>
      </c>
      <c r="N227" s="2">
        <v>2</v>
      </c>
      <c r="O227" s="2">
        <v>6</v>
      </c>
      <c r="P227" s="2">
        <v>3</v>
      </c>
      <c r="Q227" s="2">
        <v>3</v>
      </c>
      <c r="R227" s="2">
        <v>1</v>
      </c>
      <c r="S227" s="2">
        <v>0</v>
      </c>
      <c r="T227" s="2">
        <v>1</v>
      </c>
      <c r="U227" s="2">
        <v>7</v>
      </c>
      <c r="V227" s="2">
        <v>3</v>
      </c>
      <c r="W227" s="2">
        <v>4</v>
      </c>
      <c r="X227" s="2">
        <v>17</v>
      </c>
      <c r="Y227" s="2">
        <v>9</v>
      </c>
      <c r="Z227" s="2">
        <v>8</v>
      </c>
    </row>
    <row r="228" spans="1:26" hidden="1" x14ac:dyDescent="0.45">
      <c r="A228" s="2">
        <v>247</v>
      </c>
      <c r="B228" s="2">
        <v>12</v>
      </c>
      <c r="C228" s="2"/>
      <c r="D228" s="2">
        <v>7</v>
      </c>
      <c r="E228" s="3" t="s">
        <v>28</v>
      </c>
      <c r="F228" s="2">
        <v>20</v>
      </c>
      <c r="G228" s="2">
        <v>12</v>
      </c>
      <c r="H228" s="2">
        <v>8</v>
      </c>
      <c r="I228" s="2">
        <v>12</v>
      </c>
      <c r="J228" s="2">
        <v>6</v>
      </c>
      <c r="K228" s="2">
        <v>6</v>
      </c>
      <c r="L228" s="2">
        <v>5</v>
      </c>
      <c r="M228" s="2">
        <v>3</v>
      </c>
      <c r="N228" s="2">
        <v>2</v>
      </c>
      <c r="O228" s="2">
        <v>5</v>
      </c>
      <c r="P228" s="2">
        <v>3</v>
      </c>
      <c r="Q228" s="2">
        <v>2</v>
      </c>
      <c r="R228" s="2">
        <v>2</v>
      </c>
      <c r="S228" s="2">
        <v>0</v>
      </c>
      <c r="T228" s="2">
        <v>2</v>
      </c>
      <c r="U228" s="2">
        <v>11</v>
      </c>
      <c r="V228" s="2">
        <v>5</v>
      </c>
      <c r="W228" s="2">
        <v>6</v>
      </c>
      <c r="X228" s="2">
        <v>15</v>
      </c>
      <c r="Y228" s="2">
        <v>10</v>
      </c>
      <c r="Z228" s="2">
        <v>5</v>
      </c>
    </row>
    <row r="229" spans="1:26" hidden="1" x14ac:dyDescent="0.45">
      <c r="A229" s="2">
        <v>248</v>
      </c>
      <c r="B229" s="2">
        <v>12</v>
      </c>
      <c r="C229" s="2"/>
      <c r="D229" s="2">
        <v>8</v>
      </c>
      <c r="E229" s="3" t="s">
        <v>42</v>
      </c>
      <c r="F229" s="2">
        <v>18</v>
      </c>
      <c r="G229" s="2">
        <v>13</v>
      </c>
      <c r="H229" s="2">
        <v>5</v>
      </c>
      <c r="I229" s="2">
        <v>12</v>
      </c>
      <c r="J229" s="2">
        <v>6</v>
      </c>
      <c r="K229" s="2">
        <v>6</v>
      </c>
      <c r="L229" s="2">
        <v>5</v>
      </c>
      <c r="M229" s="2">
        <v>4</v>
      </c>
      <c r="N229" s="2">
        <v>1</v>
      </c>
      <c r="O229" s="2">
        <v>3</v>
      </c>
      <c r="P229" s="2">
        <v>1</v>
      </c>
      <c r="Q229" s="2">
        <v>2</v>
      </c>
      <c r="R229" s="2">
        <v>4</v>
      </c>
      <c r="S229" s="2">
        <v>1</v>
      </c>
      <c r="T229" s="2">
        <v>3</v>
      </c>
      <c r="U229" s="2">
        <v>9</v>
      </c>
      <c r="V229" s="2">
        <v>4</v>
      </c>
      <c r="W229" s="2">
        <v>5</v>
      </c>
      <c r="X229" s="2">
        <v>15</v>
      </c>
      <c r="Y229" s="2">
        <v>12</v>
      </c>
      <c r="Z229" s="2">
        <v>3</v>
      </c>
    </row>
    <row r="230" spans="1:26" hidden="1" x14ac:dyDescent="0.45">
      <c r="A230" s="2">
        <v>249</v>
      </c>
      <c r="B230" s="2">
        <v>12</v>
      </c>
      <c r="C230" s="2"/>
      <c r="D230" s="2">
        <v>9</v>
      </c>
      <c r="E230" s="3" t="s">
        <v>43</v>
      </c>
      <c r="F230" s="2">
        <v>17</v>
      </c>
      <c r="G230" s="2">
        <v>7</v>
      </c>
      <c r="H230" s="2">
        <v>10</v>
      </c>
      <c r="I230" s="2">
        <v>12</v>
      </c>
      <c r="J230" s="2">
        <v>6</v>
      </c>
      <c r="K230" s="2">
        <v>6</v>
      </c>
      <c r="L230" s="2">
        <v>5</v>
      </c>
      <c r="M230" s="2">
        <v>2</v>
      </c>
      <c r="N230" s="2">
        <v>3</v>
      </c>
      <c r="O230" s="2">
        <v>2</v>
      </c>
      <c r="P230" s="2">
        <v>1</v>
      </c>
      <c r="Q230" s="2">
        <v>1</v>
      </c>
      <c r="R230" s="2">
        <v>5</v>
      </c>
      <c r="S230" s="2">
        <v>3</v>
      </c>
      <c r="T230" s="2">
        <v>2</v>
      </c>
      <c r="U230" s="2">
        <v>14</v>
      </c>
      <c r="V230" s="2">
        <v>8</v>
      </c>
      <c r="W230" s="2">
        <v>6</v>
      </c>
      <c r="X230" s="2">
        <v>16</v>
      </c>
      <c r="Y230" s="2">
        <v>7</v>
      </c>
      <c r="Z230" s="2">
        <v>9</v>
      </c>
    </row>
    <row r="231" spans="1:26" hidden="1" x14ac:dyDescent="0.45">
      <c r="A231" s="2">
        <v>250</v>
      </c>
      <c r="B231" s="2">
        <v>12</v>
      </c>
      <c r="C231" s="2"/>
      <c r="D231" s="2">
        <v>10</v>
      </c>
      <c r="E231" s="3" t="s">
        <v>31</v>
      </c>
      <c r="F231" s="2">
        <v>15</v>
      </c>
      <c r="G231" s="2">
        <v>8</v>
      </c>
      <c r="H231" s="2">
        <v>7</v>
      </c>
      <c r="I231" s="2">
        <v>12</v>
      </c>
      <c r="J231" s="2">
        <v>6</v>
      </c>
      <c r="K231" s="2">
        <v>6</v>
      </c>
      <c r="L231" s="2">
        <v>4</v>
      </c>
      <c r="M231" s="2">
        <v>2</v>
      </c>
      <c r="N231" s="2">
        <v>2</v>
      </c>
      <c r="O231" s="2">
        <v>3</v>
      </c>
      <c r="P231" s="2">
        <v>2</v>
      </c>
      <c r="Q231" s="2">
        <v>1</v>
      </c>
      <c r="R231" s="2">
        <v>5</v>
      </c>
      <c r="S231" s="2">
        <v>2</v>
      </c>
      <c r="T231" s="2">
        <v>3</v>
      </c>
      <c r="U231" s="2">
        <v>20</v>
      </c>
      <c r="V231" s="2">
        <v>10</v>
      </c>
      <c r="W231" s="2">
        <v>10</v>
      </c>
      <c r="X231" s="2">
        <v>12</v>
      </c>
      <c r="Y231" s="2">
        <v>6</v>
      </c>
      <c r="Z231" s="2">
        <v>6</v>
      </c>
    </row>
    <row r="232" spans="1:26" hidden="1" x14ac:dyDescent="0.45">
      <c r="A232" s="2">
        <v>251</v>
      </c>
      <c r="B232" s="2">
        <v>12</v>
      </c>
      <c r="C232" s="2"/>
      <c r="D232" s="2">
        <v>11</v>
      </c>
      <c r="E232" s="3" t="s">
        <v>29</v>
      </c>
      <c r="F232" s="2">
        <v>14</v>
      </c>
      <c r="G232" s="2">
        <v>6</v>
      </c>
      <c r="H232" s="2">
        <v>8</v>
      </c>
      <c r="I232" s="2">
        <v>12</v>
      </c>
      <c r="J232" s="2">
        <v>6</v>
      </c>
      <c r="K232" s="2">
        <v>6</v>
      </c>
      <c r="L232" s="2">
        <v>3</v>
      </c>
      <c r="M232" s="2">
        <v>1</v>
      </c>
      <c r="N232" s="2">
        <v>2</v>
      </c>
      <c r="O232" s="2">
        <v>5</v>
      </c>
      <c r="P232" s="2">
        <v>3</v>
      </c>
      <c r="Q232" s="2">
        <v>2</v>
      </c>
      <c r="R232" s="2">
        <v>4</v>
      </c>
      <c r="S232" s="2">
        <v>2</v>
      </c>
      <c r="T232" s="2">
        <v>2</v>
      </c>
      <c r="U232" s="2">
        <v>16</v>
      </c>
      <c r="V232" s="2">
        <v>9</v>
      </c>
      <c r="W232" s="2">
        <v>7</v>
      </c>
      <c r="X232" s="2">
        <v>13</v>
      </c>
      <c r="Y232" s="2">
        <v>7</v>
      </c>
      <c r="Z232" s="2">
        <v>6</v>
      </c>
    </row>
    <row r="233" spans="1:26" hidden="1" x14ac:dyDescent="0.45">
      <c r="A233" s="2">
        <v>252</v>
      </c>
      <c r="B233" s="2">
        <v>12</v>
      </c>
      <c r="C233" s="2"/>
      <c r="D233" s="2">
        <v>11</v>
      </c>
      <c r="E233" s="3" t="s">
        <v>44</v>
      </c>
      <c r="F233" s="2">
        <v>14</v>
      </c>
      <c r="G233" s="2">
        <v>8</v>
      </c>
      <c r="H233" s="2">
        <v>6</v>
      </c>
      <c r="I233" s="2">
        <v>12</v>
      </c>
      <c r="J233" s="2">
        <v>6</v>
      </c>
      <c r="K233" s="2">
        <v>6</v>
      </c>
      <c r="L233" s="2">
        <v>3</v>
      </c>
      <c r="M233" s="2">
        <v>2</v>
      </c>
      <c r="N233" s="2">
        <v>1</v>
      </c>
      <c r="O233" s="2">
        <v>5</v>
      </c>
      <c r="P233" s="2">
        <v>2</v>
      </c>
      <c r="Q233" s="2">
        <v>3</v>
      </c>
      <c r="R233" s="2">
        <v>4</v>
      </c>
      <c r="S233" s="2">
        <v>2</v>
      </c>
      <c r="T233" s="2">
        <v>2</v>
      </c>
      <c r="U233" s="2">
        <v>21</v>
      </c>
      <c r="V233" s="2">
        <v>11</v>
      </c>
      <c r="W233" s="2">
        <v>10</v>
      </c>
      <c r="X233" s="2">
        <v>11</v>
      </c>
      <c r="Y233" s="2">
        <v>6</v>
      </c>
      <c r="Z233" s="2">
        <v>5</v>
      </c>
    </row>
    <row r="234" spans="1:26" hidden="1" x14ac:dyDescent="0.45">
      <c r="A234" s="2">
        <v>253</v>
      </c>
      <c r="B234" s="2">
        <v>12</v>
      </c>
      <c r="C234" s="2"/>
      <c r="D234" s="2">
        <v>13</v>
      </c>
      <c r="E234" s="3" t="s">
        <v>35</v>
      </c>
      <c r="F234" s="2">
        <v>13</v>
      </c>
      <c r="G234" s="2">
        <v>7</v>
      </c>
      <c r="H234" s="2">
        <v>6</v>
      </c>
      <c r="I234" s="2">
        <v>12</v>
      </c>
      <c r="J234" s="2">
        <v>6</v>
      </c>
      <c r="K234" s="2">
        <v>6</v>
      </c>
      <c r="L234" s="2">
        <v>2</v>
      </c>
      <c r="M234" s="2">
        <v>1</v>
      </c>
      <c r="N234" s="2">
        <v>1</v>
      </c>
      <c r="O234" s="2">
        <v>7</v>
      </c>
      <c r="P234" s="2">
        <v>4</v>
      </c>
      <c r="Q234" s="2">
        <v>3</v>
      </c>
      <c r="R234" s="2">
        <v>3</v>
      </c>
      <c r="S234" s="2">
        <v>1</v>
      </c>
      <c r="T234" s="2">
        <v>2</v>
      </c>
      <c r="U234" s="2">
        <v>14</v>
      </c>
      <c r="V234" s="2">
        <v>7</v>
      </c>
      <c r="W234" s="2">
        <v>7</v>
      </c>
      <c r="X234" s="2">
        <v>14</v>
      </c>
      <c r="Y234" s="2">
        <v>7</v>
      </c>
      <c r="Z234" s="2">
        <v>7</v>
      </c>
    </row>
    <row r="235" spans="1:26" hidden="1" x14ac:dyDescent="0.45">
      <c r="A235" s="2">
        <v>254</v>
      </c>
      <c r="B235" s="2">
        <v>12</v>
      </c>
      <c r="C235" s="2"/>
      <c r="D235" s="2">
        <v>14</v>
      </c>
      <c r="E235" s="3" t="s">
        <v>36</v>
      </c>
      <c r="F235" s="2">
        <v>11</v>
      </c>
      <c r="G235" s="2">
        <v>5</v>
      </c>
      <c r="H235" s="2">
        <v>6</v>
      </c>
      <c r="I235" s="2">
        <v>12</v>
      </c>
      <c r="J235" s="2">
        <v>6</v>
      </c>
      <c r="K235" s="2">
        <v>6</v>
      </c>
      <c r="L235" s="2">
        <v>2</v>
      </c>
      <c r="M235" s="2">
        <v>1</v>
      </c>
      <c r="N235" s="2">
        <v>1</v>
      </c>
      <c r="O235" s="2">
        <v>5</v>
      </c>
      <c r="P235" s="2">
        <v>2</v>
      </c>
      <c r="Q235" s="2">
        <v>3</v>
      </c>
      <c r="R235" s="2">
        <v>5</v>
      </c>
      <c r="S235" s="2">
        <v>3</v>
      </c>
      <c r="T235" s="2">
        <v>2</v>
      </c>
      <c r="U235" s="2">
        <v>17</v>
      </c>
      <c r="V235" s="2">
        <v>10</v>
      </c>
      <c r="W235" s="2">
        <v>7</v>
      </c>
      <c r="X235" s="2">
        <v>12</v>
      </c>
      <c r="Y235" s="2">
        <v>7</v>
      </c>
      <c r="Z235" s="2">
        <v>5</v>
      </c>
    </row>
    <row r="236" spans="1:26" hidden="1" x14ac:dyDescent="0.45">
      <c r="A236" s="2">
        <v>255</v>
      </c>
      <c r="B236" s="2">
        <v>12</v>
      </c>
      <c r="C236" s="2"/>
      <c r="D236" s="2">
        <v>14</v>
      </c>
      <c r="E236" s="3" t="s">
        <v>41</v>
      </c>
      <c r="F236" s="2">
        <v>11</v>
      </c>
      <c r="G236" s="2">
        <v>6</v>
      </c>
      <c r="H236" s="2">
        <v>5</v>
      </c>
      <c r="I236" s="2">
        <v>12</v>
      </c>
      <c r="J236" s="2">
        <v>6</v>
      </c>
      <c r="K236" s="2">
        <v>6</v>
      </c>
      <c r="L236" s="2">
        <v>2</v>
      </c>
      <c r="M236" s="2">
        <v>1</v>
      </c>
      <c r="N236" s="2">
        <v>1</v>
      </c>
      <c r="O236" s="2">
        <v>5</v>
      </c>
      <c r="P236" s="2">
        <v>3</v>
      </c>
      <c r="Q236" s="2">
        <v>2</v>
      </c>
      <c r="R236" s="2">
        <v>5</v>
      </c>
      <c r="S236" s="2">
        <v>2</v>
      </c>
      <c r="T236" s="2">
        <v>3</v>
      </c>
      <c r="U236" s="2">
        <v>15</v>
      </c>
      <c r="V236" s="2">
        <v>8</v>
      </c>
      <c r="W236" s="2">
        <v>7</v>
      </c>
      <c r="X236" s="2">
        <v>9</v>
      </c>
      <c r="Y236" s="2">
        <v>6</v>
      </c>
      <c r="Z236" s="2">
        <v>3</v>
      </c>
    </row>
    <row r="237" spans="1:26" hidden="1" x14ac:dyDescent="0.45">
      <c r="A237" s="2">
        <v>256</v>
      </c>
      <c r="B237" s="2">
        <v>12</v>
      </c>
      <c r="C237" s="2"/>
      <c r="D237" s="2">
        <v>16</v>
      </c>
      <c r="E237" s="3" t="s">
        <v>32</v>
      </c>
      <c r="F237" s="2">
        <v>10</v>
      </c>
      <c r="G237" s="2">
        <v>6</v>
      </c>
      <c r="H237" s="2">
        <v>4</v>
      </c>
      <c r="I237" s="2">
        <v>12</v>
      </c>
      <c r="J237" s="2">
        <v>6</v>
      </c>
      <c r="K237" s="2">
        <v>6</v>
      </c>
      <c r="L237" s="2">
        <v>1</v>
      </c>
      <c r="M237" s="2">
        <v>1</v>
      </c>
      <c r="N237" s="2">
        <v>0</v>
      </c>
      <c r="O237" s="2">
        <v>7</v>
      </c>
      <c r="P237" s="2">
        <v>3</v>
      </c>
      <c r="Q237" s="2">
        <v>4</v>
      </c>
      <c r="R237" s="2">
        <v>4</v>
      </c>
      <c r="S237" s="2">
        <v>2</v>
      </c>
      <c r="T237" s="2">
        <v>2</v>
      </c>
      <c r="U237" s="2">
        <v>16</v>
      </c>
      <c r="V237" s="2">
        <v>2</v>
      </c>
      <c r="W237" s="2">
        <v>14</v>
      </c>
      <c r="X237" s="2">
        <v>10</v>
      </c>
      <c r="Y237" s="2">
        <v>1</v>
      </c>
      <c r="Z237" s="2">
        <v>9</v>
      </c>
    </row>
    <row r="238" spans="1:26" hidden="1" x14ac:dyDescent="0.45">
      <c r="A238" s="2">
        <v>257</v>
      </c>
      <c r="B238" s="2">
        <v>12</v>
      </c>
      <c r="C238" s="2"/>
      <c r="D238" s="2">
        <v>16</v>
      </c>
      <c r="E238" s="3" t="s">
        <v>38</v>
      </c>
      <c r="F238" s="2">
        <v>10</v>
      </c>
      <c r="G238" s="2">
        <v>3</v>
      </c>
      <c r="H238" s="2">
        <v>7</v>
      </c>
      <c r="I238" s="2">
        <v>12</v>
      </c>
      <c r="J238" s="2">
        <v>6</v>
      </c>
      <c r="K238" s="2">
        <v>6</v>
      </c>
      <c r="L238" s="2">
        <v>2</v>
      </c>
      <c r="M238" s="2">
        <v>0</v>
      </c>
      <c r="N238" s="2">
        <v>2</v>
      </c>
      <c r="O238" s="2">
        <v>4</v>
      </c>
      <c r="P238" s="2">
        <v>3</v>
      </c>
      <c r="Q238" s="2">
        <v>1</v>
      </c>
      <c r="R238" s="2">
        <v>6</v>
      </c>
      <c r="S238" s="2">
        <v>3</v>
      </c>
      <c r="T238" s="2">
        <v>3</v>
      </c>
      <c r="U238" s="2">
        <v>16</v>
      </c>
      <c r="V238" s="2">
        <v>7</v>
      </c>
      <c r="W238" s="2">
        <v>9</v>
      </c>
      <c r="X238" s="2">
        <v>8</v>
      </c>
      <c r="Y238" s="2">
        <v>3</v>
      </c>
      <c r="Z238" s="2">
        <v>5</v>
      </c>
    </row>
    <row r="239" spans="1:26" hidden="1" x14ac:dyDescent="0.45">
      <c r="A239" s="2">
        <v>258</v>
      </c>
      <c r="B239" s="2">
        <v>12</v>
      </c>
      <c r="C239" s="2"/>
      <c r="D239" s="2">
        <v>18</v>
      </c>
      <c r="E239" s="3" t="s">
        <v>37</v>
      </c>
      <c r="F239" s="2">
        <v>8</v>
      </c>
      <c r="G239" s="2">
        <v>3</v>
      </c>
      <c r="H239" s="2">
        <v>5</v>
      </c>
      <c r="I239" s="2">
        <v>12</v>
      </c>
      <c r="J239" s="2">
        <v>6</v>
      </c>
      <c r="K239" s="2">
        <v>6</v>
      </c>
      <c r="L239" s="2">
        <v>1</v>
      </c>
      <c r="M239" s="2">
        <v>0</v>
      </c>
      <c r="N239" s="2">
        <v>1</v>
      </c>
      <c r="O239" s="2">
        <v>5</v>
      </c>
      <c r="P239" s="2">
        <v>3</v>
      </c>
      <c r="Q239" s="2">
        <v>2</v>
      </c>
      <c r="R239" s="2">
        <v>6</v>
      </c>
      <c r="S239" s="2">
        <v>3</v>
      </c>
      <c r="T239" s="2">
        <v>3</v>
      </c>
      <c r="U239" s="2">
        <v>19</v>
      </c>
      <c r="V239" s="2">
        <v>8</v>
      </c>
      <c r="W239" s="2">
        <v>11</v>
      </c>
      <c r="X239" s="2">
        <v>11</v>
      </c>
      <c r="Y239" s="2">
        <v>2</v>
      </c>
      <c r="Z239" s="2">
        <v>9</v>
      </c>
    </row>
    <row r="240" spans="1:26" hidden="1" x14ac:dyDescent="0.45">
      <c r="A240" s="2">
        <v>259</v>
      </c>
      <c r="B240" s="2">
        <v>12</v>
      </c>
      <c r="C240" s="2"/>
      <c r="D240" s="2">
        <v>19</v>
      </c>
      <c r="E240" s="3" t="s">
        <v>34</v>
      </c>
      <c r="F240" s="2">
        <v>6</v>
      </c>
      <c r="G240" s="2">
        <v>2</v>
      </c>
      <c r="H240" s="2">
        <v>4</v>
      </c>
      <c r="I240" s="2">
        <v>12</v>
      </c>
      <c r="J240" s="2">
        <v>6</v>
      </c>
      <c r="K240" s="2">
        <v>6</v>
      </c>
      <c r="L240" s="2">
        <v>0</v>
      </c>
      <c r="M240" s="2">
        <v>0</v>
      </c>
      <c r="N240" s="2">
        <v>0</v>
      </c>
      <c r="O240" s="2">
        <v>6</v>
      </c>
      <c r="P240" s="2">
        <v>2</v>
      </c>
      <c r="Q240" s="2">
        <v>4</v>
      </c>
      <c r="R240" s="2">
        <v>6</v>
      </c>
      <c r="S240" s="2">
        <v>4</v>
      </c>
      <c r="T240" s="2">
        <v>2</v>
      </c>
      <c r="U240" s="2">
        <v>19</v>
      </c>
      <c r="V240" s="2">
        <v>11</v>
      </c>
      <c r="W240" s="2">
        <v>8</v>
      </c>
      <c r="X240" s="2">
        <v>10</v>
      </c>
      <c r="Y240" s="2">
        <v>6</v>
      </c>
      <c r="Z240" s="2">
        <v>4</v>
      </c>
    </row>
    <row r="241" spans="1:26" hidden="1" x14ac:dyDescent="0.45">
      <c r="A241" s="2">
        <v>260</v>
      </c>
      <c r="B241" s="2">
        <v>12</v>
      </c>
      <c r="C241" s="2"/>
      <c r="D241" s="2">
        <v>19</v>
      </c>
      <c r="E241" s="3" t="s">
        <v>33</v>
      </c>
      <c r="F241" s="2">
        <v>6</v>
      </c>
      <c r="G241" s="2">
        <v>3</v>
      </c>
      <c r="H241" s="2">
        <v>3</v>
      </c>
      <c r="I241" s="2">
        <v>12</v>
      </c>
      <c r="J241" s="2">
        <v>6</v>
      </c>
      <c r="K241" s="2">
        <v>6</v>
      </c>
      <c r="L241" s="2">
        <v>0</v>
      </c>
      <c r="M241" s="2">
        <v>0</v>
      </c>
      <c r="N241" s="2">
        <v>0</v>
      </c>
      <c r="O241" s="2">
        <v>6</v>
      </c>
      <c r="P241" s="2">
        <v>3</v>
      </c>
      <c r="Q241" s="2">
        <v>3</v>
      </c>
      <c r="R241" s="2">
        <v>6</v>
      </c>
      <c r="S241" s="2">
        <v>3</v>
      </c>
      <c r="T241" s="2">
        <v>3</v>
      </c>
      <c r="U241" s="2">
        <v>18</v>
      </c>
      <c r="V241" s="2">
        <v>8</v>
      </c>
      <c r="W241" s="2">
        <v>10</v>
      </c>
      <c r="X241" s="2">
        <v>7</v>
      </c>
      <c r="Y241" s="2">
        <v>5</v>
      </c>
      <c r="Z241" s="2">
        <v>2</v>
      </c>
    </row>
    <row r="242" spans="1:26" hidden="1" x14ac:dyDescent="0.45">
      <c r="A242" s="2">
        <v>288</v>
      </c>
      <c r="B242" s="2">
        <v>13</v>
      </c>
      <c r="C242" s="2"/>
      <c r="D242" s="2">
        <v>10</v>
      </c>
      <c r="E242" s="3" t="s">
        <v>43</v>
      </c>
      <c r="F242" s="2">
        <v>17</v>
      </c>
      <c r="G242" s="2">
        <v>7</v>
      </c>
      <c r="H242" s="2">
        <v>10</v>
      </c>
      <c r="I242" s="2">
        <v>13</v>
      </c>
      <c r="J242" s="2">
        <v>6</v>
      </c>
      <c r="K242" s="2">
        <v>7</v>
      </c>
      <c r="L242" s="2">
        <v>5</v>
      </c>
      <c r="M242" s="2">
        <v>2</v>
      </c>
      <c r="N242" s="2">
        <v>3</v>
      </c>
      <c r="O242" s="2">
        <v>2</v>
      </c>
      <c r="P242" s="2">
        <v>1</v>
      </c>
      <c r="Q242" s="2">
        <v>1</v>
      </c>
      <c r="R242" s="2">
        <v>6</v>
      </c>
      <c r="S242" s="2">
        <v>3</v>
      </c>
      <c r="T242" s="2">
        <v>3</v>
      </c>
      <c r="U242" s="2">
        <v>16</v>
      </c>
      <c r="V242" s="2">
        <v>8</v>
      </c>
      <c r="W242" s="2">
        <v>8</v>
      </c>
      <c r="X242" s="2">
        <v>16</v>
      </c>
      <c r="Y242" s="2">
        <v>7</v>
      </c>
      <c r="Z242" s="2">
        <v>9</v>
      </c>
    </row>
    <row r="243" spans="1:26" hidden="1" x14ac:dyDescent="0.45">
      <c r="A243" s="2">
        <v>301</v>
      </c>
      <c r="B243" s="2">
        <v>13</v>
      </c>
      <c r="C243" s="2"/>
      <c r="D243" s="2">
        <v>19</v>
      </c>
      <c r="E243" s="3" t="s">
        <v>33</v>
      </c>
      <c r="F243" s="2">
        <v>6</v>
      </c>
      <c r="G243" s="2">
        <v>3</v>
      </c>
      <c r="H243" s="2">
        <v>3</v>
      </c>
      <c r="I243" s="2">
        <v>13</v>
      </c>
      <c r="J243" s="2">
        <v>6</v>
      </c>
      <c r="K243" s="2">
        <v>7</v>
      </c>
      <c r="L243" s="2">
        <v>0</v>
      </c>
      <c r="M243" s="2">
        <v>0</v>
      </c>
      <c r="N243" s="2">
        <v>0</v>
      </c>
      <c r="O243" s="2">
        <v>6</v>
      </c>
      <c r="P243" s="2">
        <v>3</v>
      </c>
      <c r="Q243" s="2">
        <v>3</v>
      </c>
      <c r="R243" s="2">
        <v>7</v>
      </c>
      <c r="S243" s="2">
        <v>3</v>
      </c>
      <c r="T243" s="2">
        <v>4</v>
      </c>
      <c r="U243" s="2">
        <v>20</v>
      </c>
      <c r="V243" s="2">
        <v>8</v>
      </c>
      <c r="W243" s="2">
        <v>12</v>
      </c>
      <c r="X243" s="2">
        <v>8</v>
      </c>
      <c r="Y243" s="2">
        <v>5</v>
      </c>
      <c r="Z243" s="2">
        <v>3</v>
      </c>
    </row>
    <row r="244" spans="1:26" hidden="1" x14ac:dyDescent="0.45">
      <c r="A244" s="2">
        <v>306</v>
      </c>
      <c r="B244" s="2">
        <v>13</v>
      </c>
      <c r="C244" s="2"/>
      <c r="D244" s="2">
        <v>7</v>
      </c>
      <c r="E244" s="3" t="s">
        <v>28</v>
      </c>
      <c r="F244" s="2">
        <v>23</v>
      </c>
      <c r="G244" s="2">
        <v>15</v>
      </c>
      <c r="H244" s="2">
        <v>8</v>
      </c>
      <c r="I244" s="2">
        <v>13</v>
      </c>
      <c r="J244" s="2">
        <v>7</v>
      </c>
      <c r="K244" s="2">
        <v>6</v>
      </c>
      <c r="L244" s="2">
        <v>6</v>
      </c>
      <c r="M244" s="2">
        <v>4</v>
      </c>
      <c r="N244" s="2">
        <v>2</v>
      </c>
      <c r="O244" s="2">
        <v>5</v>
      </c>
      <c r="P244" s="2">
        <v>3</v>
      </c>
      <c r="Q244" s="2">
        <v>2</v>
      </c>
      <c r="R244" s="2">
        <v>2</v>
      </c>
      <c r="S244" s="2">
        <v>0</v>
      </c>
      <c r="T244" s="2">
        <v>2</v>
      </c>
      <c r="U244" s="2">
        <v>12</v>
      </c>
      <c r="V244" s="2">
        <v>6</v>
      </c>
      <c r="W244" s="2">
        <v>6</v>
      </c>
      <c r="X244" s="2">
        <v>17</v>
      </c>
      <c r="Y244" s="2">
        <v>12</v>
      </c>
      <c r="Z244" s="2">
        <v>5</v>
      </c>
    </row>
    <row r="245" spans="1:26" hidden="1" x14ac:dyDescent="0.45">
      <c r="A245" s="2">
        <v>314</v>
      </c>
      <c r="B245" s="2">
        <v>13</v>
      </c>
      <c r="C245" s="2"/>
      <c r="D245" s="2">
        <v>1</v>
      </c>
      <c r="E245" s="3" t="s">
        <v>39</v>
      </c>
      <c r="F245" s="2">
        <v>28</v>
      </c>
      <c r="G245" s="2">
        <v>16</v>
      </c>
      <c r="H245" s="2">
        <v>12</v>
      </c>
      <c r="I245" s="2">
        <v>13</v>
      </c>
      <c r="J245" s="2">
        <v>7</v>
      </c>
      <c r="K245" s="2">
        <v>6</v>
      </c>
      <c r="L245" s="2">
        <v>8</v>
      </c>
      <c r="M245" s="2">
        <v>5</v>
      </c>
      <c r="N245" s="2">
        <v>3</v>
      </c>
      <c r="O245" s="2">
        <v>4</v>
      </c>
      <c r="P245" s="2">
        <v>1</v>
      </c>
      <c r="Q245" s="2">
        <v>3</v>
      </c>
      <c r="R245" s="2">
        <v>1</v>
      </c>
      <c r="S245" s="2">
        <v>1</v>
      </c>
      <c r="T245" s="2">
        <v>0</v>
      </c>
      <c r="U245" s="2">
        <v>9</v>
      </c>
      <c r="V245" s="2">
        <v>6</v>
      </c>
      <c r="W245" s="2">
        <v>3</v>
      </c>
      <c r="X245" s="2">
        <v>19</v>
      </c>
      <c r="Y245" s="2">
        <v>10</v>
      </c>
      <c r="Z245" s="2">
        <v>9</v>
      </c>
    </row>
    <row r="246" spans="1:26" hidden="1" x14ac:dyDescent="0.45">
      <c r="A246" s="2">
        <v>316</v>
      </c>
      <c r="B246" s="2">
        <v>13</v>
      </c>
      <c r="C246" s="2"/>
      <c r="D246" s="2">
        <v>8</v>
      </c>
      <c r="E246" s="3" t="s">
        <v>42</v>
      </c>
      <c r="F246" s="2">
        <v>18</v>
      </c>
      <c r="G246" s="2">
        <v>13</v>
      </c>
      <c r="H246" s="2">
        <v>5</v>
      </c>
      <c r="I246" s="2">
        <v>13</v>
      </c>
      <c r="J246" s="2">
        <v>6</v>
      </c>
      <c r="K246" s="2">
        <v>7</v>
      </c>
      <c r="L246" s="2">
        <v>5</v>
      </c>
      <c r="M246" s="2">
        <v>4</v>
      </c>
      <c r="N246" s="2">
        <v>1</v>
      </c>
      <c r="O246" s="2">
        <v>3</v>
      </c>
      <c r="P246" s="2">
        <v>1</v>
      </c>
      <c r="Q246" s="2">
        <v>2</v>
      </c>
      <c r="R246" s="2">
        <v>5</v>
      </c>
      <c r="S246" s="2">
        <v>1</v>
      </c>
      <c r="T246" s="2">
        <v>4</v>
      </c>
      <c r="U246" s="2">
        <v>10</v>
      </c>
      <c r="V246" s="2">
        <v>4</v>
      </c>
      <c r="W246" s="2">
        <v>6</v>
      </c>
      <c r="X246" s="2">
        <v>15</v>
      </c>
      <c r="Y246" s="2">
        <v>12</v>
      </c>
      <c r="Z246" s="2">
        <v>3</v>
      </c>
    </row>
    <row r="247" spans="1:26" hidden="1" x14ac:dyDescent="0.45">
      <c r="A247" s="2">
        <v>317</v>
      </c>
      <c r="B247" s="2">
        <v>13</v>
      </c>
      <c r="C247" s="2"/>
      <c r="D247" s="2">
        <v>8</v>
      </c>
      <c r="E247" s="3" t="s">
        <v>31</v>
      </c>
      <c r="F247" s="2">
        <v>18</v>
      </c>
      <c r="G247" s="2">
        <v>8</v>
      </c>
      <c r="H247" s="2">
        <v>10</v>
      </c>
      <c r="I247" s="2">
        <v>13</v>
      </c>
      <c r="J247" s="2">
        <v>6</v>
      </c>
      <c r="K247" s="2">
        <v>7</v>
      </c>
      <c r="L247" s="2">
        <v>5</v>
      </c>
      <c r="M247" s="2">
        <v>2</v>
      </c>
      <c r="N247" s="2">
        <v>3</v>
      </c>
      <c r="O247" s="2">
        <v>3</v>
      </c>
      <c r="P247" s="2">
        <v>2</v>
      </c>
      <c r="Q247" s="2">
        <v>1</v>
      </c>
      <c r="R247" s="2">
        <v>5</v>
      </c>
      <c r="S247" s="2">
        <v>2</v>
      </c>
      <c r="T247" s="2">
        <v>3</v>
      </c>
      <c r="U247" s="2">
        <v>20</v>
      </c>
      <c r="V247" s="2">
        <v>10</v>
      </c>
      <c r="W247" s="2">
        <v>10</v>
      </c>
      <c r="X247" s="2">
        <v>14</v>
      </c>
      <c r="Y247" s="2">
        <v>6</v>
      </c>
      <c r="Z247" s="2">
        <v>8</v>
      </c>
    </row>
    <row r="248" spans="1:26" hidden="1" x14ac:dyDescent="0.45">
      <c r="A248" s="2">
        <v>320</v>
      </c>
      <c r="B248" s="2">
        <v>13</v>
      </c>
      <c r="C248" s="2"/>
      <c r="D248" s="2">
        <v>15</v>
      </c>
      <c r="E248" s="3" t="s">
        <v>36</v>
      </c>
      <c r="F248" s="2">
        <v>11</v>
      </c>
      <c r="G248" s="2">
        <v>5</v>
      </c>
      <c r="H248" s="2">
        <v>6</v>
      </c>
      <c r="I248" s="2">
        <v>13</v>
      </c>
      <c r="J248" s="2">
        <v>6</v>
      </c>
      <c r="K248" s="2">
        <v>7</v>
      </c>
      <c r="L248" s="2">
        <v>2</v>
      </c>
      <c r="M248" s="2">
        <v>1</v>
      </c>
      <c r="N248" s="2">
        <v>1</v>
      </c>
      <c r="O248" s="2">
        <v>5</v>
      </c>
      <c r="P248" s="2">
        <v>2</v>
      </c>
      <c r="Q248" s="2">
        <v>3</v>
      </c>
      <c r="R248" s="2">
        <v>6</v>
      </c>
      <c r="S248" s="2">
        <v>3</v>
      </c>
      <c r="T248" s="2">
        <v>3</v>
      </c>
      <c r="U248" s="2">
        <v>19</v>
      </c>
      <c r="V248" s="2">
        <v>10</v>
      </c>
      <c r="W248" s="2">
        <v>9</v>
      </c>
      <c r="X248" s="2">
        <v>13</v>
      </c>
      <c r="Y248" s="2">
        <v>7</v>
      </c>
      <c r="Z248" s="2">
        <v>6</v>
      </c>
    </row>
    <row r="249" spans="1:26" hidden="1" x14ac:dyDescent="0.45">
      <c r="A249" s="2">
        <v>321</v>
      </c>
      <c r="B249" s="2">
        <v>13</v>
      </c>
      <c r="C249" s="2"/>
      <c r="D249" s="2">
        <v>15</v>
      </c>
      <c r="E249" s="3" t="s">
        <v>37</v>
      </c>
      <c r="F249" s="2">
        <v>11</v>
      </c>
      <c r="G249" s="2">
        <v>6</v>
      </c>
      <c r="H249" s="2">
        <v>5</v>
      </c>
      <c r="I249" s="2">
        <v>13</v>
      </c>
      <c r="J249" s="2">
        <v>7</v>
      </c>
      <c r="K249" s="2">
        <v>6</v>
      </c>
      <c r="L249" s="2">
        <v>2</v>
      </c>
      <c r="M249" s="2">
        <v>1</v>
      </c>
      <c r="N249" s="2">
        <v>1</v>
      </c>
      <c r="O249" s="2">
        <v>5</v>
      </c>
      <c r="P249" s="2">
        <v>3</v>
      </c>
      <c r="Q249" s="2">
        <v>2</v>
      </c>
      <c r="R249" s="2">
        <v>6</v>
      </c>
      <c r="S249" s="2">
        <v>3</v>
      </c>
      <c r="T249" s="2">
        <v>3</v>
      </c>
      <c r="U249" s="2">
        <v>20</v>
      </c>
      <c r="V249" s="2">
        <v>9</v>
      </c>
      <c r="W249" s="2">
        <v>11</v>
      </c>
      <c r="X249" s="2">
        <v>13</v>
      </c>
      <c r="Y249" s="2">
        <v>4</v>
      </c>
      <c r="Z249" s="2">
        <v>9</v>
      </c>
    </row>
    <row r="250" spans="1:26" hidden="1" x14ac:dyDescent="0.45">
      <c r="A250" s="2">
        <v>322</v>
      </c>
      <c r="B250" s="2">
        <v>13</v>
      </c>
      <c r="C250" s="2"/>
      <c r="D250" s="2">
        <v>15</v>
      </c>
      <c r="E250" s="3" t="s">
        <v>41</v>
      </c>
      <c r="F250" s="2">
        <v>11</v>
      </c>
      <c r="G250" s="2">
        <v>6</v>
      </c>
      <c r="H250" s="2">
        <v>5</v>
      </c>
      <c r="I250" s="2">
        <v>13</v>
      </c>
      <c r="J250" s="2">
        <v>7</v>
      </c>
      <c r="K250" s="2">
        <v>6</v>
      </c>
      <c r="L250" s="2">
        <v>2</v>
      </c>
      <c r="M250" s="2">
        <v>1</v>
      </c>
      <c r="N250" s="2">
        <v>1</v>
      </c>
      <c r="O250" s="2">
        <v>5</v>
      </c>
      <c r="P250" s="2">
        <v>3</v>
      </c>
      <c r="Q250" s="2">
        <v>2</v>
      </c>
      <c r="R250" s="2">
        <v>6</v>
      </c>
      <c r="S250" s="2">
        <v>3</v>
      </c>
      <c r="T250" s="2">
        <v>3</v>
      </c>
      <c r="U250" s="2">
        <v>17</v>
      </c>
      <c r="V250" s="2">
        <v>10</v>
      </c>
      <c r="W250" s="2">
        <v>7</v>
      </c>
      <c r="X250" s="2">
        <v>9</v>
      </c>
      <c r="Y250" s="2">
        <v>6</v>
      </c>
      <c r="Z250" s="2">
        <v>3</v>
      </c>
    </row>
    <row r="251" spans="1:26" hidden="1" x14ac:dyDescent="0.45">
      <c r="A251" s="2">
        <v>334</v>
      </c>
      <c r="B251" s="2">
        <v>13</v>
      </c>
      <c r="C251" s="2"/>
      <c r="D251" s="2">
        <v>18</v>
      </c>
      <c r="E251" s="3" t="s">
        <v>32</v>
      </c>
      <c r="F251" s="2">
        <v>10</v>
      </c>
      <c r="G251" s="2">
        <v>6</v>
      </c>
      <c r="H251" s="2">
        <v>4</v>
      </c>
      <c r="I251" s="2">
        <v>13</v>
      </c>
      <c r="J251" s="2">
        <v>7</v>
      </c>
      <c r="K251" s="2">
        <v>6</v>
      </c>
      <c r="L251" s="2">
        <v>1</v>
      </c>
      <c r="M251" s="2">
        <v>1</v>
      </c>
      <c r="N251" s="2">
        <v>0</v>
      </c>
      <c r="O251" s="2">
        <v>7</v>
      </c>
      <c r="P251" s="2">
        <v>3</v>
      </c>
      <c r="Q251" s="2">
        <v>4</v>
      </c>
      <c r="R251" s="2">
        <v>5</v>
      </c>
      <c r="S251" s="2">
        <v>3</v>
      </c>
      <c r="T251" s="2">
        <v>2</v>
      </c>
      <c r="U251" s="2">
        <v>18</v>
      </c>
      <c r="V251" s="2">
        <v>4</v>
      </c>
      <c r="W251" s="2">
        <v>14</v>
      </c>
      <c r="X251" s="2">
        <v>10</v>
      </c>
      <c r="Y251" s="2">
        <v>1</v>
      </c>
      <c r="Z251" s="2">
        <v>9</v>
      </c>
    </row>
    <row r="252" spans="1:26" hidden="1" x14ac:dyDescent="0.45">
      <c r="A252" s="2">
        <v>338</v>
      </c>
      <c r="B252" s="2">
        <v>13</v>
      </c>
      <c r="C252" s="2"/>
      <c r="D252" s="2">
        <v>14</v>
      </c>
      <c r="E252" s="3" t="s">
        <v>38</v>
      </c>
      <c r="F252" s="2">
        <v>13</v>
      </c>
      <c r="G252" s="2">
        <v>6</v>
      </c>
      <c r="H252" s="2">
        <v>7</v>
      </c>
      <c r="I252" s="2">
        <v>13</v>
      </c>
      <c r="J252" s="2">
        <v>7</v>
      </c>
      <c r="K252" s="2">
        <v>6</v>
      </c>
      <c r="L252" s="2">
        <v>3</v>
      </c>
      <c r="M252" s="2">
        <v>1</v>
      </c>
      <c r="N252" s="2">
        <v>2</v>
      </c>
      <c r="O252" s="2">
        <v>4</v>
      </c>
      <c r="P252" s="2">
        <v>3</v>
      </c>
      <c r="Q252" s="2">
        <v>1</v>
      </c>
      <c r="R252" s="2">
        <v>6</v>
      </c>
      <c r="S252" s="2">
        <v>3</v>
      </c>
      <c r="T252" s="2">
        <v>3</v>
      </c>
      <c r="U252" s="2">
        <v>17</v>
      </c>
      <c r="V252" s="2">
        <v>8</v>
      </c>
      <c r="W252" s="2">
        <v>9</v>
      </c>
      <c r="X252" s="2">
        <v>10</v>
      </c>
      <c r="Y252" s="2">
        <v>5</v>
      </c>
      <c r="Z252" s="2">
        <v>5</v>
      </c>
    </row>
    <row r="253" spans="1:26" hidden="1" x14ac:dyDescent="0.45">
      <c r="A253" s="2">
        <v>341</v>
      </c>
      <c r="B253" s="2">
        <v>13</v>
      </c>
      <c r="C253" s="2"/>
      <c r="D253" s="2">
        <v>19</v>
      </c>
      <c r="E253" s="3" t="s">
        <v>34</v>
      </c>
      <c r="F253" s="2">
        <v>6</v>
      </c>
      <c r="G253" s="2">
        <v>2</v>
      </c>
      <c r="H253" s="2">
        <v>4</v>
      </c>
      <c r="I253" s="2">
        <v>13</v>
      </c>
      <c r="J253" s="2">
        <v>6</v>
      </c>
      <c r="K253" s="2">
        <v>7</v>
      </c>
      <c r="L253" s="2">
        <v>0</v>
      </c>
      <c r="M253" s="2">
        <v>0</v>
      </c>
      <c r="N253" s="2">
        <v>0</v>
      </c>
      <c r="O253" s="2">
        <v>6</v>
      </c>
      <c r="P253" s="2">
        <v>2</v>
      </c>
      <c r="Q253" s="2">
        <v>4</v>
      </c>
      <c r="R253" s="2">
        <v>7</v>
      </c>
      <c r="S253" s="2">
        <v>4</v>
      </c>
      <c r="T253" s="2">
        <v>3</v>
      </c>
      <c r="U253" s="2">
        <v>21</v>
      </c>
      <c r="V253" s="2">
        <v>11</v>
      </c>
      <c r="W253" s="2">
        <v>10</v>
      </c>
      <c r="X253" s="2">
        <v>10</v>
      </c>
      <c r="Y253" s="2">
        <v>6</v>
      </c>
      <c r="Z253" s="2">
        <v>4</v>
      </c>
    </row>
    <row r="254" spans="1:26" hidden="1" x14ac:dyDescent="0.45">
      <c r="A254" s="2">
        <v>343</v>
      </c>
      <c r="B254" s="2">
        <v>13</v>
      </c>
      <c r="C254" s="2"/>
      <c r="D254" s="2">
        <v>3</v>
      </c>
      <c r="E254" s="3" t="s">
        <v>25</v>
      </c>
      <c r="F254" s="2">
        <v>27</v>
      </c>
      <c r="G254" s="2">
        <v>15</v>
      </c>
      <c r="H254" s="2">
        <v>12</v>
      </c>
      <c r="I254" s="2">
        <v>13</v>
      </c>
      <c r="J254" s="2">
        <v>7</v>
      </c>
      <c r="K254" s="2">
        <v>6</v>
      </c>
      <c r="L254" s="2">
        <v>9</v>
      </c>
      <c r="M254" s="2">
        <v>5</v>
      </c>
      <c r="N254" s="2">
        <v>4</v>
      </c>
      <c r="O254" s="2">
        <v>0</v>
      </c>
      <c r="P254" s="2">
        <v>0</v>
      </c>
      <c r="Q254" s="2">
        <v>0</v>
      </c>
      <c r="R254" s="2">
        <v>4</v>
      </c>
      <c r="S254" s="2">
        <v>2</v>
      </c>
      <c r="T254" s="2">
        <v>2</v>
      </c>
      <c r="U254" s="2">
        <v>13</v>
      </c>
      <c r="V254" s="2">
        <v>5</v>
      </c>
      <c r="W254" s="2">
        <v>8</v>
      </c>
      <c r="X254" s="2">
        <v>28</v>
      </c>
      <c r="Y254" s="2">
        <v>17</v>
      </c>
      <c r="Z254" s="2">
        <v>11</v>
      </c>
    </row>
    <row r="255" spans="1:26" hidden="1" x14ac:dyDescent="0.45">
      <c r="A255" s="2">
        <v>345</v>
      </c>
      <c r="B255" s="2">
        <v>13</v>
      </c>
      <c r="C255" s="2"/>
      <c r="D255" s="2">
        <v>1</v>
      </c>
      <c r="E255" s="3" t="s">
        <v>26</v>
      </c>
      <c r="F255" s="2">
        <v>28</v>
      </c>
      <c r="G255" s="2">
        <v>16</v>
      </c>
      <c r="H255" s="2">
        <v>12</v>
      </c>
      <c r="I255" s="2">
        <v>13</v>
      </c>
      <c r="J255" s="2">
        <v>6</v>
      </c>
      <c r="K255" s="2">
        <v>7</v>
      </c>
      <c r="L255" s="2">
        <v>9</v>
      </c>
      <c r="M255" s="2">
        <v>5</v>
      </c>
      <c r="N255" s="2">
        <v>4</v>
      </c>
      <c r="O255" s="2">
        <v>1</v>
      </c>
      <c r="P255" s="2">
        <v>1</v>
      </c>
      <c r="Q255" s="2">
        <v>0</v>
      </c>
      <c r="R255" s="2">
        <v>3</v>
      </c>
      <c r="S255" s="2">
        <v>0</v>
      </c>
      <c r="T255" s="2">
        <v>3</v>
      </c>
      <c r="U255" s="2">
        <v>11</v>
      </c>
      <c r="V255" s="2">
        <v>5</v>
      </c>
      <c r="W255" s="2">
        <v>6</v>
      </c>
      <c r="X255" s="2">
        <v>20</v>
      </c>
      <c r="Y255" s="2">
        <v>12</v>
      </c>
      <c r="Z255" s="2">
        <v>8</v>
      </c>
    </row>
    <row r="256" spans="1:26" hidden="1" x14ac:dyDescent="0.45">
      <c r="A256" s="2">
        <v>346</v>
      </c>
      <c r="B256" s="2">
        <v>13</v>
      </c>
      <c r="C256" s="2"/>
      <c r="D256" s="2">
        <v>3</v>
      </c>
      <c r="E256" s="3" t="s">
        <v>30</v>
      </c>
      <c r="F256" s="2">
        <v>27</v>
      </c>
      <c r="G256" s="2">
        <v>12</v>
      </c>
      <c r="H256" s="2">
        <v>15</v>
      </c>
      <c r="I256" s="2">
        <v>13</v>
      </c>
      <c r="J256" s="2">
        <v>7</v>
      </c>
      <c r="K256" s="2">
        <v>6</v>
      </c>
      <c r="L256" s="2">
        <v>9</v>
      </c>
      <c r="M256" s="2">
        <v>4</v>
      </c>
      <c r="N256" s="2">
        <v>5</v>
      </c>
      <c r="O256" s="2">
        <v>0</v>
      </c>
      <c r="P256" s="2">
        <v>0</v>
      </c>
      <c r="Q256" s="2">
        <v>0</v>
      </c>
      <c r="R256" s="2">
        <v>4</v>
      </c>
      <c r="S256" s="2">
        <v>3</v>
      </c>
      <c r="T256" s="2">
        <v>1</v>
      </c>
      <c r="U256" s="2">
        <v>7</v>
      </c>
      <c r="V256" s="2">
        <v>4</v>
      </c>
      <c r="W256" s="2">
        <v>3</v>
      </c>
      <c r="X256" s="2">
        <v>15</v>
      </c>
      <c r="Y256" s="2">
        <v>7</v>
      </c>
      <c r="Z256" s="2">
        <v>8</v>
      </c>
    </row>
    <row r="257" spans="1:26" hidden="1" x14ac:dyDescent="0.45">
      <c r="A257" s="2">
        <v>350</v>
      </c>
      <c r="B257" s="2">
        <v>13</v>
      </c>
      <c r="C257" s="2"/>
      <c r="D257" s="2">
        <v>13</v>
      </c>
      <c r="E257" s="3" t="s">
        <v>44</v>
      </c>
      <c r="F257" s="2">
        <v>14</v>
      </c>
      <c r="G257" s="2">
        <v>8</v>
      </c>
      <c r="H257" s="2">
        <v>6</v>
      </c>
      <c r="I257" s="2">
        <v>13</v>
      </c>
      <c r="J257" s="2">
        <v>6</v>
      </c>
      <c r="K257" s="2">
        <v>7</v>
      </c>
      <c r="L257" s="2">
        <v>3</v>
      </c>
      <c r="M257" s="2">
        <v>2</v>
      </c>
      <c r="N257" s="2">
        <v>1</v>
      </c>
      <c r="O257" s="2">
        <v>5</v>
      </c>
      <c r="P257" s="2">
        <v>2</v>
      </c>
      <c r="Q257" s="2">
        <v>3</v>
      </c>
      <c r="R257" s="2">
        <v>5</v>
      </c>
      <c r="S257" s="2">
        <v>2</v>
      </c>
      <c r="T257" s="2">
        <v>3</v>
      </c>
      <c r="U257" s="2">
        <v>23</v>
      </c>
      <c r="V257" s="2">
        <v>11</v>
      </c>
      <c r="W257" s="2">
        <v>12</v>
      </c>
      <c r="X257" s="2">
        <v>12</v>
      </c>
      <c r="Y257" s="2">
        <v>6</v>
      </c>
      <c r="Z257" s="2">
        <v>6</v>
      </c>
    </row>
    <row r="258" spans="1:26" hidden="1" x14ac:dyDescent="0.45">
      <c r="A258" s="2">
        <v>351</v>
      </c>
      <c r="B258" s="2">
        <v>13</v>
      </c>
      <c r="C258" s="2"/>
      <c r="D258" s="2">
        <v>5</v>
      </c>
      <c r="E258" s="3" t="s">
        <v>27</v>
      </c>
      <c r="F258" s="2">
        <v>24</v>
      </c>
      <c r="G258" s="2">
        <v>15</v>
      </c>
      <c r="H258" s="2">
        <v>9</v>
      </c>
      <c r="I258" s="2">
        <v>13</v>
      </c>
      <c r="J258" s="2">
        <v>7</v>
      </c>
      <c r="K258" s="2">
        <v>6</v>
      </c>
      <c r="L258" s="2">
        <v>6</v>
      </c>
      <c r="M258" s="2">
        <v>4</v>
      </c>
      <c r="N258" s="2">
        <v>2</v>
      </c>
      <c r="O258" s="2">
        <v>6</v>
      </c>
      <c r="P258" s="2">
        <v>3</v>
      </c>
      <c r="Q258" s="2">
        <v>3</v>
      </c>
      <c r="R258" s="2">
        <v>1</v>
      </c>
      <c r="S258" s="2">
        <v>0</v>
      </c>
      <c r="T258" s="2">
        <v>1</v>
      </c>
      <c r="U258" s="2">
        <v>7</v>
      </c>
      <c r="V258" s="2">
        <v>3</v>
      </c>
      <c r="W258" s="2">
        <v>4</v>
      </c>
      <c r="X258" s="2">
        <v>19</v>
      </c>
      <c r="Y258" s="2">
        <v>11</v>
      </c>
      <c r="Z258" s="2">
        <v>8</v>
      </c>
    </row>
    <row r="259" spans="1:26" hidden="1" x14ac:dyDescent="0.45">
      <c r="A259" s="2">
        <v>354</v>
      </c>
      <c r="B259" s="2">
        <v>13</v>
      </c>
      <c r="C259" s="2"/>
      <c r="D259" s="2">
        <v>12</v>
      </c>
      <c r="E259" s="3" t="s">
        <v>35</v>
      </c>
      <c r="F259" s="2">
        <v>16</v>
      </c>
      <c r="G259" s="2">
        <v>10</v>
      </c>
      <c r="H259" s="2">
        <v>6</v>
      </c>
      <c r="I259" s="2">
        <v>13</v>
      </c>
      <c r="J259" s="2">
        <v>7</v>
      </c>
      <c r="K259" s="2">
        <v>6</v>
      </c>
      <c r="L259" s="2">
        <v>3</v>
      </c>
      <c r="M259" s="2">
        <v>2</v>
      </c>
      <c r="N259" s="2">
        <v>1</v>
      </c>
      <c r="O259" s="2">
        <v>7</v>
      </c>
      <c r="P259" s="2">
        <v>4</v>
      </c>
      <c r="Q259" s="2">
        <v>3</v>
      </c>
      <c r="R259" s="2">
        <v>3</v>
      </c>
      <c r="S259" s="2">
        <v>1</v>
      </c>
      <c r="T259" s="2">
        <v>2</v>
      </c>
      <c r="U259" s="2">
        <v>14</v>
      </c>
      <c r="V259" s="2">
        <v>7</v>
      </c>
      <c r="W259" s="2">
        <v>7</v>
      </c>
      <c r="X259" s="2">
        <v>16</v>
      </c>
      <c r="Y259" s="2">
        <v>9</v>
      </c>
      <c r="Z259" s="2">
        <v>7</v>
      </c>
    </row>
    <row r="260" spans="1:26" hidden="1" x14ac:dyDescent="0.45">
      <c r="A260" s="2">
        <v>355</v>
      </c>
      <c r="B260" s="2">
        <v>13</v>
      </c>
      <c r="C260" s="2"/>
      <c r="D260" s="2">
        <v>5</v>
      </c>
      <c r="E260" s="3" t="s">
        <v>40</v>
      </c>
      <c r="F260" s="2">
        <v>24</v>
      </c>
      <c r="G260" s="2">
        <v>13</v>
      </c>
      <c r="H260" s="2">
        <v>11</v>
      </c>
      <c r="I260" s="2">
        <v>13</v>
      </c>
      <c r="J260" s="2">
        <v>6</v>
      </c>
      <c r="K260" s="2">
        <v>7</v>
      </c>
      <c r="L260" s="2">
        <v>7</v>
      </c>
      <c r="M260" s="2">
        <v>4</v>
      </c>
      <c r="N260" s="2">
        <v>3</v>
      </c>
      <c r="O260" s="2">
        <v>3</v>
      </c>
      <c r="P260" s="2">
        <v>1</v>
      </c>
      <c r="Q260" s="2">
        <v>2</v>
      </c>
      <c r="R260" s="2">
        <v>3</v>
      </c>
      <c r="S260" s="2">
        <v>1</v>
      </c>
      <c r="T260" s="2">
        <v>2</v>
      </c>
      <c r="U260" s="2">
        <v>11</v>
      </c>
      <c r="V260" s="2">
        <v>4</v>
      </c>
      <c r="W260" s="2">
        <v>7</v>
      </c>
      <c r="X260" s="2">
        <v>22</v>
      </c>
      <c r="Y260" s="2">
        <v>10</v>
      </c>
      <c r="Z260" s="2">
        <v>12</v>
      </c>
    </row>
    <row r="261" spans="1:26" hidden="1" x14ac:dyDescent="0.45">
      <c r="A261" s="2">
        <v>356</v>
      </c>
      <c r="B261" s="2">
        <v>13</v>
      </c>
      <c r="C261" s="2"/>
      <c r="D261" s="2">
        <v>10</v>
      </c>
      <c r="E261" s="3" t="s">
        <v>29</v>
      </c>
      <c r="F261" s="2">
        <v>17</v>
      </c>
      <c r="G261" s="2">
        <v>6</v>
      </c>
      <c r="H261" s="2">
        <v>11</v>
      </c>
      <c r="I261" s="2">
        <v>13</v>
      </c>
      <c r="J261" s="2">
        <v>6</v>
      </c>
      <c r="K261" s="2">
        <v>7</v>
      </c>
      <c r="L261" s="2">
        <v>4</v>
      </c>
      <c r="M261" s="2">
        <v>1</v>
      </c>
      <c r="N261" s="2">
        <v>3</v>
      </c>
      <c r="O261" s="2">
        <v>5</v>
      </c>
      <c r="P261" s="2">
        <v>3</v>
      </c>
      <c r="Q261" s="2">
        <v>2</v>
      </c>
      <c r="R261" s="2">
        <v>4</v>
      </c>
      <c r="S261" s="2">
        <v>2</v>
      </c>
      <c r="T261" s="2">
        <v>2</v>
      </c>
      <c r="U261" s="2">
        <v>17</v>
      </c>
      <c r="V261" s="2">
        <v>9</v>
      </c>
      <c r="W261" s="2">
        <v>8</v>
      </c>
      <c r="X261" s="2">
        <v>16</v>
      </c>
      <c r="Y261" s="2">
        <v>7</v>
      </c>
      <c r="Z261" s="2">
        <v>9</v>
      </c>
    </row>
    <row r="262" spans="1:26" hidden="1" x14ac:dyDescent="0.45">
      <c r="A262" s="2">
        <v>377</v>
      </c>
      <c r="B262" s="2">
        <v>14</v>
      </c>
      <c r="C262" s="2"/>
      <c r="D262" s="2">
        <v>1</v>
      </c>
      <c r="E262" s="3" t="s">
        <v>39</v>
      </c>
      <c r="F262" s="2">
        <v>31</v>
      </c>
      <c r="G262" s="2">
        <v>16</v>
      </c>
      <c r="H262" s="2">
        <v>15</v>
      </c>
      <c r="I262" s="2">
        <v>14</v>
      </c>
      <c r="J262" s="2">
        <v>7</v>
      </c>
      <c r="K262" s="2">
        <v>7</v>
      </c>
      <c r="L262" s="2">
        <v>9</v>
      </c>
      <c r="M262" s="2">
        <v>5</v>
      </c>
      <c r="N262" s="2">
        <v>4</v>
      </c>
      <c r="O262" s="2">
        <v>4</v>
      </c>
      <c r="P262" s="2">
        <v>1</v>
      </c>
      <c r="Q262" s="2">
        <v>3</v>
      </c>
      <c r="R262" s="2">
        <v>1</v>
      </c>
      <c r="S262" s="2">
        <v>1</v>
      </c>
      <c r="T262" s="2">
        <v>0</v>
      </c>
      <c r="U262" s="2">
        <v>11</v>
      </c>
      <c r="V262" s="2">
        <v>6</v>
      </c>
      <c r="W262" s="2">
        <v>5</v>
      </c>
      <c r="X262" s="2">
        <v>22</v>
      </c>
      <c r="Y262" s="2">
        <v>10</v>
      </c>
      <c r="Z262" s="2">
        <v>12</v>
      </c>
    </row>
    <row r="263" spans="1:26" hidden="1" x14ac:dyDescent="0.45">
      <c r="A263" s="2">
        <v>378</v>
      </c>
      <c r="B263" s="2">
        <v>14</v>
      </c>
      <c r="C263" s="2"/>
      <c r="D263" s="2">
        <v>1</v>
      </c>
      <c r="E263" s="3" t="s">
        <v>26</v>
      </c>
      <c r="F263" s="2">
        <v>31</v>
      </c>
      <c r="G263" s="2">
        <v>19</v>
      </c>
      <c r="H263" s="2">
        <v>12</v>
      </c>
      <c r="I263" s="2">
        <v>14</v>
      </c>
      <c r="J263" s="2">
        <v>7</v>
      </c>
      <c r="K263" s="2">
        <v>7</v>
      </c>
      <c r="L263" s="2">
        <v>10</v>
      </c>
      <c r="M263" s="2">
        <v>6</v>
      </c>
      <c r="N263" s="2">
        <v>4</v>
      </c>
      <c r="O263" s="2">
        <v>1</v>
      </c>
      <c r="P263" s="2">
        <v>1</v>
      </c>
      <c r="Q263" s="2">
        <v>0</v>
      </c>
      <c r="R263" s="2">
        <v>3</v>
      </c>
      <c r="S263" s="2">
        <v>0</v>
      </c>
      <c r="T263" s="2">
        <v>3</v>
      </c>
      <c r="U263" s="2">
        <v>12</v>
      </c>
      <c r="V263" s="2">
        <v>6</v>
      </c>
      <c r="W263" s="2">
        <v>6</v>
      </c>
      <c r="X263" s="2">
        <v>22</v>
      </c>
      <c r="Y263" s="2">
        <v>14</v>
      </c>
      <c r="Z263" s="2">
        <v>8</v>
      </c>
    </row>
    <row r="264" spans="1:26" hidden="1" x14ac:dyDescent="0.45">
      <c r="A264" s="2">
        <v>379</v>
      </c>
      <c r="B264" s="2">
        <v>14</v>
      </c>
      <c r="C264" s="2"/>
      <c r="D264" s="2">
        <v>3</v>
      </c>
      <c r="E264" s="3" t="s">
        <v>25</v>
      </c>
      <c r="F264" s="2">
        <v>30</v>
      </c>
      <c r="G264" s="2">
        <v>18</v>
      </c>
      <c r="H264" s="2">
        <v>12</v>
      </c>
      <c r="I264" s="2">
        <v>14</v>
      </c>
      <c r="J264" s="2">
        <v>8</v>
      </c>
      <c r="K264" s="2">
        <v>6</v>
      </c>
      <c r="L264" s="2">
        <v>10</v>
      </c>
      <c r="M264" s="2">
        <v>6</v>
      </c>
      <c r="N264" s="2">
        <v>4</v>
      </c>
      <c r="O264" s="2">
        <v>0</v>
      </c>
      <c r="P264" s="2">
        <v>0</v>
      </c>
      <c r="Q264" s="2">
        <v>0</v>
      </c>
      <c r="R264" s="2">
        <v>4</v>
      </c>
      <c r="S264" s="2">
        <v>2</v>
      </c>
      <c r="T264" s="2">
        <v>2</v>
      </c>
      <c r="U264" s="2">
        <v>13</v>
      </c>
      <c r="V264" s="2">
        <v>5</v>
      </c>
      <c r="W264" s="2">
        <v>8</v>
      </c>
      <c r="X264" s="2">
        <v>32</v>
      </c>
      <c r="Y264" s="2">
        <v>21</v>
      </c>
      <c r="Z264" s="2">
        <v>11</v>
      </c>
    </row>
    <row r="265" spans="1:26" hidden="1" x14ac:dyDescent="0.45">
      <c r="A265" s="2">
        <v>380</v>
      </c>
      <c r="B265" s="2">
        <v>14</v>
      </c>
      <c r="C265" s="2"/>
      <c r="D265" s="2">
        <v>4</v>
      </c>
      <c r="E265" s="3" t="s">
        <v>30</v>
      </c>
      <c r="F265" s="2">
        <v>27</v>
      </c>
      <c r="G265" s="2">
        <v>12</v>
      </c>
      <c r="H265" s="2">
        <v>15</v>
      </c>
      <c r="I265" s="2">
        <v>14</v>
      </c>
      <c r="J265" s="2">
        <v>7</v>
      </c>
      <c r="K265" s="2">
        <v>7</v>
      </c>
      <c r="L265" s="2">
        <v>9</v>
      </c>
      <c r="M265" s="2">
        <v>4</v>
      </c>
      <c r="N265" s="2">
        <v>5</v>
      </c>
      <c r="O265" s="2">
        <v>0</v>
      </c>
      <c r="P265" s="2">
        <v>0</v>
      </c>
      <c r="Q265" s="2">
        <v>0</v>
      </c>
      <c r="R265" s="2">
        <v>5</v>
      </c>
      <c r="S265" s="2">
        <v>3</v>
      </c>
      <c r="T265" s="2">
        <v>2</v>
      </c>
      <c r="U265" s="2">
        <v>8</v>
      </c>
      <c r="V265" s="2">
        <v>4</v>
      </c>
      <c r="W265" s="2">
        <v>4</v>
      </c>
      <c r="X265" s="2">
        <v>15</v>
      </c>
      <c r="Y265" s="2">
        <v>7</v>
      </c>
      <c r="Z265" s="2">
        <v>8</v>
      </c>
    </row>
    <row r="266" spans="1:26" hidden="1" x14ac:dyDescent="0.45">
      <c r="A266" s="2">
        <v>381</v>
      </c>
      <c r="B266" s="2">
        <v>14</v>
      </c>
      <c r="C266" s="2"/>
      <c r="D266" s="2">
        <v>5</v>
      </c>
      <c r="E266" s="3" t="s">
        <v>40</v>
      </c>
      <c r="F266" s="2">
        <v>25</v>
      </c>
      <c r="G266" s="2">
        <v>13</v>
      </c>
      <c r="H266" s="2">
        <v>12</v>
      </c>
      <c r="I266" s="2">
        <v>14</v>
      </c>
      <c r="J266" s="2">
        <v>6</v>
      </c>
      <c r="K266" s="2">
        <v>8</v>
      </c>
      <c r="L266" s="2">
        <v>7</v>
      </c>
      <c r="M266" s="2">
        <v>4</v>
      </c>
      <c r="N266" s="2">
        <v>3</v>
      </c>
      <c r="O266" s="2">
        <v>4</v>
      </c>
      <c r="P266" s="2">
        <v>1</v>
      </c>
      <c r="Q266" s="2">
        <v>3</v>
      </c>
      <c r="R266" s="2">
        <v>3</v>
      </c>
      <c r="S266" s="2">
        <v>1</v>
      </c>
      <c r="T266" s="2">
        <v>2</v>
      </c>
      <c r="U266" s="2">
        <v>12</v>
      </c>
      <c r="V266" s="2">
        <v>4</v>
      </c>
      <c r="W266" s="2">
        <v>8</v>
      </c>
      <c r="X266" s="2">
        <v>23</v>
      </c>
      <c r="Y266" s="2">
        <v>10</v>
      </c>
      <c r="Z266" s="2">
        <v>13</v>
      </c>
    </row>
    <row r="267" spans="1:26" hidden="1" x14ac:dyDescent="0.45">
      <c r="A267" s="2">
        <v>382</v>
      </c>
      <c r="B267" s="2">
        <v>14</v>
      </c>
      <c r="C267" s="2"/>
      <c r="D267" s="2">
        <v>6</v>
      </c>
      <c r="E267" s="3" t="s">
        <v>27</v>
      </c>
      <c r="F267" s="2">
        <v>24</v>
      </c>
      <c r="G267" s="2">
        <v>15</v>
      </c>
      <c r="H267" s="2">
        <v>9</v>
      </c>
      <c r="I267" s="2">
        <v>14</v>
      </c>
      <c r="J267" s="2">
        <v>7</v>
      </c>
      <c r="K267" s="2">
        <v>7</v>
      </c>
      <c r="L267" s="2">
        <v>6</v>
      </c>
      <c r="M267" s="2">
        <v>4</v>
      </c>
      <c r="N267" s="2">
        <v>2</v>
      </c>
      <c r="O267" s="2">
        <v>6</v>
      </c>
      <c r="P267" s="2">
        <v>3</v>
      </c>
      <c r="Q267" s="2">
        <v>3</v>
      </c>
      <c r="R267" s="2">
        <v>2</v>
      </c>
      <c r="S267" s="2">
        <v>0</v>
      </c>
      <c r="T267" s="2">
        <v>2</v>
      </c>
      <c r="U267" s="2">
        <v>11</v>
      </c>
      <c r="V267" s="2">
        <v>3</v>
      </c>
      <c r="W267" s="2">
        <v>8</v>
      </c>
      <c r="X267" s="2">
        <v>19</v>
      </c>
      <c r="Y267" s="2">
        <v>11</v>
      </c>
      <c r="Z267" s="2">
        <v>8</v>
      </c>
    </row>
    <row r="268" spans="1:26" hidden="1" x14ac:dyDescent="0.45">
      <c r="A268" s="2">
        <v>383</v>
      </c>
      <c r="B268" s="2">
        <v>14</v>
      </c>
      <c r="C268" s="2"/>
      <c r="D268" s="2">
        <v>7</v>
      </c>
      <c r="E268" s="3" t="s">
        <v>28</v>
      </c>
      <c r="F268" s="2">
        <v>23</v>
      </c>
      <c r="G268" s="2">
        <v>15</v>
      </c>
      <c r="H268" s="2">
        <v>8</v>
      </c>
      <c r="I268" s="2">
        <v>14</v>
      </c>
      <c r="J268" s="2">
        <v>7</v>
      </c>
      <c r="K268" s="2">
        <v>7</v>
      </c>
      <c r="L268" s="2">
        <v>6</v>
      </c>
      <c r="M268" s="2">
        <v>4</v>
      </c>
      <c r="N268" s="2">
        <v>2</v>
      </c>
      <c r="O268" s="2">
        <v>5</v>
      </c>
      <c r="P268" s="2">
        <v>3</v>
      </c>
      <c r="Q268" s="2">
        <v>2</v>
      </c>
      <c r="R268" s="2">
        <v>3</v>
      </c>
      <c r="S268" s="2">
        <v>0</v>
      </c>
      <c r="T268" s="2">
        <v>3</v>
      </c>
      <c r="U268" s="2">
        <v>14</v>
      </c>
      <c r="V268" s="2">
        <v>6</v>
      </c>
      <c r="W268" s="2">
        <v>8</v>
      </c>
      <c r="X268" s="2">
        <v>18</v>
      </c>
      <c r="Y268" s="2">
        <v>12</v>
      </c>
      <c r="Z268" s="2">
        <v>6</v>
      </c>
    </row>
    <row r="269" spans="1:26" hidden="1" x14ac:dyDescent="0.45">
      <c r="A269" s="2">
        <v>384</v>
      </c>
      <c r="B269" s="2">
        <v>14</v>
      </c>
      <c r="C269" s="2"/>
      <c r="D269" s="2">
        <v>8</v>
      </c>
      <c r="E269" s="3" t="s">
        <v>43</v>
      </c>
      <c r="F269" s="2">
        <v>20</v>
      </c>
      <c r="G269" s="2">
        <v>10</v>
      </c>
      <c r="H269" s="2">
        <v>10</v>
      </c>
      <c r="I269" s="2">
        <v>14</v>
      </c>
      <c r="J269" s="2">
        <v>7</v>
      </c>
      <c r="K269" s="2">
        <v>7</v>
      </c>
      <c r="L269" s="2">
        <v>6</v>
      </c>
      <c r="M269" s="2">
        <v>3</v>
      </c>
      <c r="N269" s="2">
        <v>3</v>
      </c>
      <c r="O269" s="2">
        <v>2</v>
      </c>
      <c r="P269" s="2">
        <v>1</v>
      </c>
      <c r="Q269" s="2">
        <v>1</v>
      </c>
      <c r="R269" s="2">
        <v>6</v>
      </c>
      <c r="S269" s="2">
        <v>3</v>
      </c>
      <c r="T269" s="2">
        <v>3</v>
      </c>
      <c r="U269" s="2">
        <v>17</v>
      </c>
      <c r="V269" s="2">
        <v>9</v>
      </c>
      <c r="W269" s="2">
        <v>8</v>
      </c>
      <c r="X269" s="2">
        <v>19</v>
      </c>
      <c r="Y269" s="2">
        <v>10</v>
      </c>
      <c r="Z269" s="2">
        <v>9</v>
      </c>
    </row>
    <row r="270" spans="1:26" hidden="1" x14ac:dyDescent="0.45">
      <c r="A270" s="2">
        <v>385</v>
      </c>
      <c r="B270" s="2">
        <v>14</v>
      </c>
      <c r="C270" s="2"/>
      <c r="D270" s="2">
        <v>8</v>
      </c>
      <c r="E270" s="3" t="s">
        <v>29</v>
      </c>
      <c r="F270" s="2">
        <v>20</v>
      </c>
      <c r="G270" s="2">
        <v>9</v>
      </c>
      <c r="H270" s="2">
        <v>11</v>
      </c>
      <c r="I270" s="2">
        <v>14</v>
      </c>
      <c r="J270" s="2">
        <v>7</v>
      </c>
      <c r="K270" s="2">
        <v>7</v>
      </c>
      <c r="L270" s="2">
        <v>5</v>
      </c>
      <c r="M270" s="2">
        <v>2</v>
      </c>
      <c r="N270" s="2">
        <v>3</v>
      </c>
      <c r="O270" s="2">
        <v>5</v>
      </c>
      <c r="P270" s="2">
        <v>3</v>
      </c>
      <c r="Q270" s="2">
        <v>2</v>
      </c>
      <c r="R270" s="2">
        <v>4</v>
      </c>
      <c r="S270" s="2">
        <v>2</v>
      </c>
      <c r="T270" s="2">
        <v>2</v>
      </c>
      <c r="U270" s="2">
        <v>17</v>
      </c>
      <c r="V270" s="2">
        <v>9</v>
      </c>
      <c r="W270" s="2">
        <v>8</v>
      </c>
      <c r="X270" s="2">
        <v>18</v>
      </c>
      <c r="Y270" s="2">
        <v>9</v>
      </c>
      <c r="Z270" s="2">
        <v>9</v>
      </c>
    </row>
    <row r="271" spans="1:26" hidden="1" x14ac:dyDescent="0.45">
      <c r="A271" s="2">
        <v>386</v>
      </c>
      <c r="B271" s="2">
        <v>14</v>
      </c>
      <c r="C271" s="2"/>
      <c r="D271" s="2">
        <v>10</v>
      </c>
      <c r="E271" s="3" t="s">
        <v>42</v>
      </c>
      <c r="F271" s="2">
        <v>19</v>
      </c>
      <c r="G271" s="2">
        <v>14</v>
      </c>
      <c r="H271" s="2">
        <v>5</v>
      </c>
      <c r="I271" s="2">
        <v>14</v>
      </c>
      <c r="J271" s="2">
        <v>7</v>
      </c>
      <c r="K271" s="2">
        <v>7</v>
      </c>
      <c r="L271" s="2">
        <v>5</v>
      </c>
      <c r="M271" s="2">
        <v>4</v>
      </c>
      <c r="N271" s="2">
        <v>1</v>
      </c>
      <c r="O271" s="2">
        <v>4</v>
      </c>
      <c r="P271" s="2">
        <v>2</v>
      </c>
      <c r="Q271" s="2">
        <v>2</v>
      </c>
      <c r="R271" s="2">
        <v>5</v>
      </c>
      <c r="S271" s="2">
        <v>1</v>
      </c>
      <c r="T271" s="2">
        <v>4</v>
      </c>
      <c r="U271" s="2">
        <v>11</v>
      </c>
      <c r="V271" s="2">
        <v>5</v>
      </c>
      <c r="W271" s="2">
        <v>6</v>
      </c>
      <c r="X271" s="2">
        <v>16</v>
      </c>
      <c r="Y271" s="2">
        <v>13</v>
      </c>
      <c r="Z271" s="2">
        <v>3</v>
      </c>
    </row>
    <row r="272" spans="1:26" hidden="1" x14ac:dyDescent="0.45">
      <c r="A272" s="2">
        <v>387</v>
      </c>
      <c r="B272" s="2">
        <v>14</v>
      </c>
      <c r="C272" s="2"/>
      <c r="D272" s="2">
        <v>11</v>
      </c>
      <c r="E272" s="3" t="s">
        <v>31</v>
      </c>
      <c r="F272" s="2">
        <v>18</v>
      </c>
      <c r="G272" s="2">
        <v>8</v>
      </c>
      <c r="H272" s="2">
        <v>10</v>
      </c>
      <c r="I272" s="2">
        <v>14</v>
      </c>
      <c r="J272" s="2">
        <v>7</v>
      </c>
      <c r="K272" s="2">
        <v>7</v>
      </c>
      <c r="L272" s="2">
        <v>5</v>
      </c>
      <c r="M272" s="2">
        <v>2</v>
      </c>
      <c r="N272" s="2">
        <v>3</v>
      </c>
      <c r="O272" s="2">
        <v>3</v>
      </c>
      <c r="P272" s="2">
        <v>2</v>
      </c>
      <c r="Q272" s="2">
        <v>1</v>
      </c>
      <c r="R272" s="2">
        <v>6</v>
      </c>
      <c r="S272" s="2">
        <v>3</v>
      </c>
      <c r="T272" s="2">
        <v>3</v>
      </c>
      <c r="U272" s="2">
        <v>22</v>
      </c>
      <c r="V272" s="2">
        <v>12</v>
      </c>
      <c r="W272" s="2">
        <v>10</v>
      </c>
      <c r="X272" s="2">
        <v>15</v>
      </c>
      <c r="Y272" s="2">
        <v>7</v>
      </c>
      <c r="Z272" s="2">
        <v>8</v>
      </c>
    </row>
    <row r="273" spans="1:26" hidden="1" x14ac:dyDescent="0.45">
      <c r="A273" s="2">
        <v>388</v>
      </c>
      <c r="B273" s="2">
        <v>14</v>
      </c>
      <c r="C273" s="2"/>
      <c r="D273" s="2">
        <v>12</v>
      </c>
      <c r="E273" s="3" t="s">
        <v>35</v>
      </c>
      <c r="F273" s="2">
        <v>16</v>
      </c>
      <c r="G273" s="2">
        <v>10</v>
      </c>
      <c r="H273" s="2">
        <v>6</v>
      </c>
      <c r="I273" s="2">
        <v>14</v>
      </c>
      <c r="J273" s="2">
        <v>7</v>
      </c>
      <c r="K273" s="2">
        <v>7</v>
      </c>
      <c r="L273" s="2">
        <v>3</v>
      </c>
      <c r="M273" s="2">
        <v>2</v>
      </c>
      <c r="N273" s="2">
        <v>1</v>
      </c>
      <c r="O273" s="2">
        <v>7</v>
      </c>
      <c r="P273" s="2">
        <v>4</v>
      </c>
      <c r="Q273" s="2">
        <v>3</v>
      </c>
      <c r="R273" s="2">
        <v>4</v>
      </c>
      <c r="S273" s="2">
        <v>1</v>
      </c>
      <c r="T273" s="2">
        <v>3</v>
      </c>
      <c r="U273" s="2">
        <v>17</v>
      </c>
      <c r="V273" s="2">
        <v>7</v>
      </c>
      <c r="W273" s="2">
        <v>10</v>
      </c>
      <c r="X273" s="2">
        <v>17</v>
      </c>
      <c r="Y273" s="2">
        <v>9</v>
      </c>
      <c r="Z273" s="2">
        <v>8</v>
      </c>
    </row>
    <row r="274" spans="1:26" hidden="1" x14ac:dyDescent="0.45">
      <c r="A274" s="2">
        <v>389</v>
      </c>
      <c r="B274" s="2">
        <v>14</v>
      </c>
      <c r="C274" s="2"/>
      <c r="D274" s="2">
        <v>13</v>
      </c>
      <c r="E274" s="3" t="s">
        <v>36</v>
      </c>
      <c r="F274" s="2">
        <v>14</v>
      </c>
      <c r="G274" s="2">
        <v>8</v>
      </c>
      <c r="H274" s="2">
        <v>6</v>
      </c>
      <c r="I274" s="2">
        <v>14</v>
      </c>
      <c r="J274" s="2">
        <v>7</v>
      </c>
      <c r="K274" s="2">
        <v>7</v>
      </c>
      <c r="L274" s="2">
        <v>3</v>
      </c>
      <c r="M274" s="2">
        <v>2</v>
      </c>
      <c r="N274" s="2">
        <v>1</v>
      </c>
      <c r="O274" s="2">
        <v>5</v>
      </c>
      <c r="P274" s="2">
        <v>2</v>
      </c>
      <c r="Q274" s="2">
        <v>3</v>
      </c>
      <c r="R274" s="2">
        <v>6</v>
      </c>
      <c r="S274" s="2">
        <v>3</v>
      </c>
      <c r="T274" s="2">
        <v>3</v>
      </c>
      <c r="U274" s="2">
        <v>19</v>
      </c>
      <c r="V274" s="2">
        <v>10</v>
      </c>
      <c r="W274" s="2">
        <v>9</v>
      </c>
      <c r="X274" s="2">
        <v>14</v>
      </c>
      <c r="Y274" s="2">
        <v>8</v>
      </c>
      <c r="Z274" s="2">
        <v>6</v>
      </c>
    </row>
    <row r="275" spans="1:26" hidden="1" x14ac:dyDescent="0.45">
      <c r="A275" s="2">
        <v>390</v>
      </c>
      <c r="B275" s="2">
        <v>14</v>
      </c>
      <c r="C275" s="2"/>
      <c r="D275" s="2">
        <v>13</v>
      </c>
      <c r="E275" s="3" t="s">
        <v>37</v>
      </c>
      <c r="F275" s="2">
        <v>14</v>
      </c>
      <c r="G275" s="2">
        <v>6</v>
      </c>
      <c r="H275" s="2">
        <v>8</v>
      </c>
      <c r="I275" s="2">
        <v>14</v>
      </c>
      <c r="J275" s="2">
        <v>7</v>
      </c>
      <c r="K275" s="2">
        <v>7</v>
      </c>
      <c r="L275" s="2">
        <v>3</v>
      </c>
      <c r="M275" s="2">
        <v>1</v>
      </c>
      <c r="N275" s="2">
        <v>2</v>
      </c>
      <c r="O275" s="2">
        <v>5</v>
      </c>
      <c r="P275" s="2">
        <v>3</v>
      </c>
      <c r="Q275" s="2">
        <v>2</v>
      </c>
      <c r="R275" s="2">
        <v>6</v>
      </c>
      <c r="S275" s="2">
        <v>3</v>
      </c>
      <c r="T275" s="2">
        <v>3</v>
      </c>
      <c r="U275" s="2">
        <v>21</v>
      </c>
      <c r="V275" s="2">
        <v>9</v>
      </c>
      <c r="W275" s="2">
        <v>12</v>
      </c>
      <c r="X275" s="2">
        <v>15</v>
      </c>
      <c r="Y275" s="2">
        <v>4</v>
      </c>
      <c r="Z275" s="2">
        <v>11</v>
      </c>
    </row>
    <row r="276" spans="1:26" hidden="1" x14ac:dyDescent="0.45">
      <c r="A276" s="2">
        <v>391</v>
      </c>
      <c r="B276" s="2">
        <v>14</v>
      </c>
      <c r="C276" s="2"/>
      <c r="D276" s="2">
        <v>13</v>
      </c>
      <c r="E276" s="3" t="s">
        <v>41</v>
      </c>
      <c r="F276" s="2">
        <v>14</v>
      </c>
      <c r="G276" s="2">
        <v>6</v>
      </c>
      <c r="H276" s="2">
        <v>8</v>
      </c>
      <c r="I276" s="2">
        <v>14</v>
      </c>
      <c r="J276" s="2">
        <v>7</v>
      </c>
      <c r="K276" s="2">
        <v>7</v>
      </c>
      <c r="L276" s="2">
        <v>3</v>
      </c>
      <c r="M276" s="2">
        <v>1</v>
      </c>
      <c r="N276" s="2">
        <v>2</v>
      </c>
      <c r="O276" s="2">
        <v>5</v>
      </c>
      <c r="P276" s="2">
        <v>3</v>
      </c>
      <c r="Q276" s="2">
        <v>2</v>
      </c>
      <c r="R276" s="2">
        <v>6</v>
      </c>
      <c r="S276" s="2">
        <v>3</v>
      </c>
      <c r="T276" s="2">
        <v>3</v>
      </c>
      <c r="U276" s="2">
        <v>17</v>
      </c>
      <c r="V276" s="2">
        <v>10</v>
      </c>
      <c r="W276" s="2">
        <v>7</v>
      </c>
      <c r="X276" s="2">
        <v>10</v>
      </c>
      <c r="Y276" s="2">
        <v>6</v>
      </c>
      <c r="Z276" s="2">
        <v>4</v>
      </c>
    </row>
    <row r="277" spans="1:26" hidden="1" x14ac:dyDescent="0.45">
      <c r="A277" s="2">
        <v>392</v>
      </c>
      <c r="B277" s="2">
        <v>14</v>
      </c>
      <c r="C277" s="2"/>
      <c r="D277" s="2">
        <v>13</v>
      </c>
      <c r="E277" s="3" t="s">
        <v>44</v>
      </c>
      <c r="F277" s="2">
        <v>14</v>
      </c>
      <c r="G277" s="2">
        <v>8</v>
      </c>
      <c r="H277" s="2">
        <v>6</v>
      </c>
      <c r="I277" s="2">
        <v>14</v>
      </c>
      <c r="J277" s="2">
        <v>7</v>
      </c>
      <c r="K277" s="2">
        <v>7</v>
      </c>
      <c r="L277" s="2">
        <v>3</v>
      </c>
      <c r="M277" s="2">
        <v>2</v>
      </c>
      <c r="N277" s="2">
        <v>1</v>
      </c>
      <c r="O277" s="2">
        <v>5</v>
      </c>
      <c r="P277" s="2">
        <v>2</v>
      </c>
      <c r="Q277" s="2">
        <v>3</v>
      </c>
      <c r="R277" s="2">
        <v>6</v>
      </c>
      <c r="S277" s="2">
        <v>3</v>
      </c>
      <c r="T277" s="2">
        <v>3</v>
      </c>
      <c r="U277" s="2">
        <v>26</v>
      </c>
      <c r="V277" s="2">
        <v>14</v>
      </c>
      <c r="W277" s="2">
        <v>12</v>
      </c>
      <c r="X277" s="2">
        <v>14</v>
      </c>
      <c r="Y277" s="2">
        <v>8</v>
      </c>
      <c r="Z277" s="2">
        <v>6</v>
      </c>
    </row>
    <row r="278" spans="1:26" hidden="1" x14ac:dyDescent="0.45">
      <c r="A278" s="2">
        <v>393</v>
      </c>
      <c r="B278" s="2">
        <v>14</v>
      </c>
      <c r="C278" s="2"/>
      <c r="D278" s="2">
        <v>17</v>
      </c>
      <c r="E278" s="3" t="s">
        <v>38</v>
      </c>
      <c r="F278" s="2">
        <v>13</v>
      </c>
      <c r="G278" s="2">
        <v>6</v>
      </c>
      <c r="H278" s="2">
        <v>7</v>
      </c>
      <c r="I278" s="2">
        <v>14</v>
      </c>
      <c r="J278" s="2">
        <v>7</v>
      </c>
      <c r="K278" s="2">
        <v>7</v>
      </c>
      <c r="L278" s="2">
        <v>3</v>
      </c>
      <c r="M278" s="2">
        <v>1</v>
      </c>
      <c r="N278" s="2">
        <v>2</v>
      </c>
      <c r="O278" s="2">
        <v>4</v>
      </c>
      <c r="P278" s="2">
        <v>3</v>
      </c>
      <c r="Q278" s="2">
        <v>1</v>
      </c>
      <c r="R278" s="2">
        <v>7</v>
      </c>
      <c r="S278" s="2">
        <v>3</v>
      </c>
      <c r="T278" s="2">
        <v>4</v>
      </c>
      <c r="U278" s="2">
        <v>19</v>
      </c>
      <c r="V278" s="2">
        <v>8</v>
      </c>
      <c r="W278" s="2">
        <v>11</v>
      </c>
      <c r="X278" s="2">
        <v>10</v>
      </c>
      <c r="Y278" s="2">
        <v>5</v>
      </c>
      <c r="Z278" s="2">
        <v>5</v>
      </c>
    </row>
    <row r="279" spans="1:26" hidden="1" x14ac:dyDescent="0.45">
      <c r="A279" s="2">
        <v>394</v>
      </c>
      <c r="B279" s="2">
        <v>14</v>
      </c>
      <c r="C279" s="2"/>
      <c r="D279" s="2">
        <v>18</v>
      </c>
      <c r="E279" s="3" t="s">
        <v>32</v>
      </c>
      <c r="F279" s="2">
        <v>10</v>
      </c>
      <c r="G279" s="2">
        <v>6</v>
      </c>
      <c r="H279" s="2">
        <v>4</v>
      </c>
      <c r="I279" s="2">
        <v>14</v>
      </c>
      <c r="J279" s="2">
        <v>8</v>
      </c>
      <c r="K279" s="2">
        <v>6</v>
      </c>
      <c r="L279" s="2">
        <v>1</v>
      </c>
      <c r="M279" s="2">
        <v>1</v>
      </c>
      <c r="N279" s="2">
        <v>0</v>
      </c>
      <c r="O279" s="2">
        <v>7</v>
      </c>
      <c r="P279" s="2">
        <v>3</v>
      </c>
      <c r="Q279" s="2">
        <v>4</v>
      </c>
      <c r="R279" s="2">
        <v>6</v>
      </c>
      <c r="S279" s="2">
        <v>4</v>
      </c>
      <c r="T279" s="2">
        <v>2</v>
      </c>
      <c r="U279" s="2">
        <v>19</v>
      </c>
      <c r="V279" s="2">
        <v>5</v>
      </c>
      <c r="W279" s="2">
        <v>14</v>
      </c>
      <c r="X279" s="2">
        <v>10</v>
      </c>
      <c r="Y279" s="2">
        <v>1</v>
      </c>
      <c r="Z279" s="2">
        <v>9</v>
      </c>
    </row>
    <row r="280" spans="1:26" hidden="1" x14ac:dyDescent="0.45">
      <c r="A280" s="2">
        <v>395</v>
      </c>
      <c r="B280" s="2">
        <v>14</v>
      </c>
      <c r="C280" s="2"/>
      <c r="D280" s="2">
        <v>19</v>
      </c>
      <c r="E280" s="3" t="s">
        <v>33</v>
      </c>
      <c r="F280" s="2">
        <v>9</v>
      </c>
      <c r="G280" s="2">
        <v>6</v>
      </c>
      <c r="H280" s="2">
        <v>3</v>
      </c>
      <c r="I280" s="2">
        <v>14</v>
      </c>
      <c r="J280" s="2">
        <v>7</v>
      </c>
      <c r="K280" s="2">
        <v>7</v>
      </c>
      <c r="L280" s="2">
        <v>1</v>
      </c>
      <c r="M280" s="2">
        <v>1</v>
      </c>
      <c r="N280" s="2">
        <v>0</v>
      </c>
      <c r="O280" s="2">
        <v>6</v>
      </c>
      <c r="P280" s="2">
        <v>3</v>
      </c>
      <c r="Q280" s="2">
        <v>3</v>
      </c>
      <c r="R280" s="2">
        <v>7</v>
      </c>
      <c r="S280" s="2">
        <v>3</v>
      </c>
      <c r="T280" s="2">
        <v>4</v>
      </c>
      <c r="U280" s="2">
        <v>21</v>
      </c>
      <c r="V280" s="2">
        <v>9</v>
      </c>
      <c r="W280" s="2">
        <v>12</v>
      </c>
      <c r="X280" s="2">
        <v>11</v>
      </c>
      <c r="Y280" s="2">
        <v>8</v>
      </c>
      <c r="Z280" s="2">
        <v>3</v>
      </c>
    </row>
    <row r="281" spans="1:26" hidden="1" x14ac:dyDescent="0.45">
      <c r="A281" s="2">
        <v>396</v>
      </c>
      <c r="B281" s="2">
        <v>14</v>
      </c>
      <c r="C281" s="2"/>
      <c r="D281" s="2">
        <v>20</v>
      </c>
      <c r="E281" s="3" t="s">
        <v>34</v>
      </c>
      <c r="F281" s="2">
        <v>6</v>
      </c>
      <c r="G281" s="2">
        <v>2</v>
      </c>
      <c r="H281" s="2">
        <v>4</v>
      </c>
      <c r="I281" s="2">
        <v>14</v>
      </c>
      <c r="J281" s="2">
        <v>6</v>
      </c>
      <c r="K281" s="2">
        <v>8</v>
      </c>
      <c r="L281" s="2">
        <v>0</v>
      </c>
      <c r="M281" s="2">
        <v>0</v>
      </c>
      <c r="N281" s="2">
        <v>0</v>
      </c>
      <c r="O281" s="2">
        <v>6</v>
      </c>
      <c r="P281" s="2">
        <v>2</v>
      </c>
      <c r="Q281" s="2">
        <v>4</v>
      </c>
      <c r="R281" s="2">
        <v>8</v>
      </c>
      <c r="S281" s="2">
        <v>4</v>
      </c>
      <c r="T281" s="2">
        <v>4</v>
      </c>
      <c r="U281" s="2">
        <v>24</v>
      </c>
      <c r="V281" s="2">
        <v>11</v>
      </c>
      <c r="W281" s="2">
        <v>13</v>
      </c>
      <c r="X281" s="2">
        <v>11</v>
      </c>
      <c r="Y281" s="2">
        <v>6</v>
      </c>
      <c r="Z281" s="2">
        <v>5</v>
      </c>
    </row>
    <row r="282" spans="1:26" hidden="1" x14ac:dyDescent="0.45">
      <c r="A282" s="2">
        <v>397</v>
      </c>
      <c r="B282" s="2">
        <v>15</v>
      </c>
      <c r="C282" s="2"/>
      <c r="D282" s="2">
        <v>1</v>
      </c>
      <c r="E282" s="3" t="s">
        <v>25</v>
      </c>
      <c r="F282" s="2">
        <v>33</v>
      </c>
      <c r="G282" s="2">
        <v>18</v>
      </c>
      <c r="H282" s="2">
        <v>15</v>
      </c>
      <c r="I282" s="2">
        <v>15</v>
      </c>
      <c r="J282" s="2">
        <v>8</v>
      </c>
      <c r="K282" s="2">
        <v>7</v>
      </c>
      <c r="L282" s="2">
        <v>11</v>
      </c>
      <c r="M282" s="2">
        <v>6</v>
      </c>
      <c r="N282" s="2">
        <v>5</v>
      </c>
      <c r="O282" s="2">
        <v>0</v>
      </c>
      <c r="P282" s="2">
        <v>0</v>
      </c>
      <c r="Q282" s="2">
        <v>0</v>
      </c>
      <c r="R282" s="2">
        <v>4</v>
      </c>
      <c r="S282" s="2">
        <v>2</v>
      </c>
      <c r="T282" s="2">
        <v>2</v>
      </c>
      <c r="U282" s="2">
        <v>14</v>
      </c>
      <c r="V282" s="2">
        <v>5</v>
      </c>
      <c r="W282" s="2">
        <v>9</v>
      </c>
      <c r="X282" s="2">
        <v>34</v>
      </c>
      <c r="Y282" s="2">
        <v>21</v>
      </c>
      <c r="Z282" s="2">
        <v>13</v>
      </c>
    </row>
    <row r="283" spans="1:26" hidden="1" x14ac:dyDescent="0.45">
      <c r="A283" s="2">
        <v>398</v>
      </c>
      <c r="B283" s="2">
        <v>15</v>
      </c>
      <c r="C283" s="2"/>
      <c r="D283" s="2">
        <v>2</v>
      </c>
      <c r="E283" s="3" t="s">
        <v>39</v>
      </c>
      <c r="F283" s="2">
        <v>32</v>
      </c>
      <c r="G283" s="2">
        <v>17</v>
      </c>
      <c r="H283" s="2">
        <v>15</v>
      </c>
      <c r="I283" s="2">
        <v>15</v>
      </c>
      <c r="J283" s="2">
        <v>8</v>
      </c>
      <c r="K283" s="2">
        <v>7</v>
      </c>
      <c r="L283" s="2">
        <v>9</v>
      </c>
      <c r="M283" s="2">
        <v>5</v>
      </c>
      <c r="N283" s="2">
        <v>4</v>
      </c>
      <c r="O283" s="2">
        <v>5</v>
      </c>
      <c r="P283" s="2">
        <v>2</v>
      </c>
      <c r="Q283" s="2">
        <v>3</v>
      </c>
      <c r="R283" s="2">
        <v>1</v>
      </c>
      <c r="S283" s="2">
        <v>1</v>
      </c>
      <c r="T283" s="2">
        <v>0</v>
      </c>
      <c r="U283" s="2">
        <v>13</v>
      </c>
      <c r="V283" s="2">
        <v>8</v>
      </c>
      <c r="W283" s="2">
        <v>5</v>
      </c>
      <c r="X283" s="2">
        <v>24</v>
      </c>
      <c r="Y283" s="2">
        <v>12</v>
      </c>
      <c r="Z283" s="2">
        <v>12</v>
      </c>
    </row>
    <row r="284" spans="1:26" hidden="1" x14ac:dyDescent="0.45">
      <c r="A284" s="2">
        <v>399</v>
      </c>
      <c r="B284" s="2">
        <v>15</v>
      </c>
      <c r="C284" s="2"/>
      <c r="D284" s="2">
        <v>3</v>
      </c>
      <c r="E284" s="3" t="s">
        <v>26</v>
      </c>
      <c r="F284" s="2">
        <v>31</v>
      </c>
      <c r="G284" s="2">
        <v>19</v>
      </c>
      <c r="H284" s="2">
        <v>12</v>
      </c>
      <c r="I284" s="2">
        <v>15</v>
      </c>
      <c r="J284" s="2">
        <v>7</v>
      </c>
      <c r="K284" s="2">
        <v>8</v>
      </c>
      <c r="L284" s="2">
        <v>10</v>
      </c>
      <c r="M284" s="2">
        <v>6</v>
      </c>
      <c r="N284" s="2">
        <v>4</v>
      </c>
      <c r="O284" s="2">
        <v>1</v>
      </c>
      <c r="P284" s="2">
        <v>1</v>
      </c>
      <c r="Q284" s="2">
        <v>0</v>
      </c>
      <c r="R284" s="2">
        <v>4</v>
      </c>
      <c r="S284" s="2">
        <v>0</v>
      </c>
      <c r="T284" s="2">
        <v>4</v>
      </c>
      <c r="U284" s="2">
        <v>13</v>
      </c>
      <c r="V284" s="2">
        <v>6</v>
      </c>
      <c r="W284" s="2">
        <v>7</v>
      </c>
      <c r="X284" s="2">
        <v>22</v>
      </c>
      <c r="Y284" s="2">
        <v>14</v>
      </c>
      <c r="Z284" s="2">
        <v>8</v>
      </c>
    </row>
    <row r="285" spans="1:26" hidden="1" x14ac:dyDescent="0.45">
      <c r="A285" s="2">
        <v>400</v>
      </c>
      <c r="B285" s="2">
        <v>15</v>
      </c>
      <c r="C285" s="2"/>
      <c r="D285" s="2">
        <v>4</v>
      </c>
      <c r="E285" s="3" t="s">
        <v>30</v>
      </c>
      <c r="F285" s="2">
        <v>30</v>
      </c>
      <c r="G285" s="2">
        <v>15</v>
      </c>
      <c r="H285" s="2">
        <v>15</v>
      </c>
      <c r="I285" s="2">
        <v>15</v>
      </c>
      <c r="J285" s="2">
        <v>8</v>
      </c>
      <c r="K285" s="2">
        <v>7</v>
      </c>
      <c r="L285" s="2">
        <v>10</v>
      </c>
      <c r="M285" s="2">
        <v>5</v>
      </c>
      <c r="N285" s="2">
        <v>5</v>
      </c>
      <c r="O285" s="2">
        <v>0</v>
      </c>
      <c r="P285" s="2">
        <v>0</v>
      </c>
      <c r="Q285" s="2">
        <v>0</v>
      </c>
      <c r="R285" s="2">
        <v>5</v>
      </c>
      <c r="S285" s="2">
        <v>3</v>
      </c>
      <c r="T285" s="2">
        <v>2</v>
      </c>
      <c r="U285" s="2">
        <v>8</v>
      </c>
      <c r="V285" s="2">
        <v>4</v>
      </c>
      <c r="W285" s="2">
        <v>4</v>
      </c>
      <c r="X285" s="2">
        <v>16</v>
      </c>
      <c r="Y285" s="2">
        <v>8</v>
      </c>
      <c r="Z285" s="2">
        <v>8</v>
      </c>
    </row>
    <row r="286" spans="1:26" hidden="1" x14ac:dyDescent="0.45">
      <c r="A286" s="2">
        <v>401</v>
      </c>
      <c r="B286" s="2">
        <v>15</v>
      </c>
      <c r="C286" s="2"/>
      <c r="D286" s="2">
        <v>5</v>
      </c>
      <c r="E286" s="3" t="s">
        <v>28</v>
      </c>
      <c r="F286" s="2">
        <v>26</v>
      </c>
      <c r="G286" s="2">
        <v>15</v>
      </c>
      <c r="H286" s="2">
        <v>11</v>
      </c>
      <c r="I286" s="2">
        <v>15</v>
      </c>
      <c r="J286" s="2">
        <v>7</v>
      </c>
      <c r="K286" s="2">
        <v>8</v>
      </c>
      <c r="L286" s="2">
        <v>7</v>
      </c>
      <c r="M286" s="2">
        <v>4</v>
      </c>
      <c r="N286" s="2">
        <v>3</v>
      </c>
      <c r="O286" s="2">
        <v>5</v>
      </c>
      <c r="P286" s="2">
        <v>3</v>
      </c>
      <c r="Q286" s="2">
        <v>2</v>
      </c>
      <c r="R286" s="2">
        <v>3</v>
      </c>
      <c r="S286" s="2">
        <v>0</v>
      </c>
      <c r="T286" s="2">
        <v>3</v>
      </c>
      <c r="U286" s="2">
        <v>14</v>
      </c>
      <c r="V286" s="2">
        <v>6</v>
      </c>
      <c r="W286" s="2">
        <v>8</v>
      </c>
      <c r="X286" s="2">
        <v>19</v>
      </c>
      <c r="Y286" s="2">
        <v>12</v>
      </c>
      <c r="Z286" s="2">
        <v>7</v>
      </c>
    </row>
    <row r="287" spans="1:26" hidden="1" x14ac:dyDescent="0.45">
      <c r="A287" s="2">
        <v>402</v>
      </c>
      <c r="B287" s="2">
        <v>15</v>
      </c>
      <c r="C287" s="2"/>
      <c r="D287" s="2">
        <v>6</v>
      </c>
      <c r="E287" s="3" t="s">
        <v>40</v>
      </c>
      <c r="F287" s="2">
        <v>25</v>
      </c>
      <c r="G287" s="2">
        <v>13</v>
      </c>
      <c r="H287" s="2">
        <v>12</v>
      </c>
      <c r="I287" s="2">
        <v>15</v>
      </c>
      <c r="J287" s="2">
        <v>7</v>
      </c>
      <c r="K287" s="2">
        <v>8</v>
      </c>
      <c r="L287" s="2">
        <v>7</v>
      </c>
      <c r="M287" s="2">
        <v>4</v>
      </c>
      <c r="N287" s="2">
        <v>3</v>
      </c>
      <c r="O287" s="2">
        <v>4</v>
      </c>
      <c r="P287" s="2">
        <v>1</v>
      </c>
      <c r="Q287" s="2">
        <v>3</v>
      </c>
      <c r="R287" s="2">
        <v>4</v>
      </c>
      <c r="S287" s="2">
        <v>2</v>
      </c>
      <c r="T287" s="2">
        <v>2</v>
      </c>
      <c r="U287" s="2">
        <v>13</v>
      </c>
      <c r="V287" s="2">
        <v>5</v>
      </c>
      <c r="W287" s="2">
        <v>8</v>
      </c>
      <c r="X287" s="2">
        <v>23</v>
      </c>
      <c r="Y287" s="2">
        <v>10</v>
      </c>
      <c r="Z287" s="2">
        <v>13</v>
      </c>
    </row>
    <row r="288" spans="1:26" hidden="1" x14ac:dyDescent="0.45">
      <c r="A288" s="2">
        <v>403</v>
      </c>
      <c r="B288" s="2">
        <v>15</v>
      </c>
      <c r="C288" s="2"/>
      <c r="D288" s="2">
        <v>7</v>
      </c>
      <c r="E288" s="3" t="s">
        <v>27</v>
      </c>
      <c r="F288" s="2">
        <v>24</v>
      </c>
      <c r="G288" s="2">
        <v>15</v>
      </c>
      <c r="H288" s="2">
        <v>9</v>
      </c>
      <c r="I288" s="2">
        <v>15</v>
      </c>
      <c r="J288" s="2">
        <v>7</v>
      </c>
      <c r="K288" s="2">
        <v>8</v>
      </c>
      <c r="L288" s="2">
        <v>6</v>
      </c>
      <c r="M288" s="2">
        <v>4</v>
      </c>
      <c r="N288" s="2">
        <v>2</v>
      </c>
      <c r="O288" s="2">
        <v>6</v>
      </c>
      <c r="P288" s="2">
        <v>3</v>
      </c>
      <c r="Q288" s="2">
        <v>3</v>
      </c>
      <c r="R288" s="2">
        <v>3</v>
      </c>
      <c r="S288" s="2">
        <v>0</v>
      </c>
      <c r="T288" s="2">
        <v>3</v>
      </c>
      <c r="U288" s="2">
        <v>12</v>
      </c>
      <c r="V288" s="2">
        <v>3</v>
      </c>
      <c r="W288" s="2">
        <v>9</v>
      </c>
      <c r="X288" s="2">
        <v>19</v>
      </c>
      <c r="Y288" s="2">
        <v>11</v>
      </c>
      <c r="Z288" s="2">
        <v>8</v>
      </c>
    </row>
    <row r="289" spans="1:26" hidden="1" x14ac:dyDescent="0.45">
      <c r="A289" s="2">
        <v>404</v>
      </c>
      <c r="B289" s="2">
        <v>15</v>
      </c>
      <c r="C289" s="2"/>
      <c r="D289" s="2">
        <v>8</v>
      </c>
      <c r="E289" s="3" t="s">
        <v>42</v>
      </c>
      <c r="F289" s="2">
        <v>22</v>
      </c>
      <c r="G289" s="2">
        <v>14</v>
      </c>
      <c r="H289" s="2">
        <v>8</v>
      </c>
      <c r="I289" s="2">
        <v>15</v>
      </c>
      <c r="J289" s="2">
        <v>7</v>
      </c>
      <c r="K289" s="2">
        <v>8</v>
      </c>
      <c r="L289" s="2">
        <v>6</v>
      </c>
      <c r="M289" s="2">
        <v>4</v>
      </c>
      <c r="N289" s="2">
        <v>2</v>
      </c>
      <c r="O289" s="2">
        <v>4</v>
      </c>
      <c r="P289" s="2">
        <v>2</v>
      </c>
      <c r="Q289" s="2">
        <v>2</v>
      </c>
      <c r="R289" s="2">
        <v>5</v>
      </c>
      <c r="S289" s="2">
        <v>1</v>
      </c>
      <c r="T289" s="2">
        <v>4</v>
      </c>
      <c r="U289" s="2">
        <v>11</v>
      </c>
      <c r="V289" s="2">
        <v>5</v>
      </c>
      <c r="W289" s="2">
        <v>6</v>
      </c>
      <c r="X289" s="2">
        <v>17</v>
      </c>
      <c r="Y289" s="2">
        <v>13</v>
      </c>
      <c r="Z289" s="2">
        <v>4</v>
      </c>
    </row>
    <row r="290" spans="1:26" hidden="1" x14ac:dyDescent="0.45">
      <c r="A290" s="2">
        <v>405</v>
      </c>
      <c r="B290" s="2">
        <v>15</v>
      </c>
      <c r="C290" s="2"/>
      <c r="D290" s="2">
        <v>9</v>
      </c>
      <c r="E290" s="3" t="s">
        <v>43</v>
      </c>
      <c r="F290" s="2">
        <v>21</v>
      </c>
      <c r="G290" s="2">
        <v>10</v>
      </c>
      <c r="H290" s="2">
        <v>11</v>
      </c>
      <c r="I290" s="2">
        <v>15</v>
      </c>
      <c r="J290" s="2">
        <v>7</v>
      </c>
      <c r="K290" s="2">
        <v>8</v>
      </c>
      <c r="L290" s="2">
        <v>6</v>
      </c>
      <c r="M290" s="2">
        <v>3</v>
      </c>
      <c r="N290" s="2">
        <v>3</v>
      </c>
      <c r="O290" s="2">
        <v>3</v>
      </c>
      <c r="P290" s="2">
        <v>1</v>
      </c>
      <c r="Q290" s="2">
        <v>2</v>
      </c>
      <c r="R290" s="2">
        <v>6</v>
      </c>
      <c r="S290" s="2">
        <v>3</v>
      </c>
      <c r="T290" s="2">
        <v>3</v>
      </c>
      <c r="U290" s="2">
        <v>19</v>
      </c>
      <c r="V290" s="2">
        <v>9</v>
      </c>
      <c r="W290" s="2">
        <v>10</v>
      </c>
      <c r="X290" s="2">
        <v>21</v>
      </c>
      <c r="Y290" s="2">
        <v>10</v>
      </c>
      <c r="Z290" s="2">
        <v>11</v>
      </c>
    </row>
    <row r="291" spans="1:26" hidden="1" x14ac:dyDescent="0.45">
      <c r="A291" s="2">
        <v>406</v>
      </c>
      <c r="B291" s="2">
        <v>15</v>
      </c>
      <c r="C291" s="2"/>
      <c r="D291" s="2">
        <v>9</v>
      </c>
      <c r="E291" s="3" t="s">
        <v>31</v>
      </c>
      <c r="F291" s="2">
        <v>21</v>
      </c>
      <c r="G291" s="2">
        <v>11</v>
      </c>
      <c r="H291" s="2">
        <v>10</v>
      </c>
      <c r="I291" s="2">
        <v>15</v>
      </c>
      <c r="J291" s="2">
        <v>8</v>
      </c>
      <c r="K291" s="2">
        <v>7</v>
      </c>
      <c r="L291" s="2">
        <v>6</v>
      </c>
      <c r="M291" s="2">
        <v>3</v>
      </c>
      <c r="N291" s="2">
        <v>3</v>
      </c>
      <c r="O291" s="2">
        <v>3</v>
      </c>
      <c r="P291" s="2">
        <v>2</v>
      </c>
      <c r="Q291" s="2">
        <v>1</v>
      </c>
      <c r="R291" s="2">
        <v>6</v>
      </c>
      <c r="S291" s="2">
        <v>3</v>
      </c>
      <c r="T291" s="2">
        <v>3</v>
      </c>
      <c r="U291" s="2">
        <v>22</v>
      </c>
      <c r="V291" s="2">
        <v>12</v>
      </c>
      <c r="W291" s="2">
        <v>10</v>
      </c>
      <c r="X291" s="2">
        <v>16</v>
      </c>
      <c r="Y291" s="2">
        <v>8</v>
      </c>
      <c r="Z291" s="2">
        <v>8</v>
      </c>
    </row>
    <row r="292" spans="1:26" hidden="1" x14ac:dyDescent="0.45">
      <c r="A292" s="2">
        <v>407</v>
      </c>
      <c r="B292" s="2">
        <v>15</v>
      </c>
      <c r="C292" s="2"/>
      <c r="D292" s="2">
        <v>11</v>
      </c>
      <c r="E292" s="3" t="s">
        <v>29</v>
      </c>
      <c r="F292" s="2">
        <v>20</v>
      </c>
      <c r="G292" s="2">
        <v>9</v>
      </c>
      <c r="H292" s="2">
        <v>11</v>
      </c>
      <c r="I292" s="2">
        <v>15</v>
      </c>
      <c r="J292" s="2">
        <v>7</v>
      </c>
      <c r="K292" s="2">
        <v>8</v>
      </c>
      <c r="L292" s="2">
        <v>5</v>
      </c>
      <c r="M292" s="2">
        <v>2</v>
      </c>
      <c r="N292" s="2">
        <v>3</v>
      </c>
      <c r="O292" s="2">
        <v>5</v>
      </c>
      <c r="P292" s="2">
        <v>3</v>
      </c>
      <c r="Q292" s="2">
        <v>2</v>
      </c>
      <c r="R292" s="2">
        <v>5</v>
      </c>
      <c r="S292" s="2">
        <v>2</v>
      </c>
      <c r="T292" s="2">
        <v>3</v>
      </c>
      <c r="U292" s="2">
        <v>18</v>
      </c>
      <c r="V292" s="2">
        <v>9</v>
      </c>
      <c r="W292" s="2">
        <v>9</v>
      </c>
      <c r="X292" s="2">
        <v>18</v>
      </c>
      <c r="Y292" s="2">
        <v>9</v>
      </c>
      <c r="Z292" s="2">
        <v>9</v>
      </c>
    </row>
    <row r="293" spans="1:26" hidden="1" x14ac:dyDescent="0.45">
      <c r="A293" s="2">
        <v>408</v>
      </c>
      <c r="B293" s="2">
        <v>15</v>
      </c>
      <c r="C293" s="2"/>
      <c r="D293" s="2">
        <v>12</v>
      </c>
      <c r="E293" s="3" t="s">
        <v>35</v>
      </c>
      <c r="F293" s="2">
        <v>19</v>
      </c>
      <c r="G293" s="2">
        <v>13</v>
      </c>
      <c r="H293" s="2">
        <v>6</v>
      </c>
      <c r="I293" s="2">
        <v>15</v>
      </c>
      <c r="J293" s="2">
        <v>8</v>
      </c>
      <c r="K293" s="2">
        <v>7</v>
      </c>
      <c r="L293" s="2">
        <v>4</v>
      </c>
      <c r="M293" s="2">
        <v>3</v>
      </c>
      <c r="N293" s="2">
        <v>1</v>
      </c>
      <c r="O293" s="2">
        <v>7</v>
      </c>
      <c r="P293" s="2">
        <v>4</v>
      </c>
      <c r="Q293" s="2">
        <v>3</v>
      </c>
      <c r="R293" s="2">
        <v>4</v>
      </c>
      <c r="S293" s="2">
        <v>1</v>
      </c>
      <c r="T293" s="2">
        <v>3</v>
      </c>
      <c r="U293" s="2">
        <v>18</v>
      </c>
      <c r="V293" s="2">
        <v>8</v>
      </c>
      <c r="W293" s="2">
        <v>10</v>
      </c>
      <c r="X293" s="2">
        <v>19</v>
      </c>
      <c r="Y293" s="2">
        <v>11</v>
      </c>
      <c r="Z293" s="2">
        <v>8</v>
      </c>
    </row>
    <row r="294" spans="1:26" hidden="1" x14ac:dyDescent="0.45">
      <c r="A294" s="2">
        <v>409</v>
      </c>
      <c r="B294" s="2">
        <v>15</v>
      </c>
      <c r="C294" s="2"/>
      <c r="D294" s="2">
        <v>13</v>
      </c>
      <c r="E294" s="3" t="s">
        <v>44</v>
      </c>
      <c r="F294" s="2">
        <v>17</v>
      </c>
      <c r="G294" s="2">
        <v>11</v>
      </c>
      <c r="H294" s="2">
        <v>6</v>
      </c>
      <c r="I294" s="2">
        <v>15</v>
      </c>
      <c r="J294" s="2">
        <v>8</v>
      </c>
      <c r="K294" s="2">
        <v>7</v>
      </c>
      <c r="L294" s="2">
        <v>4</v>
      </c>
      <c r="M294" s="2">
        <v>3</v>
      </c>
      <c r="N294" s="2">
        <v>1</v>
      </c>
      <c r="O294" s="2">
        <v>5</v>
      </c>
      <c r="P294" s="2">
        <v>2</v>
      </c>
      <c r="Q294" s="2">
        <v>3</v>
      </c>
      <c r="R294" s="2">
        <v>6</v>
      </c>
      <c r="S294" s="2">
        <v>3</v>
      </c>
      <c r="T294" s="2">
        <v>3</v>
      </c>
      <c r="U294" s="2">
        <v>26</v>
      </c>
      <c r="V294" s="2">
        <v>14</v>
      </c>
      <c r="W294" s="2">
        <v>12</v>
      </c>
      <c r="X294" s="2">
        <v>15</v>
      </c>
      <c r="Y294" s="2">
        <v>9</v>
      </c>
      <c r="Z294" s="2">
        <v>6</v>
      </c>
    </row>
    <row r="295" spans="1:26" hidden="1" x14ac:dyDescent="0.45">
      <c r="A295" s="2">
        <v>410</v>
      </c>
      <c r="B295" s="2">
        <v>15</v>
      </c>
      <c r="C295" s="2"/>
      <c r="D295" s="2">
        <v>14</v>
      </c>
      <c r="E295" s="3" t="s">
        <v>38</v>
      </c>
      <c r="F295" s="2">
        <v>16</v>
      </c>
      <c r="G295" s="2">
        <v>9</v>
      </c>
      <c r="H295" s="2">
        <v>7</v>
      </c>
      <c r="I295" s="2">
        <v>15</v>
      </c>
      <c r="J295" s="2">
        <v>8</v>
      </c>
      <c r="K295" s="2">
        <v>7</v>
      </c>
      <c r="L295" s="2">
        <v>4</v>
      </c>
      <c r="M295" s="2">
        <v>2</v>
      </c>
      <c r="N295" s="2">
        <v>2</v>
      </c>
      <c r="O295" s="2">
        <v>4</v>
      </c>
      <c r="P295" s="2">
        <v>3</v>
      </c>
      <c r="Q295" s="2">
        <v>1</v>
      </c>
      <c r="R295" s="2">
        <v>7</v>
      </c>
      <c r="S295" s="2">
        <v>3</v>
      </c>
      <c r="T295" s="2">
        <v>4</v>
      </c>
      <c r="U295" s="2">
        <v>19</v>
      </c>
      <c r="V295" s="2">
        <v>8</v>
      </c>
      <c r="W295" s="2">
        <v>11</v>
      </c>
      <c r="X295" s="2">
        <v>11</v>
      </c>
      <c r="Y295" s="2">
        <v>6</v>
      </c>
      <c r="Z295" s="2">
        <v>5</v>
      </c>
    </row>
    <row r="296" spans="1:26" hidden="1" x14ac:dyDescent="0.45">
      <c r="A296" s="2">
        <v>411</v>
      </c>
      <c r="B296" s="2">
        <v>15</v>
      </c>
      <c r="C296" s="2"/>
      <c r="D296" s="2">
        <v>15</v>
      </c>
      <c r="E296" s="3" t="s">
        <v>36</v>
      </c>
      <c r="F296" s="2">
        <v>14</v>
      </c>
      <c r="G296" s="2">
        <v>8</v>
      </c>
      <c r="H296" s="2">
        <v>6</v>
      </c>
      <c r="I296" s="2">
        <v>15</v>
      </c>
      <c r="J296" s="2">
        <v>7</v>
      </c>
      <c r="K296" s="2">
        <v>8</v>
      </c>
      <c r="L296" s="2">
        <v>3</v>
      </c>
      <c r="M296" s="2">
        <v>2</v>
      </c>
      <c r="N296" s="2">
        <v>1</v>
      </c>
      <c r="O296" s="2">
        <v>5</v>
      </c>
      <c r="P296" s="2">
        <v>2</v>
      </c>
      <c r="Q296" s="2">
        <v>3</v>
      </c>
      <c r="R296" s="2">
        <v>7</v>
      </c>
      <c r="S296" s="2">
        <v>3</v>
      </c>
      <c r="T296" s="2">
        <v>4</v>
      </c>
      <c r="U296" s="2">
        <v>21</v>
      </c>
      <c r="V296" s="2">
        <v>10</v>
      </c>
      <c r="W296" s="2">
        <v>11</v>
      </c>
      <c r="X296" s="2">
        <v>15</v>
      </c>
      <c r="Y296" s="2">
        <v>8</v>
      </c>
      <c r="Z296" s="2">
        <v>7</v>
      </c>
    </row>
    <row r="297" spans="1:26" hidden="1" x14ac:dyDescent="0.45">
      <c r="A297" s="2">
        <v>412</v>
      </c>
      <c r="B297" s="2">
        <v>15</v>
      </c>
      <c r="C297" s="2"/>
      <c r="D297" s="2">
        <v>15</v>
      </c>
      <c r="E297" s="3" t="s">
        <v>37</v>
      </c>
      <c r="F297" s="2">
        <v>14</v>
      </c>
      <c r="G297" s="2">
        <v>6</v>
      </c>
      <c r="H297" s="2">
        <v>8</v>
      </c>
      <c r="I297" s="2">
        <v>15</v>
      </c>
      <c r="J297" s="2">
        <v>8</v>
      </c>
      <c r="K297" s="2">
        <v>7</v>
      </c>
      <c r="L297" s="2">
        <v>3</v>
      </c>
      <c r="M297" s="2">
        <v>1</v>
      </c>
      <c r="N297" s="2">
        <v>2</v>
      </c>
      <c r="O297" s="2">
        <v>5</v>
      </c>
      <c r="P297" s="2">
        <v>3</v>
      </c>
      <c r="Q297" s="2">
        <v>2</v>
      </c>
      <c r="R297" s="2">
        <v>7</v>
      </c>
      <c r="S297" s="2">
        <v>4</v>
      </c>
      <c r="T297" s="2">
        <v>3</v>
      </c>
      <c r="U297" s="2">
        <v>23</v>
      </c>
      <c r="V297" s="2">
        <v>11</v>
      </c>
      <c r="W297" s="2">
        <v>12</v>
      </c>
      <c r="X297" s="2">
        <v>16</v>
      </c>
      <c r="Y297" s="2">
        <v>5</v>
      </c>
      <c r="Z297" s="2">
        <v>11</v>
      </c>
    </row>
    <row r="298" spans="1:26" hidden="1" x14ac:dyDescent="0.45">
      <c r="A298" s="2">
        <v>413</v>
      </c>
      <c r="B298" s="2">
        <v>15</v>
      </c>
      <c r="C298" s="2"/>
      <c r="D298" s="2">
        <v>15</v>
      </c>
      <c r="E298" s="3" t="s">
        <v>41</v>
      </c>
      <c r="F298" s="2">
        <v>14</v>
      </c>
      <c r="G298" s="2">
        <v>6</v>
      </c>
      <c r="H298" s="2">
        <v>8</v>
      </c>
      <c r="I298" s="2">
        <v>15</v>
      </c>
      <c r="J298" s="2">
        <v>8</v>
      </c>
      <c r="K298" s="2">
        <v>7</v>
      </c>
      <c r="L298" s="2">
        <v>3</v>
      </c>
      <c r="M298" s="2">
        <v>1</v>
      </c>
      <c r="N298" s="2">
        <v>2</v>
      </c>
      <c r="O298" s="2">
        <v>5</v>
      </c>
      <c r="P298" s="2">
        <v>3</v>
      </c>
      <c r="Q298" s="2">
        <v>2</v>
      </c>
      <c r="R298" s="2">
        <v>7</v>
      </c>
      <c r="S298" s="2">
        <v>4</v>
      </c>
      <c r="T298" s="2">
        <v>3</v>
      </c>
      <c r="U298" s="2">
        <v>18</v>
      </c>
      <c r="V298" s="2">
        <v>11</v>
      </c>
      <c r="W298" s="2">
        <v>7</v>
      </c>
      <c r="X298" s="2">
        <v>10</v>
      </c>
      <c r="Y298" s="2">
        <v>6</v>
      </c>
      <c r="Z298" s="2">
        <v>4</v>
      </c>
    </row>
    <row r="299" spans="1:26" hidden="1" x14ac:dyDescent="0.45">
      <c r="A299" s="2">
        <v>414</v>
      </c>
      <c r="B299" s="2">
        <v>15</v>
      </c>
      <c r="C299" s="2"/>
      <c r="D299" s="2">
        <v>18</v>
      </c>
      <c r="E299" s="3" t="s">
        <v>33</v>
      </c>
      <c r="F299" s="2">
        <v>12</v>
      </c>
      <c r="G299" s="2">
        <v>6</v>
      </c>
      <c r="H299" s="2">
        <v>6</v>
      </c>
      <c r="I299" s="2">
        <v>15</v>
      </c>
      <c r="J299" s="2">
        <v>7</v>
      </c>
      <c r="K299" s="2">
        <v>8</v>
      </c>
      <c r="L299" s="2">
        <v>2</v>
      </c>
      <c r="M299" s="2">
        <v>1</v>
      </c>
      <c r="N299" s="2">
        <v>1</v>
      </c>
      <c r="O299" s="2">
        <v>6</v>
      </c>
      <c r="P299" s="2">
        <v>3</v>
      </c>
      <c r="Q299" s="2">
        <v>3</v>
      </c>
      <c r="R299" s="2">
        <v>7</v>
      </c>
      <c r="S299" s="2">
        <v>3</v>
      </c>
      <c r="T299" s="2">
        <v>4</v>
      </c>
      <c r="U299" s="2">
        <v>22</v>
      </c>
      <c r="V299" s="2">
        <v>9</v>
      </c>
      <c r="W299" s="2">
        <v>13</v>
      </c>
      <c r="X299" s="2">
        <v>13</v>
      </c>
      <c r="Y299" s="2">
        <v>8</v>
      </c>
      <c r="Z299" s="2">
        <v>5</v>
      </c>
    </row>
    <row r="300" spans="1:26" hidden="1" x14ac:dyDescent="0.45">
      <c r="A300" s="2">
        <v>415</v>
      </c>
      <c r="B300" s="2">
        <v>15</v>
      </c>
      <c r="C300" s="2"/>
      <c r="D300" s="2">
        <v>19</v>
      </c>
      <c r="E300" s="3" t="s">
        <v>32</v>
      </c>
      <c r="F300" s="2">
        <v>10</v>
      </c>
      <c r="G300" s="2">
        <v>6</v>
      </c>
      <c r="H300" s="2">
        <v>4</v>
      </c>
      <c r="I300" s="2">
        <v>15</v>
      </c>
      <c r="J300" s="2">
        <v>8</v>
      </c>
      <c r="K300" s="2">
        <v>7</v>
      </c>
      <c r="L300" s="2">
        <v>1</v>
      </c>
      <c r="M300" s="2">
        <v>1</v>
      </c>
      <c r="N300" s="2">
        <v>0</v>
      </c>
      <c r="O300" s="2">
        <v>7</v>
      </c>
      <c r="P300" s="2">
        <v>3</v>
      </c>
      <c r="Q300" s="2">
        <v>4</v>
      </c>
      <c r="R300" s="2">
        <v>7</v>
      </c>
      <c r="S300" s="2">
        <v>4</v>
      </c>
      <c r="T300" s="2">
        <v>3</v>
      </c>
      <c r="U300" s="2">
        <v>20</v>
      </c>
      <c r="V300" s="2">
        <v>5</v>
      </c>
      <c r="W300" s="2">
        <v>15</v>
      </c>
      <c r="X300" s="2">
        <v>10</v>
      </c>
      <c r="Y300" s="2">
        <v>1</v>
      </c>
      <c r="Z300" s="2">
        <v>9</v>
      </c>
    </row>
    <row r="301" spans="1:26" hidden="1" x14ac:dyDescent="0.45">
      <c r="A301" s="2">
        <v>416</v>
      </c>
      <c r="B301" s="2">
        <v>15</v>
      </c>
      <c r="C301" s="2"/>
      <c r="D301" s="2">
        <v>20</v>
      </c>
      <c r="E301" s="3" t="s">
        <v>34</v>
      </c>
      <c r="F301" s="2">
        <v>6</v>
      </c>
      <c r="G301" s="2">
        <v>2</v>
      </c>
      <c r="H301" s="2">
        <v>4</v>
      </c>
      <c r="I301" s="2">
        <v>15</v>
      </c>
      <c r="J301" s="2">
        <v>7</v>
      </c>
      <c r="K301" s="2">
        <v>8</v>
      </c>
      <c r="L301" s="2">
        <v>0</v>
      </c>
      <c r="M301" s="2">
        <v>0</v>
      </c>
      <c r="N301" s="2">
        <v>0</v>
      </c>
      <c r="O301" s="2">
        <v>6</v>
      </c>
      <c r="P301" s="2">
        <v>2</v>
      </c>
      <c r="Q301" s="2">
        <v>4</v>
      </c>
      <c r="R301" s="2">
        <v>9</v>
      </c>
      <c r="S301" s="2">
        <v>5</v>
      </c>
      <c r="T301" s="2">
        <v>4</v>
      </c>
      <c r="U301" s="2">
        <v>26</v>
      </c>
      <c r="V301" s="2">
        <v>13</v>
      </c>
      <c r="W301" s="2">
        <v>13</v>
      </c>
      <c r="X301" s="2">
        <v>12</v>
      </c>
      <c r="Y301" s="2">
        <v>7</v>
      </c>
      <c r="Z301" s="2">
        <v>5</v>
      </c>
    </row>
    <row r="302" spans="1:26" hidden="1" x14ac:dyDescent="0.45">
      <c r="A302" s="2">
        <v>417</v>
      </c>
      <c r="B302" s="2">
        <v>16</v>
      </c>
      <c r="C302" s="2"/>
      <c r="D302" s="2">
        <v>1</v>
      </c>
      <c r="E302" s="3" t="s">
        <v>25</v>
      </c>
      <c r="F302" s="2">
        <v>33</v>
      </c>
      <c r="G302" s="2">
        <v>18</v>
      </c>
      <c r="H302" s="2">
        <v>15</v>
      </c>
      <c r="I302" s="2">
        <v>15</v>
      </c>
      <c r="J302" s="2">
        <v>8</v>
      </c>
      <c r="K302" s="2">
        <v>7</v>
      </c>
      <c r="L302" s="2">
        <v>11</v>
      </c>
      <c r="M302" s="2">
        <v>6</v>
      </c>
      <c r="N302" s="2">
        <v>5</v>
      </c>
      <c r="O302" s="2">
        <v>0</v>
      </c>
      <c r="P302" s="2">
        <v>0</v>
      </c>
      <c r="Q302" s="2">
        <v>0</v>
      </c>
      <c r="R302" s="2">
        <v>4</v>
      </c>
      <c r="S302" s="2">
        <v>2</v>
      </c>
      <c r="T302" s="2">
        <v>2</v>
      </c>
      <c r="U302" s="2">
        <v>14</v>
      </c>
      <c r="V302" s="2">
        <v>5</v>
      </c>
      <c r="W302" s="2">
        <v>9</v>
      </c>
      <c r="X302" s="2">
        <v>34</v>
      </c>
      <c r="Y302" s="2">
        <v>21</v>
      </c>
      <c r="Z302" s="2">
        <v>13</v>
      </c>
    </row>
    <row r="303" spans="1:26" hidden="1" x14ac:dyDescent="0.45">
      <c r="A303" s="2">
        <v>418</v>
      </c>
      <c r="B303" s="2">
        <v>16</v>
      </c>
      <c r="C303" s="2"/>
      <c r="D303" s="2">
        <v>2</v>
      </c>
      <c r="E303" s="3" t="s">
        <v>39</v>
      </c>
      <c r="F303" s="2">
        <v>32</v>
      </c>
      <c r="G303" s="2">
        <v>17</v>
      </c>
      <c r="H303" s="2">
        <v>15</v>
      </c>
      <c r="I303" s="2">
        <v>15</v>
      </c>
      <c r="J303" s="2">
        <v>8</v>
      </c>
      <c r="K303" s="2">
        <v>7</v>
      </c>
      <c r="L303" s="2">
        <v>9</v>
      </c>
      <c r="M303" s="2">
        <v>5</v>
      </c>
      <c r="N303" s="2">
        <v>4</v>
      </c>
      <c r="O303" s="2">
        <v>5</v>
      </c>
      <c r="P303" s="2">
        <v>2</v>
      </c>
      <c r="Q303" s="2">
        <v>3</v>
      </c>
      <c r="R303" s="2">
        <v>1</v>
      </c>
      <c r="S303" s="2">
        <v>1</v>
      </c>
      <c r="T303" s="2">
        <v>0</v>
      </c>
      <c r="U303" s="2">
        <v>13</v>
      </c>
      <c r="V303" s="2">
        <v>8</v>
      </c>
      <c r="W303" s="2">
        <v>5</v>
      </c>
      <c r="X303" s="2">
        <v>24</v>
      </c>
      <c r="Y303" s="2">
        <v>12</v>
      </c>
      <c r="Z303" s="2">
        <v>12</v>
      </c>
    </row>
    <row r="304" spans="1:26" hidden="1" x14ac:dyDescent="0.45">
      <c r="A304" s="2">
        <v>419</v>
      </c>
      <c r="B304" s="2">
        <v>16</v>
      </c>
      <c r="C304" s="2"/>
      <c r="D304" s="2">
        <v>3</v>
      </c>
      <c r="E304" s="3" t="s">
        <v>26</v>
      </c>
      <c r="F304" s="2">
        <v>31</v>
      </c>
      <c r="G304" s="2">
        <v>19</v>
      </c>
      <c r="H304" s="2">
        <v>12</v>
      </c>
      <c r="I304" s="2">
        <v>15</v>
      </c>
      <c r="J304" s="2">
        <v>7</v>
      </c>
      <c r="K304" s="2">
        <v>8</v>
      </c>
      <c r="L304" s="2">
        <v>10</v>
      </c>
      <c r="M304" s="2">
        <v>6</v>
      </c>
      <c r="N304" s="2">
        <v>4</v>
      </c>
      <c r="O304" s="2">
        <v>1</v>
      </c>
      <c r="P304" s="2">
        <v>1</v>
      </c>
      <c r="Q304" s="2">
        <v>0</v>
      </c>
      <c r="R304" s="2">
        <v>4</v>
      </c>
      <c r="S304" s="2">
        <v>0</v>
      </c>
      <c r="T304" s="2">
        <v>4</v>
      </c>
      <c r="U304" s="2">
        <v>13</v>
      </c>
      <c r="V304" s="2">
        <v>6</v>
      </c>
      <c r="W304" s="2">
        <v>7</v>
      </c>
      <c r="X304" s="2">
        <v>22</v>
      </c>
      <c r="Y304" s="2">
        <v>14</v>
      </c>
      <c r="Z304" s="2">
        <v>8</v>
      </c>
    </row>
    <row r="305" spans="1:26" hidden="1" x14ac:dyDescent="0.45">
      <c r="A305" s="2">
        <v>420</v>
      </c>
      <c r="B305" s="2">
        <v>16</v>
      </c>
      <c r="C305" s="2"/>
      <c r="D305" s="2">
        <v>4</v>
      </c>
      <c r="E305" s="3" t="s">
        <v>30</v>
      </c>
      <c r="F305" s="2">
        <v>30</v>
      </c>
      <c r="G305" s="2">
        <v>15</v>
      </c>
      <c r="H305" s="2">
        <v>15</v>
      </c>
      <c r="I305" s="2">
        <v>16</v>
      </c>
      <c r="J305" s="2">
        <v>8</v>
      </c>
      <c r="K305" s="2">
        <v>8</v>
      </c>
      <c r="L305" s="2">
        <v>10</v>
      </c>
      <c r="M305" s="2">
        <v>5</v>
      </c>
      <c r="N305" s="2">
        <v>5</v>
      </c>
      <c r="O305" s="2">
        <v>0</v>
      </c>
      <c r="P305" s="2">
        <v>0</v>
      </c>
      <c r="Q305" s="2">
        <v>0</v>
      </c>
      <c r="R305" s="2">
        <v>6</v>
      </c>
      <c r="S305" s="2">
        <v>3</v>
      </c>
      <c r="T305" s="2">
        <v>3</v>
      </c>
      <c r="U305" s="2">
        <v>10</v>
      </c>
      <c r="V305" s="2">
        <v>4</v>
      </c>
      <c r="W305" s="2">
        <v>6</v>
      </c>
      <c r="X305" s="2">
        <v>17</v>
      </c>
      <c r="Y305" s="2">
        <v>8</v>
      </c>
      <c r="Z305" s="2">
        <v>9</v>
      </c>
    </row>
    <row r="306" spans="1:26" hidden="1" x14ac:dyDescent="0.45">
      <c r="A306" s="2">
        <v>421</v>
      </c>
      <c r="B306" s="2">
        <v>16</v>
      </c>
      <c r="C306" s="2"/>
      <c r="D306" s="2">
        <v>5</v>
      </c>
      <c r="E306" s="3" t="s">
        <v>28</v>
      </c>
      <c r="F306" s="2">
        <v>29</v>
      </c>
      <c r="G306" s="2">
        <v>18</v>
      </c>
      <c r="H306" s="2">
        <v>11</v>
      </c>
      <c r="I306" s="2">
        <v>16</v>
      </c>
      <c r="J306" s="2">
        <v>8</v>
      </c>
      <c r="K306" s="2">
        <v>8</v>
      </c>
      <c r="L306" s="2">
        <v>8</v>
      </c>
      <c r="M306" s="2">
        <v>5</v>
      </c>
      <c r="N306" s="2">
        <v>3</v>
      </c>
      <c r="O306" s="2">
        <v>5</v>
      </c>
      <c r="P306" s="2">
        <v>3</v>
      </c>
      <c r="Q306" s="2">
        <v>2</v>
      </c>
      <c r="R306" s="2">
        <v>3</v>
      </c>
      <c r="S306" s="2">
        <v>0</v>
      </c>
      <c r="T306" s="2">
        <v>3</v>
      </c>
      <c r="U306" s="2">
        <v>15</v>
      </c>
      <c r="V306" s="2">
        <v>7</v>
      </c>
      <c r="W306" s="2">
        <v>8</v>
      </c>
      <c r="X306" s="2">
        <v>21</v>
      </c>
      <c r="Y306" s="2">
        <v>14</v>
      </c>
      <c r="Z306" s="2">
        <v>7</v>
      </c>
    </row>
    <row r="307" spans="1:26" hidden="1" x14ac:dyDescent="0.45">
      <c r="A307" s="2">
        <v>422</v>
      </c>
      <c r="B307" s="2">
        <v>16</v>
      </c>
      <c r="C307" s="2"/>
      <c r="D307" s="2">
        <v>6</v>
      </c>
      <c r="E307" s="3" t="s">
        <v>40</v>
      </c>
      <c r="F307" s="2">
        <v>25</v>
      </c>
      <c r="G307" s="2">
        <v>13</v>
      </c>
      <c r="H307" s="2">
        <v>12</v>
      </c>
      <c r="I307" s="2">
        <v>15</v>
      </c>
      <c r="J307" s="2">
        <v>7</v>
      </c>
      <c r="K307" s="2">
        <v>8</v>
      </c>
      <c r="L307" s="2">
        <v>7</v>
      </c>
      <c r="M307" s="2">
        <v>4</v>
      </c>
      <c r="N307" s="2">
        <v>3</v>
      </c>
      <c r="O307" s="2">
        <v>4</v>
      </c>
      <c r="P307" s="2">
        <v>1</v>
      </c>
      <c r="Q307" s="2">
        <v>3</v>
      </c>
      <c r="R307" s="2">
        <v>4</v>
      </c>
      <c r="S307" s="2">
        <v>2</v>
      </c>
      <c r="T307" s="2">
        <v>2</v>
      </c>
      <c r="U307" s="2">
        <v>13</v>
      </c>
      <c r="V307" s="2">
        <v>5</v>
      </c>
      <c r="W307" s="2">
        <v>8</v>
      </c>
      <c r="X307" s="2">
        <v>23</v>
      </c>
      <c r="Y307" s="2">
        <v>10</v>
      </c>
      <c r="Z307" s="2">
        <v>13</v>
      </c>
    </row>
    <row r="308" spans="1:26" hidden="1" x14ac:dyDescent="0.45">
      <c r="A308" s="2">
        <v>423</v>
      </c>
      <c r="B308" s="2">
        <v>16</v>
      </c>
      <c r="C308" s="2"/>
      <c r="D308" s="2">
        <v>7</v>
      </c>
      <c r="E308" s="3" t="s">
        <v>27</v>
      </c>
      <c r="F308" s="2">
        <v>24</v>
      </c>
      <c r="G308" s="2">
        <v>15</v>
      </c>
      <c r="H308" s="2">
        <v>9</v>
      </c>
      <c r="I308" s="2">
        <v>15</v>
      </c>
      <c r="J308" s="2">
        <v>7</v>
      </c>
      <c r="K308" s="2">
        <v>8</v>
      </c>
      <c r="L308" s="2">
        <v>6</v>
      </c>
      <c r="M308" s="2">
        <v>4</v>
      </c>
      <c r="N308" s="2">
        <v>2</v>
      </c>
      <c r="O308" s="2">
        <v>6</v>
      </c>
      <c r="P308" s="2">
        <v>3</v>
      </c>
      <c r="Q308" s="2">
        <v>3</v>
      </c>
      <c r="R308" s="2">
        <v>3</v>
      </c>
      <c r="S308" s="2">
        <v>0</v>
      </c>
      <c r="T308" s="2">
        <v>3</v>
      </c>
      <c r="U308" s="2">
        <v>12</v>
      </c>
      <c r="V308" s="2">
        <v>3</v>
      </c>
      <c r="W308" s="2">
        <v>9</v>
      </c>
      <c r="X308" s="2">
        <v>19</v>
      </c>
      <c r="Y308" s="2">
        <v>11</v>
      </c>
      <c r="Z308" s="2">
        <v>8</v>
      </c>
    </row>
    <row r="309" spans="1:26" hidden="1" x14ac:dyDescent="0.45">
      <c r="A309" s="2">
        <v>424</v>
      </c>
      <c r="B309" s="2">
        <v>16</v>
      </c>
      <c r="C309" s="2"/>
      <c r="D309" s="2">
        <v>8</v>
      </c>
      <c r="E309" s="3" t="s">
        <v>42</v>
      </c>
      <c r="F309" s="2">
        <v>23</v>
      </c>
      <c r="G309" s="2">
        <v>15</v>
      </c>
      <c r="H309" s="2">
        <v>8</v>
      </c>
      <c r="I309" s="2">
        <v>16</v>
      </c>
      <c r="J309" s="2">
        <v>8</v>
      </c>
      <c r="K309" s="2">
        <v>8</v>
      </c>
      <c r="L309" s="2">
        <v>6</v>
      </c>
      <c r="M309" s="2">
        <v>4</v>
      </c>
      <c r="N309" s="2">
        <v>2</v>
      </c>
      <c r="O309" s="2">
        <v>5</v>
      </c>
      <c r="P309" s="2">
        <v>3</v>
      </c>
      <c r="Q309" s="2">
        <v>2</v>
      </c>
      <c r="R309" s="2">
        <v>5</v>
      </c>
      <c r="S309" s="2">
        <v>1</v>
      </c>
      <c r="T309" s="2">
        <v>4</v>
      </c>
      <c r="U309" s="2">
        <v>11</v>
      </c>
      <c r="V309" s="2">
        <v>5</v>
      </c>
      <c r="W309" s="2">
        <v>6</v>
      </c>
      <c r="X309" s="2">
        <v>17</v>
      </c>
      <c r="Y309" s="2">
        <v>13</v>
      </c>
      <c r="Z309" s="2">
        <v>4</v>
      </c>
    </row>
    <row r="310" spans="1:26" hidden="1" x14ac:dyDescent="0.45">
      <c r="A310" s="2">
        <v>425</v>
      </c>
      <c r="B310" s="2">
        <v>16</v>
      </c>
      <c r="C310" s="2"/>
      <c r="D310" s="2">
        <v>9</v>
      </c>
      <c r="E310" s="3" t="s">
        <v>35</v>
      </c>
      <c r="F310" s="2">
        <v>22</v>
      </c>
      <c r="G310" s="2">
        <v>13</v>
      </c>
      <c r="H310" s="2">
        <v>9</v>
      </c>
      <c r="I310" s="2">
        <v>16</v>
      </c>
      <c r="J310" s="2">
        <v>8</v>
      </c>
      <c r="K310" s="2">
        <v>8</v>
      </c>
      <c r="L310" s="2">
        <v>5</v>
      </c>
      <c r="M310" s="2">
        <v>3</v>
      </c>
      <c r="N310" s="2">
        <v>2</v>
      </c>
      <c r="O310" s="2">
        <v>7</v>
      </c>
      <c r="P310" s="2">
        <v>4</v>
      </c>
      <c r="Q310" s="2">
        <v>3</v>
      </c>
      <c r="R310" s="2">
        <v>4</v>
      </c>
      <c r="S310" s="2">
        <v>1</v>
      </c>
      <c r="T310" s="2">
        <v>3</v>
      </c>
      <c r="U310" s="2">
        <v>18</v>
      </c>
      <c r="V310" s="2">
        <v>8</v>
      </c>
      <c r="W310" s="2">
        <v>10</v>
      </c>
      <c r="X310" s="2">
        <v>20</v>
      </c>
      <c r="Y310" s="2">
        <v>11</v>
      </c>
      <c r="Z310" s="2">
        <v>9</v>
      </c>
    </row>
    <row r="311" spans="1:26" hidden="1" x14ac:dyDescent="0.45">
      <c r="A311" s="2">
        <v>426</v>
      </c>
      <c r="B311" s="2">
        <v>16</v>
      </c>
      <c r="C311" s="2"/>
      <c r="D311" s="2">
        <v>10</v>
      </c>
      <c r="E311" s="3" t="s">
        <v>43</v>
      </c>
      <c r="F311" s="2">
        <v>21</v>
      </c>
      <c r="G311" s="2">
        <v>10</v>
      </c>
      <c r="H311" s="2">
        <v>11</v>
      </c>
      <c r="I311" s="2">
        <v>16</v>
      </c>
      <c r="J311" s="2">
        <v>8</v>
      </c>
      <c r="K311" s="2">
        <v>8</v>
      </c>
      <c r="L311" s="2">
        <v>6</v>
      </c>
      <c r="M311" s="2">
        <v>3</v>
      </c>
      <c r="N311" s="2">
        <v>3</v>
      </c>
      <c r="O311" s="2">
        <v>3</v>
      </c>
      <c r="P311" s="2">
        <v>1</v>
      </c>
      <c r="Q311" s="2">
        <v>2</v>
      </c>
      <c r="R311" s="2">
        <v>7</v>
      </c>
      <c r="S311" s="2">
        <v>4</v>
      </c>
      <c r="T311" s="2">
        <v>3</v>
      </c>
      <c r="U311" s="2">
        <v>20</v>
      </c>
      <c r="V311" s="2">
        <v>10</v>
      </c>
      <c r="W311" s="2">
        <v>10</v>
      </c>
      <c r="X311" s="2">
        <v>21</v>
      </c>
      <c r="Y311" s="2">
        <v>10</v>
      </c>
      <c r="Z311" s="2">
        <v>11</v>
      </c>
    </row>
    <row r="312" spans="1:26" hidden="1" x14ac:dyDescent="0.45">
      <c r="A312" s="2">
        <v>427</v>
      </c>
      <c r="B312" s="2">
        <v>16</v>
      </c>
      <c r="C312" s="2"/>
      <c r="D312" s="2">
        <v>10</v>
      </c>
      <c r="E312" s="3" t="s">
        <v>29</v>
      </c>
      <c r="F312" s="2">
        <v>21</v>
      </c>
      <c r="G312" s="2">
        <v>9</v>
      </c>
      <c r="H312" s="2">
        <v>12</v>
      </c>
      <c r="I312" s="2">
        <v>16</v>
      </c>
      <c r="J312" s="2">
        <v>7</v>
      </c>
      <c r="K312" s="2">
        <v>9</v>
      </c>
      <c r="L312" s="2">
        <v>5</v>
      </c>
      <c r="M312" s="2">
        <v>2</v>
      </c>
      <c r="N312" s="2">
        <v>3</v>
      </c>
      <c r="O312" s="2">
        <v>6</v>
      </c>
      <c r="P312" s="2">
        <v>3</v>
      </c>
      <c r="Q312" s="2">
        <v>3</v>
      </c>
      <c r="R312" s="2">
        <v>5</v>
      </c>
      <c r="S312" s="2">
        <v>2</v>
      </c>
      <c r="T312" s="2">
        <v>3</v>
      </c>
      <c r="U312" s="2">
        <v>18</v>
      </c>
      <c r="V312" s="2">
        <v>9</v>
      </c>
      <c r="W312" s="2">
        <v>9</v>
      </c>
      <c r="X312" s="2">
        <v>18</v>
      </c>
      <c r="Y312" s="2">
        <v>9</v>
      </c>
      <c r="Z312" s="2">
        <v>9</v>
      </c>
    </row>
    <row r="313" spans="1:26" hidden="1" x14ac:dyDescent="0.45">
      <c r="A313" s="2">
        <v>428</v>
      </c>
      <c r="B313" s="2">
        <v>16</v>
      </c>
      <c r="C313" s="2"/>
      <c r="D313" s="2">
        <v>10</v>
      </c>
      <c r="E313" s="3" t="s">
        <v>31</v>
      </c>
      <c r="F313" s="2">
        <v>21</v>
      </c>
      <c r="G313" s="2">
        <v>11</v>
      </c>
      <c r="H313" s="2">
        <v>10</v>
      </c>
      <c r="I313" s="2">
        <v>16</v>
      </c>
      <c r="J313" s="2">
        <v>8</v>
      </c>
      <c r="K313" s="2">
        <v>8</v>
      </c>
      <c r="L313" s="2">
        <v>6</v>
      </c>
      <c r="M313" s="2">
        <v>3</v>
      </c>
      <c r="N313" s="2">
        <v>3</v>
      </c>
      <c r="O313" s="2">
        <v>3</v>
      </c>
      <c r="P313" s="2">
        <v>2</v>
      </c>
      <c r="Q313" s="2">
        <v>1</v>
      </c>
      <c r="R313" s="2">
        <v>7</v>
      </c>
      <c r="S313" s="2">
        <v>3</v>
      </c>
      <c r="T313" s="2">
        <v>4</v>
      </c>
      <c r="U313" s="2">
        <v>27</v>
      </c>
      <c r="V313" s="2">
        <v>12</v>
      </c>
      <c r="W313" s="2">
        <v>15</v>
      </c>
      <c r="X313" s="2">
        <v>17</v>
      </c>
      <c r="Y313" s="2">
        <v>8</v>
      </c>
      <c r="Z313" s="2">
        <v>9</v>
      </c>
    </row>
    <row r="314" spans="1:26" hidden="1" x14ac:dyDescent="0.45">
      <c r="A314" s="2">
        <v>429</v>
      </c>
      <c r="B314" s="2">
        <v>16</v>
      </c>
      <c r="C314" s="2"/>
      <c r="D314" s="2">
        <v>13</v>
      </c>
      <c r="E314" s="3" t="s">
        <v>44</v>
      </c>
      <c r="F314" s="2">
        <v>20</v>
      </c>
      <c r="G314" s="2">
        <v>11</v>
      </c>
      <c r="H314" s="2">
        <v>9</v>
      </c>
      <c r="I314" s="2">
        <v>16</v>
      </c>
      <c r="J314" s="2">
        <v>8</v>
      </c>
      <c r="K314" s="2">
        <v>8</v>
      </c>
      <c r="L314" s="2">
        <v>5</v>
      </c>
      <c r="M314" s="2">
        <v>3</v>
      </c>
      <c r="N314" s="2">
        <v>2</v>
      </c>
      <c r="O314" s="2">
        <v>5</v>
      </c>
      <c r="P314" s="2">
        <v>2</v>
      </c>
      <c r="Q314" s="2">
        <v>3</v>
      </c>
      <c r="R314" s="2">
        <v>6</v>
      </c>
      <c r="S314" s="2">
        <v>3</v>
      </c>
      <c r="T314" s="2">
        <v>3</v>
      </c>
      <c r="U314" s="2">
        <v>26</v>
      </c>
      <c r="V314" s="2">
        <v>14</v>
      </c>
      <c r="W314" s="2">
        <v>12</v>
      </c>
      <c r="X314" s="2">
        <v>16</v>
      </c>
      <c r="Y314" s="2">
        <v>9</v>
      </c>
      <c r="Z314" s="2">
        <v>7</v>
      </c>
    </row>
    <row r="315" spans="1:26" hidden="1" x14ac:dyDescent="0.45">
      <c r="A315" s="2">
        <v>430</v>
      </c>
      <c r="B315" s="2">
        <v>16</v>
      </c>
      <c r="C315" s="2"/>
      <c r="D315" s="2">
        <v>14</v>
      </c>
      <c r="E315" s="3" t="s">
        <v>38</v>
      </c>
      <c r="F315" s="2">
        <v>16</v>
      </c>
      <c r="G315" s="2">
        <v>9</v>
      </c>
      <c r="H315" s="2">
        <v>7</v>
      </c>
      <c r="I315" s="2">
        <v>15</v>
      </c>
      <c r="J315" s="2">
        <v>8</v>
      </c>
      <c r="K315" s="2">
        <v>7</v>
      </c>
      <c r="L315" s="2">
        <v>4</v>
      </c>
      <c r="M315" s="2">
        <v>2</v>
      </c>
      <c r="N315" s="2">
        <v>2</v>
      </c>
      <c r="O315" s="2">
        <v>4</v>
      </c>
      <c r="P315" s="2">
        <v>3</v>
      </c>
      <c r="Q315" s="2">
        <v>1</v>
      </c>
      <c r="R315" s="2">
        <v>7</v>
      </c>
      <c r="S315" s="2">
        <v>3</v>
      </c>
      <c r="T315" s="2">
        <v>4</v>
      </c>
      <c r="U315" s="2">
        <v>19</v>
      </c>
      <c r="V315" s="2">
        <v>8</v>
      </c>
      <c r="W315" s="2">
        <v>11</v>
      </c>
      <c r="X315" s="2">
        <v>11</v>
      </c>
      <c r="Y315" s="2">
        <v>6</v>
      </c>
      <c r="Z315" s="2">
        <v>5</v>
      </c>
    </row>
    <row r="316" spans="1:26" hidden="1" x14ac:dyDescent="0.45">
      <c r="A316" s="2">
        <v>431</v>
      </c>
      <c r="B316" s="2">
        <v>16</v>
      </c>
      <c r="C316" s="2"/>
      <c r="D316" s="2">
        <v>15</v>
      </c>
      <c r="E316" s="3" t="s">
        <v>36</v>
      </c>
      <c r="F316" s="2">
        <v>15</v>
      </c>
      <c r="G316" s="2">
        <v>9</v>
      </c>
      <c r="H316" s="2">
        <v>6</v>
      </c>
      <c r="I316" s="2">
        <v>16</v>
      </c>
      <c r="J316" s="2">
        <v>8</v>
      </c>
      <c r="K316" s="2">
        <v>8</v>
      </c>
      <c r="L316" s="2">
        <v>3</v>
      </c>
      <c r="M316" s="2">
        <v>2</v>
      </c>
      <c r="N316" s="2">
        <v>1</v>
      </c>
      <c r="O316" s="2">
        <v>6</v>
      </c>
      <c r="P316" s="2">
        <v>3</v>
      </c>
      <c r="Q316" s="2">
        <v>3</v>
      </c>
      <c r="R316" s="2">
        <v>7</v>
      </c>
      <c r="S316" s="2">
        <v>3</v>
      </c>
      <c r="T316" s="2">
        <v>4</v>
      </c>
      <c r="U316" s="2">
        <v>23</v>
      </c>
      <c r="V316" s="2">
        <v>12</v>
      </c>
      <c r="W316" s="2">
        <v>11</v>
      </c>
      <c r="X316" s="2">
        <v>17</v>
      </c>
      <c r="Y316" s="2">
        <v>10</v>
      </c>
      <c r="Z316" s="2">
        <v>7</v>
      </c>
    </row>
    <row r="317" spans="1:26" hidden="1" x14ac:dyDescent="0.45">
      <c r="A317" s="2">
        <v>432</v>
      </c>
      <c r="B317" s="2">
        <v>16</v>
      </c>
      <c r="C317" s="2"/>
      <c r="D317" s="2">
        <v>16</v>
      </c>
      <c r="E317" s="3" t="s">
        <v>37</v>
      </c>
      <c r="F317" s="2">
        <v>14</v>
      </c>
      <c r="G317" s="2">
        <v>6</v>
      </c>
      <c r="H317" s="2">
        <v>8</v>
      </c>
      <c r="I317" s="2">
        <v>16</v>
      </c>
      <c r="J317" s="2">
        <v>9</v>
      </c>
      <c r="K317" s="2">
        <v>7</v>
      </c>
      <c r="L317" s="2">
        <v>3</v>
      </c>
      <c r="M317" s="2">
        <v>1</v>
      </c>
      <c r="N317" s="2">
        <v>2</v>
      </c>
      <c r="O317" s="2">
        <v>5</v>
      </c>
      <c r="P317" s="2">
        <v>3</v>
      </c>
      <c r="Q317" s="2">
        <v>2</v>
      </c>
      <c r="R317" s="2">
        <v>8</v>
      </c>
      <c r="S317" s="2">
        <v>5</v>
      </c>
      <c r="T317" s="2">
        <v>3</v>
      </c>
      <c r="U317" s="2">
        <v>24</v>
      </c>
      <c r="V317" s="2">
        <v>12</v>
      </c>
      <c r="W317" s="2">
        <v>12</v>
      </c>
      <c r="X317" s="2">
        <v>16</v>
      </c>
      <c r="Y317" s="2">
        <v>5</v>
      </c>
      <c r="Z317" s="2">
        <v>11</v>
      </c>
    </row>
    <row r="318" spans="1:26" hidden="1" x14ac:dyDescent="0.45">
      <c r="A318" s="2">
        <v>433</v>
      </c>
      <c r="B318" s="2">
        <v>16</v>
      </c>
      <c r="C318" s="2"/>
      <c r="D318" s="2">
        <v>16</v>
      </c>
      <c r="E318" s="3" t="s">
        <v>41</v>
      </c>
      <c r="F318" s="2">
        <v>14</v>
      </c>
      <c r="G318" s="2">
        <v>6</v>
      </c>
      <c r="H318" s="2">
        <v>8</v>
      </c>
      <c r="I318" s="2">
        <v>15</v>
      </c>
      <c r="J318" s="2">
        <v>8</v>
      </c>
      <c r="K318" s="2">
        <v>7</v>
      </c>
      <c r="L318" s="2">
        <v>3</v>
      </c>
      <c r="M318" s="2">
        <v>1</v>
      </c>
      <c r="N318" s="2">
        <v>2</v>
      </c>
      <c r="O318" s="2">
        <v>5</v>
      </c>
      <c r="P318" s="2">
        <v>3</v>
      </c>
      <c r="Q318" s="2">
        <v>2</v>
      </c>
      <c r="R318" s="2">
        <v>7</v>
      </c>
      <c r="S318" s="2">
        <v>4</v>
      </c>
      <c r="T318" s="2">
        <v>3</v>
      </c>
      <c r="U318" s="2">
        <v>18</v>
      </c>
      <c r="V318" s="2">
        <v>11</v>
      </c>
      <c r="W318" s="2">
        <v>7</v>
      </c>
      <c r="X318" s="2">
        <v>10</v>
      </c>
      <c r="Y318" s="2">
        <v>6</v>
      </c>
      <c r="Z318" s="2">
        <v>4</v>
      </c>
    </row>
    <row r="319" spans="1:26" hidden="1" x14ac:dyDescent="0.45">
      <c r="A319" s="2">
        <v>434</v>
      </c>
      <c r="B319" s="2">
        <v>16</v>
      </c>
      <c r="C319" s="2"/>
      <c r="D319" s="2">
        <v>18</v>
      </c>
      <c r="E319" s="3" t="s">
        <v>33</v>
      </c>
      <c r="F319" s="2">
        <v>12</v>
      </c>
      <c r="G319" s="2">
        <v>6</v>
      </c>
      <c r="H319" s="2">
        <v>6</v>
      </c>
      <c r="I319" s="2">
        <v>15</v>
      </c>
      <c r="J319" s="2">
        <v>7</v>
      </c>
      <c r="K319" s="2">
        <v>8</v>
      </c>
      <c r="L319" s="2">
        <v>2</v>
      </c>
      <c r="M319" s="2">
        <v>1</v>
      </c>
      <c r="N319" s="2">
        <v>1</v>
      </c>
      <c r="O319" s="2">
        <v>6</v>
      </c>
      <c r="P319" s="2">
        <v>3</v>
      </c>
      <c r="Q319" s="2">
        <v>3</v>
      </c>
      <c r="R319" s="2">
        <v>7</v>
      </c>
      <c r="S319" s="2">
        <v>3</v>
      </c>
      <c r="T319" s="2">
        <v>4</v>
      </c>
      <c r="U319" s="2">
        <v>22</v>
      </c>
      <c r="V319" s="2">
        <v>9</v>
      </c>
      <c r="W319" s="2">
        <v>13</v>
      </c>
      <c r="X319" s="2">
        <v>13</v>
      </c>
      <c r="Y319" s="2">
        <v>8</v>
      </c>
      <c r="Z319" s="2">
        <v>5</v>
      </c>
    </row>
    <row r="320" spans="1:26" hidden="1" x14ac:dyDescent="0.45">
      <c r="A320" s="2">
        <v>435</v>
      </c>
      <c r="B320" s="2">
        <v>16</v>
      </c>
      <c r="C320" s="2"/>
      <c r="D320" s="2">
        <v>19</v>
      </c>
      <c r="E320" s="3" t="s">
        <v>32</v>
      </c>
      <c r="F320" s="2">
        <v>11</v>
      </c>
      <c r="G320" s="2">
        <v>6</v>
      </c>
      <c r="H320" s="2">
        <v>5</v>
      </c>
      <c r="I320" s="2">
        <v>16</v>
      </c>
      <c r="J320" s="2">
        <v>8</v>
      </c>
      <c r="K320" s="2">
        <v>8</v>
      </c>
      <c r="L320" s="2">
        <v>1</v>
      </c>
      <c r="M320" s="2">
        <v>1</v>
      </c>
      <c r="N320" s="2">
        <v>0</v>
      </c>
      <c r="O320" s="2">
        <v>8</v>
      </c>
      <c r="P320" s="2">
        <v>3</v>
      </c>
      <c r="Q320" s="2">
        <v>5</v>
      </c>
      <c r="R320" s="2">
        <v>7</v>
      </c>
      <c r="S320" s="2">
        <v>4</v>
      </c>
      <c r="T320" s="2">
        <v>3</v>
      </c>
      <c r="U320" s="2">
        <v>22</v>
      </c>
      <c r="V320" s="2">
        <v>5</v>
      </c>
      <c r="W320" s="2">
        <v>17</v>
      </c>
      <c r="X320" s="2">
        <v>12</v>
      </c>
      <c r="Y320" s="2">
        <v>1</v>
      </c>
      <c r="Z320" s="2">
        <v>11</v>
      </c>
    </row>
    <row r="321" spans="1:26" hidden="1" x14ac:dyDescent="0.45">
      <c r="A321" s="2">
        <v>436</v>
      </c>
      <c r="B321" s="2">
        <v>16</v>
      </c>
      <c r="C321" s="2"/>
      <c r="D321" s="2">
        <v>20</v>
      </c>
      <c r="E321" s="3" t="s">
        <v>34</v>
      </c>
      <c r="F321" s="2">
        <v>9</v>
      </c>
      <c r="G321" s="2">
        <v>5</v>
      </c>
      <c r="H321" s="2">
        <v>4</v>
      </c>
      <c r="I321" s="2">
        <v>16</v>
      </c>
      <c r="J321" s="2">
        <v>8</v>
      </c>
      <c r="K321" s="2">
        <v>8</v>
      </c>
      <c r="L321" s="2">
        <v>1</v>
      </c>
      <c r="M321" s="2">
        <v>1</v>
      </c>
      <c r="N321" s="2">
        <v>0</v>
      </c>
      <c r="O321" s="2">
        <v>6</v>
      </c>
      <c r="P321" s="2">
        <v>2</v>
      </c>
      <c r="Q321" s="2">
        <v>4</v>
      </c>
      <c r="R321" s="2">
        <v>9</v>
      </c>
      <c r="S321" s="2">
        <v>5</v>
      </c>
      <c r="T321" s="2">
        <v>4</v>
      </c>
      <c r="U321" s="2">
        <v>27</v>
      </c>
      <c r="V321" s="2">
        <v>14</v>
      </c>
      <c r="W321" s="2">
        <v>13</v>
      </c>
      <c r="X321" s="2">
        <v>17</v>
      </c>
      <c r="Y321" s="2">
        <v>12</v>
      </c>
      <c r="Z321" s="2">
        <v>5</v>
      </c>
    </row>
    <row r="322" spans="1:26" hidden="1" x14ac:dyDescent="0.45">
      <c r="A322" s="2">
        <v>437</v>
      </c>
      <c r="B322" s="2">
        <v>17</v>
      </c>
      <c r="C322" s="2"/>
      <c r="D322" s="2">
        <v>1</v>
      </c>
      <c r="E322" s="3" t="s">
        <v>25</v>
      </c>
      <c r="F322" s="2">
        <v>36</v>
      </c>
      <c r="G322" s="2">
        <v>18</v>
      </c>
      <c r="H322" s="2">
        <v>18</v>
      </c>
      <c r="I322" s="2">
        <v>16</v>
      </c>
      <c r="J322" s="2">
        <v>8</v>
      </c>
      <c r="K322" s="2">
        <v>8</v>
      </c>
      <c r="L322" s="2">
        <v>12</v>
      </c>
      <c r="M322" s="2">
        <v>6</v>
      </c>
      <c r="N322" s="2">
        <v>6</v>
      </c>
      <c r="O322" s="2">
        <v>0</v>
      </c>
      <c r="P322" s="2">
        <v>0</v>
      </c>
      <c r="Q322" s="2">
        <v>0</v>
      </c>
      <c r="R322" s="2">
        <v>4</v>
      </c>
      <c r="S322" s="2">
        <v>2</v>
      </c>
      <c r="T322" s="2">
        <v>2</v>
      </c>
      <c r="U322" s="2">
        <v>14</v>
      </c>
      <c r="V322" s="2">
        <v>5</v>
      </c>
      <c r="W322" s="2">
        <v>9</v>
      </c>
      <c r="X322" s="2">
        <v>35</v>
      </c>
      <c r="Y322" s="2">
        <v>21</v>
      </c>
      <c r="Z322" s="2">
        <v>14</v>
      </c>
    </row>
    <row r="323" spans="1:26" hidden="1" x14ac:dyDescent="0.45">
      <c r="A323" s="2">
        <v>438</v>
      </c>
      <c r="B323" s="2">
        <v>17</v>
      </c>
      <c r="C323" s="2"/>
      <c r="D323" s="2">
        <v>2</v>
      </c>
      <c r="E323" s="3" t="s">
        <v>39</v>
      </c>
      <c r="F323" s="2">
        <v>35</v>
      </c>
      <c r="G323" s="2">
        <v>20</v>
      </c>
      <c r="H323" s="2">
        <v>15</v>
      </c>
      <c r="I323" s="2">
        <v>16</v>
      </c>
      <c r="J323" s="2">
        <v>9</v>
      </c>
      <c r="K323" s="2">
        <v>7</v>
      </c>
      <c r="L323" s="2">
        <v>10</v>
      </c>
      <c r="M323" s="2">
        <v>6</v>
      </c>
      <c r="N323" s="2">
        <v>4</v>
      </c>
      <c r="O323" s="2">
        <v>5</v>
      </c>
      <c r="P323" s="2">
        <v>2</v>
      </c>
      <c r="Q323" s="2">
        <v>3</v>
      </c>
      <c r="R323" s="2">
        <v>1</v>
      </c>
      <c r="S323" s="2">
        <v>1</v>
      </c>
      <c r="T323" s="2">
        <v>0</v>
      </c>
      <c r="U323" s="2">
        <v>13</v>
      </c>
      <c r="V323" s="2">
        <v>8</v>
      </c>
      <c r="W323" s="2">
        <v>5</v>
      </c>
      <c r="X323" s="2">
        <v>27</v>
      </c>
      <c r="Y323" s="2">
        <v>15</v>
      </c>
      <c r="Z323" s="2">
        <v>12</v>
      </c>
    </row>
    <row r="324" spans="1:26" hidden="1" x14ac:dyDescent="0.45">
      <c r="A324" s="2">
        <v>439</v>
      </c>
      <c r="B324" s="2">
        <v>17</v>
      </c>
      <c r="C324" s="2"/>
      <c r="D324" s="2">
        <v>3</v>
      </c>
      <c r="E324" s="3" t="s">
        <v>26</v>
      </c>
      <c r="F324" s="2">
        <v>34</v>
      </c>
      <c r="G324" s="2">
        <v>19</v>
      </c>
      <c r="H324" s="2">
        <v>15</v>
      </c>
      <c r="I324" s="2">
        <v>16</v>
      </c>
      <c r="J324" s="2">
        <v>7</v>
      </c>
      <c r="K324" s="2">
        <v>9</v>
      </c>
      <c r="L324" s="2">
        <v>11</v>
      </c>
      <c r="M324" s="2">
        <v>6</v>
      </c>
      <c r="N324" s="2">
        <v>5</v>
      </c>
      <c r="O324" s="2">
        <v>1</v>
      </c>
      <c r="P324" s="2">
        <v>1</v>
      </c>
      <c r="Q324" s="2">
        <v>0</v>
      </c>
      <c r="R324" s="2">
        <v>4</v>
      </c>
      <c r="S324" s="2">
        <v>0</v>
      </c>
      <c r="T324" s="2">
        <v>4</v>
      </c>
      <c r="U324" s="2">
        <v>13</v>
      </c>
      <c r="V324" s="2">
        <v>6</v>
      </c>
      <c r="W324" s="2">
        <v>7</v>
      </c>
      <c r="X324" s="2">
        <v>24</v>
      </c>
      <c r="Y324" s="2">
        <v>14</v>
      </c>
      <c r="Z324" s="2">
        <v>10</v>
      </c>
    </row>
    <row r="325" spans="1:26" hidden="1" x14ac:dyDescent="0.45">
      <c r="A325" s="2">
        <v>440</v>
      </c>
      <c r="B325" s="2">
        <v>17</v>
      </c>
      <c r="C325" s="2"/>
      <c r="D325" s="2">
        <v>4</v>
      </c>
      <c r="E325" s="3" t="s">
        <v>30</v>
      </c>
      <c r="F325" s="2">
        <v>33</v>
      </c>
      <c r="G325" s="2">
        <v>18</v>
      </c>
      <c r="H325" s="2">
        <v>15</v>
      </c>
      <c r="I325" s="2">
        <v>17</v>
      </c>
      <c r="J325" s="2">
        <v>9</v>
      </c>
      <c r="K325" s="2">
        <v>8</v>
      </c>
      <c r="L325" s="2">
        <v>11</v>
      </c>
      <c r="M325" s="2">
        <v>6</v>
      </c>
      <c r="N325" s="2">
        <v>5</v>
      </c>
      <c r="O325" s="2">
        <v>0</v>
      </c>
      <c r="P325" s="2">
        <v>0</v>
      </c>
      <c r="Q325" s="2">
        <v>0</v>
      </c>
      <c r="R325" s="2">
        <v>6</v>
      </c>
      <c r="S325" s="2">
        <v>3</v>
      </c>
      <c r="T325" s="2">
        <v>3</v>
      </c>
      <c r="U325" s="2">
        <v>11</v>
      </c>
      <c r="V325" s="2">
        <v>5</v>
      </c>
      <c r="W325" s="2">
        <v>6</v>
      </c>
      <c r="X325" s="2">
        <v>20</v>
      </c>
      <c r="Y325" s="2">
        <v>11</v>
      </c>
      <c r="Z325" s="2">
        <v>9</v>
      </c>
    </row>
    <row r="326" spans="1:26" hidden="1" x14ac:dyDescent="0.45">
      <c r="A326" s="2">
        <v>441</v>
      </c>
      <c r="B326" s="2">
        <v>17</v>
      </c>
      <c r="C326" s="2"/>
      <c r="D326" s="2">
        <v>5</v>
      </c>
      <c r="E326" s="3" t="s">
        <v>28</v>
      </c>
      <c r="F326" s="2">
        <v>32</v>
      </c>
      <c r="G326" s="2">
        <v>18</v>
      </c>
      <c r="H326" s="2">
        <v>14</v>
      </c>
      <c r="I326" s="2">
        <v>17</v>
      </c>
      <c r="J326" s="2">
        <v>8</v>
      </c>
      <c r="K326" s="2">
        <v>9</v>
      </c>
      <c r="L326" s="2">
        <v>9</v>
      </c>
      <c r="M326" s="2">
        <v>5</v>
      </c>
      <c r="N326" s="2">
        <v>4</v>
      </c>
      <c r="O326" s="2">
        <v>5</v>
      </c>
      <c r="P326" s="2">
        <v>3</v>
      </c>
      <c r="Q326" s="2">
        <v>2</v>
      </c>
      <c r="R326" s="2">
        <v>3</v>
      </c>
      <c r="S326" s="2">
        <v>0</v>
      </c>
      <c r="T326" s="2">
        <v>3</v>
      </c>
      <c r="U326" s="2">
        <v>15</v>
      </c>
      <c r="V326" s="2">
        <v>7</v>
      </c>
      <c r="W326" s="2">
        <v>8</v>
      </c>
      <c r="X326" s="2">
        <v>23</v>
      </c>
      <c r="Y326" s="2">
        <v>14</v>
      </c>
      <c r="Z326" s="2">
        <v>9</v>
      </c>
    </row>
    <row r="327" spans="1:26" hidden="1" x14ac:dyDescent="0.45">
      <c r="A327" s="2">
        <v>442</v>
      </c>
      <c r="B327" s="2">
        <v>17</v>
      </c>
      <c r="C327" s="2"/>
      <c r="D327" s="2">
        <v>6</v>
      </c>
      <c r="E327" s="3" t="s">
        <v>27</v>
      </c>
      <c r="F327" s="2">
        <v>27</v>
      </c>
      <c r="G327" s="2">
        <v>15</v>
      </c>
      <c r="H327" s="2">
        <v>12</v>
      </c>
      <c r="I327" s="2">
        <v>16</v>
      </c>
      <c r="J327" s="2">
        <v>7</v>
      </c>
      <c r="K327" s="2">
        <v>9</v>
      </c>
      <c r="L327" s="2">
        <v>7</v>
      </c>
      <c r="M327" s="2">
        <v>4</v>
      </c>
      <c r="N327" s="2">
        <v>3</v>
      </c>
      <c r="O327" s="2">
        <v>6</v>
      </c>
      <c r="P327" s="2">
        <v>3</v>
      </c>
      <c r="Q327" s="2">
        <v>3</v>
      </c>
      <c r="R327" s="2">
        <v>3</v>
      </c>
      <c r="S327" s="2">
        <v>0</v>
      </c>
      <c r="T327" s="2">
        <v>3</v>
      </c>
      <c r="U327" s="2">
        <v>12</v>
      </c>
      <c r="V327" s="2">
        <v>3</v>
      </c>
      <c r="W327" s="2">
        <v>9</v>
      </c>
      <c r="X327" s="2">
        <v>22</v>
      </c>
      <c r="Y327" s="2">
        <v>11</v>
      </c>
      <c r="Z327" s="2">
        <v>11</v>
      </c>
    </row>
    <row r="328" spans="1:26" hidden="1" x14ac:dyDescent="0.45">
      <c r="A328" s="2">
        <v>443</v>
      </c>
      <c r="B328" s="2">
        <v>17</v>
      </c>
      <c r="C328" s="2"/>
      <c r="D328" s="2">
        <v>7</v>
      </c>
      <c r="E328" s="3" t="s">
        <v>40</v>
      </c>
      <c r="F328" s="2">
        <v>26</v>
      </c>
      <c r="G328" s="2">
        <v>14</v>
      </c>
      <c r="H328" s="2">
        <v>12</v>
      </c>
      <c r="I328" s="2">
        <v>16</v>
      </c>
      <c r="J328" s="2">
        <v>8</v>
      </c>
      <c r="K328" s="2">
        <v>8</v>
      </c>
      <c r="L328" s="2">
        <v>7</v>
      </c>
      <c r="M328" s="2">
        <v>4</v>
      </c>
      <c r="N328" s="2">
        <v>3</v>
      </c>
      <c r="O328" s="2">
        <v>5</v>
      </c>
      <c r="P328" s="2">
        <v>2</v>
      </c>
      <c r="Q328" s="2">
        <v>3</v>
      </c>
      <c r="R328" s="2">
        <v>4</v>
      </c>
      <c r="S328" s="2">
        <v>2</v>
      </c>
      <c r="T328" s="2">
        <v>2</v>
      </c>
      <c r="U328" s="2">
        <v>14</v>
      </c>
      <c r="V328" s="2">
        <v>6</v>
      </c>
      <c r="W328" s="2">
        <v>8</v>
      </c>
      <c r="X328" s="2">
        <v>24</v>
      </c>
      <c r="Y328" s="2">
        <v>11</v>
      </c>
      <c r="Z328" s="2">
        <v>13</v>
      </c>
    </row>
    <row r="329" spans="1:26" hidden="1" x14ac:dyDescent="0.45">
      <c r="A329" s="2">
        <v>444</v>
      </c>
      <c r="B329" s="2">
        <v>17</v>
      </c>
      <c r="C329" s="2"/>
      <c r="D329" s="2">
        <v>8</v>
      </c>
      <c r="E329" s="3" t="s">
        <v>42</v>
      </c>
      <c r="F329" s="2">
        <v>24</v>
      </c>
      <c r="G329" s="2">
        <v>15</v>
      </c>
      <c r="H329" s="2">
        <v>9</v>
      </c>
      <c r="I329" s="2">
        <v>17</v>
      </c>
      <c r="J329" s="2">
        <v>8</v>
      </c>
      <c r="K329" s="2">
        <v>9</v>
      </c>
      <c r="L329" s="2">
        <v>6</v>
      </c>
      <c r="M329" s="2">
        <v>4</v>
      </c>
      <c r="N329" s="2">
        <v>2</v>
      </c>
      <c r="O329" s="2">
        <v>6</v>
      </c>
      <c r="P329" s="2">
        <v>3</v>
      </c>
      <c r="Q329" s="2">
        <v>3</v>
      </c>
      <c r="R329" s="2">
        <v>5</v>
      </c>
      <c r="S329" s="2">
        <v>1</v>
      </c>
      <c r="T329" s="2">
        <v>4</v>
      </c>
      <c r="U329" s="2">
        <v>12</v>
      </c>
      <c r="V329" s="2">
        <v>5</v>
      </c>
      <c r="W329" s="2">
        <v>7</v>
      </c>
      <c r="X329" s="2">
        <v>18</v>
      </c>
      <c r="Y329" s="2">
        <v>13</v>
      </c>
      <c r="Z329" s="2">
        <v>5</v>
      </c>
    </row>
    <row r="330" spans="1:26" hidden="1" x14ac:dyDescent="0.45">
      <c r="A330" s="2">
        <v>445</v>
      </c>
      <c r="B330" s="2">
        <v>17</v>
      </c>
      <c r="C330" s="2"/>
      <c r="D330" s="2">
        <v>9</v>
      </c>
      <c r="E330" s="3" t="s">
        <v>43</v>
      </c>
      <c r="F330" s="2">
        <v>22</v>
      </c>
      <c r="G330" s="2">
        <v>10</v>
      </c>
      <c r="H330" s="2">
        <v>12</v>
      </c>
      <c r="I330" s="2">
        <v>17</v>
      </c>
      <c r="J330" s="2">
        <v>8</v>
      </c>
      <c r="K330" s="2">
        <v>9</v>
      </c>
      <c r="L330" s="2">
        <v>6</v>
      </c>
      <c r="M330" s="2">
        <v>3</v>
      </c>
      <c r="N330" s="2">
        <v>3</v>
      </c>
      <c r="O330" s="2">
        <v>4</v>
      </c>
      <c r="P330" s="2">
        <v>1</v>
      </c>
      <c r="Q330" s="2">
        <v>3</v>
      </c>
      <c r="R330" s="2">
        <v>7</v>
      </c>
      <c r="S330" s="2">
        <v>4</v>
      </c>
      <c r="T330" s="2">
        <v>3</v>
      </c>
      <c r="U330" s="2">
        <v>21</v>
      </c>
      <c r="V330" s="2">
        <v>10</v>
      </c>
      <c r="W330" s="2">
        <v>11</v>
      </c>
      <c r="X330" s="2">
        <v>22</v>
      </c>
      <c r="Y330" s="2">
        <v>10</v>
      </c>
      <c r="Z330" s="2">
        <v>12</v>
      </c>
    </row>
    <row r="331" spans="1:26" hidden="1" x14ac:dyDescent="0.45">
      <c r="A331" s="2">
        <v>446</v>
      </c>
      <c r="B331" s="2">
        <v>17</v>
      </c>
      <c r="C331" s="2"/>
      <c r="D331" s="2">
        <v>9</v>
      </c>
      <c r="E331" s="3" t="s">
        <v>35</v>
      </c>
      <c r="F331" s="2">
        <v>22</v>
      </c>
      <c r="G331" s="2">
        <v>13</v>
      </c>
      <c r="H331" s="2">
        <v>9</v>
      </c>
      <c r="I331" s="2">
        <v>17</v>
      </c>
      <c r="J331" s="2">
        <v>9</v>
      </c>
      <c r="K331" s="2">
        <v>8</v>
      </c>
      <c r="L331" s="2">
        <v>5</v>
      </c>
      <c r="M331" s="2">
        <v>3</v>
      </c>
      <c r="N331" s="2">
        <v>2</v>
      </c>
      <c r="O331" s="2">
        <v>7</v>
      </c>
      <c r="P331" s="2">
        <v>4</v>
      </c>
      <c r="Q331" s="2">
        <v>3</v>
      </c>
      <c r="R331" s="2">
        <v>5</v>
      </c>
      <c r="S331" s="2">
        <v>2</v>
      </c>
      <c r="T331" s="2">
        <v>3</v>
      </c>
      <c r="U331" s="2">
        <v>19</v>
      </c>
      <c r="V331" s="2">
        <v>9</v>
      </c>
      <c r="W331" s="2">
        <v>10</v>
      </c>
      <c r="X331" s="2">
        <v>20</v>
      </c>
      <c r="Y331" s="2">
        <v>11</v>
      </c>
      <c r="Z331" s="2">
        <v>9</v>
      </c>
    </row>
    <row r="332" spans="1:26" hidden="1" x14ac:dyDescent="0.45">
      <c r="A332" s="2">
        <v>447</v>
      </c>
      <c r="B332" s="2">
        <v>17</v>
      </c>
      <c r="C332" s="2"/>
      <c r="D332" s="2">
        <v>9</v>
      </c>
      <c r="E332" s="3" t="s">
        <v>31</v>
      </c>
      <c r="F332" s="2">
        <v>22</v>
      </c>
      <c r="G332" s="2">
        <v>12</v>
      </c>
      <c r="H332" s="2">
        <v>10</v>
      </c>
      <c r="I332" s="2">
        <v>17</v>
      </c>
      <c r="J332" s="2">
        <v>9</v>
      </c>
      <c r="K332" s="2">
        <v>8</v>
      </c>
      <c r="L332" s="2">
        <v>6</v>
      </c>
      <c r="M332" s="2">
        <v>3</v>
      </c>
      <c r="N332" s="2">
        <v>3</v>
      </c>
      <c r="O332" s="2">
        <v>4</v>
      </c>
      <c r="P332" s="2">
        <v>3</v>
      </c>
      <c r="Q332" s="2">
        <v>1</v>
      </c>
      <c r="R332" s="2">
        <v>7</v>
      </c>
      <c r="S332" s="2">
        <v>3</v>
      </c>
      <c r="T332" s="2">
        <v>4</v>
      </c>
      <c r="U332" s="2">
        <v>28</v>
      </c>
      <c r="V332" s="2">
        <v>13</v>
      </c>
      <c r="W332" s="2">
        <v>15</v>
      </c>
      <c r="X332" s="2">
        <v>18</v>
      </c>
      <c r="Y332" s="2">
        <v>9</v>
      </c>
      <c r="Z332" s="2">
        <v>9</v>
      </c>
    </row>
    <row r="333" spans="1:26" hidden="1" x14ac:dyDescent="0.45">
      <c r="A333" s="2">
        <v>448</v>
      </c>
      <c r="B333" s="2">
        <v>17</v>
      </c>
      <c r="C333" s="2"/>
      <c r="D333" s="2">
        <v>12</v>
      </c>
      <c r="E333" s="3" t="s">
        <v>29</v>
      </c>
      <c r="F333" s="2">
        <v>21</v>
      </c>
      <c r="G333" s="2">
        <v>9</v>
      </c>
      <c r="H333" s="2">
        <v>12</v>
      </c>
      <c r="I333" s="2">
        <v>17</v>
      </c>
      <c r="J333" s="2">
        <v>8</v>
      </c>
      <c r="K333" s="2">
        <v>9</v>
      </c>
      <c r="L333" s="2">
        <v>5</v>
      </c>
      <c r="M333" s="2">
        <v>2</v>
      </c>
      <c r="N333" s="2">
        <v>3</v>
      </c>
      <c r="O333" s="2">
        <v>6</v>
      </c>
      <c r="P333" s="2">
        <v>3</v>
      </c>
      <c r="Q333" s="2">
        <v>3</v>
      </c>
      <c r="R333" s="2">
        <v>6</v>
      </c>
      <c r="S333" s="2">
        <v>3</v>
      </c>
      <c r="T333" s="2">
        <v>3</v>
      </c>
      <c r="U333" s="2">
        <v>20</v>
      </c>
      <c r="V333" s="2">
        <v>11</v>
      </c>
      <c r="W333" s="2">
        <v>9</v>
      </c>
      <c r="X333" s="2">
        <v>18</v>
      </c>
      <c r="Y333" s="2">
        <v>9</v>
      </c>
      <c r="Z333" s="2">
        <v>9</v>
      </c>
    </row>
    <row r="334" spans="1:26" hidden="1" x14ac:dyDescent="0.45">
      <c r="A334" s="2">
        <v>449</v>
      </c>
      <c r="B334" s="2">
        <v>17</v>
      </c>
      <c r="C334" s="2"/>
      <c r="D334" s="2">
        <v>13</v>
      </c>
      <c r="E334" s="3" t="s">
        <v>44</v>
      </c>
      <c r="F334" s="2">
        <v>20</v>
      </c>
      <c r="G334" s="2">
        <v>11</v>
      </c>
      <c r="H334" s="2">
        <v>9</v>
      </c>
      <c r="I334" s="2">
        <v>17</v>
      </c>
      <c r="J334" s="2">
        <v>9</v>
      </c>
      <c r="K334" s="2">
        <v>8</v>
      </c>
      <c r="L334" s="2">
        <v>5</v>
      </c>
      <c r="M334" s="2">
        <v>3</v>
      </c>
      <c r="N334" s="2">
        <v>2</v>
      </c>
      <c r="O334" s="2">
        <v>5</v>
      </c>
      <c r="P334" s="2">
        <v>2</v>
      </c>
      <c r="Q334" s="2">
        <v>3</v>
      </c>
      <c r="R334" s="2">
        <v>7</v>
      </c>
      <c r="S334" s="2">
        <v>4</v>
      </c>
      <c r="T334" s="2">
        <v>3</v>
      </c>
      <c r="U334" s="2">
        <v>28</v>
      </c>
      <c r="V334" s="2">
        <v>16</v>
      </c>
      <c r="W334" s="2">
        <v>12</v>
      </c>
      <c r="X334" s="2">
        <v>17</v>
      </c>
      <c r="Y334" s="2">
        <v>10</v>
      </c>
      <c r="Z334" s="2">
        <v>7</v>
      </c>
    </row>
    <row r="335" spans="1:26" hidden="1" x14ac:dyDescent="0.45">
      <c r="A335" s="2">
        <v>450</v>
      </c>
      <c r="B335" s="2">
        <v>17</v>
      </c>
      <c r="C335" s="2"/>
      <c r="D335" s="2">
        <v>14</v>
      </c>
      <c r="E335" s="3" t="s">
        <v>36</v>
      </c>
      <c r="F335" s="2">
        <v>18</v>
      </c>
      <c r="G335" s="2">
        <v>9</v>
      </c>
      <c r="H335" s="2">
        <v>9</v>
      </c>
      <c r="I335" s="2">
        <v>17</v>
      </c>
      <c r="J335" s="2">
        <v>8</v>
      </c>
      <c r="K335" s="2">
        <v>9</v>
      </c>
      <c r="L335" s="2">
        <v>4</v>
      </c>
      <c r="M335" s="2">
        <v>2</v>
      </c>
      <c r="N335" s="2">
        <v>2</v>
      </c>
      <c r="O335" s="2">
        <v>6</v>
      </c>
      <c r="P335" s="2">
        <v>3</v>
      </c>
      <c r="Q335" s="2">
        <v>3</v>
      </c>
      <c r="R335" s="2">
        <v>7</v>
      </c>
      <c r="S335" s="2">
        <v>3</v>
      </c>
      <c r="T335" s="2">
        <v>4</v>
      </c>
      <c r="U335" s="2">
        <v>24</v>
      </c>
      <c r="V335" s="2">
        <v>12</v>
      </c>
      <c r="W335" s="2">
        <v>12</v>
      </c>
      <c r="X335" s="2">
        <v>19</v>
      </c>
      <c r="Y335" s="2">
        <v>10</v>
      </c>
      <c r="Z335" s="2">
        <v>9</v>
      </c>
    </row>
    <row r="336" spans="1:26" hidden="1" x14ac:dyDescent="0.45">
      <c r="A336" s="2">
        <v>451</v>
      </c>
      <c r="B336" s="2">
        <v>17</v>
      </c>
      <c r="C336" s="2"/>
      <c r="D336" s="2">
        <v>15</v>
      </c>
      <c r="E336" s="3" t="s">
        <v>41</v>
      </c>
      <c r="F336" s="2">
        <v>17</v>
      </c>
      <c r="G336" s="2">
        <v>9</v>
      </c>
      <c r="H336" s="2">
        <v>8</v>
      </c>
      <c r="I336" s="2">
        <v>16</v>
      </c>
      <c r="J336" s="2">
        <v>9</v>
      </c>
      <c r="K336" s="2">
        <v>7</v>
      </c>
      <c r="L336" s="2">
        <v>4</v>
      </c>
      <c r="M336" s="2">
        <v>2</v>
      </c>
      <c r="N336" s="2">
        <v>2</v>
      </c>
      <c r="O336" s="2">
        <v>5</v>
      </c>
      <c r="P336" s="2">
        <v>3</v>
      </c>
      <c r="Q336" s="2">
        <v>2</v>
      </c>
      <c r="R336" s="2">
        <v>7</v>
      </c>
      <c r="S336" s="2">
        <v>4</v>
      </c>
      <c r="T336" s="2">
        <v>3</v>
      </c>
      <c r="U336" s="2">
        <v>18</v>
      </c>
      <c r="V336" s="2">
        <v>11</v>
      </c>
      <c r="W336" s="2">
        <v>7</v>
      </c>
      <c r="X336" s="2">
        <v>11</v>
      </c>
      <c r="Y336" s="2">
        <v>7</v>
      </c>
      <c r="Z336" s="2">
        <v>4</v>
      </c>
    </row>
    <row r="337" spans="1:26" hidden="1" x14ac:dyDescent="0.45">
      <c r="A337" s="2">
        <v>452</v>
      </c>
      <c r="B337" s="2">
        <v>17</v>
      </c>
      <c r="C337" s="2"/>
      <c r="D337" s="2">
        <v>16</v>
      </c>
      <c r="E337" s="3" t="s">
        <v>38</v>
      </c>
      <c r="F337" s="2">
        <v>16</v>
      </c>
      <c r="G337" s="2">
        <v>9</v>
      </c>
      <c r="H337" s="2">
        <v>7</v>
      </c>
      <c r="I337" s="2">
        <v>16</v>
      </c>
      <c r="J337" s="2">
        <v>9</v>
      </c>
      <c r="K337" s="2">
        <v>7</v>
      </c>
      <c r="L337" s="2">
        <v>4</v>
      </c>
      <c r="M337" s="2">
        <v>2</v>
      </c>
      <c r="N337" s="2">
        <v>2</v>
      </c>
      <c r="O337" s="2">
        <v>4</v>
      </c>
      <c r="P337" s="2">
        <v>3</v>
      </c>
      <c r="Q337" s="2">
        <v>1</v>
      </c>
      <c r="R337" s="2">
        <v>8</v>
      </c>
      <c r="S337" s="2">
        <v>4</v>
      </c>
      <c r="T337" s="2">
        <v>4</v>
      </c>
      <c r="U337" s="2">
        <v>22</v>
      </c>
      <c r="V337" s="2">
        <v>11</v>
      </c>
      <c r="W337" s="2">
        <v>11</v>
      </c>
      <c r="X337" s="2">
        <v>11</v>
      </c>
      <c r="Y337" s="2">
        <v>6</v>
      </c>
      <c r="Z337" s="2">
        <v>5</v>
      </c>
    </row>
    <row r="338" spans="1:26" hidden="1" x14ac:dyDescent="0.45">
      <c r="A338" s="2">
        <v>453</v>
      </c>
      <c r="B338" s="2">
        <v>17</v>
      </c>
      <c r="C338" s="2"/>
      <c r="D338" s="2">
        <v>17</v>
      </c>
      <c r="E338" s="3" t="s">
        <v>37</v>
      </c>
      <c r="F338" s="2">
        <v>14</v>
      </c>
      <c r="G338" s="2">
        <v>6</v>
      </c>
      <c r="H338" s="2">
        <v>8</v>
      </c>
      <c r="I338" s="2">
        <v>17</v>
      </c>
      <c r="J338" s="2">
        <v>9</v>
      </c>
      <c r="K338" s="2">
        <v>8</v>
      </c>
      <c r="L338" s="2">
        <v>3</v>
      </c>
      <c r="M338" s="2">
        <v>1</v>
      </c>
      <c r="N338" s="2">
        <v>2</v>
      </c>
      <c r="O338" s="2">
        <v>5</v>
      </c>
      <c r="P338" s="2">
        <v>3</v>
      </c>
      <c r="Q338" s="2">
        <v>2</v>
      </c>
      <c r="R338" s="2">
        <v>9</v>
      </c>
      <c r="S338" s="2">
        <v>5</v>
      </c>
      <c r="T338" s="2">
        <v>4</v>
      </c>
      <c r="U338" s="2">
        <v>27</v>
      </c>
      <c r="V338" s="2">
        <v>12</v>
      </c>
      <c r="W338" s="2">
        <v>15</v>
      </c>
      <c r="X338" s="2">
        <v>17</v>
      </c>
      <c r="Y338" s="2">
        <v>5</v>
      </c>
      <c r="Z338" s="2">
        <v>12</v>
      </c>
    </row>
    <row r="339" spans="1:26" hidden="1" x14ac:dyDescent="0.45">
      <c r="A339" s="2">
        <v>454</v>
      </c>
      <c r="B339" s="2">
        <v>17</v>
      </c>
      <c r="C339" s="2"/>
      <c r="D339" s="2">
        <v>18</v>
      </c>
      <c r="E339" s="3" t="s">
        <v>33</v>
      </c>
      <c r="F339" s="2">
        <v>12</v>
      </c>
      <c r="G339" s="2">
        <v>6</v>
      </c>
      <c r="H339" s="2">
        <v>6</v>
      </c>
      <c r="I339" s="2">
        <v>16</v>
      </c>
      <c r="J339" s="2">
        <v>7</v>
      </c>
      <c r="K339" s="2">
        <v>9</v>
      </c>
      <c r="L339" s="2">
        <v>2</v>
      </c>
      <c r="M339" s="2">
        <v>1</v>
      </c>
      <c r="N339" s="2">
        <v>1</v>
      </c>
      <c r="O339" s="2">
        <v>6</v>
      </c>
      <c r="P339" s="2">
        <v>3</v>
      </c>
      <c r="Q339" s="2">
        <v>3</v>
      </c>
      <c r="R339" s="2">
        <v>8</v>
      </c>
      <c r="S339" s="2">
        <v>3</v>
      </c>
      <c r="T339" s="2">
        <v>5</v>
      </c>
      <c r="U339" s="2">
        <v>25</v>
      </c>
      <c r="V339" s="2">
        <v>9</v>
      </c>
      <c r="W339" s="2">
        <v>16</v>
      </c>
      <c r="X339" s="2">
        <v>13</v>
      </c>
      <c r="Y339" s="2">
        <v>8</v>
      </c>
      <c r="Z339" s="2">
        <v>5</v>
      </c>
    </row>
    <row r="340" spans="1:26" hidden="1" x14ac:dyDescent="0.45">
      <c r="A340" s="2">
        <v>455</v>
      </c>
      <c r="B340" s="2">
        <v>17</v>
      </c>
      <c r="C340" s="2"/>
      <c r="D340" s="2">
        <v>19</v>
      </c>
      <c r="E340" s="3" t="s">
        <v>32</v>
      </c>
      <c r="F340" s="2">
        <v>11</v>
      </c>
      <c r="G340" s="2">
        <v>6</v>
      </c>
      <c r="H340" s="2">
        <v>5</v>
      </c>
      <c r="I340" s="2">
        <v>17</v>
      </c>
      <c r="J340" s="2">
        <v>9</v>
      </c>
      <c r="K340" s="2">
        <v>8</v>
      </c>
      <c r="L340" s="2">
        <v>1</v>
      </c>
      <c r="M340" s="2">
        <v>1</v>
      </c>
      <c r="N340" s="2">
        <v>0</v>
      </c>
      <c r="O340" s="2">
        <v>8</v>
      </c>
      <c r="P340" s="2">
        <v>3</v>
      </c>
      <c r="Q340" s="2">
        <v>5</v>
      </c>
      <c r="R340" s="2">
        <v>8</v>
      </c>
      <c r="S340" s="2">
        <v>5</v>
      </c>
      <c r="T340" s="2">
        <v>3</v>
      </c>
      <c r="U340" s="2">
        <v>24</v>
      </c>
      <c r="V340" s="2">
        <v>7</v>
      </c>
      <c r="W340" s="2">
        <v>17</v>
      </c>
      <c r="X340" s="2">
        <v>12</v>
      </c>
      <c r="Y340" s="2">
        <v>1</v>
      </c>
      <c r="Z340" s="2">
        <v>11</v>
      </c>
    </row>
    <row r="341" spans="1:26" hidden="1" x14ac:dyDescent="0.45">
      <c r="A341" s="2">
        <v>456</v>
      </c>
      <c r="B341" s="2">
        <v>17</v>
      </c>
      <c r="C341" s="2"/>
      <c r="D341" s="2">
        <v>20</v>
      </c>
      <c r="E341" s="3" t="s">
        <v>34</v>
      </c>
      <c r="F341" s="2">
        <v>9</v>
      </c>
      <c r="G341" s="2">
        <v>5</v>
      </c>
      <c r="H341" s="2">
        <v>4</v>
      </c>
      <c r="I341" s="2">
        <v>17</v>
      </c>
      <c r="J341" s="2">
        <v>8</v>
      </c>
      <c r="K341" s="2">
        <v>9</v>
      </c>
      <c r="L341" s="2">
        <v>1</v>
      </c>
      <c r="M341" s="2">
        <v>1</v>
      </c>
      <c r="N341" s="2">
        <v>0</v>
      </c>
      <c r="O341" s="2">
        <v>6</v>
      </c>
      <c r="P341" s="2">
        <v>2</v>
      </c>
      <c r="Q341" s="2">
        <v>4</v>
      </c>
      <c r="R341" s="2">
        <v>10</v>
      </c>
      <c r="S341" s="2">
        <v>5</v>
      </c>
      <c r="T341" s="2">
        <v>5</v>
      </c>
      <c r="U341" s="2">
        <v>28</v>
      </c>
      <c r="V341" s="2">
        <v>14</v>
      </c>
      <c r="W341" s="2">
        <v>14</v>
      </c>
      <c r="X341" s="2">
        <v>17</v>
      </c>
      <c r="Y341" s="2">
        <v>12</v>
      </c>
      <c r="Z341" s="2">
        <v>5</v>
      </c>
    </row>
    <row r="342" spans="1:26" x14ac:dyDescent="0.45">
      <c r="A342" s="2">
        <v>457</v>
      </c>
      <c r="B342" s="2">
        <v>18</v>
      </c>
      <c r="C342" s="2"/>
      <c r="D342" s="2">
        <v>1</v>
      </c>
      <c r="E342" s="3" t="s">
        <v>25</v>
      </c>
      <c r="F342" s="2">
        <v>39</v>
      </c>
      <c r="G342" s="2">
        <v>21</v>
      </c>
      <c r="H342" s="2">
        <v>18</v>
      </c>
      <c r="I342" s="2">
        <v>17</v>
      </c>
      <c r="J342" s="2">
        <v>9</v>
      </c>
      <c r="K342" s="2">
        <v>8</v>
      </c>
      <c r="L342" s="2">
        <v>13</v>
      </c>
      <c r="M342" s="2">
        <v>7</v>
      </c>
      <c r="N342" s="2">
        <v>6</v>
      </c>
      <c r="O342" s="2">
        <v>0</v>
      </c>
      <c r="P342" s="2">
        <v>0</v>
      </c>
      <c r="Q342" s="2">
        <v>0</v>
      </c>
      <c r="R342" s="2">
        <v>4</v>
      </c>
      <c r="S342" s="2">
        <v>2</v>
      </c>
      <c r="T342" s="2">
        <v>2</v>
      </c>
      <c r="U342" s="2">
        <v>15</v>
      </c>
      <c r="V342" s="2">
        <v>6</v>
      </c>
      <c r="W342" s="2">
        <v>9</v>
      </c>
      <c r="X342" s="2">
        <v>38</v>
      </c>
      <c r="Y342" s="2">
        <v>24</v>
      </c>
      <c r="Z342" s="2">
        <v>14</v>
      </c>
    </row>
    <row r="343" spans="1:26" x14ac:dyDescent="0.45">
      <c r="A343" s="2">
        <v>458</v>
      </c>
      <c r="B343" s="2">
        <v>18</v>
      </c>
      <c r="C343" s="2"/>
      <c r="D343" s="2">
        <v>2</v>
      </c>
      <c r="E343" s="3" t="s">
        <v>39</v>
      </c>
      <c r="F343" s="2">
        <v>38</v>
      </c>
      <c r="G343" s="2">
        <v>20</v>
      </c>
      <c r="H343" s="2">
        <v>18</v>
      </c>
      <c r="I343" s="2">
        <v>17</v>
      </c>
      <c r="J343" s="2">
        <v>9</v>
      </c>
      <c r="K343" s="2">
        <v>8</v>
      </c>
      <c r="L343" s="2">
        <v>11</v>
      </c>
      <c r="M343" s="2">
        <v>6</v>
      </c>
      <c r="N343" s="2">
        <v>5</v>
      </c>
      <c r="O343" s="2">
        <v>5</v>
      </c>
      <c r="P343" s="2">
        <v>2</v>
      </c>
      <c r="Q343" s="2">
        <v>3</v>
      </c>
      <c r="R343" s="2">
        <v>1</v>
      </c>
      <c r="S343" s="2">
        <v>1</v>
      </c>
      <c r="T343" s="2">
        <v>0</v>
      </c>
      <c r="U343" s="2">
        <v>13</v>
      </c>
      <c r="V343" s="2">
        <v>8</v>
      </c>
      <c r="W343" s="2">
        <v>5</v>
      </c>
      <c r="X343" s="2">
        <v>28</v>
      </c>
      <c r="Y343" s="2">
        <v>15</v>
      </c>
      <c r="Z343" s="2">
        <v>13</v>
      </c>
    </row>
    <row r="344" spans="1:26" x14ac:dyDescent="0.45">
      <c r="A344" s="2">
        <v>459</v>
      </c>
      <c r="B344" s="2">
        <v>18</v>
      </c>
      <c r="C344" s="2"/>
      <c r="D344" s="2">
        <v>3</v>
      </c>
      <c r="E344" s="3" t="s">
        <v>26</v>
      </c>
      <c r="F344" s="2">
        <v>37</v>
      </c>
      <c r="G344" s="2">
        <v>19</v>
      </c>
      <c r="H344" s="2">
        <v>18</v>
      </c>
      <c r="I344" s="2">
        <v>17</v>
      </c>
      <c r="J344" s="2">
        <v>7</v>
      </c>
      <c r="K344" s="2">
        <v>10</v>
      </c>
      <c r="L344" s="2">
        <v>12</v>
      </c>
      <c r="M344" s="2">
        <v>6</v>
      </c>
      <c r="N344" s="2">
        <v>6</v>
      </c>
      <c r="O344" s="2">
        <v>1</v>
      </c>
      <c r="P344" s="2">
        <v>1</v>
      </c>
      <c r="Q344" s="2">
        <v>0</v>
      </c>
      <c r="R344" s="2">
        <v>4</v>
      </c>
      <c r="S344" s="2">
        <v>0</v>
      </c>
      <c r="T344" s="2">
        <v>4</v>
      </c>
      <c r="U344" s="2">
        <v>13</v>
      </c>
      <c r="V344" s="2">
        <v>6</v>
      </c>
      <c r="W344" s="2">
        <v>7</v>
      </c>
      <c r="X344" s="2">
        <v>26</v>
      </c>
      <c r="Y344" s="2">
        <v>14</v>
      </c>
      <c r="Z344" s="2">
        <v>12</v>
      </c>
    </row>
    <row r="345" spans="1:26" x14ac:dyDescent="0.45">
      <c r="A345" s="2">
        <v>460</v>
      </c>
      <c r="B345" s="2">
        <v>18</v>
      </c>
      <c r="C345" s="2"/>
      <c r="D345" s="2">
        <v>4</v>
      </c>
      <c r="E345" s="3" t="s">
        <v>28</v>
      </c>
      <c r="F345" s="2">
        <v>33</v>
      </c>
      <c r="G345" s="2">
        <v>19</v>
      </c>
      <c r="H345" s="2">
        <v>14</v>
      </c>
      <c r="I345" s="2">
        <v>18</v>
      </c>
      <c r="J345" s="2">
        <v>9</v>
      </c>
      <c r="K345" s="2">
        <v>9</v>
      </c>
      <c r="L345" s="2">
        <v>9</v>
      </c>
      <c r="M345" s="2">
        <v>5</v>
      </c>
      <c r="N345" s="2">
        <v>4</v>
      </c>
      <c r="O345" s="2">
        <v>6</v>
      </c>
      <c r="P345" s="2">
        <v>4</v>
      </c>
      <c r="Q345" s="2">
        <v>2</v>
      </c>
      <c r="R345" s="2">
        <v>3</v>
      </c>
      <c r="S345" s="2">
        <v>0</v>
      </c>
      <c r="T345" s="2">
        <v>3</v>
      </c>
      <c r="U345" s="2">
        <v>16</v>
      </c>
      <c r="V345" s="2">
        <v>8</v>
      </c>
      <c r="W345" s="2">
        <v>8</v>
      </c>
      <c r="X345" s="2">
        <v>24</v>
      </c>
      <c r="Y345" s="2">
        <v>15</v>
      </c>
      <c r="Z345" s="2">
        <v>9</v>
      </c>
    </row>
    <row r="346" spans="1:26" x14ac:dyDescent="0.45">
      <c r="A346" s="2">
        <v>461</v>
      </c>
      <c r="B346" s="2">
        <v>18</v>
      </c>
      <c r="C346" s="2"/>
      <c r="D346" s="2">
        <v>4</v>
      </c>
      <c r="E346" s="3" t="s">
        <v>30</v>
      </c>
      <c r="F346" s="2">
        <v>33</v>
      </c>
      <c r="G346" s="2">
        <v>18</v>
      </c>
      <c r="H346" s="2">
        <v>15</v>
      </c>
      <c r="I346" s="2">
        <v>18</v>
      </c>
      <c r="J346" s="2">
        <v>9</v>
      </c>
      <c r="K346" s="2">
        <v>9</v>
      </c>
      <c r="L346" s="2">
        <v>11</v>
      </c>
      <c r="M346" s="2">
        <v>6</v>
      </c>
      <c r="N346" s="2">
        <v>5</v>
      </c>
      <c r="O346" s="2">
        <v>0</v>
      </c>
      <c r="P346" s="2">
        <v>0</v>
      </c>
      <c r="Q346" s="2">
        <v>0</v>
      </c>
      <c r="R346" s="2">
        <v>7</v>
      </c>
      <c r="S346" s="2">
        <v>3</v>
      </c>
      <c r="T346" s="2">
        <v>4</v>
      </c>
      <c r="U346" s="2">
        <v>12</v>
      </c>
      <c r="V346" s="2">
        <v>5</v>
      </c>
      <c r="W346" s="2">
        <v>7</v>
      </c>
      <c r="X346" s="2">
        <v>20</v>
      </c>
      <c r="Y346" s="2">
        <v>11</v>
      </c>
      <c r="Z346" s="2">
        <v>9</v>
      </c>
    </row>
    <row r="347" spans="1:26" x14ac:dyDescent="0.45">
      <c r="A347" s="2">
        <v>462</v>
      </c>
      <c r="B347" s="2">
        <v>18</v>
      </c>
      <c r="C347" s="2"/>
      <c r="D347" s="2">
        <v>6</v>
      </c>
      <c r="E347" s="3" t="s">
        <v>27</v>
      </c>
      <c r="F347" s="2">
        <v>30</v>
      </c>
      <c r="G347" s="2">
        <v>18</v>
      </c>
      <c r="H347" s="2">
        <v>12</v>
      </c>
      <c r="I347" s="2">
        <v>17</v>
      </c>
      <c r="J347" s="2">
        <v>8</v>
      </c>
      <c r="K347" s="2">
        <v>9</v>
      </c>
      <c r="L347" s="2">
        <v>8</v>
      </c>
      <c r="M347" s="2">
        <v>5</v>
      </c>
      <c r="N347" s="2">
        <v>3</v>
      </c>
      <c r="O347" s="2">
        <v>6</v>
      </c>
      <c r="P347" s="2">
        <v>3</v>
      </c>
      <c r="Q347" s="2">
        <v>3</v>
      </c>
      <c r="R347" s="2">
        <v>3</v>
      </c>
      <c r="S347" s="2">
        <v>0</v>
      </c>
      <c r="T347" s="2">
        <v>3</v>
      </c>
      <c r="U347" s="2">
        <v>12</v>
      </c>
      <c r="V347" s="2">
        <v>3</v>
      </c>
      <c r="W347" s="2">
        <v>9</v>
      </c>
      <c r="X347" s="2">
        <v>23</v>
      </c>
      <c r="Y347" s="2">
        <v>12</v>
      </c>
      <c r="Z347" s="2">
        <v>11</v>
      </c>
    </row>
    <row r="348" spans="1:26" x14ac:dyDescent="0.45">
      <c r="A348" s="2">
        <v>463</v>
      </c>
      <c r="B348" s="2">
        <v>18</v>
      </c>
      <c r="C348" s="2"/>
      <c r="D348" s="2">
        <v>7</v>
      </c>
      <c r="E348" s="3" t="s">
        <v>40</v>
      </c>
      <c r="F348" s="2">
        <v>26</v>
      </c>
      <c r="G348" s="2">
        <v>14</v>
      </c>
      <c r="H348" s="2">
        <v>12</v>
      </c>
      <c r="I348" s="2">
        <v>17</v>
      </c>
      <c r="J348" s="2">
        <v>8</v>
      </c>
      <c r="K348" s="2">
        <v>9</v>
      </c>
      <c r="L348" s="2">
        <v>7</v>
      </c>
      <c r="M348" s="2">
        <v>4</v>
      </c>
      <c r="N348" s="2">
        <v>3</v>
      </c>
      <c r="O348" s="2">
        <v>5</v>
      </c>
      <c r="P348" s="2">
        <v>2</v>
      </c>
      <c r="Q348" s="2">
        <v>3</v>
      </c>
      <c r="R348" s="2">
        <v>5</v>
      </c>
      <c r="S348" s="2">
        <v>2</v>
      </c>
      <c r="T348" s="2">
        <v>3</v>
      </c>
      <c r="U348" s="2">
        <v>17</v>
      </c>
      <c r="V348" s="2">
        <v>6</v>
      </c>
      <c r="W348" s="2">
        <v>11</v>
      </c>
      <c r="X348" s="2">
        <v>25</v>
      </c>
      <c r="Y348" s="2">
        <v>11</v>
      </c>
      <c r="Z348" s="2">
        <v>14</v>
      </c>
    </row>
    <row r="349" spans="1:26" x14ac:dyDescent="0.45">
      <c r="A349" s="2">
        <v>464</v>
      </c>
      <c r="B349" s="2">
        <v>18</v>
      </c>
      <c r="C349" s="2"/>
      <c r="D349" s="2">
        <v>8</v>
      </c>
      <c r="E349" s="3" t="s">
        <v>35</v>
      </c>
      <c r="F349" s="2">
        <v>25</v>
      </c>
      <c r="G349" s="2">
        <v>16</v>
      </c>
      <c r="H349" s="2">
        <v>9</v>
      </c>
      <c r="I349" s="2">
        <v>18</v>
      </c>
      <c r="J349" s="2">
        <v>10</v>
      </c>
      <c r="K349" s="2">
        <v>8</v>
      </c>
      <c r="L349" s="2">
        <v>6</v>
      </c>
      <c r="M349" s="2">
        <v>4</v>
      </c>
      <c r="N349" s="2">
        <v>2</v>
      </c>
      <c r="O349" s="2">
        <v>7</v>
      </c>
      <c r="P349" s="2">
        <v>4</v>
      </c>
      <c r="Q349" s="2">
        <v>3</v>
      </c>
      <c r="R349" s="2">
        <v>5</v>
      </c>
      <c r="S349" s="2">
        <v>2</v>
      </c>
      <c r="T349" s="2">
        <v>3</v>
      </c>
      <c r="U349" s="2">
        <v>19</v>
      </c>
      <c r="V349" s="2">
        <v>9</v>
      </c>
      <c r="W349" s="2">
        <v>10</v>
      </c>
      <c r="X349" s="2">
        <v>21</v>
      </c>
      <c r="Y349" s="2">
        <v>12</v>
      </c>
      <c r="Z349" s="2">
        <v>9</v>
      </c>
    </row>
    <row r="350" spans="1:26" x14ac:dyDescent="0.45">
      <c r="A350" s="2">
        <v>465</v>
      </c>
      <c r="B350" s="2">
        <v>18</v>
      </c>
      <c r="C350" s="2"/>
      <c r="D350" s="2">
        <v>9</v>
      </c>
      <c r="E350" s="3" t="s">
        <v>42</v>
      </c>
      <c r="F350" s="2">
        <v>24</v>
      </c>
      <c r="G350" s="2">
        <v>15</v>
      </c>
      <c r="H350" s="2">
        <v>9</v>
      </c>
      <c r="I350" s="2">
        <v>18</v>
      </c>
      <c r="J350" s="2">
        <v>9</v>
      </c>
      <c r="K350" s="2">
        <v>9</v>
      </c>
      <c r="L350" s="2">
        <v>6</v>
      </c>
      <c r="M350" s="2">
        <v>4</v>
      </c>
      <c r="N350" s="2">
        <v>2</v>
      </c>
      <c r="O350" s="2">
        <v>6</v>
      </c>
      <c r="P350" s="2">
        <v>3</v>
      </c>
      <c r="Q350" s="2">
        <v>3</v>
      </c>
      <c r="R350" s="2">
        <v>6</v>
      </c>
      <c r="S350" s="2">
        <v>2</v>
      </c>
      <c r="T350" s="2">
        <v>4</v>
      </c>
      <c r="U350" s="2">
        <v>14</v>
      </c>
      <c r="V350" s="2">
        <v>7</v>
      </c>
      <c r="W350" s="2">
        <v>7</v>
      </c>
      <c r="X350" s="2">
        <v>18</v>
      </c>
      <c r="Y350" s="2">
        <v>13</v>
      </c>
      <c r="Z350" s="2">
        <v>5</v>
      </c>
    </row>
    <row r="351" spans="1:26" x14ac:dyDescent="0.45">
      <c r="A351" s="2">
        <v>466</v>
      </c>
      <c r="B351" s="2">
        <v>18</v>
      </c>
      <c r="C351" s="2"/>
      <c r="D351" s="2">
        <v>10</v>
      </c>
      <c r="E351" s="3" t="s">
        <v>43</v>
      </c>
      <c r="F351" s="2">
        <v>23</v>
      </c>
      <c r="G351" s="2">
        <v>11</v>
      </c>
      <c r="H351" s="2">
        <v>12</v>
      </c>
      <c r="I351" s="2">
        <v>18</v>
      </c>
      <c r="J351" s="2">
        <v>9</v>
      </c>
      <c r="K351" s="2">
        <v>9</v>
      </c>
      <c r="L351" s="2">
        <v>6</v>
      </c>
      <c r="M351" s="2">
        <v>3</v>
      </c>
      <c r="N351" s="2">
        <v>3</v>
      </c>
      <c r="O351" s="2">
        <v>5</v>
      </c>
      <c r="P351" s="2">
        <v>2</v>
      </c>
      <c r="Q351" s="2">
        <v>3</v>
      </c>
      <c r="R351" s="2">
        <v>7</v>
      </c>
      <c r="S351" s="2">
        <v>4</v>
      </c>
      <c r="T351" s="2">
        <v>3</v>
      </c>
      <c r="U351" s="2">
        <v>22</v>
      </c>
      <c r="V351" s="2">
        <v>11</v>
      </c>
      <c r="W351" s="2">
        <v>11</v>
      </c>
      <c r="X351" s="2">
        <v>23</v>
      </c>
      <c r="Y351" s="2">
        <v>11</v>
      </c>
      <c r="Z351" s="2">
        <v>12</v>
      </c>
    </row>
    <row r="352" spans="1:26" x14ac:dyDescent="0.45">
      <c r="A352" s="2">
        <v>467</v>
      </c>
      <c r="B352" s="2">
        <v>18</v>
      </c>
      <c r="C352" s="2"/>
      <c r="D352" s="2">
        <v>10</v>
      </c>
      <c r="E352" s="3" t="s">
        <v>44</v>
      </c>
      <c r="F352" s="2">
        <v>23</v>
      </c>
      <c r="G352" s="2">
        <v>11</v>
      </c>
      <c r="H352" s="2">
        <v>12</v>
      </c>
      <c r="I352" s="2">
        <v>18</v>
      </c>
      <c r="J352" s="2">
        <v>9</v>
      </c>
      <c r="K352" s="2">
        <v>9</v>
      </c>
      <c r="L352" s="2">
        <v>6</v>
      </c>
      <c r="M352" s="2">
        <v>3</v>
      </c>
      <c r="N352" s="2">
        <v>3</v>
      </c>
      <c r="O352" s="2">
        <v>5</v>
      </c>
      <c r="P352" s="2">
        <v>2</v>
      </c>
      <c r="Q352" s="2">
        <v>3</v>
      </c>
      <c r="R352" s="2">
        <v>7</v>
      </c>
      <c r="S352" s="2">
        <v>4</v>
      </c>
      <c r="T352" s="2">
        <v>3</v>
      </c>
      <c r="U352" s="2">
        <v>28</v>
      </c>
      <c r="V352" s="2">
        <v>16</v>
      </c>
      <c r="W352" s="2">
        <v>12</v>
      </c>
      <c r="X352" s="2">
        <v>20</v>
      </c>
      <c r="Y352" s="2">
        <v>10</v>
      </c>
      <c r="Z352" s="2">
        <v>10</v>
      </c>
    </row>
    <row r="353" spans="1:26" x14ac:dyDescent="0.45">
      <c r="A353" s="2">
        <v>468</v>
      </c>
      <c r="B353" s="2">
        <v>18</v>
      </c>
      <c r="C353" s="2"/>
      <c r="D353" s="2">
        <v>12</v>
      </c>
      <c r="E353" s="3" t="s">
        <v>31</v>
      </c>
      <c r="F353" s="2">
        <v>22</v>
      </c>
      <c r="G353" s="2">
        <v>12</v>
      </c>
      <c r="H353" s="2">
        <v>10</v>
      </c>
      <c r="I353" s="2">
        <v>18</v>
      </c>
      <c r="J353" s="2">
        <v>9</v>
      </c>
      <c r="K353" s="2">
        <v>9</v>
      </c>
      <c r="L353" s="2">
        <v>6</v>
      </c>
      <c r="M353" s="2">
        <v>3</v>
      </c>
      <c r="N353" s="2">
        <v>3</v>
      </c>
      <c r="O353" s="2">
        <v>4</v>
      </c>
      <c r="P353" s="2">
        <v>3</v>
      </c>
      <c r="Q353" s="2">
        <v>1</v>
      </c>
      <c r="R353" s="2">
        <v>8</v>
      </c>
      <c r="S353" s="2">
        <v>3</v>
      </c>
      <c r="T353" s="2">
        <v>5</v>
      </c>
      <c r="U353" s="2">
        <v>29</v>
      </c>
      <c r="V353" s="2">
        <v>13</v>
      </c>
      <c r="W353" s="2">
        <v>16</v>
      </c>
      <c r="X353" s="2">
        <v>18</v>
      </c>
      <c r="Y353" s="2">
        <v>9</v>
      </c>
      <c r="Z353" s="2">
        <v>9</v>
      </c>
    </row>
    <row r="354" spans="1:26" x14ac:dyDescent="0.45">
      <c r="A354" s="2">
        <v>469</v>
      </c>
      <c r="B354" s="2">
        <v>18</v>
      </c>
      <c r="C354" s="2"/>
      <c r="D354" s="2">
        <v>13</v>
      </c>
      <c r="E354" s="3" t="s">
        <v>29</v>
      </c>
      <c r="F354" s="2">
        <v>21</v>
      </c>
      <c r="G354" s="2">
        <v>9</v>
      </c>
      <c r="H354" s="2">
        <v>12</v>
      </c>
      <c r="I354" s="2">
        <v>18</v>
      </c>
      <c r="J354" s="2">
        <v>8</v>
      </c>
      <c r="K354" s="2">
        <v>10</v>
      </c>
      <c r="L354" s="2">
        <v>5</v>
      </c>
      <c r="M354" s="2">
        <v>2</v>
      </c>
      <c r="N354" s="2">
        <v>3</v>
      </c>
      <c r="O354" s="2">
        <v>6</v>
      </c>
      <c r="P354" s="2">
        <v>3</v>
      </c>
      <c r="Q354" s="2">
        <v>3</v>
      </c>
      <c r="R354" s="2">
        <v>7</v>
      </c>
      <c r="S354" s="2">
        <v>3</v>
      </c>
      <c r="T354" s="2">
        <v>4</v>
      </c>
      <c r="U354" s="2">
        <v>21</v>
      </c>
      <c r="V354" s="2">
        <v>11</v>
      </c>
      <c r="W354" s="2">
        <v>10</v>
      </c>
      <c r="X354" s="2">
        <v>18</v>
      </c>
      <c r="Y354" s="2">
        <v>9</v>
      </c>
      <c r="Z354" s="2">
        <v>9</v>
      </c>
    </row>
    <row r="355" spans="1:26" x14ac:dyDescent="0.45">
      <c r="A355" s="2">
        <v>470</v>
      </c>
      <c r="B355" s="2">
        <v>18</v>
      </c>
      <c r="C355" s="2"/>
      <c r="D355" s="2">
        <v>14</v>
      </c>
      <c r="E355" s="3" t="s">
        <v>36</v>
      </c>
      <c r="F355" s="2">
        <v>18</v>
      </c>
      <c r="G355" s="2">
        <v>9</v>
      </c>
      <c r="H355" s="2">
        <v>9</v>
      </c>
      <c r="I355" s="2">
        <v>18</v>
      </c>
      <c r="J355" s="2">
        <v>9</v>
      </c>
      <c r="K355" s="2">
        <v>9</v>
      </c>
      <c r="L355" s="2">
        <v>4</v>
      </c>
      <c r="M355" s="2">
        <v>2</v>
      </c>
      <c r="N355" s="2">
        <v>2</v>
      </c>
      <c r="O355" s="2">
        <v>6</v>
      </c>
      <c r="P355" s="2">
        <v>3</v>
      </c>
      <c r="Q355" s="2">
        <v>3</v>
      </c>
      <c r="R355" s="2">
        <v>8</v>
      </c>
      <c r="S355" s="2">
        <v>4</v>
      </c>
      <c r="T355" s="2">
        <v>4</v>
      </c>
      <c r="U355" s="2">
        <v>25</v>
      </c>
      <c r="V355" s="2">
        <v>13</v>
      </c>
      <c r="W355" s="2">
        <v>12</v>
      </c>
      <c r="X355" s="2">
        <v>19</v>
      </c>
      <c r="Y355" s="2">
        <v>10</v>
      </c>
      <c r="Z355" s="2">
        <v>9</v>
      </c>
    </row>
    <row r="356" spans="1:26" x14ac:dyDescent="0.45">
      <c r="A356" s="2">
        <v>471</v>
      </c>
      <c r="B356" s="2">
        <v>18</v>
      </c>
      <c r="C356" s="2"/>
      <c r="D356" s="2">
        <v>14</v>
      </c>
      <c r="E356" s="3" t="s">
        <v>41</v>
      </c>
      <c r="F356" s="2">
        <v>18</v>
      </c>
      <c r="G356" s="2">
        <v>9</v>
      </c>
      <c r="H356" s="2">
        <v>9</v>
      </c>
      <c r="I356" s="2">
        <v>17</v>
      </c>
      <c r="J356" s="2">
        <v>9</v>
      </c>
      <c r="K356" s="2">
        <v>8</v>
      </c>
      <c r="L356" s="2">
        <v>4</v>
      </c>
      <c r="M356" s="2">
        <v>2</v>
      </c>
      <c r="N356" s="2">
        <v>2</v>
      </c>
      <c r="O356" s="2">
        <v>6</v>
      </c>
      <c r="P356" s="2">
        <v>3</v>
      </c>
      <c r="Q356" s="2">
        <v>3</v>
      </c>
      <c r="R356" s="2">
        <v>7</v>
      </c>
      <c r="S356" s="2">
        <v>4</v>
      </c>
      <c r="T356" s="2">
        <v>3</v>
      </c>
      <c r="U356" s="2">
        <v>19</v>
      </c>
      <c r="V356" s="2">
        <v>11</v>
      </c>
      <c r="W356" s="2">
        <v>8</v>
      </c>
      <c r="X356" s="2">
        <v>12</v>
      </c>
      <c r="Y356" s="2">
        <v>7</v>
      </c>
      <c r="Z356" s="2">
        <v>5</v>
      </c>
    </row>
    <row r="357" spans="1:26" x14ac:dyDescent="0.45">
      <c r="A357" s="2">
        <v>472</v>
      </c>
      <c r="B357" s="2">
        <v>18</v>
      </c>
      <c r="C357" s="2"/>
      <c r="D357" s="2">
        <v>16</v>
      </c>
      <c r="E357" s="3" t="s">
        <v>38</v>
      </c>
      <c r="F357" s="2">
        <v>17</v>
      </c>
      <c r="G357" s="2">
        <v>9</v>
      </c>
      <c r="H357" s="2">
        <v>8</v>
      </c>
      <c r="I357" s="2">
        <v>17</v>
      </c>
      <c r="J357" s="2">
        <v>9</v>
      </c>
      <c r="K357" s="2">
        <v>8</v>
      </c>
      <c r="L357" s="2">
        <v>4</v>
      </c>
      <c r="M357" s="2">
        <v>2</v>
      </c>
      <c r="N357" s="2">
        <v>2</v>
      </c>
      <c r="O357" s="2">
        <v>5</v>
      </c>
      <c r="P357" s="2">
        <v>3</v>
      </c>
      <c r="Q357" s="2">
        <v>2</v>
      </c>
      <c r="R357" s="2">
        <v>8</v>
      </c>
      <c r="S357" s="2">
        <v>4</v>
      </c>
      <c r="T357" s="2">
        <v>4</v>
      </c>
      <c r="U357" s="2">
        <v>23</v>
      </c>
      <c r="V357" s="2">
        <v>11</v>
      </c>
      <c r="W357" s="2">
        <v>12</v>
      </c>
      <c r="X357" s="2">
        <v>12</v>
      </c>
      <c r="Y357" s="2">
        <v>6</v>
      </c>
      <c r="Z357" s="2">
        <v>6</v>
      </c>
    </row>
    <row r="358" spans="1:26" x14ac:dyDescent="0.45">
      <c r="A358" s="2">
        <v>473</v>
      </c>
      <c r="B358" s="2">
        <v>18</v>
      </c>
      <c r="C358" s="2"/>
      <c r="D358" s="2">
        <v>17</v>
      </c>
      <c r="E358" s="3" t="s">
        <v>37</v>
      </c>
      <c r="F358" s="2">
        <v>15</v>
      </c>
      <c r="G358" s="2">
        <v>7</v>
      </c>
      <c r="H358" s="2">
        <v>8</v>
      </c>
      <c r="I358" s="2">
        <v>18</v>
      </c>
      <c r="J358" s="2">
        <v>10</v>
      </c>
      <c r="K358" s="2">
        <v>8</v>
      </c>
      <c r="L358" s="2">
        <v>3</v>
      </c>
      <c r="M358" s="2">
        <v>1</v>
      </c>
      <c r="N358" s="2">
        <v>2</v>
      </c>
      <c r="O358" s="2">
        <v>6</v>
      </c>
      <c r="P358" s="2">
        <v>4</v>
      </c>
      <c r="Q358" s="2">
        <v>2</v>
      </c>
      <c r="R358" s="2">
        <v>9</v>
      </c>
      <c r="S358" s="2">
        <v>5</v>
      </c>
      <c r="T358" s="2">
        <v>4</v>
      </c>
      <c r="U358" s="2">
        <v>28</v>
      </c>
      <c r="V358" s="2">
        <v>13</v>
      </c>
      <c r="W358" s="2">
        <v>15</v>
      </c>
      <c r="X358" s="2">
        <v>18</v>
      </c>
      <c r="Y358" s="2">
        <v>6</v>
      </c>
      <c r="Z358" s="2">
        <v>12</v>
      </c>
    </row>
    <row r="359" spans="1:26" x14ac:dyDescent="0.45">
      <c r="A359" s="2">
        <v>474</v>
      </c>
      <c r="B359" s="2">
        <v>18</v>
      </c>
      <c r="C359" s="2"/>
      <c r="D359" s="2">
        <v>18</v>
      </c>
      <c r="E359" s="3" t="s">
        <v>34</v>
      </c>
      <c r="F359" s="2">
        <v>12</v>
      </c>
      <c r="G359" s="2">
        <v>8</v>
      </c>
      <c r="H359" s="2">
        <v>4</v>
      </c>
      <c r="I359" s="2">
        <v>18</v>
      </c>
      <c r="J359" s="2">
        <v>9</v>
      </c>
      <c r="K359" s="2">
        <v>9</v>
      </c>
      <c r="L359" s="2">
        <v>2</v>
      </c>
      <c r="M359" s="2">
        <v>2</v>
      </c>
      <c r="N359" s="2">
        <v>0</v>
      </c>
      <c r="O359" s="2">
        <v>6</v>
      </c>
      <c r="P359" s="2">
        <v>2</v>
      </c>
      <c r="Q359" s="2">
        <v>4</v>
      </c>
      <c r="R359" s="2">
        <v>10</v>
      </c>
      <c r="S359" s="2">
        <v>5</v>
      </c>
      <c r="T359" s="2">
        <v>5</v>
      </c>
      <c r="U359" s="2">
        <v>28</v>
      </c>
      <c r="V359" s="2">
        <v>14</v>
      </c>
      <c r="W359" s="2">
        <v>14</v>
      </c>
      <c r="X359" s="2">
        <v>18</v>
      </c>
      <c r="Y359" s="2">
        <v>13</v>
      </c>
      <c r="Z359" s="2">
        <v>5</v>
      </c>
    </row>
    <row r="360" spans="1:26" x14ac:dyDescent="0.45">
      <c r="A360" s="2">
        <v>475</v>
      </c>
      <c r="B360" s="2">
        <v>18</v>
      </c>
      <c r="C360" s="2"/>
      <c r="D360" s="2">
        <v>18</v>
      </c>
      <c r="E360" s="3" t="s">
        <v>32</v>
      </c>
      <c r="F360" s="2">
        <v>12</v>
      </c>
      <c r="G360" s="2">
        <v>6</v>
      </c>
      <c r="H360" s="2">
        <v>6</v>
      </c>
      <c r="I360" s="2">
        <v>18</v>
      </c>
      <c r="J360" s="2">
        <v>9</v>
      </c>
      <c r="K360" s="2">
        <v>9</v>
      </c>
      <c r="L360" s="2">
        <v>1</v>
      </c>
      <c r="M360" s="2">
        <v>1</v>
      </c>
      <c r="N360" s="2">
        <v>0</v>
      </c>
      <c r="O360" s="2">
        <v>9</v>
      </c>
      <c r="P360" s="2">
        <v>3</v>
      </c>
      <c r="Q360" s="2">
        <v>6</v>
      </c>
      <c r="R360" s="2">
        <v>8</v>
      </c>
      <c r="S360" s="2">
        <v>5</v>
      </c>
      <c r="T360" s="2">
        <v>3</v>
      </c>
      <c r="U360" s="2">
        <v>25</v>
      </c>
      <c r="V360" s="2">
        <v>7</v>
      </c>
      <c r="W360" s="2">
        <v>18</v>
      </c>
      <c r="X360" s="2">
        <v>13</v>
      </c>
      <c r="Y360" s="2">
        <v>1</v>
      </c>
      <c r="Z360" s="2">
        <v>12</v>
      </c>
    </row>
    <row r="361" spans="1:26" x14ac:dyDescent="0.45">
      <c r="A361" s="2">
        <v>476</v>
      </c>
      <c r="B361" s="2">
        <v>18</v>
      </c>
      <c r="C361" s="2">
        <f>INT(D361/5)</f>
        <v>3</v>
      </c>
      <c r="D361" s="2">
        <v>18</v>
      </c>
      <c r="E361" s="3" t="s">
        <v>33</v>
      </c>
      <c r="F361" s="2">
        <v>12</v>
      </c>
      <c r="G361" s="2">
        <v>6</v>
      </c>
      <c r="H361" s="2">
        <v>6</v>
      </c>
      <c r="I361" s="2">
        <v>17</v>
      </c>
      <c r="J361" s="2">
        <v>8</v>
      </c>
      <c r="K361" s="2">
        <v>9</v>
      </c>
      <c r="L361" s="2">
        <v>2</v>
      </c>
      <c r="M361" s="2">
        <v>1</v>
      </c>
      <c r="N361" s="2">
        <v>1</v>
      </c>
      <c r="O361" s="2">
        <v>6</v>
      </c>
      <c r="P361" s="2">
        <v>3</v>
      </c>
      <c r="Q361" s="2">
        <v>3</v>
      </c>
      <c r="R361" s="2">
        <v>9</v>
      </c>
      <c r="S361" s="2">
        <v>4</v>
      </c>
      <c r="T361" s="2">
        <v>5</v>
      </c>
      <c r="U361" s="2">
        <v>28</v>
      </c>
      <c r="V361" s="2">
        <v>12</v>
      </c>
      <c r="W361" s="2">
        <v>16</v>
      </c>
      <c r="X361" s="2">
        <v>13</v>
      </c>
      <c r="Y361" s="2">
        <v>8</v>
      </c>
      <c r="Z361" s="2">
        <v>5</v>
      </c>
    </row>
    <row r="362" spans="1:26" hidden="1" x14ac:dyDescent="0.45">
      <c r="A362" s="2">
        <v>477</v>
      </c>
      <c r="B362" s="2">
        <v>19</v>
      </c>
      <c r="C362" s="2"/>
      <c r="D362" s="2">
        <v>1</v>
      </c>
      <c r="E362" s="3" t="s">
        <v>25</v>
      </c>
      <c r="F362" s="2">
        <v>42</v>
      </c>
      <c r="G362" s="2">
        <v>21</v>
      </c>
      <c r="H362" s="2">
        <v>21</v>
      </c>
      <c r="I362" s="2">
        <v>18</v>
      </c>
      <c r="J362" s="2">
        <v>9</v>
      </c>
      <c r="K362" s="2">
        <v>9</v>
      </c>
      <c r="L362" s="2">
        <v>14</v>
      </c>
      <c r="M362" s="2">
        <v>7</v>
      </c>
      <c r="N362" s="2">
        <v>7</v>
      </c>
      <c r="O362" s="2">
        <v>0</v>
      </c>
      <c r="P362" s="2">
        <v>0</v>
      </c>
      <c r="Q362" s="2">
        <v>0</v>
      </c>
      <c r="R362" s="2">
        <v>4</v>
      </c>
      <c r="S362" s="2">
        <v>2</v>
      </c>
      <c r="T362" s="2">
        <v>2</v>
      </c>
      <c r="U362" s="2">
        <v>15</v>
      </c>
      <c r="V362" s="2">
        <v>6</v>
      </c>
      <c r="W362" s="2">
        <v>9</v>
      </c>
      <c r="X362" s="2">
        <v>40</v>
      </c>
      <c r="Y362" s="2">
        <v>24</v>
      </c>
      <c r="Z362" s="2">
        <v>16</v>
      </c>
    </row>
    <row r="363" spans="1:26" hidden="1" x14ac:dyDescent="0.45">
      <c r="A363" s="2">
        <v>478</v>
      </c>
      <c r="B363" s="2">
        <v>19</v>
      </c>
      <c r="C363" s="2"/>
      <c r="D363" s="2">
        <v>2</v>
      </c>
      <c r="E363" s="3" t="s">
        <v>39</v>
      </c>
      <c r="F363" s="2">
        <v>38</v>
      </c>
      <c r="G363" s="2">
        <v>20</v>
      </c>
      <c r="H363" s="2">
        <v>18</v>
      </c>
      <c r="I363" s="2">
        <v>17</v>
      </c>
      <c r="J363" s="2">
        <v>9</v>
      </c>
      <c r="K363" s="2">
        <v>8</v>
      </c>
      <c r="L363" s="2">
        <v>11</v>
      </c>
      <c r="M363" s="2">
        <v>6</v>
      </c>
      <c r="N363" s="2">
        <v>5</v>
      </c>
      <c r="O363" s="2">
        <v>5</v>
      </c>
      <c r="P363" s="2">
        <v>2</v>
      </c>
      <c r="Q363" s="2">
        <v>3</v>
      </c>
      <c r="R363" s="2">
        <v>1</v>
      </c>
      <c r="S363" s="2">
        <v>1</v>
      </c>
      <c r="T363" s="2">
        <v>0</v>
      </c>
      <c r="U363" s="2">
        <v>13</v>
      </c>
      <c r="V363" s="2">
        <v>8</v>
      </c>
      <c r="W363" s="2">
        <v>5</v>
      </c>
      <c r="X363" s="2">
        <v>28</v>
      </c>
      <c r="Y363" s="2">
        <v>15</v>
      </c>
      <c r="Z363" s="2">
        <v>13</v>
      </c>
    </row>
    <row r="364" spans="1:26" hidden="1" x14ac:dyDescent="0.45">
      <c r="A364" s="2">
        <v>479</v>
      </c>
      <c r="B364" s="2">
        <v>19</v>
      </c>
      <c r="C364" s="2"/>
      <c r="D364" s="2">
        <v>2</v>
      </c>
      <c r="E364" s="3" t="s">
        <v>26</v>
      </c>
      <c r="F364" s="2">
        <v>38</v>
      </c>
      <c r="G364" s="2">
        <v>20</v>
      </c>
      <c r="H364" s="2">
        <v>18</v>
      </c>
      <c r="I364" s="2">
        <v>18</v>
      </c>
      <c r="J364" s="2">
        <v>8</v>
      </c>
      <c r="K364" s="2">
        <v>10</v>
      </c>
      <c r="L364" s="2">
        <v>12</v>
      </c>
      <c r="M364" s="2">
        <v>6</v>
      </c>
      <c r="N364" s="2">
        <v>6</v>
      </c>
      <c r="O364" s="2">
        <v>2</v>
      </c>
      <c r="P364" s="2">
        <v>2</v>
      </c>
      <c r="Q364" s="2">
        <v>0</v>
      </c>
      <c r="R364" s="2">
        <v>4</v>
      </c>
      <c r="S364" s="2">
        <v>0</v>
      </c>
      <c r="T364" s="2">
        <v>4</v>
      </c>
      <c r="U364" s="2">
        <v>15</v>
      </c>
      <c r="V364" s="2">
        <v>8</v>
      </c>
      <c r="W364" s="2">
        <v>7</v>
      </c>
      <c r="X364" s="2">
        <v>28</v>
      </c>
      <c r="Y364" s="2">
        <v>16</v>
      </c>
      <c r="Z364" s="2">
        <v>12</v>
      </c>
    </row>
    <row r="365" spans="1:26" hidden="1" x14ac:dyDescent="0.45">
      <c r="A365" s="2">
        <v>480</v>
      </c>
      <c r="B365" s="2">
        <v>19</v>
      </c>
      <c r="C365" s="2"/>
      <c r="D365" s="2">
        <v>4</v>
      </c>
      <c r="E365" s="3" t="s">
        <v>28</v>
      </c>
      <c r="F365" s="2">
        <v>36</v>
      </c>
      <c r="G365" s="2">
        <v>19</v>
      </c>
      <c r="H365" s="2">
        <v>17</v>
      </c>
      <c r="I365" s="2">
        <v>19</v>
      </c>
      <c r="J365" s="2">
        <v>9</v>
      </c>
      <c r="K365" s="2">
        <v>10</v>
      </c>
      <c r="L365" s="2">
        <v>10</v>
      </c>
      <c r="M365" s="2">
        <v>5</v>
      </c>
      <c r="N365" s="2">
        <v>5</v>
      </c>
      <c r="O365" s="2">
        <v>6</v>
      </c>
      <c r="P365" s="2">
        <v>4</v>
      </c>
      <c r="Q365" s="2">
        <v>2</v>
      </c>
      <c r="R365" s="2">
        <v>3</v>
      </c>
      <c r="S365" s="2">
        <v>0</v>
      </c>
      <c r="T365" s="2">
        <v>3</v>
      </c>
      <c r="U365" s="2">
        <v>16</v>
      </c>
      <c r="V365" s="2">
        <v>8</v>
      </c>
      <c r="W365" s="2">
        <v>8</v>
      </c>
      <c r="X365" s="2">
        <v>27</v>
      </c>
      <c r="Y365" s="2">
        <v>15</v>
      </c>
      <c r="Z365" s="2">
        <v>12</v>
      </c>
    </row>
    <row r="366" spans="1:26" hidden="1" x14ac:dyDescent="0.45">
      <c r="A366" s="2">
        <v>481</v>
      </c>
      <c r="B366" s="2">
        <v>19</v>
      </c>
      <c r="C366" s="2"/>
      <c r="D366" s="2">
        <v>4</v>
      </c>
      <c r="E366" s="3" t="s">
        <v>30</v>
      </c>
      <c r="F366" s="2">
        <v>36</v>
      </c>
      <c r="G366" s="2">
        <v>18</v>
      </c>
      <c r="H366" s="2">
        <v>18</v>
      </c>
      <c r="I366" s="2">
        <v>19</v>
      </c>
      <c r="J366" s="2">
        <v>9</v>
      </c>
      <c r="K366" s="2">
        <v>10</v>
      </c>
      <c r="L366" s="2">
        <v>12</v>
      </c>
      <c r="M366" s="2">
        <v>6</v>
      </c>
      <c r="N366" s="2">
        <v>6</v>
      </c>
      <c r="O366" s="2">
        <v>0</v>
      </c>
      <c r="P366" s="2">
        <v>0</v>
      </c>
      <c r="Q366" s="2">
        <v>0</v>
      </c>
      <c r="R366" s="2">
        <v>7</v>
      </c>
      <c r="S366" s="2">
        <v>3</v>
      </c>
      <c r="T366" s="2">
        <v>4</v>
      </c>
      <c r="U366" s="2">
        <v>12</v>
      </c>
      <c r="V366" s="2">
        <v>5</v>
      </c>
      <c r="W366" s="2">
        <v>7</v>
      </c>
      <c r="X366" s="2">
        <v>22</v>
      </c>
      <c r="Y366" s="2">
        <v>11</v>
      </c>
      <c r="Z366" s="2">
        <v>11</v>
      </c>
    </row>
    <row r="367" spans="1:26" hidden="1" x14ac:dyDescent="0.45">
      <c r="A367" s="2">
        <v>482</v>
      </c>
      <c r="B367" s="2">
        <v>19</v>
      </c>
      <c r="C367" s="2"/>
      <c r="D367" s="2">
        <v>6</v>
      </c>
      <c r="E367" s="3" t="s">
        <v>27</v>
      </c>
      <c r="F367" s="2">
        <v>33</v>
      </c>
      <c r="G367" s="2">
        <v>18</v>
      </c>
      <c r="H367" s="2">
        <v>15</v>
      </c>
      <c r="I367" s="2">
        <v>18</v>
      </c>
      <c r="J367" s="2">
        <v>8</v>
      </c>
      <c r="K367" s="2">
        <v>10</v>
      </c>
      <c r="L367" s="2">
        <v>9</v>
      </c>
      <c r="M367" s="2">
        <v>5</v>
      </c>
      <c r="N367" s="2">
        <v>4</v>
      </c>
      <c r="O367" s="2">
        <v>6</v>
      </c>
      <c r="P367" s="2">
        <v>3</v>
      </c>
      <c r="Q367" s="2">
        <v>3</v>
      </c>
      <c r="R367" s="2">
        <v>3</v>
      </c>
      <c r="S367" s="2">
        <v>0</v>
      </c>
      <c r="T367" s="2">
        <v>3</v>
      </c>
      <c r="U367" s="2">
        <v>12</v>
      </c>
      <c r="V367" s="2">
        <v>3</v>
      </c>
      <c r="W367" s="2">
        <v>9</v>
      </c>
      <c r="X367" s="2">
        <v>26</v>
      </c>
      <c r="Y367" s="2">
        <v>12</v>
      </c>
      <c r="Z367" s="2">
        <v>14</v>
      </c>
    </row>
    <row r="368" spans="1:26" hidden="1" x14ac:dyDescent="0.45">
      <c r="A368" s="2">
        <v>483</v>
      </c>
      <c r="B368" s="2">
        <v>19</v>
      </c>
      <c r="C368" s="2"/>
      <c r="D368" s="2">
        <v>7</v>
      </c>
      <c r="E368" s="3" t="s">
        <v>35</v>
      </c>
      <c r="F368" s="2">
        <v>28</v>
      </c>
      <c r="G368" s="2">
        <v>16</v>
      </c>
      <c r="H368" s="2">
        <v>12</v>
      </c>
      <c r="I368" s="2">
        <v>19</v>
      </c>
      <c r="J368" s="2">
        <v>10</v>
      </c>
      <c r="K368" s="2">
        <v>9</v>
      </c>
      <c r="L368" s="2">
        <v>7</v>
      </c>
      <c r="M368" s="2">
        <v>4</v>
      </c>
      <c r="N368" s="2">
        <v>3</v>
      </c>
      <c r="O368" s="2">
        <v>7</v>
      </c>
      <c r="P368" s="2">
        <v>4</v>
      </c>
      <c r="Q368" s="2">
        <v>3</v>
      </c>
      <c r="R368" s="2">
        <v>5</v>
      </c>
      <c r="S368" s="2">
        <v>2</v>
      </c>
      <c r="T368" s="2">
        <v>3</v>
      </c>
      <c r="U368" s="2">
        <v>19</v>
      </c>
      <c r="V368" s="2">
        <v>9</v>
      </c>
      <c r="W368" s="2">
        <v>10</v>
      </c>
      <c r="X368" s="2">
        <v>23</v>
      </c>
      <c r="Y368" s="2">
        <v>12</v>
      </c>
      <c r="Z368" s="2">
        <v>11</v>
      </c>
    </row>
    <row r="369" spans="1:26" hidden="1" x14ac:dyDescent="0.45">
      <c r="A369" s="2">
        <v>484</v>
      </c>
      <c r="B369" s="2">
        <v>19</v>
      </c>
      <c r="C369" s="2"/>
      <c r="D369" s="2">
        <v>8</v>
      </c>
      <c r="E369" s="3" t="s">
        <v>40</v>
      </c>
      <c r="F369" s="2">
        <v>26</v>
      </c>
      <c r="G369" s="2">
        <v>14</v>
      </c>
      <c r="H369" s="2">
        <v>12</v>
      </c>
      <c r="I369" s="2">
        <v>18</v>
      </c>
      <c r="J369" s="2">
        <v>9</v>
      </c>
      <c r="K369" s="2">
        <v>9</v>
      </c>
      <c r="L369" s="2">
        <v>7</v>
      </c>
      <c r="M369" s="2">
        <v>4</v>
      </c>
      <c r="N369" s="2">
        <v>3</v>
      </c>
      <c r="O369" s="2">
        <v>5</v>
      </c>
      <c r="P369" s="2">
        <v>2</v>
      </c>
      <c r="Q369" s="2">
        <v>3</v>
      </c>
      <c r="R369" s="2">
        <v>6</v>
      </c>
      <c r="S369" s="2">
        <v>3</v>
      </c>
      <c r="T369" s="2">
        <v>3</v>
      </c>
      <c r="U369" s="2">
        <v>19</v>
      </c>
      <c r="V369" s="2">
        <v>8</v>
      </c>
      <c r="W369" s="2">
        <v>11</v>
      </c>
      <c r="X369" s="2">
        <v>25</v>
      </c>
      <c r="Y369" s="2">
        <v>11</v>
      </c>
      <c r="Z369" s="2">
        <v>14</v>
      </c>
    </row>
    <row r="370" spans="1:26" hidden="1" x14ac:dyDescent="0.45">
      <c r="A370" s="2">
        <v>485</v>
      </c>
      <c r="B370" s="2">
        <v>19</v>
      </c>
      <c r="C370" s="2"/>
      <c r="D370" s="2">
        <v>9</v>
      </c>
      <c r="E370" s="3" t="s">
        <v>42</v>
      </c>
      <c r="F370" s="2">
        <v>25</v>
      </c>
      <c r="G370" s="2">
        <v>16</v>
      </c>
      <c r="H370" s="2">
        <v>9</v>
      </c>
      <c r="I370" s="2">
        <v>19</v>
      </c>
      <c r="J370" s="2">
        <v>10</v>
      </c>
      <c r="K370" s="2">
        <v>9</v>
      </c>
      <c r="L370" s="2">
        <v>6</v>
      </c>
      <c r="M370" s="2">
        <v>4</v>
      </c>
      <c r="N370" s="2">
        <v>2</v>
      </c>
      <c r="O370" s="2">
        <v>7</v>
      </c>
      <c r="P370" s="2">
        <v>4</v>
      </c>
      <c r="Q370" s="2">
        <v>3</v>
      </c>
      <c r="R370" s="2">
        <v>6</v>
      </c>
      <c r="S370" s="2">
        <v>2</v>
      </c>
      <c r="T370" s="2">
        <v>4</v>
      </c>
      <c r="U370" s="2">
        <v>16</v>
      </c>
      <c r="V370" s="2">
        <v>9</v>
      </c>
      <c r="W370" s="2">
        <v>7</v>
      </c>
      <c r="X370" s="2">
        <v>20</v>
      </c>
      <c r="Y370" s="2">
        <v>15</v>
      </c>
      <c r="Z370" s="2">
        <v>5</v>
      </c>
    </row>
    <row r="371" spans="1:26" hidden="1" x14ac:dyDescent="0.45">
      <c r="A371" s="2">
        <v>486</v>
      </c>
      <c r="B371" s="2">
        <v>19</v>
      </c>
      <c r="C371" s="2"/>
      <c r="D371" s="2">
        <v>9</v>
      </c>
      <c r="E371" s="3" t="s">
        <v>31</v>
      </c>
      <c r="F371" s="2">
        <v>25</v>
      </c>
      <c r="G371" s="2">
        <v>12</v>
      </c>
      <c r="H371" s="2">
        <v>13</v>
      </c>
      <c r="I371" s="2">
        <v>19</v>
      </c>
      <c r="J371" s="2">
        <v>9</v>
      </c>
      <c r="K371" s="2">
        <v>10</v>
      </c>
      <c r="L371" s="2">
        <v>7</v>
      </c>
      <c r="M371" s="2">
        <v>3</v>
      </c>
      <c r="N371" s="2">
        <v>4</v>
      </c>
      <c r="O371" s="2">
        <v>4</v>
      </c>
      <c r="P371" s="2">
        <v>3</v>
      </c>
      <c r="Q371" s="2">
        <v>1</v>
      </c>
      <c r="R371" s="2">
        <v>8</v>
      </c>
      <c r="S371" s="2">
        <v>3</v>
      </c>
      <c r="T371" s="2">
        <v>5</v>
      </c>
      <c r="U371" s="2">
        <v>30</v>
      </c>
      <c r="V371" s="2">
        <v>13</v>
      </c>
      <c r="W371" s="2">
        <v>17</v>
      </c>
      <c r="X371" s="2">
        <v>20</v>
      </c>
      <c r="Y371" s="2">
        <v>9</v>
      </c>
      <c r="Z371" s="2">
        <v>11</v>
      </c>
    </row>
    <row r="372" spans="1:26" hidden="1" x14ac:dyDescent="0.45">
      <c r="A372" s="2">
        <v>487</v>
      </c>
      <c r="B372" s="2">
        <v>19</v>
      </c>
      <c r="C372" s="2"/>
      <c r="D372" s="2">
        <v>11</v>
      </c>
      <c r="E372" s="3" t="s">
        <v>43</v>
      </c>
      <c r="F372" s="2">
        <v>23</v>
      </c>
      <c r="G372" s="2">
        <v>11</v>
      </c>
      <c r="H372" s="2">
        <v>12</v>
      </c>
      <c r="I372" s="2">
        <v>19</v>
      </c>
      <c r="J372" s="2">
        <v>10</v>
      </c>
      <c r="K372" s="2">
        <v>9</v>
      </c>
      <c r="L372" s="2">
        <v>6</v>
      </c>
      <c r="M372" s="2">
        <v>3</v>
      </c>
      <c r="N372" s="2">
        <v>3</v>
      </c>
      <c r="O372" s="2">
        <v>5</v>
      </c>
      <c r="P372" s="2">
        <v>2</v>
      </c>
      <c r="Q372" s="2">
        <v>3</v>
      </c>
      <c r="R372" s="2">
        <v>8</v>
      </c>
      <c r="S372" s="2">
        <v>5</v>
      </c>
      <c r="T372" s="2">
        <v>3</v>
      </c>
      <c r="U372" s="2">
        <v>25</v>
      </c>
      <c r="V372" s="2">
        <v>14</v>
      </c>
      <c r="W372" s="2">
        <v>11</v>
      </c>
      <c r="X372" s="2">
        <v>23</v>
      </c>
      <c r="Y372" s="2">
        <v>11</v>
      </c>
      <c r="Z372" s="2">
        <v>12</v>
      </c>
    </row>
    <row r="373" spans="1:26" hidden="1" x14ac:dyDescent="0.45">
      <c r="A373" s="2">
        <v>488</v>
      </c>
      <c r="B373" s="2">
        <v>19</v>
      </c>
      <c r="C373" s="2"/>
      <c r="D373" s="2">
        <v>11</v>
      </c>
      <c r="E373" s="3" t="s">
        <v>44</v>
      </c>
      <c r="F373" s="2">
        <v>23</v>
      </c>
      <c r="G373" s="2">
        <v>11</v>
      </c>
      <c r="H373" s="2">
        <v>12</v>
      </c>
      <c r="I373" s="2">
        <v>19</v>
      </c>
      <c r="J373" s="2">
        <v>10</v>
      </c>
      <c r="K373" s="2">
        <v>9</v>
      </c>
      <c r="L373" s="2">
        <v>6</v>
      </c>
      <c r="M373" s="2">
        <v>3</v>
      </c>
      <c r="N373" s="2">
        <v>3</v>
      </c>
      <c r="O373" s="2">
        <v>5</v>
      </c>
      <c r="P373" s="2">
        <v>2</v>
      </c>
      <c r="Q373" s="2">
        <v>3</v>
      </c>
      <c r="R373" s="2">
        <v>8</v>
      </c>
      <c r="S373" s="2">
        <v>5</v>
      </c>
      <c r="T373" s="2">
        <v>3</v>
      </c>
      <c r="U373" s="2">
        <v>30</v>
      </c>
      <c r="V373" s="2">
        <v>18</v>
      </c>
      <c r="W373" s="2">
        <v>12</v>
      </c>
      <c r="X373" s="2">
        <v>21</v>
      </c>
      <c r="Y373" s="2">
        <v>11</v>
      </c>
      <c r="Z373" s="2">
        <v>10</v>
      </c>
    </row>
    <row r="374" spans="1:26" hidden="1" x14ac:dyDescent="0.45">
      <c r="A374" s="2">
        <v>489</v>
      </c>
      <c r="B374" s="2">
        <v>19</v>
      </c>
      <c r="C374" s="2"/>
      <c r="D374" s="2">
        <v>13</v>
      </c>
      <c r="E374" s="3" t="s">
        <v>29</v>
      </c>
      <c r="F374" s="2">
        <v>21</v>
      </c>
      <c r="G374" s="2">
        <v>9</v>
      </c>
      <c r="H374" s="2">
        <v>12</v>
      </c>
      <c r="I374" s="2">
        <v>18</v>
      </c>
      <c r="J374" s="2">
        <v>8</v>
      </c>
      <c r="K374" s="2">
        <v>10</v>
      </c>
      <c r="L374" s="2">
        <v>5</v>
      </c>
      <c r="M374" s="2">
        <v>2</v>
      </c>
      <c r="N374" s="2">
        <v>3</v>
      </c>
      <c r="O374" s="2">
        <v>6</v>
      </c>
      <c r="P374" s="2">
        <v>3</v>
      </c>
      <c r="Q374" s="2">
        <v>3</v>
      </c>
      <c r="R374" s="2">
        <v>7</v>
      </c>
      <c r="S374" s="2">
        <v>3</v>
      </c>
      <c r="T374" s="2">
        <v>4</v>
      </c>
      <c r="U374" s="2">
        <v>21</v>
      </c>
      <c r="V374" s="2">
        <v>11</v>
      </c>
      <c r="W374" s="2">
        <v>10</v>
      </c>
      <c r="X374" s="2">
        <v>18</v>
      </c>
      <c r="Y374" s="2">
        <v>9</v>
      </c>
      <c r="Z374" s="2">
        <v>9</v>
      </c>
    </row>
    <row r="375" spans="1:26" hidden="1" x14ac:dyDescent="0.45">
      <c r="A375" s="2">
        <v>490</v>
      </c>
      <c r="B375" s="2">
        <v>19</v>
      </c>
      <c r="C375" s="2"/>
      <c r="D375" s="2">
        <v>14</v>
      </c>
      <c r="E375" s="3" t="s">
        <v>36</v>
      </c>
      <c r="F375" s="2">
        <v>18</v>
      </c>
      <c r="G375" s="2">
        <v>9</v>
      </c>
      <c r="H375" s="2">
        <v>9</v>
      </c>
      <c r="I375" s="2">
        <v>18</v>
      </c>
      <c r="J375" s="2">
        <v>9</v>
      </c>
      <c r="K375" s="2">
        <v>9</v>
      </c>
      <c r="L375" s="2">
        <v>4</v>
      </c>
      <c r="M375" s="2">
        <v>2</v>
      </c>
      <c r="N375" s="2">
        <v>2</v>
      </c>
      <c r="O375" s="2">
        <v>6</v>
      </c>
      <c r="P375" s="2">
        <v>3</v>
      </c>
      <c r="Q375" s="2">
        <v>3</v>
      </c>
      <c r="R375" s="2">
        <v>8</v>
      </c>
      <c r="S375" s="2">
        <v>4</v>
      </c>
      <c r="T375" s="2">
        <v>4</v>
      </c>
      <c r="U375" s="2">
        <v>25</v>
      </c>
      <c r="V375" s="2">
        <v>13</v>
      </c>
      <c r="W375" s="2">
        <v>12</v>
      </c>
      <c r="X375" s="2">
        <v>19</v>
      </c>
      <c r="Y375" s="2">
        <v>10</v>
      </c>
      <c r="Z375" s="2">
        <v>9</v>
      </c>
    </row>
    <row r="376" spans="1:26" hidden="1" x14ac:dyDescent="0.45">
      <c r="A376" s="2">
        <v>491</v>
      </c>
      <c r="B376" s="2">
        <v>19</v>
      </c>
      <c r="C376" s="2"/>
      <c r="D376" s="2">
        <v>14</v>
      </c>
      <c r="E376" s="3" t="s">
        <v>41</v>
      </c>
      <c r="F376" s="2">
        <v>18</v>
      </c>
      <c r="G376" s="2">
        <v>9</v>
      </c>
      <c r="H376" s="2">
        <v>9</v>
      </c>
      <c r="I376" s="2">
        <v>18</v>
      </c>
      <c r="J376" s="2">
        <v>10</v>
      </c>
      <c r="K376" s="2">
        <v>8</v>
      </c>
      <c r="L376" s="2">
        <v>4</v>
      </c>
      <c r="M376" s="2">
        <v>2</v>
      </c>
      <c r="N376" s="2">
        <v>2</v>
      </c>
      <c r="O376" s="2">
        <v>6</v>
      </c>
      <c r="P376" s="2">
        <v>3</v>
      </c>
      <c r="Q376" s="2">
        <v>3</v>
      </c>
      <c r="R376" s="2">
        <v>8</v>
      </c>
      <c r="S376" s="2">
        <v>5</v>
      </c>
      <c r="T376" s="2">
        <v>3</v>
      </c>
      <c r="U376" s="2">
        <v>21</v>
      </c>
      <c r="V376" s="2">
        <v>13</v>
      </c>
      <c r="W376" s="2">
        <v>8</v>
      </c>
      <c r="X376" s="2">
        <v>12</v>
      </c>
      <c r="Y376" s="2">
        <v>7</v>
      </c>
      <c r="Z376" s="2">
        <v>5</v>
      </c>
    </row>
    <row r="377" spans="1:26" hidden="1" x14ac:dyDescent="0.45">
      <c r="A377" s="2">
        <v>492</v>
      </c>
      <c r="B377" s="2">
        <v>19</v>
      </c>
      <c r="C377" s="2"/>
      <c r="D377" s="2">
        <v>16</v>
      </c>
      <c r="E377" s="3" t="s">
        <v>38</v>
      </c>
      <c r="F377" s="2">
        <v>17</v>
      </c>
      <c r="G377" s="2">
        <v>9</v>
      </c>
      <c r="H377" s="2">
        <v>8</v>
      </c>
      <c r="I377" s="2">
        <v>18</v>
      </c>
      <c r="J377" s="2">
        <v>10</v>
      </c>
      <c r="K377" s="2">
        <v>8</v>
      </c>
      <c r="L377" s="2">
        <v>4</v>
      </c>
      <c r="M377" s="2">
        <v>2</v>
      </c>
      <c r="N377" s="2">
        <v>2</v>
      </c>
      <c r="O377" s="2">
        <v>5</v>
      </c>
      <c r="P377" s="2">
        <v>3</v>
      </c>
      <c r="Q377" s="2">
        <v>2</v>
      </c>
      <c r="R377" s="2">
        <v>9</v>
      </c>
      <c r="S377" s="2">
        <v>5</v>
      </c>
      <c r="T377" s="2">
        <v>4</v>
      </c>
      <c r="U377" s="2">
        <v>25</v>
      </c>
      <c r="V377" s="2">
        <v>13</v>
      </c>
      <c r="W377" s="2">
        <v>12</v>
      </c>
      <c r="X377" s="2">
        <v>12</v>
      </c>
      <c r="Y377" s="2">
        <v>6</v>
      </c>
      <c r="Z377" s="2">
        <v>6</v>
      </c>
    </row>
    <row r="378" spans="1:26" hidden="1" x14ac:dyDescent="0.45">
      <c r="A378" s="2">
        <v>493</v>
      </c>
      <c r="B378" s="2">
        <v>19</v>
      </c>
      <c r="C378" s="2"/>
      <c r="D378" s="2">
        <v>17</v>
      </c>
      <c r="E378" s="3" t="s">
        <v>37</v>
      </c>
      <c r="F378" s="2">
        <v>15</v>
      </c>
      <c r="G378" s="2">
        <v>7</v>
      </c>
      <c r="H378" s="2">
        <v>8</v>
      </c>
      <c r="I378" s="2">
        <v>18</v>
      </c>
      <c r="J378" s="2">
        <v>10</v>
      </c>
      <c r="K378" s="2">
        <v>8</v>
      </c>
      <c r="L378" s="2">
        <v>3</v>
      </c>
      <c r="M378" s="2">
        <v>1</v>
      </c>
      <c r="N378" s="2">
        <v>2</v>
      </c>
      <c r="O378" s="2">
        <v>6</v>
      </c>
      <c r="P378" s="2">
        <v>4</v>
      </c>
      <c r="Q378" s="2">
        <v>2</v>
      </c>
      <c r="R378" s="2">
        <v>9</v>
      </c>
      <c r="S378" s="2">
        <v>5</v>
      </c>
      <c r="T378" s="2">
        <v>4</v>
      </c>
      <c r="U378" s="2">
        <v>28</v>
      </c>
      <c r="V378" s="2">
        <v>13</v>
      </c>
      <c r="W378" s="2">
        <v>15</v>
      </c>
      <c r="X378" s="2">
        <v>18</v>
      </c>
      <c r="Y378" s="2">
        <v>6</v>
      </c>
      <c r="Z378" s="2">
        <v>12</v>
      </c>
    </row>
    <row r="379" spans="1:26" hidden="1" x14ac:dyDescent="0.45">
      <c r="A379" s="2">
        <v>494</v>
      </c>
      <c r="B379" s="2">
        <v>19</v>
      </c>
      <c r="C379" s="2"/>
      <c r="D379" s="2">
        <v>18</v>
      </c>
      <c r="E379" s="3" t="s">
        <v>34</v>
      </c>
      <c r="F379" s="2">
        <v>13</v>
      </c>
      <c r="G379" s="2">
        <v>8</v>
      </c>
      <c r="H379" s="2">
        <v>5</v>
      </c>
      <c r="I379" s="2">
        <v>19</v>
      </c>
      <c r="J379" s="2">
        <v>9</v>
      </c>
      <c r="K379" s="2">
        <v>10</v>
      </c>
      <c r="L379" s="2">
        <v>2</v>
      </c>
      <c r="M379" s="2">
        <v>2</v>
      </c>
      <c r="N379" s="2">
        <v>0</v>
      </c>
      <c r="O379" s="2">
        <v>7</v>
      </c>
      <c r="P379" s="2">
        <v>2</v>
      </c>
      <c r="Q379" s="2">
        <v>5</v>
      </c>
      <c r="R379" s="2">
        <v>10</v>
      </c>
      <c r="S379" s="2">
        <v>5</v>
      </c>
      <c r="T379" s="2">
        <v>5</v>
      </c>
      <c r="U379" s="2">
        <v>30</v>
      </c>
      <c r="V379" s="2">
        <v>14</v>
      </c>
      <c r="W379" s="2">
        <v>16</v>
      </c>
      <c r="X379" s="2">
        <v>20</v>
      </c>
      <c r="Y379" s="2">
        <v>13</v>
      </c>
      <c r="Z379" s="2">
        <v>7</v>
      </c>
    </row>
    <row r="380" spans="1:26" hidden="1" x14ac:dyDescent="0.45">
      <c r="A380" s="2">
        <v>495</v>
      </c>
      <c r="B380" s="2">
        <v>19</v>
      </c>
      <c r="C380" s="2"/>
      <c r="D380" s="2">
        <v>18</v>
      </c>
      <c r="E380" s="3" t="s">
        <v>33</v>
      </c>
      <c r="F380" s="2">
        <v>13</v>
      </c>
      <c r="G380" s="2">
        <v>6</v>
      </c>
      <c r="H380" s="2">
        <v>7</v>
      </c>
      <c r="I380" s="2">
        <v>18</v>
      </c>
      <c r="J380" s="2">
        <v>8</v>
      </c>
      <c r="K380" s="2">
        <v>10</v>
      </c>
      <c r="L380" s="2">
        <v>2</v>
      </c>
      <c r="M380" s="2">
        <v>1</v>
      </c>
      <c r="N380" s="2">
        <v>1</v>
      </c>
      <c r="O380" s="2">
        <v>7</v>
      </c>
      <c r="P380" s="2">
        <v>3</v>
      </c>
      <c r="Q380" s="2">
        <v>4</v>
      </c>
      <c r="R380" s="2">
        <v>9</v>
      </c>
      <c r="S380" s="2">
        <v>4</v>
      </c>
      <c r="T380" s="2">
        <v>5</v>
      </c>
      <c r="U380" s="2">
        <v>30</v>
      </c>
      <c r="V380" s="2">
        <v>12</v>
      </c>
      <c r="W380" s="2">
        <v>18</v>
      </c>
      <c r="X380" s="2">
        <v>15</v>
      </c>
      <c r="Y380" s="2">
        <v>8</v>
      </c>
      <c r="Z380" s="2">
        <v>7</v>
      </c>
    </row>
    <row r="381" spans="1:26" hidden="1" x14ac:dyDescent="0.45">
      <c r="A381" s="2">
        <v>496</v>
      </c>
      <c r="B381" s="2">
        <v>19</v>
      </c>
      <c r="C381" s="2"/>
      <c r="D381" s="2">
        <v>20</v>
      </c>
      <c r="E381" s="3" t="s">
        <v>32</v>
      </c>
      <c r="F381" s="2">
        <v>12</v>
      </c>
      <c r="G381" s="2">
        <v>6</v>
      </c>
      <c r="H381" s="2">
        <v>6</v>
      </c>
      <c r="I381" s="2">
        <v>19</v>
      </c>
      <c r="J381" s="2">
        <v>10</v>
      </c>
      <c r="K381" s="2">
        <v>9</v>
      </c>
      <c r="L381" s="2">
        <v>1</v>
      </c>
      <c r="M381" s="2">
        <v>1</v>
      </c>
      <c r="N381" s="2">
        <v>0</v>
      </c>
      <c r="O381" s="2">
        <v>9</v>
      </c>
      <c r="P381" s="2">
        <v>3</v>
      </c>
      <c r="Q381" s="2">
        <v>6</v>
      </c>
      <c r="R381" s="2">
        <v>9</v>
      </c>
      <c r="S381" s="2">
        <v>6</v>
      </c>
      <c r="T381" s="2">
        <v>3</v>
      </c>
      <c r="U381" s="2">
        <v>28</v>
      </c>
      <c r="V381" s="2">
        <v>10</v>
      </c>
      <c r="W381" s="2">
        <v>18</v>
      </c>
      <c r="X381" s="2">
        <v>13</v>
      </c>
      <c r="Y381" s="2">
        <v>1</v>
      </c>
      <c r="Z381" s="2">
        <v>12</v>
      </c>
    </row>
  </sheetData>
  <autoFilter ref="A1:Z381" xr:uid="{84DE8ADB-CA1E-46C4-B3AD-1EFB9D62198B}">
    <filterColumn colId="1">
      <filters>
        <filter val="18"/>
      </filters>
    </filterColumn>
  </autoFilter>
  <pageMargins left="0.7" right="0.7" top="0.75" bottom="0.75" header="0.3" footer="0.3"/>
  <headerFooter>
    <oddFooter>&amp;L_x000D_&amp;1#&amp;"Aptos"&amp;7&amp;K000000 C2 General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AF7A-1762-4DE8-906D-351DFCE3F1EB}">
  <sheetPr codeName="Sheet2"/>
  <dimension ref="A2:AG37"/>
  <sheetViews>
    <sheetView workbookViewId="0">
      <selection activeCell="AC10" sqref="AC10"/>
    </sheetView>
  </sheetViews>
  <sheetFormatPr defaultRowHeight="14.25" x14ac:dyDescent="0.45"/>
  <cols>
    <col min="2" max="2" width="10.59765625" bestFit="1" customWidth="1"/>
    <col min="4" max="27" width="5.33203125" customWidth="1"/>
  </cols>
  <sheetData>
    <row r="2" spans="1:33" x14ac:dyDescent="0.45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</row>
    <row r="3" spans="1:33" x14ac:dyDescent="0.45">
      <c r="A3">
        <v>0</v>
      </c>
      <c r="B3" s="6" t="s">
        <v>66</v>
      </c>
      <c r="C3" s="6">
        <f>SUM(D3:AA3)</f>
        <v>1335.5</v>
      </c>
      <c r="D3" s="6">
        <v>67</v>
      </c>
      <c r="E3" s="6">
        <v>72.5</v>
      </c>
      <c r="F3" s="6">
        <v>58</v>
      </c>
      <c r="G3" s="6">
        <v>69</v>
      </c>
      <c r="H3" s="6">
        <v>77.5</v>
      </c>
      <c r="I3" s="6">
        <v>73.5</v>
      </c>
      <c r="J3" s="6">
        <v>73</v>
      </c>
      <c r="K3" s="6">
        <v>63</v>
      </c>
      <c r="L3" s="6">
        <v>67</v>
      </c>
      <c r="M3" s="6">
        <v>66.5</v>
      </c>
      <c r="N3" s="6">
        <v>59</v>
      </c>
      <c r="O3" s="6">
        <v>87.5</v>
      </c>
      <c r="P3" s="6">
        <v>66.5</v>
      </c>
      <c r="Q3" s="6">
        <v>71.5</v>
      </c>
      <c r="R3" s="6">
        <v>69</v>
      </c>
      <c r="S3" s="6">
        <v>71.5</v>
      </c>
      <c r="T3" s="6">
        <v>82.5</v>
      </c>
      <c r="U3" s="6">
        <v>66</v>
      </c>
      <c r="V3" s="6">
        <v>75</v>
      </c>
      <c r="W3" s="6"/>
      <c r="X3" s="6"/>
      <c r="Y3" s="6"/>
      <c r="Z3" s="6"/>
      <c r="AA3" s="6"/>
      <c r="AC3">
        <f>COUNTIF(D3:AA12,"&gt;70")</f>
        <v>74</v>
      </c>
      <c r="AE3" t="s">
        <v>76</v>
      </c>
      <c r="AF3">
        <v>77</v>
      </c>
      <c r="AG3">
        <v>67</v>
      </c>
    </row>
    <row r="4" spans="1:33" x14ac:dyDescent="0.45">
      <c r="A4">
        <v>1</v>
      </c>
      <c r="B4" s="6" t="s">
        <v>67</v>
      </c>
      <c r="C4" s="6">
        <f t="shared" ref="C4:C12" si="0">SUM(D4:AA4)</f>
        <v>1300.5</v>
      </c>
      <c r="D4" s="6">
        <v>67.5</v>
      </c>
      <c r="E4" s="6">
        <v>72</v>
      </c>
      <c r="F4" s="6">
        <v>69.5</v>
      </c>
      <c r="G4" s="6">
        <v>72.5</v>
      </c>
      <c r="H4" s="6">
        <v>82</v>
      </c>
      <c r="I4" s="6">
        <v>64</v>
      </c>
      <c r="J4" s="6">
        <v>65.5</v>
      </c>
      <c r="K4" s="6">
        <v>65.5</v>
      </c>
      <c r="L4" s="6">
        <v>70</v>
      </c>
      <c r="M4" s="6">
        <v>77.5</v>
      </c>
      <c r="N4" s="6">
        <v>61</v>
      </c>
      <c r="O4" s="6">
        <v>70.5</v>
      </c>
      <c r="P4" s="6">
        <v>71</v>
      </c>
      <c r="Q4" s="6">
        <v>67</v>
      </c>
      <c r="R4" s="6">
        <v>66.5</v>
      </c>
      <c r="S4" s="6">
        <v>63.5</v>
      </c>
      <c r="T4" s="6">
        <v>62.5</v>
      </c>
      <c r="U4" s="6">
        <v>65</v>
      </c>
      <c r="V4" s="6">
        <v>67.5</v>
      </c>
      <c r="W4" s="6"/>
      <c r="X4" s="6"/>
      <c r="Y4" s="6"/>
      <c r="Z4" s="6"/>
      <c r="AA4" s="6"/>
      <c r="AE4" t="s">
        <v>76</v>
      </c>
      <c r="AF4">
        <v>69.5</v>
      </c>
      <c r="AG4">
        <v>67.5</v>
      </c>
    </row>
    <row r="5" spans="1:33" x14ac:dyDescent="0.45">
      <c r="A5">
        <v>2</v>
      </c>
      <c r="B5" s="6" t="s">
        <v>68</v>
      </c>
      <c r="C5" s="6">
        <f t="shared" si="0"/>
        <v>1375</v>
      </c>
      <c r="D5" s="6">
        <v>72.5</v>
      </c>
      <c r="E5" s="6">
        <v>69</v>
      </c>
      <c r="F5" s="6">
        <v>82</v>
      </c>
      <c r="G5" s="6">
        <v>68</v>
      </c>
      <c r="H5" s="6">
        <v>74.5</v>
      </c>
      <c r="I5" s="6">
        <v>74</v>
      </c>
      <c r="J5" s="6">
        <v>72.5</v>
      </c>
      <c r="K5" s="6">
        <v>77.5</v>
      </c>
      <c r="L5" s="6">
        <v>72</v>
      </c>
      <c r="M5" s="6">
        <v>78</v>
      </c>
      <c r="N5" s="6">
        <v>67</v>
      </c>
      <c r="O5" s="6">
        <v>65</v>
      </c>
      <c r="P5" s="6">
        <v>85.5</v>
      </c>
      <c r="Q5" s="6">
        <v>63.5</v>
      </c>
      <c r="R5" s="6">
        <v>65</v>
      </c>
      <c r="S5" s="6">
        <v>66.5</v>
      </c>
      <c r="T5" s="6">
        <v>75</v>
      </c>
      <c r="U5" s="6">
        <v>70</v>
      </c>
      <c r="V5" s="6">
        <v>77.5</v>
      </c>
      <c r="W5" s="6"/>
      <c r="X5" s="6"/>
      <c r="Y5" s="6"/>
      <c r="Z5" s="6"/>
      <c r="AA5" s="6"/>
      <c r="AE5" t="s">
        <v>76</v>
      </c>
      <c r="AF5">
        <v>79</v>
      </c>
      <c r="AG5">
        <v>72.5</v>
      </c>
    </row>
    <row r="6" spans="1:33" x14ac:dyDescent="0.45">
      <c r="A6">
        <v>3</v>
      </c>
      <c r="B6" s="6" t="s">
        <v>69</v>
      </c>
      <c r="C6" s="6">
        <f t="shared" si="0"/>
        <v>1298</v>
      </c>
      <c r="D6" s="6">
        <v>70</v>
      </c>
      <c r="E6" s="6">
        <v>65</v>
      </c>
      <c r="F6" s="6">
        <v>63</v>
      </c>
      <c r="G6" s="6">
        <v>63.5</v>
      </c>
      <c r="H6" s="6">
        <v>62.5</v>
      </c>
      <c r="I6" s="6">
        <v>64</v>
      </c>
      <c r="J6" s="6">
        <v>66.5</v>
      </c>
      <c r="K6" s="6">
        <v>64</v>
      </c>
      <c r="L6" s="6">
        <v>70</v>
      </c>
      <c r="M6" s="6">
        <v>63.5</v>
      </c>
      <c r="N6" s="6">
        <v>66</v>
      </c>
      <c r="O6" s="6">
        <v>82</v>
      </c>
      <c r="P6" s="6">
        <v>68.5</v>
      </c>
      <c r="Q6" s="6">
        <v>69.5</v>
      </c>
      <c r="R6" s="6">
        <v>75</v>
      </c>
      <c r="S6" s="6">
        <v>66</v>
      </c>
      <c r="T6" s="6">
        <v>85.5</v>
      </c>
      <c r="U6" s="6">
        <v>61.5</v>
      </c>
      <c r="V6" s="6">
        <v>72</v>
      </c>
      <c r="W6" s="6"/>
      <c r="X6" s="6"/>
      <c r="Y6" s="6"/>
      <c r="Z6" s="6"/>
      <c r="AA6" s="6"/>
      <c r="AE6" t="s">
        <v>76</v>
      </c>
      <c r="AF6">
        <v>75</v>
      </c>
      <c r="AG6">
        <v>70</v>
      </c>
    </row>
    <row r="7" spans="1:33" x14ac:dyDescent="0.45">
      <c r="A7">
        <v>4</v>
      </c>
      <c r="B7" s="6" t="s">
        <v>71</v>
      </c>
      <c r="C7" s="6">
        <f t="shared" si="0"/>
        <v>1291.5</v>
      </c>
      <c r="D7" s="6">
        <v>72</v>
      </c>
      <c r="E7" s="6">
        <v>75</v>
      </c>
      <c r="F7" s="6">
        <v>71</v>
      </c>
      <c r="G7" s="6">
        <v>62.5</v>
      </c>
      <c r="H7" s="6">
        <v>67.5</v>
      </c>
      <c r="I7" s="6">
        <v>66.5</v>
      </c>
      <c r="J7" s="6">
        <v>62</v>
      </c>
      <c r="K7" s="6">
        <v>58.5</v>
      </c>
      <c r="L7" s="6">
        <v>68</v>
      </c>
      <c r="M7" s="6">
        <v>60.5</v>
      </c>
      <c r="N7" s="6">
        <v>63</v>
      </c>
      <c r="O7" s="6">
        <v>66.5</v>
      </c>
      <c r="P7" s="6">
        <v>75.5</v>
      </c>
      <c r="Q7" s="6">
        <v>70</v>
      </c>
      <c r="R7" s="6">
        <v>78</v>
      </c>
      <c r="S7" s="6">
        <v>71</v>
      </c>
      <c r="T7" s="6">
        <v>70</v>
      </c>
      <c r="U7" s="6">
        <v>73</v>
      </c>
      <c r="V7" s="6">
        <v>61</v>
      </c>
      <c r="W7" s="6"/>
      <c r="X7" s="6"/>
      <c r="Y7" s="6"/>
      <c r="Z7" s="6"/>
      <c r="AA7" s="6"/>
      <c r="AE7" t="s">
        <v>76</v>
      </c>
      <c r="AF7">
        <v>77</v>
      </c>
      <c r="AG7">
        <v>72</v>
      </c>
    </row>
    <row r="8" spans="1:33" x14ac:dyDescent="0.45">
      <c r="A8">
        <v>5</v>
      </c>
      <c r="B8" s="6" t="s">
        <v>70</v>
      </c>
      <c r="C8" s="6">
        <f t="shared" si="0"/>
        <v>1322</v>
      </c>
      <c r="D8" s="6">
        <v>61.5</v>
      </c>
      <c r="E8" s="6">
        <v>85.5</v>
      </c>
      <c r="F8" s="6">
        <v>74</v>
      </c>
      <c r="G8" s="6">
        <v>74</v>
      </c>
      <c r="H8" s="6">
        <v>74</v>
      </c>
      <c r="I8" s="6">
        <v>66.5</v>
      </c>
      <c r="J8" s="6">
        <v>61</v>
      </c>
      <c r="K8" s="6">
        <v>65.5</v>
      </c>
      <c r="L8" s="6">
        <v>66</v>
      </c>
      <c r="M8" s="6">
        <v>66</v>
      </c>
      <c r="N8" s="6">
        <v>79</v>
      </c>
      <c r="O8" s="6">
        <v>68.5</v>
      </c>
      <c r="P8" s="6">
        <v>62.5</v>
      </c>
      <c r="Q8" s="6">
        <v>70.5</v>
      </c>
      <c r="R8" s="6">
        <v>65.5</v>
      </c>
      <c r="S8" s="6">
        <v>76</v>
      </c>
      <c r="T8" s="6">
        <v>71</v>
      </c>
      <c r="U8" s="6">
        <v>66</v>
      </c>
      <c r="V8" s="6">
        <v>69</v>
      </c>
      <c r="W8" s="6"/>
      <c r="X8" s="6"/>
      <c r="Y8" s="6"/>
      <c r="Z8" s="6"/>
      <c r="AA8" s="6"/>
      <c r="AE8" t="s">
        <v>76</v>
      </c>
      <c r="AF8">
        <v>68</v>
      </c>
      <c r="AG8">
        <v>61.5</v>
      </c>
    </row>
    <row r="9" spans="1:33" x14ac:dyDescent="0.45">
      <c r="A9">
        <v>6</v>
      </c>
      <c r="B9" s="6" t="s">
        <v>72</v>
      </c>
      <c r="C9" s="6">
        <f t="shared" si="0"/>
        <v>1321</v>
      </c>
      <c r="D9" s="6">
        <v>67.5</v>
      </c>
      <c r="E9" s="6">
        <v>72.5</v>
      </c>
      <c r="F9" s="6">
        <v>66.5</v>
      </c>
      <c r="G9" s="6">
        <v>71</v>
      </c>
      <c r="H9" s="6">
        <v>77</v>
      </c>
      <c r="I9" s="6">
        <v>61</v>
      </c>
      <c r="J9" s="6">
        <v>68.5</v>
      </c>
      <c r="K9" s="6">
        <v>72</v>
      </c>
      <c r="L9" s="6">
        <v>69.5</v>
      </c>
      <c r="M9" s="6">
        <v>71</v>
      </c>
      <c r="N9" s="6">
        <v>72</v>
      </c>
      <c r="O9" s="6">
        <v>73</v>
      </c>
      <c r="P9" s="6">
        <v>68</v>
      </c>
      <c r="Q9" s="6">
        <v>71</v>
      </c>
      <c r="R9" s="6">
        <v>61.5</v>
      </c>
      <c r="S9" s="6">
        <v>70.5</v>
      </c>
      <c r="T9" s="6">
        <v>69</v>
      </c>
      <c r="U9" s="6">
        <v>72.5</v>
      </c>
      <c r="V9" s="6">
        <v>67</v>
      </c>
      <c r="W9" s="6"/>
      <c r="X9" s="6"/>
      <c r="Y9" s="6"/>
      <c r="Z9" s="6"/>
      <c r="AA9" s="6"/>
      <c r="AE9" t="s">
        <v>76</v>
      </c>
      <c r="AF9">
        <v>74.5</v>
      </c>
      <c r="AG9">
        <v>67.5</v>
      </c>
    </row>
    <row r="10" spans="1:33" x14ac:dyDescent="0.45">
      <c r="A10">
        <v>7</v>
      </c>
      <c r="B10" s="6" t="s">
        <v>75</v>
      </c>
      <c r="C10" s="6">
        <f t="shared" si="0"/>
        <v>1330.5</v>
      </c>
      <c r="D10" s="6">
        <v>76</v>
      </c>
      <c r="E10" s="6">
        <v>70</v>
      </c>
      <c r="F10" s="6">
        <v>61.5</v>
      </c>
      <c r="G10" s="6">
        <v>80</v>
      </c>
      <c r="H10" s="6">
        <v>70.5</v>
      </c>
      <c r="I10" s="6">
        <v>69.5</v>
      </c>
      <c r="J10" s="6">
        <v>66.5</v>
      </c>
      <c r="K10" s="6">
        <v>66</v>
      </c>
      <c r="L10" s="6">
        <v>65</v>
      </c>
      <c r="M10" s="6">
        <v>68</v>
      </c>
      <c r="N10" s="6">
        <v>69</v>
      </c>
      <c r="O10" s="6">
        <v>86</v>
      </c>
      <c r="P10" s="6">
        <v>73.5</v>
      </c>
      <c r="Q10" s="6">
        <v>68</v>
      </c>
      <c r="R10" s="6">
        <v>72</v>
      </c>
      <c r="S10" s="6">
        <v>67</v>
      </c>
      <c r="T10" s="6">
        <v>65.5</v>
      </c>
      <c r="U10" s="6">
        <v>69</v>
      </c>
      <c r="V10" s="6">
        <v>67.5</v>
      </c>
      <c r="W10" s="6"/>
      <c r="X10" s="6"/>
      <c r="Y10" s="6"/>
      <c r="Z10" s="6"/>
      <c r="AA10" s="6"/>
      <c r="AE10" t="s">
        <v>76</v>
      </c>
      <c r="AF10">
        <v>76.5</v>
      </c>
      <c r="AG10">
        <v>76</v>
      </c>
    </row>
    <row r="11" spans="1:33" x14ac:dyDescent="0.45">
      <c r="A11">
        <v>8</v>
      </c>
      <c r="B11" s="6" t="s">
        <v>73</v>
      </c>
      <c r="C11" s="6">
        <f t="shared" si="0"/>
        <v>1295</v>
      </c>
      <c r="D11" s="6">
        <v>73</v>
      </c>
      <c r="E11" s="6">
        <v>71.5</v>
      </c>
      <c r="F11" s="6">
        <v>65.5</v>
      </c>
      <c r="G11" s="6">
        <v>68.5</v>
      </c>
      <c r="H11" s="6">
        <v>68.5</v>
      </c>
      <c r="I11" s="6">
        <v>66.5</v>
      </c>
      <c r="J11" s="6">
        <v>68</v>
      </c>
      <c r="K11" s="6">
        <v>66</v>
      </c>
      <c r="L11" s="6">
        <v>78</v>
      </c>
      <c r="M11" s="6">
        <v>60</v>
      </c>
      <c r="N11" s="6">
        <v>68.5</v>
      </c>
      <c r="O11" s="6">
        <v>64</v>
      </c>
      <c r="P11" s="6">
        <v>69</v>
      </c>
      <c r="Q11" s="6">
        <v>71</v>
      </c>
      <c r="R11" s="6">
        <v>63</v>
      </c>
      <c r="S11" s="6">
        <v>68</v>
      </c>
      <c r="T11" s="6">
        <v>75</v>
      </c>
      <c r="U11" s="6">
        <v>66.5</v>
      </c>
      <c r="V11" s="6">
        <v>64.5</v>
      </c>
      <c r="W11" s="6"/>
      <c r="X11" s="6"/>
      <c r="Y11" s="6"/>
      <c r="Z11" s="6"/>
      <c r="AA11" s="6"/>
      <c r="AE11" t="s">
        <v>76</v>
      </c>
      <c r="AF11">
        <v>81.5</v>
      </c>
      <c r="AG11">
        <v>73</v>
      </c>
    </row>
    <row r="12" spans="1:33" x14ac:dyDescent="0.45">
      <c r="A12">
        <v>9</v>
      </c>
      <c r="B12" s="6" t="s">
        <v>74</v>
      </c>
      <c r="C12" s="6">
        <f t="shared" si="0"/>
        <v>1353</v>
      </c>
      <c r="D12" s="6">
        <v>74</v>
      </c>
      <c r="E12" s="6">
        <v>69</v>
      </c>
      <c r="F12" s="6">
        <v>82</v>
      </c>
      <c r="G12" s="6">
        <v>67</v>
      </c>
      <c r="H12" s="6">
        <v>66</v>
      </c>
      <c r="I12" s="6">
        <v>86.5</v>
      </c>
      <c r="J12" s="6">
        <v>67.5</v>
      </c>
      <c r="K12" s="6">
        <v>79</v>
      </c>
      <c r="L12" s="6">
        <v>85.5</v>
      </c>
      <c r="M12" s="6">
        <v>57.5</v>
      </c>
      <c r="N12" s="6">
        <v>65.5</v>
      </c>
      <c r="O12" s="6">
        <v>59.5</v>
      </c>
      <c r="P12" s="6">
        <v>70</v>
      </c>
      <c r="Q12" s="6">
        <v>68</v>
      </c>
      <c r="R12" s="6">
        <v>65</v>
      </c>
      <c r="S12" s="6">
        <v>74.5</v>
      </c>
      <c r="T12" s="6">
        <v>65.5</v>
      </c>
      <c r="U12" s="6">
        <v>76</v>
      </c>
      <c r="V12" s="6">
        <v>75</v>
      </c>
      <c r="W12" s="6"/>
      <c r="X12" s="6"/>
      <c r="Y12" s="6"/>
      <c r="Z12" s="6"/>
      <c r="AA12" s="6"/>
      <c r="AE12" t="s">
        <v>76</v>
      </c>
      <c r="AF12">
        <v>76</v>
      </c>
      <c r="AG12">
        <v>74</v>
      </c>
    </row>
    <row r="13" spans="1:33" x14ac:dyDescent="0.45">
      <c r="C13" s="6">
        <f>SUM(C3:C12)</f>
        <v>13222</v>
      </c>
    </row>
    <row r="14" spans="1:33" x14ac:dyDescent="0.45"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13</v>
      </c>
      <c r="Q14">
        <v>14</v>
      </c>
      <c r="R14">
        <v>15</v>
      </c>
      <c r="S14">
        <v>16</v>
      </c>
      <c r="T14">
        <v>17</v>
      </c>
      <c r="U14">
        <v>18</v>
      </c>
      <c r="V14">
        <v>19</v>
      </c>
      <c r="W14">
        <v>20</v>
      </c>
      <c r="X14">
        <v>21</v>
      </c>
      <c r="Y14">
        <v>22</v>
      </c>
      <c r="Z14">
        <v>23</v>
      </c>
      <c r="AA14">
        <v>24</v>
      </c>
    </row>
    <row r="15" spans="1:33" x14ac:dyDescent="0.45">
      <c r="A15">
        <v>0</v>
      </c>
      <c r="B15" s="6" t="s">
        <v>66</v>
      </c>
      <c r="C15" s="6">
        <f>SUM(D15:AA15)</f>
        <v>1352.5</v>
      </c>
      <c r="D15" s="6">
        <v>77</v>
      </c>
      <c r="E15" s="6">
        <v>72.5</v>
      </c>
      <c r="F15" s="6">
        <v>61</v>
      </c>
      <c r="G15" s="6">
        <v>67.5</v>
      </c>
      <c r="H15" s="6">
        <v>77.5</v>
      </c>
      <c r="I15" s="6">
        <v>64.5</v>
      </c>
      <c r="J15" s="6">
        <v>70</v>
      </c>
      <c r="K15" s="6">
        <v>67.5</v>
      </c>
      <c r="L15" s="6">
        <v>71</v>
      </c>
      <c r="M15" s="6">
        <v>65.5</v>
      </c>
      <c r="N15" s="6">
        <v>65.5</v>
      </c>
      <c r="O15" s="6">
        <v>83</v>
      </c>
      <c r="P15" s="6">
        <v>68.5</v>
      </c>
      <c r="Q15" s="6">
        <v>65</v>
      </c>
      <c r="R15" s="6">
        <v>74</v>
      </c>
      <c r="S15" s="6">
        <v>74.5</v>
      </c>
      <c r="T15" s="6">
        <v>81</v>
      </c>
      <c r="U15" s="6">
        <v>68.5</v>
      </c>
      <c r="V15" s="6">
        <v>78.5</v>
      </c>
      <c r="W15" s="6"/>
      <c r="X15" s="6"/>
      <c r="Y15" s="6"/>
      <c r="Z15" s="6"/>
      <c r="AA15" s="6"/>
      <c r="AC15">
        <f>COUNTIF(D15:AA24,"&gt;70")</f>
        <v>85</v>
      </c>
    </row>
    <row r="16" spans="1:33" x14ac:dyDescent="0.45">
      <c r="A16">
        <v>1</v>
      </c>
      <c r="B16" s="6" t="s">
        <v>67</v>
      </c>
      <c r="C16" s="6">
        <f t="shared" ref="C16:C24" si="1">SUM(D16:AA16)</f>
        <v>1297.5</v>
      </c>
      <c r="D16" s="6">
        <v>69.5</v>
      </c>
      <c r="E16" s="6">
        <v>71.5</v>
      </c>
      <c r="F16" s="6">
        <v>69</v>
      </c>
      <c r="G16" s="6">
        <v>73.5</v>
      </c>
      <c r="H16" s="6">
        <v>77</v>
      </c>
      <c r="I16" s="6">
        <v>62</v>
      </c>
      <c r="J16" s="6">
        <v>66.5</v>
      </c>
      <c r="K16" s="6">
        <v>68.5</v>
      </c>
      <c r="L16" s="6">
        <v>70</v>
      </c>
      <c r="M16" s="6">
        <v>79.5</v>
      </c>
      <c r="N16" s="6">
        <v>61</v>
      </c>
      <c r="O16" s="6">
        <v>71</v>
      </c>
      <c r="P16" s="6">
        <v>71</v>
      </c>
      <c r="Q16" s="6">
        <v>68</v>
      </c>
      <c r="R16" s="6">
        <v>67</v>
      </c>
      <c r="S16" s="6">
        <v>66</v>
      </c>
      <c r="T16" s="6">
        <v>64.5</v>
      </c>
      <c r="U16" s="6">
        <v>53</v>
      </c>
      <c r="V16" s="6">
        <v>69</v>
      </c>
      <c r="W16" s="6"/>
      <c r="X16" s="6"/>
      <c r="Y16" s="6"/>
      <c r="Z16" s="6"/>
      <c r="AA16" s="6"/>
    </row>
    <row r="17" spans="1:29" x14ac:dyDescent="0.45">
      <c r="A17">
        <v>2</v>
      </c>
      <c r="B17" s="6" t="s">
        <v>68</v>
      </c>
      <c r="C17" s="6">
        <f t="shared" si="1"/>
        <v>1398</v>
      </c>
      <c r="D17" s="6">
        <v>79</v>
      </c>
      <c r="E17" s="6">
        <v>69.5</v>
      </c>
      <c r="F17" s="6">
        <v>84.5</v>
      </c>
      <c r="G17" s="6">
        <v>68.5</v>
      </c>
      <c r="H17" s="6">
        <v>74.5</v>
      </c>
      <c r="I17" s="6">
        <v>78</v>
      </c>
      <c r="J17" s="6">
        <v>67.5</v>
      </c>
      <c r="K17" s="6">
        <v>84</v>
      </c>
      <c r="L17" s="6">
        <v>67</v>
      </c>
      <c r="M17" s="6">
        <v>79</v>
      </c>
      <c r="N17" s="6">
        <v>75.5</v>
      </c>
      <c r="O17" s="6">
        <v>70.5</v>
      </c>
      <c r="P17" s="6">
        <v>80.5</v>
      </c>
      <c r="Q17" s="6">
        <v>71</v>
      </c>
      <c r="R17" s="6">
        <v>72</v>
      </c>
      <c r="S17" s="6">
        <v>65.5</v>
      </c>
      <c r="T17" s="6">
        <v>70.5</v>
      </c>
      <c r="U17" s="6">
        <v>65.5</v>
      </c>
      <c r="V17" s="6">
        <v>75.5</v>
      </c>
      <c r="W17" s="6"/>
      <c r="X17" s="6"/>
      <c r="Y17" s="6"/>
      <c r="Z17" s="6"/>
      <c r="AA17" s="6"/>
    </row>
    <row r="18" spans="1:29" x14ac:dyDescent="0.45">
      <c r="A18">
        <v>3</v>
      </c>
      <c r="B18" s="6" t="s">
        <v>69</v>
      </c>
      <c r="C18" s="6">
        <f t="shared" si="1"/>
        <v>1321</v>
      </c>
      <c r="D18" s="6">
        <v>75</v>
      </c>
      <c r="E18" s="6">
        <v>70.5</v>
      </c>
      <c r="F18" s="6">
        <v>63.5</v>
      </c>
      <c r="G18" s="6">
        <v>68</v>
      </c>
      <c r="H18" s="6">
        <v>67</v>
      </c>
      <c r="I18" s="6">
        <v>70</v>
      </c>
      <c r="J18" s="6">
        <v>65</v>
      </c>
      <c r="K18" s="6">
        <v>68.5</v>
      </c>
      <c r="L18" s="6">
        <v>67.5</v>
      </c>
      <c r="M18" s="6">
        <v>62</v>
      </c>
      <c r="N18" s="6">
        <v>68</v>
      </c>
      <c r="O18" s="6">
        <v>75</v>
      </c>
      <c r="P18" s="6">
        <v>61.5</v>
      </c>
      <c r="Q18" s="6">
        <v>80</v>
      </c>
      <c r="R18" s="6">
        <v>79</v>
      </c>
      <c r="S18" s="6">
        <v>64</v>
      </c>
      <c r="T18" s="6">
        <v>82.5</v>
      </c>
      <c r="U18" s="6">
        <v>66</v>
      </c>
      <c r="V18" s="6">
        <v>68</v>
      </c>
      <c r="W18" s="6"/>
      <c r="X18" s="6"/>
      <c r="Y18" s="6"/>
      <c r="Z18" s="6"/>
      <c r="AA18" s="6"/>
    </row>
    <row r="19" spans="1:29" x14ac:dyDescent="0.45">
      <c r="A19">
        <v>4</v>
      </c>
      <c r="B19" s="6" t="s">
        <v>71</v>
      </c>
      <c r="C19" s="6">
        <f t="shared" si="1"/>
        <v>1290.5</v>
      </c>
      <c r="D19" s="6">
        <v>77</v>
      </c>
      <c r="E19" s="6">
        <v>78</v>
      </c>
      <c r="F19" s="6">
        <v>74.5</v>
      </c>
      <c r="G19" s="6">
        <v>63</v>
      </c>
      <c r="H19" s="6">
        <v>66.5</v>
      </c>
      <c r="I19" s="6">
        <v>65</v>
      </c>
      <c r="J19" s="6">
        <v>64</v>
      </c>
      <c r="K19" s="6">
        <v>60</v>
      </c>
      <c r="L19" s="6">
        <v>67.5</v>
      </c>
      <c r="M19" s="6">
        <v>60.5</v>
      </c>
      <c r="N19" s="6">
        <v>63</v>
      </c>
      <c r="O19" s="6">
        <v>66</v>
      </c>
      <c r="P19" s="6">
        <v>72</v>
      </c>
      <c r="Q19" s="6">
        <v>74</v>
      </c>
      <c r="R19" s="6">
        <v>72.5</v>
      </c>
      <c r="S19" s="6">
        <v>70.5</v>
      </c>
      <c r="T19" s="6">
        <v>68.5</v>
      </c>
      <c r="U19" s="6">
        <v>69</v>
      </c>
      <c r="V19" s="6">
        <v>59</v>
      </c>
      <c r="W19" s="6"/>
      <c r="X19" s="6"/>
      <c r="Y19" s="6"/>
      <c r="Z19" s="6"/>
      <c r="AA19" s="6"/>
    </row>
    <row r="20" spans="1:29" x14ac:dyDescent="0.45">
      <c r="A20">
        <v>5</v>
      </c>
      <c r="B20" s="6" t="s">
        <v>70</v>
      </c>
      <c r="C20" s="6">
        <f t="shared" si="1"/>
        <v>1336.5</v>
      </c>
      <c r="D20" s="6">
        <v>68</v>
      </c>
      <c r="E20" s="6">
        <v>79.5</v>
      </c>
      <c r="F20" s="6">
        <v>72.5</v>
      </c>
      <c r="G20" s="6">
        <v>76.5</v>
      </c>
      <c r="H20" s="6">
        <v>75</v>
      </c>
      <c r="I20" s="6">
        <v>68.5</v>
      </c>
      <c r="J20" s="6">
        <v>65</v>
      </c>
      <c r="K20" s="6">
        <v>61.5</v>
      </c>
      <c r="L20" s="6">
        <v>70</v>
      </c>
      <c r="M20" s="6">
        <v>69</v>
      </c>
      <c r="N20" s="6">
        <v>84</v>
      </c>
      <c r="O20" s="6">
        <v>63</v>
      </c>
      <c r="P20" s="6">
        <v>67</v>
      </c>
      <c r="Q20" s="6">
        <v>62</v>
      </c>
      <c r="R20" s="6">
        <v>64</v>
      </c>
      <c r="S20" s="6">
        <v>68.5</v>
      </c>
      <c r="T20" s="6">
        <v>72.5</v>
      </c>
      <c r="U20" s="6">
        <v>72</v>
      </c>
      <c r="V20" s="6">
        <v>78</v>
      </c>
      <c r="W20" s="6"/>
      <c r="X20" s="6"/>
      <c r="Y20" s="6"/>
      <c r="Z20" s="6"/>
      <c r="AA20" s="6"/>
    </row>
    <row r="21" spans="1:29" x14ac:dyDescent="0.45">
      <c r="A21">
        <v>6</v>
      </c>
      <c r="B21" s="6" t="s">
        <v>72</v>
      </c>
      <c r="C21" s="6">
        <f t="shared" si="1"/>
        <v>1323.5</v>
      </c>
      <c r="D21" s="6">
        <v>74.5</v>
      </c>
      <c r="E21" s="6">
        <v>72</v>
      </c>
      <c r="F21" s="6">
        <v>75</v>
      </c>
      <c r="G21" s="6">
        <v>72</v>
      </c>
      <c r="H21" s="6">
        <v>82</v>
      </c>
      <c r="I21" s="6">
        <v>66</v>
      </c>
      <c r="J21" s="6">
        <v>74.5</v>
      </c>
      <c r="K21" s="6">
        <v>62</v>
      </c>
      <c r="L21" s="6">
        <v>70.5</v>
      </c>
      <c r="M21" s="6">
        <v>71.5</v>
      </c>
      <c r="N21" s="6">
        <v>69.5</v>
      </c>
      <c r="O21" s="6">
        <v>68.5</v>
      </c>
      <c r="P21" s="6">
        <v>68.5</v>
      </c>
      <c r="Q21" s="6">
        <v>60</v>
      </c>
      <c r="R21" s="6">
        <v>61</v>
      </c>
      <c r="S21" s="6">
        <v>67.5</v>
      </c>
      <c r="T21" s="6">
        <v>66.5</v>
      </c>
      <c r="U21" s="6">
        <v>71.5</v>
      </c>
      <c r="V21" s="6">
        <v>70.5</v>
      </c>
      <c r="W21" s="6"/>
      <c r="X21" s="6"/>
      <c r="Y21" s="6"/>
      <c r="Z21" s="6"/>
      <c r="AA21" s="6"/>
    </row>
    <row r="22" spans="1:29" x14ac:dyDescent="0.45">
      <c r="A22">
        <v>7</v>
      </c>
      <c r="B22" s="6" t="s">
        <v>75</v>
      </c>
      <c r="C22" s="6">
        <f t="shared" si="1"/>
        <v>1351.5</v>
      </c>
      <c r="D22" s="6">
        <v>76.5</v>
      </c>
      <c r="E22" s="6">
        <v>76.5</v>
      </c>
      <c r="F22" s="6">
        <v>63.5</v>
      </c>
      <c r="G22" s="6">
        <v>78</v>
      </c>
      <c r="H22" s="6">
        <v>67.5</v>
      </c>
      <c r="I22" s="6">
        <v>69.5</v>
      </c>
      <c r="J22" s="6">
        <v>68</v>
      </c>
      <c r="K22" s="6">
        <v>66</v>
      </c>
      <c r="L22" s="6">
        <v>69</v>
      </c>
      <c r="M22" s="6">
        <v>70.5</v>
      </c>
      <c r="N22" s="6">
        <v>68.5</v>
      </c>
      <c r="O22" s="6">
        <v>82</v>
      </c>
      <c r="P22" s="6">
        <v>78</v>
      </c>
      <c r="Q22" s="6">
        <v>68.5</v>
      </c>
      <c r="R22" s="6">
        <v>73.5</v>
      </c>
      <c r="S22" s="6">
        <v>67</v>
      </c>
      <c r="T22" s="6">
        <v>67</v>
      </c>
      <c r="U22" s="6">
        <v>72</v>
      </c>
      <c r="V22" s="6">
        <v>70</v>
      </c>
      <c r="W22" s="6"/>
      <c r="X22" s="6"/>
      <c r="Y22" s="6"/>
      <c r="Z22" s="6"/>
      <c r="AA22" s="6"/>
    </row>
    <row r="23" spans="1:29" x14ac:dyDescent="0.45">
      <c r="A23">
        <v>8</v>
      </c>
      <c r="B23" s="6" t="s">
        <v>73</v>
      </c>
      <c r="C23" s="6">
        <f t="shared" si="1"/>
        <v>1334.5</v>
      </c>
      <c r="D23" s="6">
        <v>81.5</v>
      </c>
      <c r="E23" s="6">
        <v>70.5</v>
      </c>
      <c r="F23" s="6">
        <v>72</v>
      </c>
      <c r="G23" s="6">
        <v>67.5</v>
      </c>
      <c r="H23" s="6">
        <v>62</v>
      </c>
      <c r="I23" s="6">
        <v>69.5</v>
      </c>
      <c r="J23" s="6">
        <v>72.5</v>
      </c>
      <c r="K23" s="6">
        <v>60</v>
      </c>
      <c r="L23" s="6">
        <v>79.5</v>
      </c>
      <c r="M23" s="6">
        <v>64.5</v>
      </c>
      <c r="N23" s="6">
        <v>70</v>
      </c>
      <c r="O23" s="6">
        <v>67.5</v>
      </c>
      <c r="P23" s="6">
        <v>67.5</v>
      </c>
      <c r="Q23" s="6">
        <v>83</v>
      </c>
      <c r="R23" s="6">
        <v>64.5</v>
      </c>
      <c r="S23" s="6">
        <v>68</v>
      </c>
      <c r="T23" s="6">
        <v>77</v>
      </c>
      <c r="U23" s="6">
        <v>70.5</v>
      </c>
      <c r="V23" s="6">
        <v>67</v>
      </c>
      <c r="W23" s="6"/>
      <c r="X23" s="6"/>
      <c r="Y23" s="6"/>
      <c r="Z23" s="6"/>
      <c r="AA23" s="6"/>
    </row>
    <row r="24" spans="1:29" x14ac:dyDescent="0.45">
      <c r="A24">
        <v>9</v>
      </c>
      <c r="B24" s="6" t="s">
        <v>74</v>
      </c>
      <c r="C24" s="6">
        <f t="shared" si="1"/>
        <v>1376</v>
      </c>
      <c r="D24" s="6">
        <v>76</v>
      </c>
      <c r="E24" s="6">
        <v>69.5</v>
      </c>
      <c r="F24" s="6">
        <v>87.5</v>
      </c>
      <c r="G24" s="6">
        <v>66.5</v>
      </c>
      <c r="H24" s="6">
        <v>66</v>
      </c>
      <c r="I24" s="6">
        <v>86.5</v>
      </c>
      <c r="J24" s="6">
        <v>68.5</v>
      </c>
      <c r="K24" s="6">
        <v>85</v>
      </c>
      <c r="L24" s="6">
        <v>83.5</v>
      </c>
      <c r="M24" s="6">
        <v>61</v>
      </c>
      <c r="N24" s="6">
        <v>67</v>
      </c>
      <c r="O24" s="6">
        <v>62</v>
      </c>
      <c r="P24" s="6">
        <v>70.5</v>
      </c>
      <c r="Q24" s="6">
        <v>71</v>
      </c>
      <c r="R24" s="6">
        <v>73</v>
      </c>
      <c r="S24" s="6">
        <v>74</v>
      </c>
      <c r="T24" s="6">
        <v>64</v>
      </c>
      <c r="U24" s="6">
        <v>76</v>
      </c>
      <c r="V24" s="6">
        <v>68.5</v>
      </c>
      <c r="W24" s="6"/>
      <c r="X24" s="6"/>
      <c r="Y24" s="6"/>
      <c r="Z24" s="6"/>
      <c r="AA24" s="6"/>
    </row>
    <row r="25" spans="1:29" x14ac:dyDescent="0.45">
      <c r="C25" s="6">
        <f>SUM(C15:C24)</f>
        <v>13381.5</v>
      </c>
    </row>
    <row r="26" spans="1:29" x14ac:dyDescent="0.45"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  <c r="Z26">
        <v>23</v>
      </c>
      <c r="AA26">
        <v>24</v>
      </c>
    </row>
    <row r="27" spans="1:29" x14ac:dyDescent="0.45">
      <c r="A27">
        <v>0</v>
      </c>
      <c r="B27" s="6" t="s">
        <v>66</v>
      </c>
      <c r="C27" s="6">
        <f>SUM(D27:AA27)</f>
        <v>17</v>
      </c>
      <c r="D27" s="6">
        <f t="shared" ref="D27:P27" si="2">D15-D3</f>
        <v>10</v>
      </c>
      <c r="E27" s="6">
        <f t="shared" si="2"/>
        <v>0</v>
      </c>
      <c r="F27" s="6">
        <f t="shared" si="2"/>
        <v>3</v>
      </c>
      <c r="G27" s="6">
        <f t="shared" si="2"/>
        <v>-1.5</v>
      </c>
      <c r="H27" s="6">
        <f t="shared" si="2"/>
        <v>0</v>
      </c>
      <c r="I27" s="6">
        <f t="shared" si="2"/>
        <v>-9</v>
      </c>
      <c r="J27" s="6">
        <f t="shared" si="2"/>
        <v>-3</v>
      </c>
      <c r="K27" s="6">
        <f t="shared" si="2"/>
        <v>4.5</v>
      </c>
      <c r="L27" s="6">
        <f t="shared" si="2"/>
        <v>4</v>
      </c>
      <c r="M27" s="6">
        <f t="shared" si="2"/>
        <v>-1</v>
      </c>
      <c r="N27" s="6">
        <f t="shared" si="2"/>
        <v>6.5</v>
      </c>
      <c r="O27" s="6">
        <f t="shared" si="2"/>
        <v>-4.5</v>
      </c>
      <c r="P27" s="6">
        <f t="shared" si="2"/>
        <v>2</v>
      </c>
      <c r="Q27" s="6">
        <f t="shared" ref="Q27:V27" si="3">Q15-Q3</f>
        <v>-6.5</v>
      </c>
      <c r="R27" s="6">
        <f t="shared" si="3"/>
        <v>5</v>
      </c>
      <c r="S27" s="6">
        <f t="shared" si="3"/>
        <v>3</v>
      </c>
      <c r="T27" s="6">
        <f t="shared" si="3"/>
        <v>-1.5</v>
      </c>
      <c r="U27" s="6">
        <f t="shared" si="3"/>
        <v>2.5</v>
      </c>
      <c r="V27" s="6">
        <f t="shared" si="3"/>
        <v>3.5</v>
      </c>
      <c r="W27" s="6"/>
      <c r="X27" s="6"/>
      <c r="Y27" s="6"/>
      <c r="Z27" s="6"/>
      <c r="AA27" s="6"/>
      <c r="AC27">
        <f>COUNTIF(D27:AA36,"&gt;0")</f>
        <v>108</v>
      </c>
    </row>
    <row r="28" spans="1:29" x14ac:dyDescent="0.45">
      <c r="A28">
        <v>1</v>
      </c>
      <c r="B28" s="6" t="s">
        <v>67</v>
      </c>
      <c r="C28" s="6">
        <f t="shared" ref="C28:C36" si="4">SUM(D28:AA28)</f>
        <v>-3</v>
      </c>
      <c r="D28" s="6">
        <f t="shared" ref="D28:E28" si="5">D16-D4</f>
        <v>2</v>
      </c>
      <c r="E28" s="6">
        <f t="shared" si="5"/>
        <v>-0.5</v>
      </c>
      <c r="F28" s="6">
        <f t="shared" ref="F28:G28" si="6">F16-F4</f>
        <v>-0.5</v>
      </c>
      <c r="G28" s="6">
        <f t="shared" si="6"/>
        <v>1</v>
      </c>
      <c r="H28" s="6">
        <f t="shared" ref="H28:I28" si="7">H16-H4</f>
        <v>-5</v>
      </c>
      <c r="I28" s="6">
        <f t="shared" si="7"/>
        <v>-2</v>
      </c>
      <c r="J28" s="6">
        <f t="shared" ref="J28:K28" si="8">J16-J4</f>
        <v>1</v>
      </c>
      <c r="K28" s="6">
        <f t="shared" si="8"/>
        <v>3</v>
      </c>
      <c r="L28" s="6">
        <f t="shared" ref="L28:M28" si="9">L16-L4</f>
        <v>0</v>
      </c>
      <c r="M28" s="6">
        <f t="shared" si="9"/>
        <v>2</v>
      </c>
      <c r="N28" s="6">
        <f t="shared" ref="N28:O28" si="10">N16-N4</f>
        <v>0</v>
      </c>
      <c r="O28" s="6">
        <f t="shared" si="10"/>
        <v>0.5</v>
      </c>
      <c r="P28" s="6">
        <f t="shared" ref="P28:V36" si="11">P16-P4</f>
        <v>0</v>
      </c>
      <c r="Q28" s="6">
        <f t="shared" si="11"/>
        <v>1</v>
      </c>
      <c r="R28" s="6">
        <f t="shared" si="11"/>
        <v>0.5</v>
      </c>
      <c r="S28" s="6">
        <f t="shared" si="11"/>
        <v>2.5</v>
      </c>
      <c r="T28" s="6">
        <f t="shared" si="11"/>
        <v>2</v>
      </c>
      <c r="U28" s="6">
        <f t="shared" si="11"/>
        <v>-12</v>
      </c>
      <c r="V28" s="6">
        <f t="shared" si="11"/>
        <v>1.5</v>
      </c>
      <c r="W28" s="6"/>
      <c r="X28" s="6"/>
      <c r="Y28" s="6"/>
      <c r="Z28" s="6"/>
      <c r="AA28" s="6"/>
    </row>
    <row r="29" spans="1:29" x14ac:dyDescent="0.45">
      <c r="A29">
        <v>2</v>
      </c>
      <c r="B29" s="6" t="s">
        <v>68</v>
      </c>
      <c r="C29" s="6">
        <f t="shared" si="4"/>
        <v>23</v>
      </c>
      <c r="D29" s="6">
        <f t="shared" ref="D29:E29" si="12">D17-D5</f>
        <v>6.5</v>
      </c>
      <c r="E29" s="6">
        <f t="shared" si="12"/>
        <v>0.5</v>
      </c>
      <c r="F29" s="6">
        <f t="shared" ref="F29:G29" si="13">F17-F5</f>
        <v>2.5</v>
      </c>
      <c r="G29" s="6">
        <f t="shared" si="13"/>
        <v>0.5</v>
      </c>
      <c r="H29" s="6">
        <f t="shared" ref="H29:I29" si="14">H17-H5</f>
        <v>0</v>
      </c>
      <c r="I29" s="6">
        <f t="shared" si="14"/>
        <v>4</v>
      </c>
      <c r="J29" s="6">
        <f t="shared" ref="J29:K29" si="15">J17-J5</f>
        <v>-5</v>
      </c>
      <c r="K29" s="6">
        <f t="shared" si="15"/>
        <v>6.5</v>
      </c>
      <c r="L29" s="6">
        <f t="shared" ref="L29:M29" si="16">L17-L5</f>
        <v>-5</v>
      </c>
      <c r="M29" s="6">
        <f t="shared" si="16"/>
        <v>1</v>
      </c>
      <c r="N29" s="6">
        <f t="shared" ref="N29:O29" si="17">N17-N5</f>
        <v>8.5</v>
      </c>
      <c r="O29" s="6">
        <f t="shared" si="17"/>
        <v>5.5</v>
      </c>
      <c r="P29" s="6">
        <f t="shared" si="11"/>
        <v>-5</v>
      </c>
      <c r="Q29" s="6">
        <f t="shared" si="11"/>
        <v>7.5</v>
      </c>
      <c r="R29" s="6">
        <f t="shared" si="11"/>
        <v>7</v>
      </c>
      <c r="S29" s="6">
        <f t="shared" si="11"/>
        <v>-1</v>
      </c>
      <c r="T29" s="6">
        <f t="shared" si="11"/>
        <v>-4.5</v>
      </c>
      <c r="U29" s="6">
        <f t="shared" si="11"/>
        <v>-4.5</v>
      </c>
      <c r="V29" s="6">
        <f t="shared" si="11"/>
        <v>-2</v>
      </c>
      <c r="W29" s="6"/>
      <c r="X29" s="6"/>
      <c r="Y29" s="6"/>
      <c r="Z29" s="6"/>
      <c r="AA29" s="6"/>
    </row>
    <row r="30" spans="1:29" x14ac:dyDescent="0.45">
      <c r="A30">
        <v>3</v>
      </c>
      <c r="B30" s="6" t="s">
        <v>69</v>
      </c>
      <c r="C30" s="6">
        <f t="shared" si="4"/>
        <v>23</v>
      </c>
      <c r="D30" s="6">
        <f t="shared" ref="D30:E30" si="18">D18-D6</f>
        <v>5</v>
      </c>
      <c r="E30" s="6">
        <f t="shared" si="18"/>
        <v>5.5</v>
      </c>
      <c r="F30" s="6">
        <f t="shared" ref="F30:G30" si="19">F18-F6</f>
        <v>0.5</v>
      </c>
      <c r="G30" s="6">
        <f t="shared" si="19"/>
        <v>4.5</v>
      </c>
      <c r="H30" s="6">
        <f t="shared" ref="H30:I30" si="20">H18-H6</f>
        <v>4.5</v>
      </c>
      <c r="I30" s="6">
        <f t="shared" si="20"/>
        <v>6</v>
      </c>
      <c r="J30" s="6">
        <f t="shared" ref="J30:K30" si="21">J18-J6</f>
        <v>-1.5</v>
      </c>
      <c r="K30" s="6">
        <f t="shared" si="21"/>
        <v>4.5</v>
      </c>
      <c r="L30" s="6">
        <f t="shared" ref="L30:M30" si="22">L18-L6</f>
        <v>-2.5</v>
      </c>
      <c r="M30" s="6">
        <f t="shared" si="22"/>
        <v>-1.5</v>
      </c>
      <c r="N30" s="6">
        <f t="shared" ref="N30:O30" si="23">N18-N6</f>
        <v>2</v>
      </c>
      <c r="O30" s="6">
        <f t="shared" si="23"/>
        <v>-7</v>
      </c>
      <c r="P30" s="6">
        <f t="shared" si="11"/>
        <v>-7</v>
      </c>
      <c r="Q30" s="6">
        <f t="shared" si="11"/>
        <v>10.5</v>
      </c>
      <c r="R30" s="6">
        <f t="shared" si="11"/>
        <v>4</v>
      </c>
      <c r="S30" s="6">
        <f t="shared" si="11"/>
        <v>-2</v>
      </c>
      <c r="T30" s="6">
        <f t="shared" si="11"/>
        <v>-3</v>
      </c>
      <c r="U30" s="6">
        <f t="shared" si="11"/>
        <v>4.5</v>
      </c>
      <c r="V30" s="6">
        <f t="shared" si="11"/>
        <v>-4</v>
      </c>
      <c r="W30" s="6"/>
      <c r="X30" s="6"/>
      <c r="Y30" s="6"/>
      <c r="Z30" s="6"/>
      <c r="AA30" s="6"/>
    </row>
    <row r="31" spans="1:29" x14ac:dyDescent="0.45">
      <c r="A31">
        <v>4</v>
      </c>
      <c r="B31" s="6" t="s">
        <v>71</v>
      </c>
      <c r="C31" s="6">
        <f t="shared" si="4"/>
        <v>-1</v>
      </c>
      <c r="D31" s="6">
        <f t="shared" ref="D31:E31" si="24">D19-D7</f>
        <v>5</v>
      </c>
      <c r="E31" s="6">
        <f t="shared" si="24"/>
        <v>3</v>
      </c>
      <c r="F31" s="6">
        <f t="shared" ref="F31:G31" si="25">F19-F7</f>
        <v>3.5</v>
      </c>
      <c r="G31" s="6">
        <f t="shared" si="25"/>
        <v>0.5</v>
      </c>
      <c r="H31" s="6">
        <f t="shared" ref="H31:I31" si="26">H19-H7</f>
        <v>-1</v>
      </c>
      <c r="I31" s="6">
        <f t="shared" si="26"/>
        <v>-1.5</v>
      </c>
      <c r="J31" s="6">
        <f t="shared" ref="J31:K31" si="27">J19-J7</f>
        <v>2</v>
      </c>
      <c r="K31" s="6">
        <f t="shared" si="27"/>
        <v>1.5</v>
      </c>
      <c r="L31" s="6">
        <f t="shared" ref="L31:M31" si="28">L19-L7</f>
        <v>-0.5</v>
      </c>
      <c r="M31" s="6">
        <f t="shared" si="28"/>
        <v>0</v>
      </c>
      <c r="N31" s="6">
        <f t="shared" ref="N31:O31" si="29">N19-N7</f>
        <v>0</v>
      </c>
      <c r="O31" s="6">
        <f t="shared" si="29"/>
        <v>-0.5</v>
      </c>
      <c r="P31" s="6">
        <f t="shared" si="11"/>
        <v>-3.5</v>
      </c>
      <c r="Q31" s="6">
        <f t="shared" si="11"/>
        <v>4</v>
      </c>
      <c r="R31" s="6">
        <f t="shared" si="11"/>
        <v>-5.5</v>
      </c>
      <c r="S31" s="6">
        <f t="shared" si="11"/>
        <v>-0.5</v>
      </c>
      <c r="T31" s="6">
        <f t="shared" si="11"/>
        <v>-1.5</v>
      </c>
      <c r="U31" s="6">
        <f t="shared" si="11"/>
        <v>-4</v>
      </c>
      <c r="V31" s="6">
        <f t="shared" si="11"/>
        <v>-2</v>
      </c>
      <c r="W31" s="6"/>
      <c r="X31" s="6"/>
      <c r="Y31" s="6"/>
      <c r="Z31" s="6"/>
      <c r="AA31" s="6"/>
    </row>
    <row r="32" spans="1:29" x14ac:dyDescent="0.45">
      <c r="A32">
        <v>5</v>
      </c>
      <c r="B32" s="6" t="s">
        <v>70</v>
      </c>
      <c r="C32" s="6">
        <f t="shared" si="4"/>
        <v>14.5</v>
      </c>
      <c r="D32" s="6">
        <f t="shared" ref="D32:E32" si="30">D20-D8</f>
        <v>6.5</v>
      </c>
      <c r="E32" s="6">
        <f t="shared" si="30"/>
        <v>-6</v>
      </c>
      <c r="F32" s="6">
        <f t="shared" ref="F32:G32" si="31">F20-F8</f>
        <v>-1.5</v>
      </c>
      <c r="G32" s="6">
        <f t="shared" si="31"/>
        <v>2.5</v>
      </c>
      <c r="H32" s="6">
        <f t="shared" ref="H32:I32" si="32">H20-H8</f>
        <v>1</v>
      </c>
      <c r="I32" s="6">
        <f t="shared" si="32"/>
        <v>2</v>
      </c>
      <c r="J32" s="6">
        <f t="shared" ref="J32:K32" si="33">J20-J8</f>
        <v>4</v>
      </c>
      <c r="K32" s="6">
        <f t="shared" si="33"/>
        <v>-4</v>
      </c>
      <c r="L32" s="6">
        <f t="shared" ref="L32:M32" si="34">L20-L8</f>
        <v>4</v>
      </c>
      <c r="M32" s="6">
        <f t="shared" si="34"/>
        <v>3</v>
      </c>
      <c r="N32" s="6">
        <f t="shared" ref="N32:O32" si="35">N20-N8</f>
        <v>5</v>
      </c>
      <c r="O32" s="6">
        <f t="shared" si="35"/>
        <v>-5.5</v>
      </c>
      <c r="P32" s="6">
        <f t="shared" si="11"/>
        <v>4.5</v>
      </c>
      <c r="Q32" s="6">
        <f t="shared" si="11"/>
        <v>-8.5</v>
      </c>
      <c r="R32" s="6">
        <f t="shared" si="11"/>
        <v>-1.5</v>
      </c>
      <c r="S32" s="6">
        <f t="shared" si="11"/>
        <v>-7.5</v>
      </c>
      <c r="T32" s="6">
        <f t="shared" si="11"/>
        <v>1.5</v>
      </c>
      <c r="U32" s="6">
        <f t="shared" si="11"/>
        <v>6</v>
      </c>
      <c r="V32" s="6">
        <f t="shared" si="11"/>
        <v>9</v>
      </c>
      <c r="W32" s="6"/>
      <c r="X32" s="6"/>
      <c r="Y32" s="6"/>
      <c r="Z32" s="6"/>
      <c r="AA32" s="6"/>
    </row>
    <row r="33" spans="1:27" x14ac:dyDescent="0.45">
      <c r="A33">
        <v>6</v>
      </c>
      <c r="B33" s="6" t="s">
        <v>72</v>
      </c>
      <c r="C33" s="6">
        <f t="shared" si="4"/>
        <v>2.5</v>
      </c>
      <c r="D33" s="6">
        <f t="shared" ref="D33:E33" si="36">D21-D9</f>
        <v>7</v>
      </c>
      <c r="E33" s="6">
        <f t="shared" si="36"/>
        <v>-0.5</v>
      </c>
      <c r="F33" s="6">
        <f t="shared" ref="F33:G33" si="37">F21-F9</f>
        <v>8.5</v>
      </c>
      <c r="G33" s="6">
        <f t="shared" si="37"/>
        <v>1</v>
      </c>
      <c r="H33" s="6">
        <f t="shared" ref="H33:I33" si="38">H21-H9</f>
        <v>5</v>
      </c>
      <c r="I33" s="6">
        <f t="shared" si="38"/>
        <v>5</v>
      </c>
      <c r="J33" s="6">
        <f t="shared" ref="J33:K33" si="39">J21-J9</f>
        <v>6</v>
      </c>
      <c r="K33" s="6">
        <f t="shared" si="39"/>
        <v>-10</v>
      </c>
      <c r="L33" s="6">
        <f t="shared" ref="L33:M33" si="40">L21-L9</f>
        <v>1</v>
      </c>
      <c r="M33" s="6">
        <f t="shared" si="40"/>
        <v>0.5</v>
      </c>
      <c r="N33" s="6">
        <f t="shared" ref="N33:O33" si="41">N21-N9</f>
        <v>-2.5</v>
      </c>
      <c r="O33" s="6">
        <f t="shared" si="41"/>
        <v>-4.5</v>
      </c>
      <c r="P33" s="6">
        <f t="shared" si="11"/>
        <v>0.5</v>
      </c>
      <c r="Q33" s="6">
        <f t="shared" si="11"/>
        <v>-11</v>
      </c>
      <c r="R33" s="6">
        <f t="shared" si="11"/>
        <v>-0.5</v>
      </c>
      <c r="S33" s="6">
        <f t="shared" si="11"/>
        <v>-3</v>
      </c>
      <c r="T33" s="6">
        <f t="shared" si="11"/>
        <v>-2.5</v>
      </c>
      <c r="U33" s="6">
        <f t="shared" si="11"/>
        <v>-1</v>
      </c>
      <c r="V33" s="6">
        <f t="shared" si="11"/>
        <v>3.5</v>
      </c>
      <c r="W33" s="6"/>
      <c r="X33" s="6"/>
      <c r="Y33" s="6"/>
      <c r="Z33" s="6"/>
      <c r="AA33" s="6"/>
    </row>
    <row r="34" spans="1:27" x14ac:dyDescent="0.45">
      <c r="A34">
        <v>7</v>
      </c>
      <c r="B34" s="6" t="s">
        <v>75</v>
      </c>
      <c r="C34" s="6">
        <f t="shared" si="4"/>
        <v>21</v>
      </c>
      <c r="D34" s="6">
        <f t="shared" ref="D34:E34" si="42">D22-D10</f>
        <v>0.5</v>
      </c>
      <c r="E34" s="6">
        <f t="shared" si="42"/>
        <v>6.5</v>
      </c>
      <c r="F34" s="6">
        <f t="shared" ref="F34:G34" si="43">F22-F10</f>
        <v>2</v>
      </c>
      <c r="G34" s="6">
        <f t="shared" si="43"/>
        <v>-2</v>
      </c>
      <c r="H34" s="6">
        <f t="shared" ref="H34:I34" si="44">H22-H10</f>
        <v>-3</v>
      </c>
      <c r="I34" s="6">
        <f t="shared" si="44"/>
        <v>0</v>
      </c>
      <c r="J34" s="6">
        <f t="shared" ref="J34:K34" si="45">J22-J10</f>
        <v>1.5</v>
      </c>
      <c r="K34" s="6">
        <f t="shared" si="45"/>
        <v>0</v>
      </c>
      <c r="L34" s="6">
        <f t="shared" ref="L34:M34" si="46">L22-L10</f>
        <v>4</v>
      </c>
      <c r="M34" s="6">
        <f t="shared" si="46"/>
        <v>2.5</v>
      </c>
      <c r="N34" s="6">
        <f t="shared" ref="N34:O34" si="47">N22-N10</f>
        <v>-0.5</v>
      </c>
      <c r="O34" s="6">
        <f t="shared" si="47"/>
        <v>-4</v>
      </c>
      <c r="P34" s="6">
        <f t="shared" si="11"/>
        <v>4.5</v>
      </c>
      <c r="Q34" s="6">
        <f t="shared" si="11"/>
        <v>0.5</v>
      </c>
      <c r="R34" s="6">
        <f t="shared" si="11"/>
        <v>1.5</v>
      </c>
      <c r="S34" s="6">
        <f t="shared" si="11"/>
        <v>0</v>
      </c>
      <c r="T34" s="6">
        <f t="shared" si="11"/>
        <v>1.5</v>
      </c>
      <c r="U34" s="6">
        <f t="shared" si="11"/>
        <v>3</v>
      </c>
      <c r="V34" s="6">
        <f t="shared" si="11"/>
        <v>2.5</v>
      </c>
      <c r="W34" s="6"/>
      <c r="X34" s="6"/>
      <c r="Y34" s="6"/>
      <c r="Z34" s="6"/>
      <c r="AA34" s="6"/>
    </row>
    <row r="35" spans="1:27" x14ac:dyDescent="0.45">
      <c r="A35">
        <v>8</v>
      </c>
      <c r="B35" s="6" t="s">
        <v>73</v>
      </c>
      <c r="C35" s="6">
        <f t="shared" si="4"/>
        <v>39.5</v>
      </c>
      <c r="D35" s="6">
        <f t="shared" ref="D35:E35" si="48">D23-D11</f>
        <v>8.5</v>
      </c>
      <c r="E35" s="6">
        <f t="shared" si="48"/>
        <v>-1</v>
      </c>
      <c r="F35" s="6">
        <f t="shared" ref="F35:G35" si="49">F23-F11</f>
        <v>6.5</v>
      </c>
      <c r="G35" s="6">
        <f t="shared" si="49"/>
        <v>-1</v>
      </c>
      <c r="H35" s="6">
        <f t="shared" ref="H35:I35" si="50">H23-H11</f>
        <v>-6.5</v>
      </c>
      <c r="I35" s="6">
        <f t="shared" si="50"/>
        <v>3</v>
      </c>
      <c r="J35" s="6">
        <f t="shared" ref="J35:K35" si="51">J23-J11</f>
        <v>4.5</v>
      </c>
      <c r="K35" s="6">
        <f t="shared" si="51"/>
        <v>-6</v>
      </c>
      <c r="L35" s="6">
        <f t="shared" ref="L35:M35" si="52">L23-L11</f>
        <v>1.5</v>
      </c>
      <c r="M35" s="6">
        <f t="shared" si="52"/>
        <v>4.5</v>
      </c>
      <c r="N35" s="6">
        <f t="shared" ref="N35:O35" si="53">N23-N11</f>
        <v>1.5</v>
      </c>
      <c r="O35" s="6">
        <f t="shared" si="53"/>
        <v>3.5</v>
      </c>
      <c r="P35" s="6">
        <f t="shared" si="11"/>
        <v>-1.5</v>
      </c>
      <c r="Q35" s="6">
        <f t="shared" si="11"/>
        <v>12</v>
      </c>
      <c r="R35" s="6">
        <f t="shared" si="11"/>
        <v>1.5</v>
      </c>
      <c r="S35" s="6">
        <f t="shared" si="11"/>
        <v>0</v>
      </c>
      <c r="T35" s="6">
        <f t="shared" si="11"/>
        <v>2</v>
      </c>
      <c r="U35" s="6">
        <f t="shared" si="11"/>
        <v>4</v>
      </c>
      <c r="V35" s="6">
        <f t="shared" si="11"/>
        <v>2.5</v>
      </c>
      <c r="W35" s="6"/>
      <c r="X35" s="6"/>
      <c r="Y35" s="6"/>
      <c r="Z35" s="6"/>
      <c r="AA35" s="6"/>
    </row>
    <row r="36" spans="1:27" x14ac:dyDescent="0.45">
      <c r="A36">
        <v>9</v>
      </c>
      <c r="B36" s="6" t="s">
        <v>74</v>
      </c>
      <c r="C36" s="6">
        <f t="shared" si="4"/>
        <v>23</v>
      </c>
      <c r="D36" s="6">
        <f t="shared" ref="D36:E36" si="54">D24-D12</f>
        <v>2</v>
      </c>
      <c r="E36" s="6">
        <f t="shared" si="54"/>
        <v>0.5</v>
      </c>
      <c r="F36" s="6">
        <f t="shared" ref="F36:G36" si="55">F24-F12</f>
        <v>5.5</v>
      </c>
      <c r="G36" s="6">
        <f t="shared" si="55"/>
        <v>-0.5</v>
      </c>
      <c r="H36" s="6">
        <f t="shared" ref="H36:I36" si="56">H24-H12</f>
        <v>0</v>
      </c>
      <c r="I36" s="6">
        <f t="shared" si="56"/>
        <v>0</v>
      </c>
      <c r="J36" s="6">
        <f t="shared" ref="J36:K36" si="57">J24-J12</f>
        <v>1</v>
      </c>
      <c r="K36" s="6">
        <f t="shared" si="57"/>
        <v>6</v>
      </c>
      <c r="L36" s="6">
        <f t="shared" ref="L36:M36" si="58">L24-L12</f>
        <v>-2</v>
      </c>
      <c r="M36" s="6">
        <f t="shared" si="58"/>
        <v>3.5</v>
      </c>
      <c r="N36" s="6">
        <f t="shared" ref="N36:O36" si="59">N24-N12</f>
        <v>1.5</v>
      </c>
      <c r="O36" s="6">
        <f t="shared" si="59"/>
        <v>2.5</v>
      </c>
      <c r="P36" s="6">
        <f t="shared" si="11"/>
        <v>0.5</v>
      </c>
      <c r="Q36" s="6">
        <f t="shared" si="11"/>
        <v>3</v>
      </c>
      <c r="R36" s="6">
        <f t="shared" si="11"/>
        <v>8</v>
      </c>
      <c r="S36" s="6">
        <f t="shared" si="11"/>
        <v>-0.5</v>
      </c>
      <c r="T36" s="6">
        <f t="shared" si="11"/>
        <v>-1.5</v>
      </c>
      <c r="U36" s="6">
        <f t="shared" si="11"/>
        <v>0</v>
      </c>
      <c r="V36" s="6">
        <f t="shared" si="11"/>
        <v>-6.5</v>
      </c>
      <c r="W36" s="6"/>
      <c r="X36" s="6"/>
      <c r="Y36" s="6"/>
      <c r="Z36" s="6"/>
      <c r="AA36" s="6"/>
    </row>
    <row r="37" spans="1:27" x14ac:dyDescent="0.45">
      <c r="C37" s="7">
        <f>SUM(C27:C36)</f>
        <v>159.5</v>
      </c>
      <c r="D37" s="7">
        <f t="shared" ref="D37:V37" si="60">SUM(D27:D36)</f>
        <v>53</v>
      </c>
      <c r="E37" s="7">
        <f t="shared" si="60"/>
        <v>8</v>
      </c>
      <c r="F37" s="7">
        <f t="shared" si="60"/>
        <v>30</v>
      </c>
      <c r="G37" s="7">
        <f t="shared" si="60"/>
        <v>5</v>
      </c>
      <c r="H37" s="7">
        <f t="shared" si="60"/>
        <v>-5</v>
      </c>
      <c r="I37" s="7">
        <f t="shared" si="60"/>
        <v>7.5</v>
      </c>
      <c r="J37" s="7">
        <f t="shared" si="60"/>
        <v>10.5</v>
      </c>
      <c r="K37" s="7">
        <f t="shared" si="60"/>
        <v>6</v>
      </c>
      <c r="L37" s="7">
        <f t="shared" si="60"/>
        <v>4.5</v>
      </c>
      <c r="M37" s="7">
        <f t="shared" si="60"/>
        <v>14.5</v>
      </c>
      <c r="N37" s="7">
        <f t="shared" si="60"/>
        <v>22</v>
      </c>
      <c r="O37" s="7">
        <f t="shared" si="60"/>
        <v>-14</v>
      </c>
      <c r="P37" s="7">
        <f t="shared" si="60"/>
        <v>-5</v>
      </c>
      <c r="Q37" s="7">
        <f t="shared" si="60"/>
        <v>12.5</v>
      </c>
      <c r="R37" s="7">
        <f t="shared" si="60"/>
        <v>20</v>
      </c>
      <c r="S37" s="7">
        <f t="shared" si="60"/>
        <v>-9</v>
      </c>
      <c r="T37" s="7">
        <f t="shared" si="60"/>
        <v>-7.5</v>
      </c>
      <c r="U37" s="7">
        <f t="shared" si="60"/>
        <v>-1.5</v>
      </c>
      <c r="V37" s="7">
        <f t="shared" si="60"/>
        <v>8</v>
      </c>
      <c r="W37" s="7"/>
      <c r="X37" s="7"/>
      <c r="Y37" s="7"/>
      <c r="Z37" s="7"/>
      <c r="AA37" s="7"/>
    </row>
  </sheetData>
  <conditionalFormatting sqref="D27:AA37">
    <cfRule type="cellIs" dxfId="12" priority="2" operator="lessThan">
      <formula>0</formula>
    </cfRule>
  </conditionalFormatting>
  <conditionalFormatting sqref="C27:C37">
    <cfRule type="cellIs" dxfId="11" priority="1" operator="less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AFBA1-FC30-462E-ABFF-35C0BCF2E149}">
  <sheetPr codeName="Sheet3"/>
  <dimension ref="A2:AG37"/>
  <sheetViews>
    <sheetView workbookViewId="0">
      <selection activeCell="AC15" sqref="AC15"/>
    </sheetView>
  </sheetViews>
  <sheetFormatPr defaultRowHeight="14.25" x14ac:dyDescent="0.45"/>
  <cols>
    <col min="2" max="2" width="10.59765625" bestFit="1" customWidth="1"/>
    <col min="4" max="27" width="5.33203125" customWidth="1"/>
  </cols>
  <sheetData>
    <row r="2" spans="1:33" x14ac:dyDescent="0.45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</row>
    <row r="3" spans="1:33" x14ac:dyDescent="0.45">
      <c r="A3">
        <v>0</v>
      </c>
      <c r="B3" s="6" t="s">
        <v>66</v>
      </c>
      <c r="C3" s="6">
        <f>SUM(D3:AA3)</f>
        <v>1335.5</v>
      </c>
      <c r="D3" s="6">
        <v>67</v>
      </c>
      <c r="E3" s="6">
        <v>72.5</v>
      </c>
      <c r="F3" s="6">
        <v>58</v>
      </c>
      <c r="G3" s="6">
        <v>69</v>
      </c>
      <c r="H3" s="6">
        <v>77.5</v>
      </c>
      <c r="I3" s="6">
        <v>73.5</v>
      </c>
      <c r="J3" s="6">
        <v>73</v>
      </c>
      <c r="K3" s="6">
        <v>63</v>
      </c>
      <c r="L3" s="6">
        <v>67</v>
      </c>
      <c r="M3" s="6">
        <v>66.5</v>
      </c>
      <c r="N3" s="6">
        <v>59</v>
      </c>
      <c r="O3" s="6">
        <v>87.5</v>
      </c>
      <c r="P3" s="6">
        <v>66.5</v>
      </c>
      <c r="Q3" s="6">
        <v>71.5</v>
      </c>
      <c r="R3" s="6">
        <v>69</v>
      </c>
      <c r="S3" s="6">
        <v>71.5</v>
      </c>
      <c r="T3" s="6">
        <v>82.5</v>
      </c>
      <c r="U3" s="6">
        <v>66</v>
      </c>
      <c r="V3" s="6">
        <v>75</v>
      </c>
      <c r="W3" s="6"/>
      <c r="X3" s="6"/>
      <c r="Y3" s="6"/>
      <c r="Z3" s="6"/>
      <c r="AA3" s="6"/>
      <c r="AC3">
        <f>COUNTIF(D3:AA12,"&gt;70")</f>
        <v>74</v>
      </c>
      <c r="AE3" t="s">
        <v>77</v>
      </c>
      <c r="AF3">
        <v>77</v>
      </c>
      <c r="AG3">
        <v>67</v>
      </c>
    </row>
    <row r="4" spans="1:33" x14ac:dyDescent="0.45">
      <c r="A4">
        <v>1</v>
      </c>
      <c r="B4" s="6" t="s">
        <v>67</v>
      </c>
      <c r="C4" s="6">
        <f t="shared" ref="C4:C12" si="0">SUM(D4:AA4)</f>
        <v>1300.5</v>
      </c>
      <c r="D4" s="6">
        <v>67.5</v>
      </c>
      <c r="E4" s="6">
        <v>72</v>
      </c>
      <c r="F4" s="6">
        <v>69.5</v>
      </c>
      <c r="G4" s="6">
        <v>72.5</v>
      </c>
      <c r="H4" s="6">
        <v>82</v>
      </c>
      <c r="I4" s="6">
        <v>64</v>
      </c>
      <c r="J4" s="6">
        <v>65.5</v>
      </c>
      <c r="K4" s="6">
        <v>65.5</v>
      </c>
      <c r="L4" s="6">
        <v>70</v>
      </c>
      <c r="M4" s="6">
        <v>77.5</v>
      </c>
      <c r="N4" s="6">
        <v>61</v>
      </c>
      <c r="O4" s="6">
        <v>70.5</v>
      </c>
      <c r="P4" s="6">
        <v>71</v>
      </c>
      <c r="Q4" s="6">
        <v>67</v>
      </c>
      <c r="R4" s="6">
        <v>66.5</v>
      </c>
      <c r="S4" s="6">
        <v>63.5</v>
      </c>
      <c r="T4" s="6">
        <v>62.5</v>
      </c>
      <c r="U4" s="6">
        <v>65</v>
      </c>
      <c r="V4" s="6">
        <v>67.5</v>
      </c>
      <c r="W4" s="6"/>
      <c r="X4" s="6"/>
      <c r="Y4" s="6"/>
      <c r="Z4" s="6"/>
      <c r="AA4" s="6"/>
      <c r="AE4" t="s">
        <v>77</v>
      </c>
      <c r="AF4">
        <v>69.5</v>
      </c>
      <c r="AG4">
        <v>67.5</v>
      </c>
    </row>
    <row r="5" spans="1:33" x14ac:dyDescent="0.45">
      <c r="A5">
        <v>2</v>
      </c>
      <c r="B5" s="6" t="s">
        <v>68</v>
      </c>
      <c r="C5" s="6">
        <f t="shared" si="0"/>
        <v>1375</v>
      </c>
      <c r="D5" s="6">
        <v>72.5</v>
      </c>
      <c r="E5" s="6">
        <v>69</v>
      </c>
      <c r="F5" s="6">
        <v>82</v>
      </c>
      <c r="G5" s="6">
        <v>68</v>
      </c>
      <c r="H5" s="6">
        <v>74.5</v>
      </c>
      <c r="I5" s="6">
        <v>74</v>
      </c>
      <c r="J5" s="6">
        <v>72.5</v>
      </c>
      <c r="K5" s="6">
        <v>77.5</v>
      </c>
      <c r="L5" s="6">
        <v>72</v>
      </c>
      <c r="M5" s="6">
        <v>78</v>
      </c>
      <c r="N5" s="6">
        <v>67</v>
      </c>
      <c r="O5" s="6">
        <v>65</v>
      </c>
      <c r="P5" s="6">
        <v>85.5</v>
      </c>
      <c r="Q5" s="6">
        <v>63.5</v>
      </c>
      <c r="R5" s="6">
        <v>65</v>
      </c>
      <c r="S5" s="6">
        <v>66.5</v>
      </c>
      <c r="T5" s="6">
        <v>75</v>
      </c>
      <c r="U5" s="6">
        <v>70</v>
      </c>
      <c r="V5" s="6">
        <v>77.5</v>
      </c>
      <c r="W5" s="6"/>
      <c r="X5" s="6"/>
      <c r="Y5" s="6"/>
      <c r="Z5" s="6"/>
      <c r="AA5" s="6"/>
      <c r="AE5" t="s">
        <v>77</v>
      </c>
      <c r="AF5">
        <v>79</v>
      </c>
      <c r="AG5">
        <v>72.5</v>
      </c>
    </row>
    <row r="6" spans="1:33" x14ac:dyDescent="0.45">
      <c r="A6">
        <v>3</v>
      </c>
      <c r="B6" s="6" t="s">
        <v>69</v>
      </c>
      <c r="C6" s="6">
        <f t="shared" si="0"/>
        <v>1298</v>
      </c>
      <c r="D6" s="6">
        <v>70</v>
      </c>
      <c r="E6" s="6">
        <v>65</v>
      </c>
      <c r="F6" s="6">
        <v>63</v>
      </c>
      <c r="G6" s="6">
        <v>63.5</v>
      </c>
      <c r="H6" s="6">
        <v>62.5</v>
      </c>
      <c r="I6" s="6">
        <v>64</v>
      </c>
      <c r="J6" s="6">
        <v>66.5</v>
      </c>
      <c r="K6" s="6">
        <v>64</v>
      </c>
      <c r="L6" s="6">
        <v>70</v>
      </c>
      <c r="M6" s="6">
        <v>63.5</v>
      </c>
      <c r="N6" s="6">
        <v>66</v>
      </c>
      <c r="O6" s="6">
        <v>82</v>
      </c>
      <c r="P6" s="6">
        <v>68.5</v>
      </c>
      <c r="Q6" s="6">
        <v>69.5</v>
      </c>
      <c r="R6" s="6">
        <v>75</v>
      </c>
      <c r="S6" s="6">
        <v>66</v>
      </c>
      <c r="T6" s="6">
        <v>85.5</v>
      </c>
      <c r="U6" s="6">
        <v>61.5</v>
      </c>
      <c r="V6" s="6">
        <v>72</v>
      </c>
      <c r="W6" s="6"/>
      <c r="X6" s="6"/>
      <c r="Y6" s="6"/>
      <c r="Z6" s="6"/>
      <c r="AA6" s="6"/>
      <c r="AE6" t="s">
        <v>77</v>
      </c>
      <c r="AF6">
        <v>75</v>
      </c>
      <c r="AG6">
        <v>70</v>
      </c>
    </row>
    <row r="7" spans="1:33" x14ac:dyDescent="0.45">
      <c r="A7">
        <v>4</v>
      </c>
      <c r="B7" s="6" t="s">
        <v>71</v>
      </c>
      <c r="C7" s="6">
        <f t="shared" si="0"/>
        <v>1291.5</v>
      </c>
      <c r="D7" s="6">
        <v>72</v>
      </c>
      <c r="E7" s="6">
        <v>75</v>
      </c>
      <c r="F7" s="6">
        <v>71</v>
      </c>
      <c r="G7" s="6">
        <v>62.5</v>
      </c>
      <c r="H7" s="6">
        <v>67.5</v>
      </c>
      <c r="I7" s="6">
        <v>66.5</v>
      </c>
      <c r="J7" s="6">
        <v>62</v>
      </c>
      <c r="K7" s="6">
        <v>58.5</v>
      </c>
      <c r="L7" s="6">
        <v>68</v>
      </c>
      <c r="M7" s="6">
        <v>60.5</v>
      </c>
      <c r="N7" s="6">
        <v>63</v>
      </c>
      <c r="O7" s="6">
        <v>66.5</v>
      </c>
      <c r="P7" s="6">
        <v>75.5</v>
      </c>
      <c r="Q7" s="6">
        <v>70</v>
      </c>
      <c r="R7" s="6">
        <v>78</v>
      </c>
      <c r="S7" s="6">
        <v>71</v>
      </c>
      <c r="T7" s="6">
        <v>70</v>
      </c>
      <c r="U7" s="6">
        <v>73</v>
      </c>
      <c r="V7" s="6">
        <v>61</v>
      </c>
      <c r="W7" s="6"/>
      <c r="X7" s="6"/>
      <c r="Y7" s="6"/>
      <c r="Z7" s="6"/>
      <c r="AA7" s="6"/>
      <c r="AE7" t="s">
        <v>77</v>
      </c>
      <c r="AF7">
        <v>77</v>
      </c>
      <c r="AG7">
        <v>72</v>
      </c>
    </row>
    <row r="8" spans="1:33" x14ac:dyDescent="0.45">
      <c r="A8">
        <v>5</v>
      </c>
      <c r="B8" s="6" t="s">
        <v>70</v>
      </c>
      <c r="C8" s="6">
        <f t="shared" si="0"/>
        <v>1322</v>
      </c>
      <c r="D8" s="6">
        <v>61.5</v>
      </c>
      <c r="E8" s="6">
        <v>85.5</v>
      </c>
      <c r="F8" s="6">
        <v>74</v>
      </c>
      <c r="G8" s="6">
        <v>74</v>
      </c>
      <c r="H8" s="6">
        <v>74</v>
      </c>
      <c r="I8" s="6">
        <v>66.5</v>
      </c>
      <c r="J8" s="6">
        <v>61</v>
      </c>
      <c r="K8" s="6">
        <v>65.5</v>
      </c>
      <c r="L8" s="6">
        <v>66</v>
      </c>
      <c r="M8" s="6">
        <v>66</v>
      </c>
      <c r="N8" s="6">
        <v>79</v>
      </c>
      <c r="O8" s="6">
        <v>68.5</v>
      </c>
      <c r="P8" s="6">
        <v>62.5</v>
      </c>
      <c r="Q8" s="6">
        <v>70.5</v>
      </c>
      <c r="R8" s="6">
        <v>65.5</v>
      </c>
      <c r="S8" s="6">
        <v>76</v>
      </c>
      <c r="T8" s="6">
        <v>71</v>
      </c>
      <c r="U8" s="6">
        <v>66</v>
      </c>
      <c r="V8" s="6">
        <v>69</v>
      </c>
      <c r="W8" s="6"/>
      <c r="X8" s="6"/>
      <c r="Y8" s="6"/>
      <c r="Z8" s="6"/>
      <c r="AA8" s="6"/>
      <c r="AE8" t="s">
        <v>77</v>
      </c>
      <c r="AF8">
        <v>68</v>
      </c>
      <c r="AG8">
        <v>61.5</v>
      </c>
    </row>
    <row r="9" spans="1:33" x14ac:dyDescent="0.45">
      <c r="A9">
        <v>6</v>
      </c>
      <c r="B9" s="6" t="s">
        <v>72</v>
      </c>
      <c r="C9" s="6">
        <f t="shared" si="0"/>
        <v>1321</v>
      </c>
      <c r="D9" s="6">
        <v>67.5</v>
      </c>
      <c r="E9" s="6">
        <v>72.5</v>
      </c>
      <c r="F9" s="6">
        <v>66.5</v>
      </c>
      <c r="G9" s="6">
        <v>71</v>
      </c>
      <c r="H9" s="6">
        <v>77</v>
      </c>
      <c r="I9" s="6">
        <v>61</v>
      </c>
      <c r="J9" s="6">
        <v>68.5</v>
      </c>
      <c r="K9" s="6">
        <v>72</v>
      </c>
      <c r="L9" s="6">
        <v>69.5</v>
      </c>
      <c r="M9" s="6">
        <v>71</v>
      </c>
      <c r="N9" s="6">
        <v>72</v>
      </c>
      <c r="O9" s="6">
        <v>73</v>
      </c>
      <c r="P9" s="6">
        <v>68</v>
      </c>
      <c r="Q9" s="6">
        <v>71</v>
      </c>
      <c r="R9" s="6">
        <v>61.5</v>
      </c>
      <c r="S9" s="6">
        <v>70.5</v>
      </c>
      <c r="T9" s="6">
        <v>69</v>
      </c>
      <c r="U9" s="6">
        <v>72.5</v>
      </c>
      <c r="V9" s="6">
        <v>67</v>
      </c>
      <c r="W9" s="6"/>
      <c r="X9" s="6"/>
      <c r="Y9" s="6"/>
      <c r="Z9" s="6"/>
      <c r="AA9" s="6"/>
      <c r="AE9" t="s">
        <v>77</v>
      </c>
      <c r="AF9">
        <v>74.5</v>
      </c>
      <c r="AG9">
        <v>67.5</v>
      </c>
    </row>
    <row r="10" spans="1:33" x14ac:dyDescent="0.45">
      <c r="A10">
        <v>7</v>
      </c>
      <c r="B10" s="6" t="s">
        <v>75</v>
      </c>
      <c r="C10" s="6">
        <f t="shared" si="0"/>
        <v>1330.5</v>
      </c>
      <c r="D10" s="6">
        <v>76</v>
      </c>
      <c r="E10" s="6">
        <v>70</v>
      </c>
      <c r="F10" s="6">
        <v>61.5</v>
      </c>
      <c r="G10" s="6">
        <v>80</v>
      </c>
      <c r="H10" s="6">
        <v>70.5</v>
      </c>
      <c r="I10" s="6">
        <v>69.5</v>
      </c>
      <c r="J10" s="6">
        <v>66.5</v>
      </c>
      <c r="K10" s="6">
        <v>66</v>
      </c>
      <c r="L10" s="6">
        <v>65</v>
      </c>
      <c r="M10" s="6">
        <v>68</v>
      </c>
      <c r="N10" s="6">
        <v>69</v>
      </c>
      <c r="O10" s="6">
        <v>86</v>
      </c>
      <c r="P10" s="6">
        <v>73.5</v>
      </c>
      <c r="Q10" s="6">
        <v>68</v>
      </c>
      <c r="R10" s="6">
        <v>72</v>
      </c>
      <c r="S10" s="6">
        <v>67</v>
      </c>
      <c r="T10" s="6">
        <v>65.5</v>
      </c>
      <c r="U10" s="6">
        <v>69</v>
      </c>
      <c r="V10" s="6">
        <v>67.5</v>
      </c>
      <c r="W10" s="6"/>
      <c r="X10" s="6"/>
      <c r="Y10" s="6"/>
      <c r="Z10" s="6"/>
      <c r="AA10" s="6"/>
      <c r="AE10" t="s">
        <v>77</v>
      </c>
      <c r="AF10">
        <v>76.5</v>
      </c>
      <c r="AG10">
        <v>76</v>
      </c>
    </row>
    <row r="11" spans="1:33" x14ac:dyDescent="0.45">
      <c r="A11">
        <v>8</v>
      </c>
      <c r="B11" s="6" t="s">
        <v>73</v>
      </c>
      <c r="C11" s="6">
        <f t="shared" si="0"/>
        <v>1295</v>
      </c>
      <c r="D11" s="6">
        <v>73</v>
      </c>
      <c r="E11" s="6">
        <v>71.5</v>
      </c>
      <c r="F11" s="6">
        <v>65.5</v>
      </c>
      <c r="G11" s="6">
        <v>68.5</v>
      </c>
      <c r="H11" s="6">
        <v>68.5</v>
      </c>
      <c r="I11" s="6">
        <v>66.5</v>
      </c>
      <c r="J11" s="6">
        <v>68</v>
      </c>
      <c r="K11" s="6">
        <v>66</v>
      </c>
      <c r="L11" s="6">
        <v>78</v>
      </c>
      <c r="M11" s="6">
        <v>60</v>
      </c>
      <c r="N11" s="6">
        <v>68.5</v>
      </c>
      <c r="O11" s="6">
        <v>64</v>
      </c>
      <c r="P11" s="6">
        <v>69</v>
      </c>
      <c r="Q11" s="6">
        <v>71</v>
      </c>
      <c r="R11" s="6">
        <v>63</v>
      </c>
      <c r="S11" s="6">
        <v>68</v>
      </c>
      <c r="T11" s="6">
        <v>75</v>
      </c>
      <c r="U11" s="6">
        <v>66.5</v>
      </c>
      <c r="V11" s="6">
        <v>64.5</v>
      </c>
      <c r="W11" s="6"/>
      <c r="X11" s="6"/>
      <c r="Y11" s="6"/>
      <c r="Z11" s="6"/>
      <c r="AA11" s="6"/>
      <c r="AE11" t="s">
        <v>77</v>
      </c>
      <c r="AF11">
        <v>81.5</v>
      </c>
      <c r="AG11">
        <v>73</v>
      </c>
    </row>
    <row r="12" spans="1:33" x14ac:dyDescent="0.45">
      <c r="A12">
        <v>9</v>
      </c>
      <c r="B12" s="6" t="s">
        <v>74</v>
      </c>
      <c r="C12" s="6">
        <f t="shared" si="0"/>
        <v>1353</v>
      </c>
      <c r="D12" s="6">
        <v>74</v>
      </c>
      <c r="E12" s="6">
        <v>69</v>
      </c>
      <c r="F12" s="6">
        <v>82</v>
      </c>
      <c r="G12" s="6">
        <v>67</v>
      </c>
      <c r="H12" s="6">
        <v>66</v>
      </c>
      <c r="I12" s="6">
        <v>86.5</v>
      </c>
      <c r="J12" s="6">
        <v>67.5</v>
      </c>
      <c r="K12" s="6">
        <v>79</v>
      </c>
      <c r="L12" s="6">
        <v>85.5</v>
      </c>
      <c r="M12" s="6">
        <v>57.5</v>
      </c>
      <c r="N12" s="6">
        <v>65.5</v>
      </c>
      <c r="O12" s="6">
        <v>59.5</v>
      </c>
      <c r="P12" s="6">
        <v>70</v>
      </c>
      <c r="Q12" s="6">
        <v>68</v>
      </c>
      <c r="R12" s="6">
        <v>65</v>
      </c>
      <c r="S12" s="6">
        <v>74.5</v>
      </c>
      <c r="T12" s="6">
        <v>65.5</v>
      </c>
      <c r="U12" s="6">
        <v>76</v>
      </c>
      <c r="V12" s="6">
        <v>75</v>
      </c>
      <c r="W12" s="6"/>
      <c r="X12" s="6"/>
      <c r="Y12" s="6"/>
      <c r="Z12" s="6"/>
      <c r="AA12" s="6"/>
      <c r="AE12" t="s">
        <v>77</v>
      </c>
      <c r="AF12">
        <v>76</v>
      </c>
      <c r="AG12">
        <v>74</v>
      </c>
    </row>
    <row r="13" spans="1:33" x14ac:dyDescent="0.45">
      <c r="C13" s="6">
        <f>SUM(C3:C12)</f>
        <v>13222</v>
      </c>
    </row>
    <row r="14" spans="1:33" x14ac:dyDescent="0.45"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13</v>
      </c>
      <c r="Q14">
        <v>14</v>
      </c>
      <c r="R14">
        <v>15</v>
      </c>
      <c r="S14">
        <v>16</v>
      </c>
      <c r="T14">
        <v>17</v>
      </c>
      <c r="U14">
        <v>18</v>
      </c>
      <c r="V14">
        <v>19</v>
      </c>
      <c r="W14">
        <v>20</v>
      </c>
      <c r="X14">
        <v>21</v>
      </c>
      <c r="Y14">
        <v>22</v>
      </c>
      <c r="Z14">
        <v>23</v>
      </c>
      <c r="AA14">
        <v>24</v>
      </c>
    </row>
    <row r="15" spans="1:33" x14ac:dyDescent="0.45">
      <c r="A15">
        <v>0</v>
      </c>
      <c r="B15" s="6" t="s">
        <v>66</v>
      </c>
      <c r="C15" s="6">
        <f>SUM(D15:AA15)</f>
        <v>1378.5</v>
      </c>
      <c r="D15" s="6">
        <v>77</v>
      </c>
      <c r="E15" s="6">
        <v>74</v>
      </c>
      <c r="F15" s="6">
        <v>62</v>
      </c>
      <c r="G15" s="6">
        <v>71.5</v>
      </c>
      <c r="H15" s="6">
        <v>77.5</v>
      </c>
      <c r="I15" s="6">
        <v>73</v>
      </c>
      <c r="J15" s="6">
        <v>71.5</v>
      </c>
      <c r="K15" s="6">
        <v>67.5</v>
      </c>
      <c r="L15" s="6">
        <v>71</v>
      </c>
      <c r="M15" s="6">
        <v>67</v>
      </c>
      <c r="N15" s="6">
        <v>66</v>
      </c>
      <c r="O15" s="6">
        <v>87.5</v>
      </c>
      <c r="P15" s="6">
        <v>68.5</v>
      </c>
      <c r="Q15" s="6">
        <v>68</v>
      </c>
      <c r="R15" s="6">
        <v>74</v>
      </c>
      <c r="S15" s="6">
        <v>74.5</v>
      </c>
      <c r="T15" s="6">
        <v>81</v>
      </c>
      <c r="U15" s="6">
        <v>68.5</v>
      </c>
      <c r="V15" s="6">
        <v>78.5</v>
      </c>
      <c r="W15" s="6"/>
      <c r="X15" s="6"/>
      <c r="Y15" s="6"/>
      <c r="Z15" s="6"/>
      <c r="AA15" s="6"/>
      <c r="AC15">
        <f>COUNTIF(D15:AA24,"&gt;70")</f>
        <v>94</v>
      </c>
    </row>
    <row r="16" spans="1:33" x14ac:dyDescent="0.45">
      <c r="A16">
        <v>1</v>
      </c>
      <c r="B16" s="6" t="s">
        <v>67</v>
      </c>
      <c r="C16" s="6">
        <f t="shared" ref="C16:C24" si="1">SUM(D16:AA16)</f>
        <v>1294</v>
      </c>
      <c r="D16" s="6">
        <v>69.5</v>
      </c>
      <c r="E16" s="6">
        <v>71.5</v>
      </c>
      <c r="F16" s="6">
        <v>69</v>
      </c>
      <c r="G16" s="6">
        <v>73.5</v>
      </c>
      <c r="H16" s="6">
        <v>80.5</v>
      </c>
      <c r="I16" s="6">
        <v>62</v>
      </c>
      <c r="J16" s="6">
        <v>66.5</v>
      </c>
      <c r="K16" s="6">
        <v>64.5</v>
      </c>
      <c r="L16" s="6">
        <v>73.5</v>
      </c>
      <c r="M16" s="6">
        <v>80.5</v>
      </c>
      <c r="N16" s="6">
        <v>62</v>
      </c>
      <c r="O16" s="6">
        <v>72</v>
      </c>
      <c r="P16" s="6">
        <v>65.5</v>
      </c>
      <c r="Q16" s="6">
        <v>67.5</v>
      </c>
      <c r="R16" s="6">
        <v>67</v>
      </c>
      <c r="S16" s="6">
        <v>60.5</v>
      </c>
      <c r="T16" s="6">
        <v>64.5</v>
      </c>
      <c r="U16" s="6">
        <v>59.5</v>
      </c>
      <c r="V16" s="6">
        <v>64.5</v>
      </c>
      <c r="W16" s="6"/>
      <c r="X16" s="6"/>
      <c r="Y16" s="6"/>
      <c r="Z16" s="6"/>
      <c r="AA16" s="6"/>
    </row>
    <row r="17" spans="1:29" x14ac:dyDescent="0.45">
      <c r="A17">
        <v>2</v>
      </c>
      <c r="B17" s="6" t="s">
        <v>68</v>
      </c>
      <c r="C17" s="6">
        <f t="shared" si="1"/>
        <v>1433</v>
      </c>
      <c r="D17" s="6">
        <v>79</v>
      </c>
      <c r="E17" s="6">
        <v>68</v>
      </c>
      <c r="F17" s="6">
        <v>82</v>
      </c>
      <c r="G17" s="6">
        <v>69</v>
      </c>
      <c r="H17" s="6">
        <v>78</v>
      </c>
      <c r="I17" s="6">
        <v>80</v>
      </c>
      <c r="J17" s="6">
        <v>76</v>
      </c>
      <c r="K17" s="6">
        <v>82</v>
      </c>
      <c r="L17" s="6">
        <v>67.5</v>
      </c>
      <c r="M17" s="6">
        <v>83.5</v>
      </c>
      <c r="N17" s="6">
        <v>78</v>
      </c>
      <c r="O17" s="6">
        <v>72</v>
      </c>
      <c r="P17" s="6">
        <v>82</v>
      </c>
      <c r="Q17" s="6">
        <v>70.5</v>
      </c>
      <c r="R17" s="6">
        <v>70</v>
      </c>
      <c r="S17" s="6">
        <v>66.5</v>
      </c>
      <c r="T17" s="6">
        <v>73.5</v>
      </c>
      <c r="U17" s="6">
        <v>70</v>
      </c>
      <c r="V17" s="6">
        <v>85.5</v>
      </c>
      <c r="W17" s="6"/>
      <c r="X17" s="6"/>
      <c r="Y17" s="6"/>
      <c r="Z17" s="6"/>
      <c r="AA17" s="6"/>
    </row>
    <row r="18" spans="1:29" x14ac:dyDescent="0.45">
      <c r="A18">
        <v>3</v>
      </c>
      <c r="B18" s="6" t="s">
        <v>69</v>
      </c>
      <c r="C18" s="6">
        <f t="shared" si="1"/>
        <v>1321.5</v>
      </c>
      <c r="D18" s="6">
        <v>75</v>
      </c>
      <c r="E18" s="6">
        <v>70.5</v>
      </c>
      <c r="F18" s="6">
        <v>70</v>
      </c>
      <c r="G18" s="6">
        <v>67.5</v>
      </c>
      <c r="H18" s="6">
        <v>66.5</v>
      </c>
      <c r="I18" s="6">
        <v>70</v>
      </c>
      <c r="J18" s="6">
        <v>66</v>
      </c>
      <c r="K18" s="6">
        <v>68</v>
      </c>
      <c r="L18" s="6">
        <v>67.5</v>
      </c>
      <c r="M18" s="6">
        <v>61</v>
      </c>
      <c r="N18" s="6">
        <v>68.5</v>
      </c>
      <c r="O18" s="6">
        <v>77</v>
      </c>
      <c r="P18" s="6">
        <v>67</v>
      </c>
      <c r="Q18" s="6">
        <v>75</v>
      </c>
      <c r="R18" s="6">
        <v>71.5</v>
      </c>
      <c r="S18" s="6">
        <v>63</v>
      </c>
      <c r="T18" s="6">
        <v>82.5</v>
      </c>
      <c r="U18" s="6">
        <v>67</v>
      </c>
      <c r="V18" s="6">
        <v>68</v>
      </c>
      <c r="W18" s="6"/>
      <c r="X18" s="6"/>
      <c r="Y18" s="6"/>
      <c r="Z18" s="6"/>
      <c r="AA18" s="6"/>
    </row>
    <row r="19" spans="1:29" x14ac:dyDescent="0.45">
      <c r="A19">
        <v>4</v>
      </c>
      <c r="B19" s="6" t="s">
        <v>71</v>
      </c>
      <c r="C19" s="6">
        <f t="shared" si="1"/>
        <v>1291</v>
      </c>
      <c r="D19" s="6">
        <v>77</v>
      </c>
      <c r="E19" s="6">
        <v>81.5</v>
      </c>
      <c r="F19" s="6">
        <v>75.5</v>
      </c>
      <c r="G19" s="6">
        <v>61.5</v>
      </c>
      <c r="H19" s="6">
        <v>60</v>
      </c>
      <c r="I19" s="6">
        <v>65</v>
      </c>
      <c r="J19" s="6">
        <v>61</v>
      </c>
      <c r="K19" s="6">
        <v>60.5</v>
      </c>
      <c r="L19" s="6">
        <v>64.5</v>
      </c>
      <c r="M19" s="6">
        <v>61</v>
      </c>
      <c r="N19" s="6">
        <v>63</v>
      </c>
      <c r="O19" s="6">
        <v>64.5</v>
      </c>
      <c r="P19" s="6">
        <v>73</v>
      </c>
      <c r="Q19" s="6">
        <v>72.5</v>
      </c>
      <c r="R19" s="6">
        <v>75</v>
      </c>
      <c r="S19" s="6">
        <v>70.5</v>
      </c>
      <c r="T19" s="6">
        <v>71</v>
      </c>
      <c r="U19" s="6">
        <v>69</v>
      </c>
      <c r="V19" s="6">
        <v>65</v>
      </c>
      <c r="W19" s="6"/>
      <c r="X19" s="6"/>
      <c r="Y19" s="6"/>
      <c r="Z19" s="6"/>
      <c r="AA19" s="6"/>
    </row>
    <row r="20" spans="1:29" x14ac:dyDescent="0.45">
      <c r="A20">
        <v>5</v>
      </c>
      <c r="B20" s="6" t="s">
        <v>70</v>
      </c>
      <c r="C20" s="6">
        <f t="shared" si="1"/>
        <v>1368.5</v>
      </c>
      <c r="D20" s="6">
        <v>68</v>
      </c>
      <c r="E20" s="6">
        <v>79.5</v>
      </c>
      <c r="F20" s="6">
        <v>72.5</v>
      </c>
      <c r="G20" s="6">
        <v>80.5</v>
      </c>
      <c r="H20" s="6">
        <v>75</v>
      </c>
      <c r="I20" s="6">
        <v>68</v>
      </c>
      <c r="J20" s="6">
        <v>64</v>
      </c>
      <c r="K20" s="6">
        <v>61</v>
      </c>
      <c r="L20" s="6">
        <v>71.5</v>
      </c>
      <c r="M20" s="6">
        <v>73.5</v>
      </c>
      <c r="N20" s="6">
        <v>85</v>
      </c>
      <c r="O20" s="6">
        <v>67</v>
      </c>
      <c r="P20" s="6">
        <v>68</v>
      </c>
      <c r="Q20" s="6">
        <v>72.5</v>
      </c>
      <c r="R20" s="6">
        <v>65.5</v>
      </c>
      <c r="S20" s="6">
        <v>68.5</v>
      </c>
      <c r="T20" s="6">
        <v>72.5</v>
      </c>
      <c r="U20" s="6">
        <v>76.5</v>
      </c>
      <c r="V20" s="6">
        <v>79.5</v>
      </c>
      <c r="W20" s="6"/>
      <c r="X20" s="6"/>
      <c r="Y20" s="6"/>
      <c r="Z20" s="6"/>
      <c r="AA20" s="6"/>
    </row>
    <row r="21" spans="1:29" x14ac:dyDescent="0.45">
      <c r="A21">
        <v>6</v>
      </c>
      <c r="B21" s="6" t="s">
        <v>72</v>
      </c>
      <c r="C21" s="6">
        <f t="shared" si="1"/>
        <v>1334</v>
      </c>
      <c r="D21" s="6">
        <v>74.5</v>
      </c>
      <c r="E21" s="6">
        <v>72</v>
      </c>
      <c r="F21" s="6">
        <v>78.5</v>
      </c>
      <c r="G21" s="6">
        <v>70.5</v>
      </c>
      <c r="H21" s="6">
        <v>82</v>
      </c>
      <c r="I21" s="6">
        <v>70.5</v>
      </c>
      <c r="J21" s="6">
        <v>74.5</v>
      </c>
      <c r="K21" s="6">
        <v>62</v>
      </c>
      <c r="L21" s="6">
        <v>68</v>
      </c>
      <c r="M21" s="6">
        <v>72.5</v>
      </c>
      <c r="N21" s="6">
        <v>61.5</v>
      </c>
      <c r="O21" s="6">
        <v>69.5</v>
      </c>
      <c r="P21" s="6">
        <v>69</v>
      </c>
      <c r="Q21" s="6">
        <v>66.5</v>
      </c>
      <c r="R21" s="6">
        <v>61.5</v>
      </c>
      <c r="S21" s="6">
        <v>70</v>
      </c>
      <c r="T21" s="6">
        <v>66.5</v>
      </c>
      <c r="U21" s="6">
        <v>73</v>
      </c>
      <c r="V21" s="6">
        <v>71.5</v>
      </c>
      <c r="W21" s="6"/>
      <c r="X21" s="6"/>
      <c r="Y21" s="6"/>
      <c r="Z21" s="6"/>
      <c r="AA21" s="6"/>
    </row>
    <row r="22" spans="1:29" x14ac:dyDescent="0.45">
      <c r="A22">
        <v>7</v>
      </c>
      <c r="B22" s="6" t="s">
        <v>75</v>
      </c>
      <c r="C22" s="6">
        <f t="shared" si="1"/>
        <v>1357</v>
      </c>
      <c r="D22" s="6">
        <v>76.5</v>
      </c>
      <c r="E22" s="6">
        <v>76.5</v>
      </c>
      <c r="F22" s="6">
        <v>63.5</v>
      </c>
      <c r="G22" s="6">
        <v>79.5</v>
      </c>
      <c r="H22" s="6">
        <v>70.5</v>
      </c>
      <c r="I22" s="6">
        <v>70</v>
      </c>
      <c r="J22" s="6">
        <v>68</v>
      </c>
      <c r="K22" s="6">
        <v>67</v>
      </c>
      <c r="L22" s="6">
        <v>69.5</v>
      </c>
      <c r="M22" s="6">
        <v>70.5</v>
      </c>
      <c r="N22" s="6">
        <v>68.5</v>
      </c>
      <c r="O22" s="6">
        <v>82</v>
      </c>
      <c r="P22" s="6">
        <v>76.5</v>
      </c>
      <c r="Q22" s="6">
        <v>73</v>
      </c>
      <c r="R22" s="6">
        <v>73.5</v>
      </c>
      <c r="S22" s="6">
        <v>67</v>
      </c>
      <c r="T22" s="6">
        <v>69</v>
      </c>
      <c r="U22" s="6">
        <v>72</v>
      </c>
      <c r="V22" s="6">
        <v>64</v>
      </c>
      <c r="W22" s="6"/>
      <c r="X22" s="6"/>
      <c r="Y22" s="6"/>
      <c r="Z22" s="6"/>
      <c r="AA22" s="6"/>
    </row>
    <row r="23" spans="1:29" x14ac:dyDescent="0.45">
      <c r="A23">
        <v>8</v>
      </c>
      <c r="B23" s="6" t="s">
        <v>73</v>
      </c>
      <c r="C23" s="6">
        <f t="shared" si="1"/>
        <v>1343</v>
      </c>
      <c r="D23" s="6">
        <v>81.5</v>
      </c>
      <c r="E23" s="6">
        <v>71.5</v>
      </c>
      <c r="F23" s="6">
        <v>76</v>
      </c>
      <c r="G23" s="6">
        <v>67</v>
      </c>
      <c r="H23" s="6">
        <v>67</v>
      </c>
      <c r="I23" s="6">
        <v>67</v>
      </c>
      <c r="J23" s="6">
        <v>72</v>
      </c>
      <c r="K23" s="6">
        <v>60</v>
      </c>
      <c r="L23" s="6">
        <v>78</v>
      </c>
      <c r="M23" s="6">
        <v>65</v>
      </c>
      <c r="N23" s="6">
        <v>70</v>
      </c>
      <c r="O23" s="6">
        <v>67.5</v>
      </c>
      <c r="P23" s="6">
        <v>67</v>
      </c>
      <c r="Q23" s="6">
        <v>87.5</v>
      </c>
      <c r="R23" s="6">
        <v>66.5</v>
      </c>
      <c r="S23" s="6">
        <v>68</v>
      </c>
      <c r="T23" s="6">
        <v>77.5</v>
      </c>
      <c r="U23" s="6">
        <v>68.5</v>
      </c>
      <c r="V23" s="6">
        <v>65.5</v>
      </c>
      <c r="W23" s="6"/>
      <c r="X23" s="6"/>
      <c r="Y23" s="6"/>
      <c r="Z23" s="6"/>
      <c r="AA23" s="6"/>
    </row>
    <row r="24" spans="1:29" x14ac:dyDescent="0.45">
      <c r="A24">
        <v>9</v>
      </c>
      <c r="B24" s="6" t="s">
        <v>74</v>
      </c>
      <c r="C24" s="6">
        <f t="shared" si="1"/>
        <v>1376</v>
      </c>
      <c r="D24" s="6">
        <v>76</v>
      </c>
      <c r="E24" s="6">
        <v>71.5</v>
      </c>
      <c r="F24" s="6">
        <v>87.5</v>
      </c>
      <c r="G24" s="6">
        <v>61.5</v>
      </c>
      <c r="H24" s="6">
        <v>66.5</v>
      </c>
      <c r="I24" s="6">
        <v>85</v>
      </c>
      <c r="J24" s="6">
        <v>68.5</v>
      </c>
      <c r="K24" s="6">
        <v>86.5</v>
      </c>
      <c r="L24" s="6">
        <v>82.5</v>
      </c>
      <c r="M24" s="6">
        <v>61</v>
      </c>
      <c r="N24" s="6">
        <v>67</v>
      </c>
      <c r="O24" s="6">
        <v>62</v>
      </c>
      <c r="P24" s="6">
        <v>70.5</v>
      </c>
      <c r="Q24" s="6">
        <v>69</v>
      </c>
      <c r="R24" s="6">
        <v>76</v>
      </c>
      <c r="S24" s="6">
        <v>74</v>
      </c>
      <c r="T24" s="6">
        <v>65</v>
      </c>
      <c r="U24" s="6">
        <v>75</v>
      </c>
      <c r="V24" s="6">
        <v>71</v>
      </c>
      <c r="W24" s="6"/>
      <c r="X24" s="6"/>
      <c r="Y24" s="6"/>
      <c r="Z24" s="6"/>
      <c r="AA24" s="6"/>
    </row>
    <row r="25" spans="1:29" x14ac:dyDescent="0.45">
      <c r="C25" s="6">
        <f>SUM(C15:C24)</f>
        <v>13496.5</v>
      </c>
    </row>
    <row r="26" spans="1:29" x14ac:dyDescent="0.45"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  <c r="Z26">
        <v>23</v>
      </c>
      <c r="AA26">
        <v>24</v>
      </c>
    </row>
    <row r="27" spans="1:29" x14ac:dyDescent="0.45">
      <c r="A27">
        <v>0</v>
      </c>
      <c r="B27" s="6" t="s">
        <v>66</v>
      </c>
      <c r="C27" s="6">
        <f>SUM(D27:AA27)</f>
        <v>43</v>
      </c>
      <c r="D27" s="6">
        <f t="shared" ref="D27:P27" si="2">D15-D3</f>
        <v>10</v>
      </c>
      <c r="E27" s="6">
        <f t="shared" si="2"/>
        <v>1.5</v>
      </c>
      <c r="F27" s="6">
        <f t="shared" si="2"/>
        <v>4</v>
      </c>
      <c r="G27" s="6">
        <f t="shared" si="2"/>
        <v>2.5</v>
      </c>
      <c r="H27" s="6">
        <f t="shared" si="2"/>
        <v>0</v>
      </c>
      <c r="I27" s="6">
        <f t="shared" si="2"/>
        <v>-0.5</v>
      </c>
      <c r="J27" s="6">
        <f t="shared" si="2"/>
        <v>-1.5</v>
      </c>
      <c r="K27" s="6">
        <f t="shared" si="2"/>
        <v>4.5</v>
      </c>
      <c r="L27" s="6">
        <f t="shared" si="2"/>
        <v>4</v>
      </c>
      <c r="M27" s="6">
        <f t="shared" si="2"/>
        <v>0.5</v>
      </c>
      <c r="N27" s="6">
        <f t="shared" si="2"/>
        <v>7</v>
      </c>
      <c r="O27" s="6">
        <f t="shared" si="2"/>
        <v>0</v>
      </c>
      <c r="P27" s="6">
        <f t="shared" si="2"/>
        <v>2</v>
      </c>
      <c r="Q27" s="6">
        <f t="shared" ref="Q27:V27" si="3">Q15-Q3</f>
        <v>-3.5</v>
      </c>
      <c r="R27" s="6">
        <f t="shared" si="3"/>
        <v>5</v>
      </c>
      <c r="S27" s="6">
        <f t="shared" si="3"/>
        <v>3</v>
      </c>
      <c r="T27" s="6">
        <f t="shared" si="3"/>
        <v>-1.5</v>
      </c>
      <c r="U27" s="6">
        <f t="shared" si="3"/>
        <v>2.5</v>
      </c>
      <c r="V27" s="6">
        <f t="shared" si="3"/>
        <v>3.5</v>
      </c>
      <c r="W27" s="6"/>
      <c r="X27" s="6"/>
      <c r="Y27" s="6"/>
      <c r="Z27" s="6"/>
      <c r="AA27" s="6"/>
      <c r="AC27">
        <f>COUNTIF(D27:AA36,"&gt;0")</f>
        <v>112</v>
      </c>
    </row>
    <row r="28" spans="1:29" x14ac:dyDescent="0.45">
      <c r="A28">
        <v>1</v>
      </c>
      <c r="B28" s="6" t="s">
        <v>67</v>
      </c>
      <c r="C28" s="6">
        <f t="shared" ref="C28:C36" si="4">SUM(D28:AA28)</f>
        <v>-6.5</v>
      </c>
      <c r="D28" s="6">
        <f t="shared" ref="D28:V36" si="5">D16-D4</f>
        <v>2</v>
      </c>
      <c r="E28" s="6">
        <f t="shared" si="5"/>
        <v>-0.5</v>
      </c>
      <c r="F28" s="6">
        <f t="shared" si="5"/>
        <v>-0.5</v>
      </c>
      <c r="G28" s="6">
        <f t="shared" si="5"/>
        <v>1</v>
      </c>
      <c r="H28" s="6">
        <f t="shared" si="5"/>
        <v>-1.5</v>
      </c>
      <c r="I28" s="6">
        <f t="shared" si="5"/>
        <v>-2</v>
      </c>
      <c r="J28" s="6">
        <f t="shared" si="5"/>
        <v>1</v>
      </c>
      <c r="K28" s="6">
        <f t="shared" si="5"/>
        <v>-1</v>
      </c>
      <c r="L28" s="6">
        <f t="shared" si="5"/>
        <v>3.5</v>
      </c>
      <c r="M28" s="6">
        <f t="shared" si="5"/>
        <v>3</v>
      </c>
      <c r="N28" s="6">
        <f t="shared" si="5"/>
        <v>1</v>
      </c>
      <c r="O28" s="6">
        <f t="shared" si="5"/>
        <v>1.5</v>
      </c>
      <c r="P28" s="6">
        <f t="shared" si="5"/>
        <v>-5.5</v>
      </c>
      <c r="Q28" s="6">
        <f t="shared" si="5"/>
        <v>0.5</v>
      </c>
      <c r="R28" s="6">
        <f t="shared" si="5"/>
        <v>0.5</v>
      </c>
      <c r="S28" s="6">
        <f t="shared" si="5"/>
        <v>-3</v>
      </c>
      <c r="T28" s="6">
        <f t="shared" si="5"/>
        <v>2</v>
      </c>
      <c r="U28" s="6">
        <f t="shared" si="5"/>
        <v>-5.5</v>
      </c>
      <c r="V28" s="6">
        <f t="shared" si="5"/>
        <v>-3</v>
      </c>
      <c r="W28" s="6"/>
      <c r="X28" s="6"/>
      <c r="Y28" s="6"/>
      <c r="Z28" s="6"/>
      <c r="AA28" s="6"/>
    </row>
    <row r="29" spans="1:29" x14ac:dyDescent="0.45">
      <c r="A29">
        <v>2</v>
      </c>
      <c r="B29" s="6" t="s">
        <v>68</v>
      </c>
      <c r="C29" s="6">
        <f t="shared" si="4"/>
        <v>58</v>
      </c>
      <c r="D29" s="6">
        <f t="shared" si="5"/>
        <v>6.5</v>
      </c>
      <c r="E29" s="6">
        <f t="shared" si="5"/>
        <v>-1</v>
      </c>
      <c r="F29" s="6">
        <f t="shared" si="5"/>
        <v>0</v>
      </c>
      <c r="G29" s="6">
        <f t="shared" si="5"/>
        <v>1</v>
      </c>
      <c r="H29" s="6">
        <f t="shared" si="5"/>
        <v>3.5</v>
      </c>
      <c r="I29" s="6">
        <f t="shared" si="5"/>
        <v>6</v>
      </c>
      <c r="J29" s="6">
        <f t="shared" si="5"/>
        <v>3.5</v>
      </c>
      <c r="K29" s="6">
        <f t="shared" si="5"/>
        <v>4.5</v>
      </c>
      <c r="L29" s="6">
        <f t="shared" si="5"/>
        <v>-4.5</v>
      </c>
      <c r="M29" s="6">
        <f t="shared" si="5"/>
        <v>5.5</v>
      </c>
      <c r="N29" s="6">
        <f t="shared" si="5"/>
        <v>11</v>
      </c>
      <c r="O29" s="6">
        <f t="shared" si="5"/>
        <v>7</v>
      </c>
      <c r="P29" s="6">
        <f t="shared" si="5"/>
        <v>-3.5</v>
      </c>
      <c r="Q29" s="6">
        <f t="shared" si="5"/>
        <v>7</v>
      </c>
      <c r="R29" s="6">
        <f t="shared" si="5"/>
        <v>5</v>
      </c>
      <c r="S29" s="6">
        <f t="shared" si="5"/>
        <v>0</v>
      </c>
      <c r="T29" s="6">
        <f t="shared" si="5"/>
        <v>-1.5</v>
      </c>
      <c r="U29" s="6">
        <f t="shared" si="5"/>
        <v>0</v>
      </c>
      <c r="V29" s="6">
        <f t="shared" si="5"/>
        <v>8</v>
      </c>
      <c r="W29" s="6"/>
      <c r="X29" s="6"/>
      <c r="Y29" s="6"/>
      <c r="Z29" s="6"/>
      <c r="AA29" s="6"/>
    </row>
    <row r="30" spans="1:29" x14ac:dyDescent="0.45">
      <c r="A30">
        <v>3</v>
      </c>
      <c r="B30" s="6" t="s">
        <v>69</v>
      </c>
      <c r="C30" s="6">
        <f t="shared" si="4"/>
        <v>23.5</v>
      </c>
      <c r="D30" s="6">
        <f t="shared" si="5"/>
        <v>5</v>
      </c>
      <c r="E30" s="6">
        <f t="shared" si="5"/>
        <v>5.5</v>
      </c>
      <c r="F30" s="6">
        <f t="shared" si="5"/>
        <v>7</v>
      </c>
      <c r="G30" s="6">
        <f t="shared" si="5"/>
        <v>4</v>
      </c>
      <c r="H30" s="6">
        <f t="shared" si="5"/>
        <v>4</v>
      </c>
      <c r="I30" s="6">
        <f t="shared" si="5"/>
        <v>6</v>
      </c>
      <c r="J30" s="6">
        <f t="shared" si="5"/>
        <v>-0.5</v>
      </c>
      <c r="K30" s="6">
        <f t="shared" si="5"/>
        <v>4</v>
      </c>
      <c r="L30" s="6">
        <f t="shared" si="5"/>
        <v>-2.5</v>
      </c>
      <c r="M30" s="6">
        <f t="shared" si="5"/>
        <v>-2.5</v>
      </c>
      <c r="N30" s="6">
        <f t="shared" si="5"/>
        <v>2.5</v>
      </c>
      <c r="O30" s="6">
        <f t="shared" si="5"/>
        <v>-5</v>
      </c>
      <c r="P30" s="6">
        <f t="shared" si="5"/>
        <v>-1.5</v>
      </c>
      <c r="Q30" s="6">
        <f t="shared" si="5"/>
        <v>5.5</v>
      </c>
      <c r="R30" s="6">
        <f t="shared" si="5"/>
        <v>-3.5</v>
      </c>
      <c r="S30" s="6">
        <f t="shared" si="5"/>
        <v>-3</v>
      </c>
      <c r="T30" s="6">
        <f t="shared" si="5"/>
        <v>-3</v>
      </c>
      <c r="U30" s="6">
        <f t="shared" si="5"/>
        <v>5.5</v>
      </c>
      <c r="V30" s="6">
        <f t="shared" si="5"/>
        <v>-4</v>
      </c>
      <c r="W30" s="6"/>
      <c r="X30" s="6"/>
      <c r="Y30" s="6"/>
      <c r="Z30" s="6"/>
      <c r="AA30" s="6"/>
    </row>
    <row r="31" spans="1:29" x14ac:dyDescent="0.45">
      <c r="A31">
        <v>4</v>
      </c>
      <c r="B31" s="6" t="s">
        <v>71</v>
      </c>
      <c r="C31" s="6">
        <f t="shared" si="4"/>
        <v>-0.5</v>
      </c>
      <c r="D31" s="6">
        <f t="shared" si="5"/>
        <v>5</v>
      </c>
      <c r="E31" s="6">
        <f t="shared" si="5"/>
        <v>6.5</v>
      </c>
      <c r="F31" s="6">
        <f t="shared" si="5"/>
        <v>4.5</v>
      </c>
      <c r="G31" s="6">
        <f t="shared" si="5"/>
        <v>-1</v>
      </c>
      <c r="H31" s="6">
        <f t="shared" si="5"/>
        <v>-7.5</v>
      </c>
      <c r="I31" s="6">
        <f t="shared" si="5"/>
        <v>-1.5</v>
      </c>
      <c r="J31" s="6">
        <f t="shared" si="5"/>
        <v>-1</v>
      </c>
      <c r="K31" s="6">
        <f t="shared" si="5"/>
        <v>2</v>
      </c>
      <c r="L31" s="6">
        <f t="shared" si="5"/>
        <v>-3.5</v>
      </c>
      <c r="M31" s="6">
        <f t="shared" si="5"/>
        <v>0.5</v>
      </c>
      <c r="N31" s="6">
        <f t="shared" si="5"/>
        <v>0</v>
      </c>
      <c r="O31" s="6">
        <f t="shared" si="5"/>
        <v>-2</v>
      </c>
      <c r="P31" s="6">
        <f t="shared" si="5"/>
        <v>-2.5</v>
      </c>
      <c r="Q31" s="6">
        <f t="shared" si="5"/>
        <v>2.5</v>
      </c>
      <c r="R31" s="6">
        <f t="shared" si="5"/>
        <v>-3</v>
      </c>
      <c r="S31" s="6">
        <f t="shared" si="5"/>
        <v>-0.5</v>
      </c>
      <c r="T31" s="6">
        <f t="shared" si="5"/>
        <v>1</v>
      </c>
      <c r="U31" s="6">
        <f t="shared" si="5"/>
        <v>-4</v>
      </c>
      <c r="V31" s="6">
        <f t="shared" si="5"/>
        <v>4</v>
      </c>
      <c r="W31" s="6"/>
      <c r="X31" s="6"/>
      <c r="Y31" s="6"/>
      <c r="Z31" s="6"/>
      <c r="AA31" s="6"/>
    </row>
    <row r="32" spans="1:29" x14ac:dyDescent="0.45">
      <c r="A32">
        <v>5</v>
      </c>
      <c r="B32" s="6" t="s">
        <v>70</v>
      </c>
      <c r="C32" s="6">
        <f t="shared" si="4"/>
        <v>46.5</v>
      </c>
      <c r="D32" s="6">
        <f t="shared" si="5"/>
        <v>6.5</v>
      </c>
      <c r="E32" s="6">
        <f t="shared" si="5"/>
        <v>-6</v>
      </c>
      <c r="F32" s="6">
        <f t="shared" si="5"/>
        <v>-1.5</v>
      </c>
      <c r="G32" s="6">
        <f t="shared" si="5"/>
        <v>6.5</v>
      </c>
      <c r="H32" s="6">
        <f t="shared" si="5"/>
        <v>1</v>
      </c>
      <c r="I32" s="6">
        <f t="shared" si="5"/>
        <v>1.5</v>
      </c>
      <c r="J32" s="6">
        <f t="shared" si="5"/>
        <v>3</v>
      </c>
      <c r="K32" s="6">
        <f t="shared" si="5"/>
        <v>-4.5</v>
      </c>
      <c r="L32" s="6">
        <f t="shared" si="5"/>
        <v>5.5</v>
      </c>
      <c r="M32" s="6">
        <f t="shared" si="5"/>
        <v>7.5</v>
      </c>
      <c r="N32" s="6">
        <f t="shared" si="5"/>
        <v>6</v>
      </c>
      <c r="O32" s="6">
        <f t="shared" si="5"/>
        <v>-1.5</v>
      </c>
      <c r="P32" s="6">
        <f t="shared" si="5"/>
        <v>5.5</v>
      </c>
      <c r="Q32" s="6">
        <f t="shared" si="5"/>
        <v>2</v>
      </c>
      <c r="R32" s="6">
        <f t="shared" si="5"/>
        <v>0</v>
      </c>
      <c r="S32" s="6">
        <f t="shared" si="5"/>
        <v>-7.5</v>
      </c>
      <c r="T32" s="6">
        <f t="shared" si="5"/>
        <v>1.5</v>
      </c>
      <c r="U32" s="6">
        <f t="shared" si="5"/>
        <v>10.5</v>
      </c>
      <c r="V32" s="6">
        <f t="shared" si="5"/>
        <v>10.5</v>
      </c>
      <c r="W32" s="6"/>
      <c r="X32" s="6"/>
      <c r="Y32" s="6"/>
      <c r="Z32" s="6"/>
      <c r="AA32" s="6"/>
    </row>
    <row r="33" spans="1:27" x14ac:dyDescent="0.45">
      <c r="A33">
        <v>6</v>
      </c>
      <c r="B33" s="6" t="s">
        <v>72</v>
      </c>
      <c r="C33" s="6">
        <f t="shared" si="4"/>
        <v>13</v>
      </c>
      <c r="D33" s="6">
        <f t="shared" si="5"/>
        <v>7</v>
      </c>
      <c r="E33" s="6">
        <f t="shared" si="5"/>
        <v>-0.5</v>
      </c>
      <c r="F33" s="6">
        <f t="shared" si="5"/>
        <v>12</v>
      </c>
      <c r="G33" s="6">
        <f t="shared" si="5"/>
        <v>-0.5</v>
      </c>
      <c r="H33" s="6">
        <f t="shared" si="5"/>
        <v>5</v>
      </c>
      <c r="I33" s="6">
        <f t="shared" si="5"/>
        <v>9.5</v>
      </c>
      <c r="J33" s="6">
        <f t="shared" si="5"/>
        <v>6</v>
      </c>
      <c r="K33" s="6">
        <f t="shared" si="5"/>
        <v>-10</v>
      </c>
      <c r="L33" s="6">
        <f t="shared" si="5"/>
        <v>-1.5</v>
      </c>
      <c r="M33" s="6">
        <f t="shared" si="5"/>
        <v>1.5</v>
      </c>
      <c r="N33" s="6">
        <f t="shared" si="5"/>
        <v>-10.5</v>
      </c>
      <c r="O33" s="6">
        <f t="shared" si="5"/>
        <v>-3.5</v>
      </c>
      <c r="P33" s="6">
        <f t="shared" si="5"/>
        <v>1</v>
      </c>
      <c r="Q33" s="6">
        <f t="shared" si="5"/>
        <v>-4.5</v>
      </c>
      <c r="R33" s="6">
        <f t="shared" si="5"/>
        <v>0</v>
      </c>
      <c r="S33" s="6">
        <f t="shared" si="5"/>
        <v>-0.5</v>
      </c>
      <c r="T33" s="6">
        <f t="shared" si="5"/>
        <v>-2.5</v>
      </c>
      <c r="U33" s="6">
        <f t="shared" si="5"/>
        <v>0.5</v>
      </c>
      <c r="V33" s="6">
        <f t="shared" si="5"/>
        <v>4.5</v>
      </c>
      <c r="W33" s="6"/>
      <c r="X33" s="6"/>
      <c r="Y33" s="6"/>
      <c r="Z33" s="6"/>
      <c r="AA33" s="6"/>
    </row>
    <row r="34" spans="1:27" x14ac:dyDescent="0.45">
      <c r="A34">
        <v>7</v>
      </c>
      <c r="B34" s="6" t="s">
        <v>75</v>
      </c>
      <c r="C34" s="6">
        <f t="shared" si="4"/>
        <v>26.5</v>
      </c>
      <c r="D34" s="6">
        <f t="shared" si="5"/>
        <v>0.5</v>
      </c>
      <c r="E34" s="6">
        <f t="shared" si="5"/>
        <v>6.5</v>
      </c>
      <c r="F34" s="6">
        <f t="shared" si="5"/>
        <v>2</v>
      </c>
      <c r="G34" s="6">
        <f t="shared" si="5"/>
        <v>-0.5</v>
      </c>
      <c r="H34" s="6">
        <f t="shared" si="5"/>
        <v>0</v>
      </c>
      <c r="I34" s="6">
        <f t="shared" si="5"/>
        <v>0.5</v>
      </c>
      <c r="J34" s="6">
        <f t="shared" si="5"/>
        <v>1.5</v>
      </c>
      <c r="K34" s="6">
        <f t="shared" si="5"/>
        <v>1</v>
      </c>
      <c r="L34" s="6">
        <f t="shared" si="5"/>
        <v>4.5</v>
      </c>
      <c r="M34" s="6">
        <f t="shared" si="5"/>
        <v>2.5</v>
      </c>
      <c r="N34" s="6">
        <f t="shared" si="5"/>
        <v>-0.5</v>
      </c>
      <c r="O34" s="6">
        <f t="shared" si="5"/>
        <v>-4</v>
      </c>
      <c r="P34" s="6">
        <f t="shared" si="5"/>
        <v>3</v>
      </c>
      <c r="Q34" s="6">
        <f t="shared" si="5"/>
        <v>5</v>
      </c>
      <c r="R34" s="6">
        <f t="shared" si="5"/>
        <v>1.5</v>
      </c>
      <c r="S34" s="6">
        <f t="shared" si="5"/>
        <v>0</v>
      </c>
      <c r="T34" s="6">
        <f t="shared" si="5"/>
        <v>3.5</v>
      </c>
      <c r="U34" s="6">
        <f t="shared" si="5"/>
        <v>3</v>
      </c>
      <c r="V34" s="6">
        <f t="shared" si="5"/>
        <v>-3.5</v>
      </c>
      <c r="W34" s="6"/>
      <c r="X34" s="6"/>
      <c r="Y34" s="6"/>
      <c r="Z34" s="6"/>
      <c r="AA34" s="6"/>
    </row>
    <row r="35" spans="1:27" x14ac:dyDescent="0.45">
      <c r="A35">
        <v>8</v>
      </c>
      <c r="B35" s="6" t="s">
        <v>73</v>
      </c>
      <c r="C35" s="6">
        <f t="shared" si="4"/>
        <v>48</v>
      </c>
      <c r="D35" s="6">
        <f t="shared" si="5"/>
        <v>8.5</v>
      </c>
      <c r="E35" s="6">
        <f t="shared" si="5"/>
        <v>0</v>
      </c>
      <c r="F35" s="6">
        <f t="shared" si="5"/>
        <v>10.5</v>
      </c>
      <c r="G35" s="6">
        <f t="shared" si="5"/>
        <v>-1.5</v>
      </c>
      <c r="H35" s="6">
        <f t="shared" si="5"/>
        <v>-1.5</v>
      </c>
      <c r="I35" s="6">
        <f t="shared" si="5"/>
        <v>0.5</v>
      </c>
      <c r="J35" s="6">
        <f t="shared" si="5"/>
        <v>4</v>
      </c>
      <c r="K35" s="6">
        <f t="shared" si="5"/>
        <v>-6</v>
      </c>
      <c r="L35" s="6">
        <f t="shared" si="5"/>
        <v>0</v>
      </c>
      <c r="M35" s="6">
        <f t="shared" si="5"/>
        <v>5</v>
      </c>
      <c r="N35" s="6">
        <f t="shared" si="5"/>
        <v>1.5</v>
      </c>
      <c r="O35" s="6">
        <f t="shared" si="5"/>
        <v>3.5</v>
      </c>
      <c r="P35" s="6">
        <f t="shared" si="5"/>
        <v>-2</v>
      </c>
      <c r="Q35" s="6">
        <f t="shared" si="5"/>
        <v>16.5</v>
      </c>
      <c r="R35" s="6">
        <f t="shared" si="5"/>
        <v>3.5</v>
      </c>
      <c r="S35" s="6">
        <f t="shared" si="5"/>
        <v>0</v>
      </c>
      <c r="T35" s="6">
        <f t="shared" si="5"/>
        <v>2.5</v>
      </c>
      <c r="U35" s="6">
        <f t="shared" si="5"/>
        <v>2</v>
      </c>
      <c r="V35" s="6">
        <f t="shared" si="5"/>
        <v>1</v>
      </c>
      <c r="W35" s="6"/>
      <c r="X35" s="6"/>
      <c r="Y35" s="6"/>
      <c r="Z35" s="6"/>
      <c r="AA35" s="6"/>
    </row>
    <row r="36" spans="1:27" x14ac:dyDescent="0.45">
      <c r="A36">
        <v>9</v>
      </c>
      <c r="B36" s="6" t="s">
        <v>74</v>
      </c>
      <c r="C36" s="6">
        <f t="shared" si="4"/>
        <v>23</v>
      </c>
      <c r="D36" s="6">
        <f t="shared" si="5"/>
        <v>2</v>
      </c>
      <c r="E36" s="6">
        <f t="shared" si="5"/>
        <v>2.5</v>
      </c>
      <c r="F36" s="6">
        <f t="shared" si="5"/>
        <v>5.5</v>
      </c>
      <c r="G36" s="6">
        <f t="shared" si="5"/>
        <v>-5.5</v>
      </c>
      <c r="H36" s="6">
        <f t="shared" si="5"/>
        <v>0.5</v>
      </c>
      <c r="I36" s="6">
        <f t="shared" si="5"/>
        <v>-1.5</v>
      </c>
      <c r="J36" s="6">
        <f t="shared" si="5"/>
        <v>1</v>
      </c>
      <c r="K36" s="6">
        <f t="shared" si="5"/>
        <v>7.5</v>
      </c>
      <c r="L36" s="6">
        <f t="shared" si="5"/>
        <v>-3</v>
      </c>
      <c r="M36" s="6">
        <f t="shared" si="5"/>
        <v>3.5</v>
      </c>
      <c r="N36" s="6">
        <f t="shared" si="5"/>
        <v>1.5</v>
      </c>
      <c r="O36" s="6">
        <f t="shared" si="5"/>
        <v>2.5</v>
      </c>
      <c r="P36" s="6">
        <f t="shared" si="5"/>
        <v>0.5</v>
      </c>
      <c r="Q36" s="6">
        <f t="shared" si="5"/>
        <v>1</v>
      </c>
      <c r="R36" s="6">
        <f t="shared" si="5"/>
        <v>11</v>
      </c>
      <c r="S36" s="6">
        <f t="shared" si="5"/>
        <v>-0.5</v>
      </c>
      <c r="T36" s="6">
        <f t="shared" si="5"/>
        <v>-0.5</v>
      </c>
      <c r="U36" s="6">
        <f t="shared" si="5"/>
        <v>-1</v>
      </c>
      <c r="V36" s="6">
        <f t="shared" si="5"/>
        <v>-4</v>
      </c>
      <c r="W36" s="6"/>
      <c r="X36" s="6"/>
      <c r="Y36" s="6"/>
      <c r="Z36" s="6"/>
      <c r="AA36" s="6"/>
    </row>
    <row r="37" spans="1:27" x14ac:dyDescent="0.45">
      <c r="C37" s="7">
        <f>SUM(C27:C36)</f>
        <v>274.5</v>
      </c>
      <c r="D37" s="7">
        <f t="shared" ref="D37:V37" si="6">SUM(D27:D36)</f>
        <v>53</v>
      </c>
      <c r="E37" s="7">
        <f t="shared" si="6"/>
        <v>14.5</v>
      </c>
      <c r="F37" s="7">
        <f t="shared" si="6"/>
        <v>43.5</v>
      </c>
      <c r="G37" s="7">
        <f t="shared" si="6"/>
        <v>6</v>
      </c>
      <c r="H37" s="7">
        <f t="shared" si="6"/>
        <v>3.5</v>
      </c>
      <c r="I37" s="7">
        <f t="shared" si="6"/>
        <v>18.5</v>
      </c>
      <c r="J37" s="7">
        <f t="shared" si="6"/>
        <v>17</v>
      </c>
      <c r="K37" s="7">
        <f t="shared" si="6"/>
        <v>2</v>
      </c>
      <c r="L37" s="7">
        <f t="shared" si="6"/>
        <v>2.5</v>
      </c>
      <c r="M37" s="7">
        <f t="shared" si="6"/>
        <v>27</v>
      </c>
      <c r="N37" s="7">
        <f t="shared" si="6"/>
        <v>19.5</v>
      </c>
      <c r="O37" s="7">
        <f t="shared" si="6"/>
        <v>-1.5</v>
      </c>
      <c r="P37" s="7">
        <f t="shared" si="6"/>
        <v>-3</v>
      </c>
      <c r="Q37" s="7">
        <f t="shared" si="6"/>
        <v>32</v>
      </c>
      <c r="R37" s="7">
        <f t="shared" si="6"/>
        <v>20</v>
      </c>
      <c r="S37" s="7">
        <f t="shared" si="6"/>
        <v>-12</v>
      </c>
      <c r="T37" s="7">
        <f t="shared" si="6"/>
        <v>1.5</v>
      </c>
      <c r="U37" s="7">
        <f t="shared" si="6"/>
        <v>13.5</v>
      </c>
      <c r="V37" s="7">
        <f t="shared" si="6"/>
        <v>17</v>
      </c>
      <c r="W37" s="7"/>
      <c r="X37" s="7"/>
      <c r="Y37" s="7"/>
      <c r="Z37" s="7"/>
      <c r="AA37" s="7"/>
    </row>
  </sheetData>
  <conditionalFormatting sqref="D27:AA37">
    <cfRule type="cellIs" dxfId="10" priority="2" operator="lessThan">
      <formula>0</formula>
    </cfRule>
  </conditionalFormatting>
  <conditionalFormatting sqref="C27:C37">
    <cfRule type="cellIs" dxfId="9" priority="1" operator="less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B9EFB-FE0C-45E5-BC94-F13B1D52580C}">
  <sheetPr codeName="Sheet4"/>
  <dimension ref="A2:AG211"/>
  <sheetViews>
    <sheetView workbookViewId="0">
      <selection activeCell="P4" sqref="P4"/>
    </sheetView>
  </sheetViews>
  <sheetFormatPr defaultRowHeight="14.25" x14ac:dyDescent="0.45"/>
  <cols>
    <col min="2" max="2" width="10.59765625" bestFit="1" customWidth="1"/>
    <col min="4" max="27" width="5.33203125" customWidth="1"/>
  </cols>
  <sheetData>
    <row r="2" spans="1:33" x14ac:dyDescent="0.45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</row>
    <row r="3" spans="1:33" x14ac:dyDescent="0.45">
      <c r="A3">
        <v>0</v>
      </c>
      <c r="B3" s="6" t="s">
        <v>66</v>
      </c>
      <c r="C3" s="6">
        <f>SUM(D3:AA3)</f>
        <v>1335.5</v>
      </c>
      <c r="D3" s="6">
        <v>67</v>
      </c>
      <c r="E3" s="6">
        <v>72.5</v>
      </c>
      <c r="F3" s="6">
        <v>58</v>
      </c>
      <c r="G3" s="6">
        <v>69</v>
      </c>
      <c r="H3" s="6">
        <v>77.5</v>
      </c>
      <c r="I3" s="6">
        <v>73.5</v>
      </c>
      <c r="J3" s="6">
        <v>73</v>
      </c>
      <c r="K3" s="6">
        <v>63</v>
      </c>
      <c r="L3" s="6">
        <v>67</v>
      </c>
      <c r="M3" s="6">
        <v>66.5</v>
      </c>
      <c r="N3" s="6">
        <v>59</v>
      </c>
      <c r="O3" s="6">
        <v>87.5</v>
      </c>
      <c r="P3" s="6">
        <v>66.5</v>
      </c>
      <c r="Q3" s="6">
        <v>71.5</v>
      </c>
      <c r="R3" s="6">
        <v>69</v>
      </c>
      <c r="S3" s="6">
        <v>71.5</v>
      </c>
      <c r="T3" s="6">
        <v>82.5</v>
      </c>
      <c r="U3" s="6">
        <v>66</v>
      </c>
      <c r="V3" s="6">
        <v>75</v>
      </c>
      <c r="W3" s="6"/>
      <c r="X3" s="6"/>
      <c r="Y3" s="6"/>
      <c r="Z3" s="6"/>
      <c r="AA3" s="6"/>
      <c r="AC3">
        <f>COUNTIF(D3:AA12,"&gt;70")</f>
        <v>74</v>
      </c>
      <c r="AE3" t="s">
        <v>101</v>
      </c>
      <c r="AF3" t="s">
        <v>83</v>
      </c>
    </row>
    <row r="4" spans="1:33" x14ac:dyDescent="0.45">
      <c r="A4">
        <v>1</v>
      </c>
      <c r="B4" s="6" t="s">
        <v>67</v>
      </c>
      <c r="C4" s="6">
        <f t="shared" ref="C4:C12" si="0">SUM(D4:AA4)</f>
        <v>1300.5</v>
      </c>
      <c r="D4" s="6">
        <v>67.5</v>
      </c>
      <c r="E4" s="6">
        <v>72</v>
      </c>
      <c r="F4" s="6">
        <v>69.5</v>
      </c>
      <c r="G4" s="6">
        <v>72.5</v>
      </c>
      <c r="H4" s="6">
        <v>82</v>
      </c>
      <c r="I4" s="6">
        <v>64</v>
      </c>
      <c r="J4" s="6">
        <v>65.5</v>
      </c>
      <c r="K4" s="6">
        <v>65.5</v>
      </c>
      <c r="L4" s="6">
        <v>70</v>
      </c>
      <c r="M4" s="6">
        <v>77.5</v>
      </c>
      <c r="N4" s="6">
        <v>61</v>
      </c>
      <c r="O4" s="6">
        <v>70.5</v>
      </c>
      <c r="P4" s="6">
        <v>71</v>
      </c>
      <c r="Q4" s="6">
        <v>67</v>
      </c>
      <c r="R4" s="6">
        <v>66.5</v>
      </c>
      <c r="S4" s="6">
        <v>63.5</v>
      </c>
      <c r="T4" s="6">
        <v>62.5</v>
      </c>
      <c r="U4" s="6">
        <v>65</v>
      </c>
      <c r="V4" s="6">
        <v>67.5</v>
      </c>
      <c r="W4" s="6"/>
      <c r="X4" s="6"/>
      <c r="Y4" s="6"/>
      <c r="Z4" s="6"/>
      <c r="AA4" s="6"/>
      <c r="AE4" t="s">
        <v>101</v>
      </c>
      <c r="AF4">
        <v>75.5</v>
      </c>
      <c r="AG4">
        <v>67</v>
      </c>
    </row>
    <row r="5" spans="1:33" x14ac:dyDescent="0.45">
      <c r="A5">
        <v>2</v>
      </c>
      <c r="B5" s="6" t="s">
        <v>68</v>
      </c>
      <c r="C5" s="6">
        <f t="shared" si="0"/>
        <v>1375</v>
      </c>
      <c r="D5" s="6">
        <v>72.5</v>
      </c>
      <c r="E5" s="6">
        <v>69</v>
      </c>
      <c r="F5" s="6">
        <v>82</v>
      </c>
      <c r="G5" s="6">
        <v>68</v>
      </c>
      <c r="H5" s="6">
        <v>74.5</v>
      </c>
      <c r="I5" s="6">
        <v>74</v>
      </c>
      <c r="J5" s="6">
        <v>72.5</v>
      </c>
      <c r="K5" s="6">
        <v>77.5</v>
      </c>
      <c r="L5" s="6">
        <v>72</v>
      </c>
      <c r="M5" s="6">
        <v>78</v>
      </c>
      <c r="N5" s="6">
        <v>67</v>
      </c>
      <c r="O5" s="6">
        <v>65</v>
      </c>
      <c r="P5" s="6">
        <v>85.5</v>
      </c>
      <c r="Q5" s="6">
        <v>63.5</v>
      </c>
      <c r="R5" s="6">
        <v>65</v>
      </c>
      <c r="S5" s="6">
        <v>66.5</v>
      </c>
      <c r="T5" s="6">
        <v>75</v>
      </c>
      <c r="U5" s="6">
        <v>70</v>
      </c>
      <c r="V5" s="6">
        <v>77.5</v>
      </c>
      <c r="W5" s="6"/>
      <c r="X5" s="6"/>
      <c r="Y5" s="6"/>
      <c r="Z5" s="6"/>
      <c r="AA5" s="6"/>
      <c r="AE5" t="s">
        <v>101</v>
      </c>
      <c r="AF5">
        <v>73.5</v>
      </c>
      <c r="AG5">
        <v>67.5</v>
      </c>
    </row>
    <row r="6" spans="1:33" x14ac:dyDescent="0.45">
      <c r="A6">
        <v>3</v>
      </c>
      <c r="B6" s="6" t="s">
        <v>69</v>
      </c>
      <c r="C6" s="6">
        <f t="shared" si="0"/>
        <v>1298</v>
      </c>
      <c r="D6" s="6">
        <v>70</v>
      </c>
      <c r="E6" s="6">
        <v>65</v>
      </c>
      <c r="F6" s="6">
        <v>63</v>
      </c>
      <c r="G6" s="6">
        <v>63.5</v>
      </c>
      <c r="H6" s="6">
        <v>62.5</v>
      </c>
      <c r="I6" s="6">
        <v>64</v>
      </c>
      <c r="J6" s="6">
        <v>66.5</v>
      </c>
      <c r="K6" s="6">
        <v>64</v>
      </c>
      <c r="L6" s="6">
        <v>70</v>
      </c>
      <c r="M6" s="6">
        <v>63.5</v>
      </c>
      <c r="N6" s="6">
        <v>66</v>
      </c>
      <c r="O6" s="6">
        <v>82</v>
      </c>
      <c r="P6" s="6">
        <v>68.5</v>
      </c>
      <c r="Q6" s="6">
        <v>69.5</v>
      </c>
      <c r="R6" s="6">
        <v>75</v>
      </c>
      <c r="S6" s="6">
        <v>66</v>
      </c>
      <c r="T6" s="6">
        <v>85.5</v>
      </c>
      <c r="U6" s="6">
        <v>61.5</v>
      </c>
      <c r="V6" s="6">
        <v>72</v>
      </c>
      <c r="W6" s="6"/>
      <c r="X6" s="6"/>
      <c r="Y6" s="6"/>
      <c r="Z6" s="6"/>
      <c r="AA6" s="6"/>
      <c r="AE6" t="s">
        <v>101</v>
      </c>
      <c r="AF6">
        <v>79</v>
      </c>
      <c r="AG6">
        <v>72.5</v>
      </c>
    </row>
    <row r="7" spans="1:33" x14ac:dyDescent="0.45">
      <c r="A7">
        <v>4</v>
      </c>
      <c r="B7" s="6" t="s">
        <v>71</v>
      </c>
      <c r="C7" s="6">
        <f t="shared" si="0"/>
        <v>1291.5</v>
      </c>
      <c r="D7" s="6">
        <v>72</v>
      </c>
      <c r="E7" s="6">
        <v>75</v>
      </c>
      <c r="F7" s="6">
        <v>71</v>
      </c>
      <c r="G7" s="6">
        <v>62.5</v>
      </c>
      <c r="H7" s="6">
        <v>67.5</v>
      </c>
      <c r="I7" s="6">
        <v>66.5</v>
      </c>
      <c r="J7" s="6">
        <v>62</v>
      </c>
      <c r="K7" s="6">
        <v>58.5</v>
      </c>
      <c r="L7" s="6">
        <v>68</v>
      </c>
      <c r="M7" s="6">
        <v>60.5</v>
      </c>
      <c r="N7" s="6">
        <v>63</v>
      </c>
      <c r="O7" s="6">
        <v>66.5</v>
      </c>
      <c r="P7" s="6">
        <v>75.5</v>
      </c>
      <c r="Q7" s="6">
        <v>70</v>
      </c>
      <c r="R7" s="6">
        <v>78</v>
      </c>
      <c r="S7" s="6">
        <v>71</v>
      </c>
      <c r="T7" s="6">
        <v>70</v>
      </c>
      <c r="U7" s="6">
        <v>73</v>
      </c>
      <c r="V7" s="6">
        <v>61</v>
      </c>
      <c r="W7" s="6"/>
      <c r="X7" s="6"/>
      <c r="Y7" s="6"/>
      <c r="Z7" s="6"/>
      <c r="AA7" s="6"/>
      <c r="AE7" t="s">
        <v>101</v>
      </c>
      <c r="AF7">
        <v>75</v>
      </c>
      <c r="AG7">
        <v>70</v>
      </c>
    </row>
    <row r="8" spans="1:33" x14ac:dyDescent="0.45">
      <c r="A8">
        <v>5</v>
      </c>
      <c r="B8" s="6" t="s">
        <v>70</v>
      </c>
      <c r="C8" s="6">
        <f t="shared" si="0"/>
        <v>1322</v>
      </c>
      <c r="D8" s="6">
        <v>61.5</v>
      </c>
      <c r="E8" s="6">
        <v>85.5</v>
      </c>
      <c r="F8" s="6">
        <v>74</v>
      </c>
      <c r="G8" s="6">
        <v>74</v>
      </c>
      <c r="H8" s="6">
        <v>74</v>
      </c>
      <c r="I8" s="6">
        <v>66.5</v>
      </c>
      <c r="J8" s="6">
        <v>61</v>
      </c>
      <c r="K8" s="6">
        <v>65.5</v>
      </c>
      <c r="L8" s="6">
        <v>66</v>
      </c>
      <c r="M8" s="6">
        <v>66</v>
      </c>
      <c r="N8" s="6">
        <v>79</v>
      </c>
      <c r="O8" s="6">
        <v>68.5</v>
      </c>
      <c r="P8" s="6">
        <v>62.5</v>
      </c>
      <c r="Q8" s="6">
        <v>70.5</v>
      </c>
      <c r="R8" s="6">
        <v>65.5</v>
      </c>
      <c r="S8" s="6">
        <v>76</v>
      </c>
      <c r="T8" s="6">
        <v>71</v>
      </c>
      <c r="U8" s="6">
        <v>66</v>
      </c>
      <c r="V8" s="6">
        <v>69</v>
      </c>
      <c r="W8" s="6"/>
      <c r="X8" s="6"/>
      <c r="Y8" s="6"/>
      <c r="Z8" s="6"/>
      <c r="AA8" s="6"/>
      <c r="AE8" t="s">
        <v>101</v>
      </c>
      <c r="AF8">
        <v>77</v>
      </c>
      <c r="AG8">
        <v>72</v>
      </c>
    </row>
    <row r="9" spans="1:33" x14ac:dyDescent="0.45">
      <c r="A9">
        <v>6</v>
      </c>
      <c r="B9" s="6" t="s">
        <v>72</v>
      </c>
      <c r="C9" s="6">
        <f t="shared" si="0"/>
        <v>1321</v>
      </c>
      <c r="D9" s="6">
        <v>67.5</v>
      </c>
      <c r="E9" s="6">
        <v>72.5</v>
      </c>
      <c r="F9" s="6">
        <v>66.5</v>
      </c>
      <c r="G9" s="6">
        <v>71</v>
      </c>
      <c r="H9" s="6">
        <v>77</v>
      </c>
      <c r="I9" s="6">
        <v>61</v>
      </c>
      <c r="J9" s="6">
        <v>68.5</v>
      </c>
      <c r="K9" s="6">
        <v>72</v>
      </c>
      <c r="L9" s="6">
        <v>69.5</v>
      </c>
      <c r="M9" s="6">
        <v>71</v>
      </c>
      <c r="N9" s="6">
        <v>72</v>
      </c>
      <c r="O9" s="6">
        <v>73</v>
      </c>
      <c r="P9" s="6">
        <v>68</v>
      </c>
      <c r="Q9" s="6">
        <v>71</v>
      </c>
      <c r="R9" s="6">
        <v>61.5</v>
      </c>
      <c r="S9" s="6">
        <v>70.5</v>
      </c>
      <c r="T9" s="6">
        <v>69</v>
      </c>
      <c r="U9" s="6">
        <v>72.5</v>
      </c>
      <c r="V9" s="6">
        <v>67</v>
      </c>
      <c r="W9" s="6"/>
      <c r="X9" s="6"/>
      <c r="Y9" s="6"/>
      <c r="Z9" s="6"/>
      <c r="AA9" s="6"/>
      <c r="AE9" t="s">
        <v>101</v>
      </c>
      <c r="AF9">
        <v>70.5</v>
      </c>
      <c r="AG9">
        <v>61.5</v>
      </c>
    </row>
    <row r="10" spans="1:33" x14ac:dyDescent="0.45">
      <c r="A10">
        <v>7</v>
      </c>
      <c r="B10" s="6" t="s">
        <v>75</v>
      </c>
      <c r="C10" s="6">
        <f t="shared" si="0"/>
        <v>1330.5</v>
      </c>
      <c r="D10" s="6">
        <v>76</v>
      </c>
      <c r="E10" s="6">
        <v>70</v>
      </c>
      <c r="F10" s="6">
        <v>61.5</v>
      </c>
      <c r="G10" s="6">
        <v>80</v>
      </c>
      <c r="H10" s="6">
        <v>70.5</v>
      </c>
      <c r="I10" s="6">
        <v>69.5</v>
      </c>
      <c r="J10" s="6">
        <v>66.5</v>
      </c>
      <c r="K10" s="6">
        <v>66</v>
      </c>
      <c r="L10" s="6">
        <v>65</v>
      </c>
      <c r="M10" s="6">
        <v>68</v>
      </c>
      <c r="N10" s="6">
        <v>69</v>
      </c>
      <c r="O10" s="6">
        <v>86</v>
      </c>
      <c r="P10" s="6">
        <v>73.5</v>
      </c>
      <c r="Q10" s="6">
        <v>68</v>
      </c>
      <c r="R10" s="6">
        <v>72</v>
      </c>
      <c r="S10" s="6">
        <v>67</v>
      </c>
      <c r="T10" s="6">
        <v>65.5</v>
      </c>
      <c r="U10" s="6">
        <v>69</v>
      </c>
      <c r="V10" s="6">
        <v>67.5</v>
      </c>
      <c r="W10" s="6"/>
      <c r="X10" s="6"/>
      <c r="Y10" s="6"/>
      <c r="Z10" s="6"/>
      <c r="AA10" s="6"/>
      <c r="AE10" t="s">
        <v>101</v>
      </c>
      <c r="AF10">
        <v>75.5</v>
      </c>
      <c r="AG10">
        <v>67.5</v>
      </c>
    </row>
    <row r="11" spans="1:33" x14ac:dyDescent="0.45">
      <c r="A11">
        <v>8</v>
      </c>
      <c r="B11" s="6" t="s">
        <v>73</v>
      </c>
      <c r="C11" s="6">
        <f t="shared" si="0"/>
        <v>1295</v>
      </c>
      <c r="D11" s="6">
        <v>73</v>
      </c>
      <c r="E11" s="6">
        <v>71.5</v>
      </c>
      <c r="F11" s="6">
        <v>65.5</v>
      </c>
      <c r="G11" s="6">
        <v>68.5</v>
      </c>
      <c r="H11" s="6">
        <v>68.5</v>
      </c>
      <c r="I11" s="6">
        <v>66.5</v>
      </c>
      <c r="J11" s="6">
        <v>68</v>
      </c>
      <c r="K11" s="6">
        <v>66</v>
      </c>
      <c r="L11" s="6">
        <v>78</v>
      </c>
      <c r="M11" s="6">
        <v>60</v>
      </c>
      <c r="N11" s="6">
        <v>68.5</v>
      </c>
      <c r="O11" s="6">
        <v>64</v>
      </c>
      <c r="P11" s="6">
        <v>69</v>
      </c>
      <c r="Q11" s="6">
        <v>71</v>
      </c>
      <c r="R11" s="6">
        <v>63</v>
      </c>
      <c r="S11" s="6">
        <v>68</v>
      </c>
      <c r="T11" s="6">
        <v>75</v>
      </c>
      <c r="U11" s="6">
        <v>66.5</v>
      </c>
      <c r="V11" s="6">
        <v>64.5</v>
      </c>
      <c r="W11" s="6"/>
      <c r="X11" s="6"/>
      <c r="Y11" s="6"/>
      <c r="Z11" s="6"/>
      <c r="AA11" s="6"/>
      <c r="AE11" t="s">
        <v>101</v>
      </c>
      <c r="AF11">
        <v>77.5</v>
      </c>
      <c r="AG11">
        <v>76</v>
      </c>
    </row>
    <row r="12" spans="1:33" x14ac:dyDescent="0.45">
      <c r="A12">
        <v>9</v>
      </c>
      <c r="B12" s="6" t="s">
        <v>74</v>
      </c>
      <c r="C12" s="6">
        <f t="shared" si="0"/>
        <v>1353</v>
      </c>
      <c r="D12" s="6">
        <v>74</v>
      </c>
      <c r="E12" s="6">
        <v>69</v>
      </c>
      <c r="F12" s="6">
        <v>82</v>
      </c>
      <c r="G12" s="6">
        <v>67</v>
      </c>
      <c r="H12" s="6">
        <v>66</v>
      </c>
      <c r="I12" s="6">
        <v>86.5</v>
      </c>
      <c r="J12" s="6">
        <v>67.5</v>
      </c>
      <c r="K12" s="6">
        <v>79</v>
      </c>
      <c r="L12" s="6">
        <v>85.5</v>
      </c>
      <c r="M12" s="6">
        <v>57.5</v>
      </c>
      <c r="N12" s="6">
        <v>65.5</v>
      </c>
      <c r="O12" s="6">
        <v>59.5</v>
      </c>
      <c r="P12" s="6">
        <v>70</v>
      </c>
      <c r="Q12" s="6">
        <v>68</v>
      </c>
      <c r="R12" s="6">
        <v>65</v>
      </c>
      <c r="S12" s="6">
        <v>74.5</v>
      </c>
      <c r="T12" s="6">
        <v>65.5</v>
      </c>
      <c r="U12" s="6">
        <v>76</v>
      </c>
      <c r="V12" s="6">
        <v>75</v>
      </c>
      <c r="W12" s="6"/>
      <c r="X12" s="6"/>
      <c r="Y12" s="6"/>
      <c r="Z12" s="6"/>
      <c r="AA12" s="6"/>
      <c r="AE12" t="s">
        <v>101</v>
      </c>
      <c r="AF12">
        <v>81.5</v>
      </c>
      <c r="AG12">
        <v>73</v>
      </c>
    </row>
    <row r="13" spans="1:33" x14ac:dyDescent="0.45">
      <c r="C13" s="6">
        <f>SUM(C3:C12)</f>
        <v>13222</v>
      </c>
      <c r="AE13" t="s">
        <v>101</v>
      </c>
      <c r="AF13">
        <v>76</v>
      </c>
      <c r="AG13">
        <v>74</v>
      </c>
    </row>
    <row r="14" spans="1:33" x14ac:dyDescent="0.45"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13</v>
      </c>
      <c r="Q14">
        <v>14</v>
      </c>
      <c r="R14">
        <v>15</v>
      </c>
      <c r="S14">
        <v>16</v>
      </c>
      <c r="T14">
        <v>17</v>
      </c>
      <c r="U14">
        <v>18</v>
      </c>
      <c r="V14">
        <v>19</v>
      </c>
      <c r="W14">
        <v>20</v>
      </c>
      <c r="X14">
        <v>21</v>
      </c>
      <c r="Y14">
        <v>22</v>
      </c>
      <c r="Z14">
        <v>23</v>
      </c>
      <c r="AA14">
        <v>24</v>
      </c>
      <c r="AE14" t="s">
        <v>102</v>
      </c>
      <c r="AF14" t="s">
        <v>84</v>
      </c>
    </row>
    <row r="15" spans="1:33" x14ac:dyDescent="0.45">
      <c r="A15">
        <v>0</v>
      </c>
      <c r="B15" s="6" t="s">
        <v>66</v>
      </c>
      <c r="C15" s="6">
        <f>SUM(D15:AA15)</f>
        <v>1372.5</v>
      </c>
      <c r="D15" s="6">
        <v>75.5</v>
      </c>
      <c r="E15" s="6">
        <v>72.5</v>
      </c>
      <c r="F15" s="6">
        <v>59</v>
      </c>
      <c r="G15" s="6">
        <v>71.5</v>
      </c>
      <c r="H15" s="6">
        <v>77.5</v>
      </c>
      <c r="I15" s="6">
        <v>73</v>
      </c>
      <c r="J15" s="6">
        <v>72</v>
      </c>
      <c r="K15" s="6">
        <v>68</v>
      </c>
      <c r="L15" s="6">
        <v>70.5</v>
      </c>
      <c r="M15" s="6">
        <v>67</v>
      </c>
      <c r="N15" s="6">
        <v>67</v>
      </c>
      <c r="O15" s="6">
        <v>87.5</v>
      </c>
      <c r="P15" s="6">
        <v>68.5</v>
      </c>
      <c r="Q15" s="6">
        <v>69</v>
      </c>
      <c r="R15" s="6">
        <v>74</v>
      </c>
      <c r="S15" s="6">
        <v>72.5</v>
      </c>
      <c r="T15" s="6">
        <v>83</v>
      </c>
      <c r="U15" s="6">
        <v>68.5</v>
      </c>
      <c r="V15" s="6">
        <v>76</v>
      </c>
      <c r="W15" s="6"/>
      <c r="X15" s="6"/>
      <c r="Y15" s="6"/>
      <c r="Z15" s="6"/>
      <c r="AA15" s="6"/>
      <c r="AC15">
        <f>COUNTIF(D15:AA24,"&gt;70")</f>
        <v>95</v>
      </c>
      <c r="AE15" t="s">
        <v>102</v>
      </c>
      <c r="AF15">
        <v>72.5</v>
      </c>
      <c r="AG15">
        <v>72.5</v>
      </c>
    </row>
    <row r="16" spans="1:33" x14ac:dyDescent="0.45">
      <c r="A16">
        <v>1</v>
      </c>
      <c r="B16" s="6" t="s">
        <v>67</v>
      </c>
      <c r="C16" s="6">
        <f t="shared" ref="C16:C24" si="1">SUM(D16:AA16)</f>
        <v>1307.5</v>
      </c>
      <c r="D16" s="6">
        <v>73.5</v>
      </c>
      <c r="E16" s="6">
        <v>71.5</v>
      </c>
      <c r="F16" s="6">
        <v>69</v>
      </c>
      <c r="G16" s="6">
        <v>73.5</v>
      </c>
      <c r="H16" s="6">
        <v>80.5</v>
      </c>
      <c r="I16" s="6">
        <v>62</v>
      </c>
      <c r="J16" s="6">
        <v>65.5</v>
      </c>
      <c r="K16" s="6">
        <v>68.5</v>
      </c>
      <c r="L16" s="6">
        <v>73</v>
      </c>
      <c r="M16" s="6">
        <v>80.5</v>
      </c>
      <c r="N16" s="6">
        <v>62.5</v>
      </c>
      <c r="O16" s="6">
        <v>72</v>
      </c>
      <c r="P16" s="6">
        <v>65.5</v>
      </c>
      <c r="Q16" s="6">
        <v>69.5</v>
      </c>
      <c r="R16" s="6">
        <v>67</v>
      </c>
      <c r="S16" s="6">
        <v>65</v>
      </c>
      <c r="T16" s="6">
        <v>64.5</v>
      </c>
      <c r="U16" s="6">
        <v>59.5</v>
      </c>
      <c r="V16" s="6">
        <v>64.5</v>
      </c>
      <c r="W16" s="6"/>
      <c r="X16" s="6"/>
      <c r="Y16" s="6"/>
      <c r="Z16" s="6"/>
      <c r="AA16" s="6"/>
      <c r="AE16" t="s">
        <v>102</v>
      </c>
      <c r="AF16">
        <v>71.5</v>
      </c>
      <c r="AG16">
        <v>72</v>
      </c>
    </row>
    <row r="17" spans="1:33" x14ac:dyDescent="0.45">
      <c r="A17">
        <v>2</v>
      </c>
      <c r="B17" s="6" t="s">
        <v>68</v>
      </c>
      <c r="C17" s="6">
        <f t="shared" si="1"/>
        <v>1437.5</v>
      </c>
      <c r="D17" s="6">
        <v>79</v>
      </c>
      <c r="E17" s="6">
        <v>68</v>
      </c>
      <c r="F17" s="6">
        <v>85</v>
      </c>
      <c r="G17" s="6">
        <v>68.5</v>
      </c>
      <c r="H17" s="6">
        <v>78</v>
      </c>
      <c r="I17" s="6">
        <v>80</v>
      </c>
      <c r="J17" s="6">
        <v>76</v>
      </c>
      <c r="K17" s="6">
        <v>82</v>
      </c>
      <c r="L17" s="6">
        <v>67.5</v>
      </c>
      <c r="M17" s="6">
        <v>85</v>
      </c>
      <c r="N17" s="6">
        <v>78</v>
      </c>
      <c r="O17" s="6">
        <v>72</v>
      </c>
      <c r="P17" s="6">
        <v>82</v>
      </c>
      <c r="Q17" s="6">
        <v>69.5</v>
      </c>
      <c r="R17" s="6">
        <v>71.5</v>
      </c>
      <c r="S17" s="6">
        <v>66.5</v>
      </c>
      <c r="T17" s="6">
        <v>73.5</v>
      </c>
      <c r="U17" s="6">
        <v>70</v>
      </c>
      <c r="V17" s="6">
        <v>85.5</v>
      </c>
      <c r="W17" s="6"/>
      <c r="X17" s="6"/>
      <c r="Y17" s="6"/>
      <c r="Z17" s="6"/>
      <c r="AA17" s="6"/>
      <c r="AE17" t="s">
        <v>102</v>
      </c>
      <c r="AF17">
        <v>68</v>
      </c>
      <c r="AG17">
        <v>69</v>
      </c>
    </row>
    <row r="18" spans="1:33" x14ac:dyDescent="0.45">
      <c r="A18">
        <v>3</v>
      </c>
      <c r="B18" s="6" t="s">
        <v>69</v>
      </c>
      <c r="C18" s="6">
        <f t="shared" si="1"/>
        <v>1326</v>
      </c>
      <c r="D18" s="6">
        <v>75</v>
      </c>
      <c r="E18" s="6">
        <v>69</v>
      </c>
      <c r="F18" s="6">
        <v>67</v>
      </c>
      <c r="G18" s="6">
        <v>68.5</v>
      </c>
      <c r="H18" s="6">
        <v>66.5</v>
      </c>
      <c r="I18" s="6">
        <v>70</v>
      </c>
      <c r="J18" s="6">
        <v>65</v>
      </c>
      <c r="K18" s="6">
        <v>68.5</v>
      </c>
      <c r="L18" s="6">
        <v>68.5</v>
      </c>
      <c r="M18" s="6">
        <v>61</v>
      </c>
      <c r="N18" s="6">
        <v>72</v>
      </c>
      <c r="O18" s="6">
        <v>77</v>
      </c>
      <c r="P18" s="6">
        <v>68</v>
      </c>
      <c r="Q18" s="6">
        <v>75</v>
      </c>
      <c r="R18" s="6">
        <v>71.5</v>
      </c>
      <c r="S18" s="6">
        <v>62.5</v>
      </c>
      <c r="T18" s="6">
        <v>85</v>
      </c>
      <c r="U18" s="6">
        <v>66</v>
      </c>
      <c r="V18" s="6">
        <v>70</v>
      </c>
      <c r="W18" s="6"/>
      <c r="X18" s="6"/>
      <c r="Y18" s="6"/>
      <c r="Z18" s="6"/>
      <c r="AA18" s="6"/>
      <c r="AE18" t="s">
        <v>102</v>
      </c>
      <c r="AF18">
        <v>69</v>
      </c>
      <c r="AG18">
        <v>65</v>
      </c>
    </row>
    <row r="19" spans="1:33" x14ac:dyDescent="0.45">
      <c r="A19">
        <v>4</v>
      </c>
      <c r="B19" s="6" t="s">
        <v>71</v>
      </c>
      <c r="C19" s="6">
        <f t="shared" si="1"/>
        <v>1291.5</v>
      </c>
      <c r="D19" s="6">
        <v>77</v>
      </c>
      <c r="E19" s="6">
        <v>81.5</v>
      </c>
      <c r="F19" s="6">
        <v>75</v>
      </c>
      <c r="G19" s="6">
        <v>62.5</v>
      </c>
      <c r="H19" s="6">
        <v>60</v>
      </c>
      <c r="I19" s="6">
        <v>65</v>
      </c>
      <c r="J19" s="6">
        <v>63</v>
      </c>
      <c r="K19" s="6">
        <v>61</v>
      </c>
      <c r="L19" s="6">
        <v>60</v>
      </c>
      <c r="M19" s="6">
        <v>61</v>
      </c>
      <c r="N19" s="6">
        <v>63</v>
      </c>
      <c r="O19" s="6">
        <v>65</v>
      </c>
      <c r="P19" s="6">
        <v>73</v>
      </c>
      <c r="Q19" s="6">
        <v>72.5</v>
      </c>
      <c r="R19" s="6">
        <v>76</v>
      </c>
      <c r="S19" s="6">
        <v>71</v>
      </c>
      <c r="T19" s="6">
        <v>71</v>
      </c>
      <c r="U19" s="6">
        <v>69</v>
      </c>
      <c r="V19" s="6">
        <v>65</v>
      </c>
      <c r="W19" s="6"/>
      <c r="X19" s="6"/>
      <c r="Y19" s="6"/>
      <c r="Z19" s="6"/>
      <c r="AA19" s="6"/>
      <c r="AE19" t="s">
        <v>102</v>
      </c>
      <c r="AF19">
        <v>81.5</v>
      </c>
      <c r="AG19">
        <v>75</v>
      </c>
    </row>
    <row r="20" spans="1:33" x14ac:dyDescent="0.45">
      <c r="A20">
        <v>5</v>
      </c>
      <c r="B20" s="6" t="s">
        <v>70</v>
      </c>
      <c r="C20" s="6">
        <f t="shared" si="1"/>
        <v>1379</v>
      </c>
      <c r="D20" s="6">
        <v>70.5</v>
      </c>
      <c r="E20" s="6">
        <v>84.5</v>
      </c>
      <c r="F20" s="6">
        <v>71.5</v>
      </c>
      <c r="G20" s="6">
        <v>80.5</v>
      </c>
      <c r="H20" s="6">
        <v>75</v>
      </c>
      <c r="I20" s="6">
        <v>68</v>
      </c>
      <c r="J20" s="6">
        <v>64</v>
      </c>
      <c r="K20" s="6">
        <v>61</v>
      </c>
      <c r="L20" s="6">
        <v>72</v>
      </c>
      <c r="M20" s="6">
        <v>70</v>
      </c>
      <c r="N20" s="6">
        <v>85</v>
      </c>
      <c r="O20" s="6">
        <v>70</v>
      </c>
      <c r="P20" s="6">
        <v>68</v>
      </c>
      <c r="Q20" s="6">
        <v>72.5</v>
      </c>
      <c r="R20" s="6">
        <v>65.5</v>
      </c>
      <c r="S20" s="6">
        <v>70</v>
      </c>
      <c r="T20" s="6">
        <v>72.5</v>
      </c>
      <c r="U20" s="6">
        <v>79</v>
      </c>
      <c r="V20" s="6">
        <v>79.5</v>
      </c>
      <c r="W20" s="6"/>
      <c r="X20" s="6"/>
      <c r="Y20" s="6"/>
      <c r="Z20" s="6"/>
      <c r="AA20" s="6"/>
      <c r="AE20" t="s">
        <v>102</v>
      </c>
      <c r="AF20">
        <v>84.5</v>
      </c>
      <c r="AG20">
        <v>85.5</v>
      </c>
    </row>
    <row r="21" spans="1:33" x14ac:dyDescent="0.45">
      <c r="A21">
        <v>6</v>
      </c>
      <c r="B21" s="6" t="s">
        <v>72</v>
      </c>
      <c r="C21" s="6">
        <f t="shared" si="1"/>
        <v>1330</v>
      </c>
      <c r="D21" s="6">
        <v>75.5</v>
      </c>
      <c r="E21" s="6">
        <v>72</v>
      </c>
      <c r="F21" s="6">
        <v>78.5</v>
      </c>
      <c r="G21" s="6">
        <v>72</v>
      </c>
      <c r="H21" s="6">
        <v>82</v>
      </c>
      <c r="I21" s="6">
        <v>74.5</v>
      </c>
      <c r="J21" s="6">
        <v>74.5</v>
      </c>
      <c r="K21" s="6">
        <v>62</v>
      </c>
      <c r="L21" s="6">
        <v>69</v>
      </c>
      <c r="M21" s="6">
        <v>72.5</v>
      </c>
      <c r="N21" s="6">
        <v>61.5</v>
      </c>
      <c r="O21" s="6">
        <v>69.5</v>
      </c>
      <c r="P21" s="6">
        <v>70.5</v>
      </c>
      <c r="Q21" s="6">
        <v>63</v>
      </c>
      <c r="R21" s="6">
        <v>61.5</v>
      </c>
      <c r="S21" s="6">
        <v>70</v>
      </c>
      <c r="T21" s="6">
        <v>66</v>
      </c>
      <c r="U21" s="6">
        <v>65.5</v>
      </c>
      <c r="V21" s="6">
        <v>70</v>
      </c>
      <c r="W21" s="6"/>
      <c r="X21" s="6"/>
      <c r="Y21" s="6"/>
      <c r="Z21" s="6"/>
      <c r="AA21" s="6"/>
      <c r="AE21" t="s">
        <v>102</v>
      </c>
      <c r="AF21">
        <v>72</v>
      </c>
      <c r="AG21">
        <v>72.5</v>
      </c>
    </row>
    <row r="22" spans="1:33" x14ac:dyDescent="0.45">
      <c r="A22">
        <v>7</v>
      </c>
      <c r="B22" s="6" t="s">
        <v>75</v>
      </c>
      <c r="C22" s="6">
        <f t="shared" si="1"/>
        <v>1382</v>
      </c>
      <c r="D22" s="6">
        <v>77.5</v>
      </c>
      <c r="E22" s="6">
        <v>76.5</v>
      </c>
      <c r="F22" s="6">
        <v>61.5</v>
      </c>
      <c r="G22" s="6">
        <v>79.5</v>
      </c>
      <c r="H22" s="6">
        <v>72</v>
      </c>
      <c r="I22" s="6">
        <v>69.5</v>
      </c>
      <c r="J22" s="6">
        <v>68</v>
      </c>
      <c r="K22" s="6">
        <v>67.5</v>
      </c>
      <c r="L22" s="6">
        <v>69</v>
      </c>
      <c r="M22" s="6">
        <v>72</v>
      </c>
      <c r="N22" s="6">
        <v>70</v>
      </c>
      <c r="O22" s="6">
        <v>89.5</v>
      </c>
      <c r="P22" s="6">
        <v>77.5</v>
      </c>
      <c r="Q22" s="6">
        <v>71.5</v>
      </c>
      <c r="R22" s="6">
        <v>73.5</v>
      </c>
      <c r="S22" s="6">
        <v>69.5</v>
      </c>
      <c r="T22" s="6">
        <v>72</v>
      </c>
      <c r="U22" s="6">
        <v>76</v>
      </c>
      <c r="V22" s="6">
        <v>69.5</v>
      </c>
      <c r="W22" s="6"/>
      <c r="X22" s="6"/>
      <c r="Y22" s="6"/>
      <c r="Z22" s="6"/>
      <c r="AA22" s="6"/>
      <c r="AE22" t="s">
        <v>102</v>
      </c>
      <c r="AF22">
        <v>76.5</v>
      </c>
      <c r="AG22">
        <v>70</v>
      </c>
    </row>
    <row r="23" spans="1:33" x14ac:dyDescent="0.45">
      <c r="A23">
        <v>8</v>
      </c>
      <c r="B23" s="6" t="s">
        <v>73</v>
      </c>
      <c r="C23" s="6">
        <f t="shared" si="1"/>
        <v>1346.5</v>
      </c>
      <c r="D23" s="6">
        <v>81.5</v>
      </c>
      <c r="E23" s="6">
        <v>69</v>
      </c>
      <c r="F23" s="6">
        <v>75.5</v>
      </c>
      <c r="G23" s="6">
        <v>70.5</v>
      </c>
      <c r="H23" s="6">
        <v>67</v>
      </c>
      <c r="I23" s="6">
        <v>67</v>
      </c>
      <c r="J23" s="6">
        <v>72.5</v>
      </c>
      <c r="K23" s="6">
        <v>61</v>
      </c>
      <c r="L23" s="6">
        <v>79.5</v>
      </c>
      <c r="M23" s="6">
        <v>65</v>
      </c>
      <c r="N23" s="6">
        <v>70</v>
      </c>
      <c r="O23" s="6">
        <v>67.5</v>
      </c>
      <c r="P23" s="6">
        <v>67</v>
      </c>
      <c r="Q23" s="6">
        <v>87.5</v>
      </c>
      <c r="R23" s="6">
        <v>67</v>
      </c>
      <c r="S23" s="6">
        <v>68</v>
      </c>
      <c r="T23" s="6">
        <v>77.5</v>
      </c>
      <c r="U23" s="6">
        <v>68.5</v>
      </c>
      <c r="V23" s="6">
        <v>65</v>
      </c>
      <c r="W23" s="6"/>
      <c r="X23" s="6"/>
      <c r="Y23" s="6"/>
      <c r="Z23" s="6"/>
      <c r="AA23" s="6"/>
      <c r="AE23" t="s">
        <v>102</v>
      </c>
      <c r="AF23">
        <v>69</v>
      </c>
      <c r="AG23">
        <v>71.5</v>
      </c>
    </row>
    <row r="24" spans="1:33" x14ac:dyDescent="0.45">
      <c r="A24">
        <v>9</v>
      </c>
      <c r="B24" s="6" t="s">
        <v>74</v>
      </c>
      <c r="C24" s="6">
        <f t="shared" si="1"/>
        <v>1389.5</v>
      </c>
      <c r="D24" s="6">
        <v>76</v>
      </c>
      <c r="E24" s="6">
        <v>71.5</v>
      </c>
      <c r="F24" s="6">
        <v>87.5</v>
      </c>
      <c r="G24" s="6">
        <v>61.5</v>
      </c>
      <c r="H24" s="6">
        <v>66</v>
      </c>
      <c r="I24" s="6">
        <v>84.5</v>
      </c>
      <c r="J24" s="6">
        <v>68.5</v>
      </c>
      <c r="K24" s="6">
        <v>89.5</v>
      </c>
      <c r="L24" s="6">
        <v>86.5</v>
      </c>
      <c r="M24" s="6">
        <v>65</v>
      </c>
      <c r="N24" s="6">
        <v>67</v>
      </c>
      <c r="O24" s="6">
        <v>61</v>
      </c>
      <c r="P24" s="6">
        <v>70.5</v>
      </c>
      <c r="Q24" s="6">
        <v>69</v>
      </c>
      <c r="R24" s="6">
        <v>76</v>
      </c>
      <c r="S24" s="6">
        <v>74.5</v>
      </c>
      <c r="T24" s="6">
        <v>65.5</v>
      </c>
      <c r="U24" s="6">
        <v>75.5</v>
      </c>
      <c r="V24" s="6">
        <v>74</v>
      </c>
      <c r="W24" s="6"/>
      <c r="X24" s="6"/>
      <c r="Y24" s="6"/>
      <c r="Z24" s="6"/>
      <c r="AA24" s="6"/>
      <c r="AE24" t="s">
        <v>102</v>
      </c>
      <c r="AF24">
        <v>71.5</v>
      </c>
      <c r="AG24">
        <v>69</v>
      </c>
    </row>
    <row r="25" spans="1:33" x14ac:dyDescent="0.45">
      <c r="C25" s="6">
        <f>SUM(C15:C24)</f>
        <v>13562</v>
      </c>
      <c r="AE25" t="s">
        <v>103</v>
      </c>
      <c r="AF25" t="s">
        <v>85</v>
      </c>
    </row>
    <row r="26" spans="1:33" x14ac:dyDescent="0.45"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  <c r="Z26">
        <v>23</v>
      </c>
      <c r="AA26">
        <v>24</v>
      </c>
      <c r="AE26" t="s">
        <v>103</v>
      </c>
      <c r="AF26">
        <v>59</v>
      </c>
      <c r="AG26">
        <v>58</v>
      </c>
    </row>
    <row r="27" spans="1:33" x14ac:dyDescent="0.45">
      <c r="A27">
        <v>0</v>
      </c>
      <c r="B27" s="6" t="s">
        <v>66</v>
      </c>
      <c r="C27" s="6">
        <f t="shared" ref="C27:C36" si="2">SUM(D27:AA27)</f>
        <v>37</v>
      </c>
      <c r="D27" s="6">
        <f t="shared" ref="D27:V36" si="3">D15-D3</f>
        <v>8.5</v>
      </c>
      <c r="E27" s="6">
        <f t="shared" si="3"/>
        <v>0</v>
      </c>
      <c r="F27" s="6">
        <f t="shared" si="3"/>
        <v>1</v>
      </c>
      <c r="G27" s="6">
        <f t="shared" si="3"/>
        <v>2.5</v>
      </c>
      <c r="H27" s="6">
        <f t="shared" si="3"/>
        <v>0</v>
      </c>
      <c r="I27" s="6">
        <f t="shared" si="3"/>
        <v>-0.5</v>
      </c>
      <c r="J27" s="6">
        <f t="shared" si="3"/>
        <v>-1</v>
      </c>
      <c r="K27" s="6">
        <f t="shared" si="3"/>
        <v>5</v>
      </c>
      <c r="L27" s="6">
        <f t="shared" si="3"/>
        <v>3.5</v>
      </c>
      <c r="M27" s="6">
        <f t="shared" si="3"/>
        <v>0.5</v>
      </c>
      <c r="N27" s="6">
        <f t="shared" si="3"/>
        <v>8</v>
      </c>
      <c r="O27" s="6">
        <f t="shared" si="3"/>
        <v>0</v>
      </c>
      <c r="P27" s="6">
        <f t="shared" si="3"/>
        <v>2</v>
      </c>
      <c r="Q27" s="6">
        <f t="shared" si="3"/>
        <v>-2.5</v>
      </c>
      <c r="R27" s="6">
        <f t="shared" si="3"/>
        <v>5</v>
      </c>
      <c r="S27" s="6">
        <f t="shared" si="3"/>
        <v>1</v>
      </c>
      <c r="T27" s="6">
        <f t="shared" si="3"/>
        <v>0.5</v>
      </c>
      <c r="U27" s="6">
        <f t="shared" si="3"/>
        <v>2.5</v>
      </c>
      <c r="V27" s="6">
        <f t="shared" si="3"/>
        <v>1</v>
      </c>
      <c r="W27" s="6"/>
      <c r="X27" s="6"/>
      <c r="Y27" s="6"/>
      <c r="Z27" s="6"/>
      <c r="AA27" s="6"/>
      <c r="AB27" s="5">
        <f>(C15-C3)/C15</f>
        <v>2.6958105646630239E-2</v>
      </c>
      <c r="AC27">
        <f>COUNTIF(D27:AA36,"&gt;0")</f>
        <v>121</v>
      </c>
      <c r="AE27" t="s">
        <v>103</v>
      </c>
      <c r="AF27">
        <v>69</v>
      </c>
      <c r="AG27">
        <v>69.5</v>
      </c>
    </row>
    <row r="28" spans="1:33" x14ac:dyDescent="0.45">
      <c r="A28">
        <v>1</v>
      </c>
      <c r="B28" s="6" t="s">
        <v>67</v>
      </c>
      <c r="C28" s="6">
        <f t="shared" si="2"/>
        <v>7</v>
      </c>
      <c r="D28" s="6">
        <f t="shared" si="3"/>
        <v>6</v>
      </c>
      <c r="E28" s="6">
        <f t="shared" si="3"/>
        <v>-0.5</v>
      </c>
      <c r="F28" s="6">
        <f t="shared" si="3"/>
        <v>-0.5</v>
      </c>
      <c r="G28" s="6">
        <f t="shared" si="3"/>
        <v>1</v>
      </c>
      <c r="H28" s="6">
        <f t="shared" si="3"/>
        <v>-1.5</v>
      </c>
      <c r="I28" s="6">
        <f t="shared" si="3"/>
        <v>-2</v>
      </c>
      <c r="J28" s="6">
        <f t="shared" si="3"/>
        <v>0</v>
      </c>
      <c r="K28" s="6">
        <f t="shared" si="3"/>
        <v>3</v>
      </c>
      <c r="L28" s="6">
        <f t="shared" si="3"/>
        <v>3</v>
      </c>
      <c r="M28" s="6">
        <f t="shared" si="3"/>
        <v>3</v>
      </c>
      <c r="N28" s="6">
        <f t="shared" si="3"/>
        <v>1.5</v>
      </c>
      <c r="O28" s="6">
        <f t="shared" si="3"/>
        <v>1.5</v>
      </c>
      <c r="P28" s="6">
        <f t="shared" si="3"/>
        <v>-5.5</v>
      </c>
      <c r="Q28" s="6">
        <f t="shared" si="3"/>
        <v>2.5</v>
      </c>
      <c r="R28" s="6">
        <f t="shared" si="3"/>
        <v>0.5</v>
      </c>
      <c r="S28" s="6">
        <f t="shared" si="3"/>
        <v>1.5</v>
      </c>
      <c r="T28" s="6">
        <f t="shared" si="3"/>
        <v>2</v>
      </c>
      <c r="U28" s="6">
        <f t="shared" si="3"/>
        <v>-5.5</v>
      </c>
      <c r="V28" s="6">
        <f t="shared" si="3"/>
        <v>-3</v>
      </c>
      <c r="W28" s="6"/>
      <c r="X28" s="6"/>
      <c r="Y28" s="6"/>
      <c r="Z28" s="6"/>
      <c r="AA28" s="6"/>
      <c r="AB28" s="5">
        <f t="shared" ref="AB28:AB36" si="4">(C16-C4)/C16</f>
        <v>5.3537284894837472E-3</v>
      </c>
      <c r="AE28" t="s">
        <v>103</v>
      </c>
      <c r="AF28">
        <v>85</v>
      </c>
      <c r="AG28">
        <v>82</v>
      </c>
    </row>
    <row r="29" spans="1:33" x14ac:dyDescent="0.45">
      <c r="A29">
        <v>2</v>
      </c>
      <c r="B29" s="6" t="s">
        <v>68</v>
      </c>
      <c r="C29" s="6">
        <f t="shared" si="2"/>
        <v>62.5</v>
      </c>
      <c r="D29" s="6">
        <f t="shared" si="3"/>
        <v>6.5</v>
      </c>
      <c r="E29" s="6">
        <f t="shared" si="3"/>
        <v>-1</v>
      </c>
      <c r="F29" s="6">
        <f t="shared" si="3"/>
        <v>3</v>
      </c>
      <c r="G29" s="6">
        <f t="shared" si="3"/>
        <v>0.5</v>
      </c>
      <c r="H29" s="6">
        <f t="shared" si="3"/>
        <v>3.5</v>
      </c>
      <c r="I29" s="6">
        <f t="shared" si="3"/>
        <v>6</v>
      </c>
      <c r="J29" s="6">
        <f t="shared" si="3"/>
        <v>3.5</v>
      </c>
      <c r="K29" s="6">
        <f t="shared" si="3"/>
        <v>4.5</v>
      </c>
      <c r="L29" s="6">
        <f t="shared" si="3"/>
        <v>-4.5</v>
      </c>
      <c r="M29" s="6">
        <f t="shared" si="3"/>
        <v>7</v>
      </c>
      <c r="N29" s="6">
        <f t="shared" si="3"/>
        <v>11</v>
      </c>
      <c r="O29" s="6">
        <f t="shared" si="3"/>
        <v>7</v>
      </c>
      <c r="P29" s="6">
        <f t="shared" si="3"/>
        <v>-3.5</v>
      </c>
      <c r="Q29" s="6">
        <f t="shared" si="3"/>
        <v>6</v>
      </c>
      <c r="R29" s="6">
        <f t="shared" si="3"/>
        <v>6.5</v>
      </c>
      <c r="S29" s="6">
        <f t="shared" si="3"/>
        <v>0</v>
      </c>
      <c r="T29" s="6">
        <f t="shared" si="3"/>
        <v>-1.5</v>
      </c>
      <c r="U29" s="6">
        <f t="shared" si="3"/>
        <v>0</v>
      </c>
      <c r="V29" s="6">
        <f t="shared" si="3"/>
        <v>8</v>
      </c>
      <c r="W29" s="6"/>
      <c r="X29" s="6"/>
      <c r="Y29" s="6"/>
      <c r="Z29" s="6"/>
      <c r="AA29" s="6"/>
      <c r="AB29" s="5">
        <f t="shared" si="4"/>
        <v>4.3478260869565216E-2</v>
      </c>
      <c r="AE29" t="s">
        <v>103</v>
      </c>
      <c r="AF29">
        <v>67</v>
      </c>
      <c r="AG29">
        <v>63</v>
      </c>
    </row>
    <row r="30" spans="1:33" x14ac:dyDescent="0.45">
      <c r="A30">
        <v>3</v>
      </c>
      <c r="B30" s="6" t="s">
        <v>69</v>
      </c>
      <c r="C30" s="6">
        <f t="shared" si="2"/>
        <v>28</v>
      </c>
      <c r="D30" s="6">
        <f t="shared" si="3"/>
        <v>5</v>
      </c>
      <c r="E30" s="6">
        <f t="shared" si="3"/>
        <v>4</v>
      </c>
      <c r="F30" s="6">
        <f t="shared" si="3"/>
        <v>4</v>
      </c>
      <c r="G30" s="6">
        <f t="shared" si="3"/>
        <v>5</v>
      </c>
      <c r="H30" s="6">
        <f t="shared" si="3"/>
        <v>4</v>
      </c>
      <c r="I30" s="6">
        <f t="shared" si="3"/>
        <v>6</v>
      </c>
      <c r="J30" s="6">
        <f t="shared" si="3"/>
        <v>-1.5</v>
      </c>
      <c r="K30" s="6">
        <f t="shared" si="3"/>
        <v>4.5</v>
      </c>
      <c r="L30" s="6">
        <f t="shared" si="3"/>
        <v>-1.5</v>
      </c>
      <c r="M30" s="6">
        <f t="shared" si="3"/>
        <v>-2.5</v>
      </c>
      <c r="N30" s="6">
        <f t="shared" si="3"/>
        <v>6</v>
      </c>
      <c r="O30" s="6">
        <f t="shared" si="3"/>
        <v>-5</v>
      </c>
      <c r="P30" s="6">
        <f t="shared" si="3"/>
        <v>-0.5</v>
      </c>
      <c r="Q30" s="6">
        <f t="shared" si="3"/>
        <v>5.5</v>
      </c>
      <c r="R30" s="6">
        <f t="shared" si="3"/>
        <v>-3.5</v>
      </c>
      <c r="S30" s="6">
        <f t="shared" si="3"/>
        <v>-3.5</v>
      </c>
      <c r="T30" s="6">
        <f t="shared" si="3"/>
        <v>-0.5</v>
      </c>
      <c r="U30" s="6">
        <f t="shared" si="3"/>
        <v>4.5</v>
      </c>
      <c r="V30" s="6">
        <f t="shared" si="3"/>
        <v>-2</v>
      </c>
      <c r="W30" s="6"/>
      <c r="X30" s="6"/>
      <c r="Y30" s="6"/>
      <c r="Z30" s="6"/>
      <c r="AA30" s="6"/>
      <c r="AB30" s="5">
        <f t="shared" si="4"/>
        <v>2.1116138763197588E-2</v>
      </c>
      <c r="AE30" t="s">
        <v>103</v>
      </c>
      <c r="AF30">
        <v>75</v>
      </c>
      <c r="AG30">
        <v>71</v>
      </c>
    </row>
    <row r="31" spans="1:33" x14ac:dyDescent="0.45">
      <c r="A31">
        <v>4</v>
      </c>
      <c r="B31" s="6" t="s">
        <v>71</v>
      </c>
      <c r="C31" s="6">
        <f t="shared" si="2"/>
        <v>0</v>
      </c>
      <c r="D31" s="6">
        <f t="shared" si="3"/>
        <v>5</v>
      </c>
      <c r="E31" s="6">
        <f t="shared" si="3"/>
        <v>6.5</v>
      </c>
      <c r="F31" s="6">
        <f t="shared" si="3"/>
        <v>4</v>
      </c>
      <c r="G31" s="6">
        <f t="shared" si="3"/>
        <v>0</v>
      </c>
      <c r="H31" s="6">
        <f t="shared" si="3"/>
        <v>-7.5</v>
      </c>
      <c r="I31" s="6">
        <f t="shared" si="3"/>
        <v>-1.5</v>
      </c>
      <c r="J31" s="6">
        <f t="shared" si="3"/>
        <v>1</v>
      </c>
      <c r="K31" s="6">
        <f t="shared" si="3"/>
        <v>2.5</v>
      </c>
      <c r="L31" s="6">
        <f t="shared" si="3"/>
        <v>-8</v>
      </c>
      <c r="M31" s="6">
        <f t="shared" si="3"/>
        <v>0.5</v>
      </c>
      <c r="N31" s="6">
        <f t="shared" si="3"/>
        <v>0</v>
      </c>
      <c r="O31" s="6">
        <f t="shared" si="3"/>
        <v>-1.5</v>
      </c>
      <c r="P31" s="6">
        <f t="shared" si="3"/>
        <v>-2.5</v>
      </c>
      <c r="Q31" s="6">
        <f t="shared" si="3"/>
        <v>2.5</v>
      </c>
      <c r="R31" s="6">
        <f t="shared" si="3"/>
        <v>-2</v>
      </c>
      <c r="S31" s="6">
        <f t="shared" si="3"/>
        <v>0</v>
      </c>
      <c r="T31" s="6">
        <f t="shared" si="3"/>
        <v>1</v>
      </c>
      <c r="U31" s="6">
        <f t="shared" si="3"/>
        <v>-4</v>
      </c>
      <c r="V31" s="6">
        <f t="shared" si="3"/>
        <v>4</v>
      </c>
      <c r="W31" s="6"/>
      <c r="X31" s="6"/>
      <c r="Y31" s="6"/>
      <c r="Z31" s="6"/>
      <c r="AA31" s="6"/>
      <c r="AB31" s="5">
        <f t="shared" si="4"/>
        <v>0</v>
      </c>
      <c r="AE31" t="s">
        <v>103</v>
      </c>
      <c r="AF31">
        <v>71.5</v>
      </c>
      <c r="AG31">
        <v>74</v>
      </c>
    </row>
    <row r="32" spans="1:33" x14ac:dyDescent="0.45">
      <c r="A32">
        <v>5</v>
      </c>
      <c r="B32" s="6" t="s">
        <v>70</v>
      </c>
      <c r="C32" s="6">
        <f t="shared" si="2"/>
        <v>57</v>
      </c>
      <c r="D32" s="6">
        <f t="shared" si="3"/>
        <v>9</v>
      </c>
      <c r="E32" s="6">
        <f t="shared" si="3"/>
        <v>-1</v>
      </c>
      <c r="F32" s="6">
        <f t="shared" si="3"/>
        <v>-2.5</v>
      </c>
      <c r="G32" s="6">
        <f t="shared" si="3"/>
        <v>6.5</v>
      </c>
      <c r="H32" s="6">
        <f t="shared" si="3"/>
        <v>1</v>
      </c>
      <c r="I32" s="6">
        <f t="shared" si="3"/>
        <v>1.5</v>
      </c>
      <c r="J32" s="6">
        <f t="shared" si="3"/>
        <v>3</v>
      </c>
      <c r="K32" s="6">
        <f t="shared" si="3"/>
        <v>-4.5</v>
      </c>
      <c r="L32" s="6">
        <f t="shared" si="3"/>
        <v>6</v>
      </c>
      <c r="M32" s="6">
        <f t="shared" si="3"/>
        <v>4</v>
      </c>
      <c r="N32" s="6">
        <f t="shared" si="3"/>
        <v>6</v>
      </c>
      <c r="O32" s="6">
        <f t="shared" si="3"/>
        <v>1.5</v>
      </c>
      <c r="P32" s="6">
        <f t="shared" si="3"/>
        <v>5.5</v>
      </c>
      <c r="Q32" s="6">
        <f t="shared" si="3"/>
        <v>2</v>
      </c>
      <c r="R32" s="6">
        <f t="shared" si="3"/>
        <v>0</v>
      </c>
      <c r="S32" s="6">
        <f t="shared" si="3"/>
        <v>-6</v>
      </c>
      <c r="T32" s="6">
        <f t="shared" si="3"/>
        <v>1.5</v>
      </c>
      <c r="U32" s="6">
        <f t="shared" si="3"/>
        <v>13</v>
      </c>
      <c r="V32" s="6">
        <f t="shared" si="3"/>
        <v>10.5</v>
      </c>
      <c r="W32" s="6"/>
      <c r="X32" s="6"/>
      <c r="Y32" s="6"/>
      <c r="Z32" s="6"/>
      <c r="AA32" s="6"/>
      <c r="AB32" s="5">
        <f t="shared" si="4"/>
        <v>4.1334300217548949E-2</v>
      </c>
      <c r="AE32" t="s">
        <v>103</v>
      </c>
      <c r="AF32">
        <v>78.5</v>
      </c>
      <c r="AG32">
        <v>66.5</v>
      </c>
    </row>
    <row r="33" spans="1:33" x14ac:dyDescent="0.45">
      <c r="A33">
        <v>6</v>
      </c>
      <c r="B33" s="6" t="s">
        <v>72</v>
      </c>
      <c r="C33" s="6">
        <f t="shared" si="2"/>
        <v>9</v>
      </c>
      <c r="D33" s="6">
        <f t="shared" si="3"/>
        <v>8</v>
      </c>
      <c r="E33" s="6">
        <f t="shared" si="3"/>
        <v>-0.5</v>
      </c>
      <c r="F33" s="6">
        <f t="shared" si="3"/>
        <v>12</v>
      </c>
      <c r="G33" s="6">
        <f t="shared" si="3"/>
        <v>1</v>
      </c>
      <c r="H33" s="6">
        <f t="shared" si="3"/>
        <v>5</v>
      </c>
      <c r="I33" s="6">
        <f t="shared" si="3"/>
        <v>13.5</v>
      </c>
      <c r="J33" s="6">
        <f t="shared" si="3"/>
        <v>6</v>
      </c>
      <c r="K33" s="6">
        <f t="shared" si="3"/>
        <v>-10</v>
      </c>
      <c r="L33" s="6">
        <f t="shared" si="3"/>
        <v>-0.5</v>
      </c>
      <c r="M33" s="6">
        <f t="shared" si="3"/>
        <v>1.5</v>
      </c>
      <c r="N33" s="6">
        <f t="shared" si="3"/>
        <v>-10.5</v>
      </c>
      <c r="O33" s="6">
        <f t="shared" si="3"/>
        <v>-3.5</v>
      </c>
      <c r="P33" s="6">
        <f t="shared" si="3"/>
        <v>2.5</v>
      </c>
      <c r="Q33" s="6">
        <f t="shared" si="3"/>
        <v>-8</v>
      </c>
      <c r="R33" s="6">
        <f t="shared" si="3"/>
        <v>0</v>
      </c>
      <c r="S33" s="6">
        <f t="shared" si="3"/>
        <v>-0.5</v>
      </c>
      <c r="T33" s="6">
        <f t="shared" si="3"/>
        <v>-3</v>
      </c>
      <c r="U33" s="6">
        <f t="shared" si="3"/>
        <v>-7</v>
      </c>
      <c r="V33" s="6">
        <f t="shared" si="3"/>
        <v>3</v>
      </c>
      <c r="W33" s="6"/>
      <c r="X33" s="6"/>
      <c r="Y33" s="6"/>
      <c r="Z33" s="6"/>
      <c r="AA33" s="6"/>
      <c r="AB33" s="5">
        <f t="shared" si="4"/>
        <v>6.7669172932330827E-3</v>
      </c>
      <c r="AE33" t="s">
        <v>103</v>
      </c>
      <c r="AF33">
        <v>61.5</v>
      </c>
      <c r="AG33">
        <v>61.5</v>
      </c>
    </row>
    <row r="34" spans="1:33" x14ac:dyDescent="0.45">
      <c r="A34">
        <v>7</v>
      </c>
      <c r="B34" s="6" t="s">
        <v>75</v>
      </c>
      <c r="C34" s="6">
        <f t="shared" si="2"/>
        <v>51.5</v>
      </c>
      <c r="D34" s="6">
        <f t="shared" si="3"/>
        <v>1.5</v>
      </c>
      <c r="E34" s="6">
        <f t="shared" si="3"/>
        <v>6.5</v>
      </c>
      <c r="F34" s="6">
        <f t="shared" si="3"/>
        <v>0</v>
      </c>
      <c r="G34" s="6">
        <f t="shared" si="3"/>
        <v>-0.5</v>
      </c>
      <c r="H34" s="6">
        <f t="shared" si="3"/>
        <v>1.5</v>
      </c>
      <c r="I34" s="6">
        <f t="shared" si="3"/>
        <v>0</v>
      </c>
      <c r="J34" s="6">
        <f t="shared" si="3"/>
        <v>1.5</v>
      </c>
      <c r="K34" s="6">
        <f t="shared" si="3"/>
        <v>1.5</v>
      </c>
      <c r="L34" s="6">
        <f t="shared" si="3"/>
        <v>4</v>
      </c>
      <c r="M34" s="6">
        <f t="shared" si="3"/>
        <v>4</v>
      </c>
      <c r="N34" s="6">
        <f t="shared" si="3"/>
        <v>1</v>
      </c>
      <c r="O34" s="6">
        <f t="shared" si="3"/>
        <v>3.5</v>
      </c>
      <c r="P34" s="6">
        <f t="shared" si="3"/>
        <v>4</v>
      </c>
      <c r="Q34" s="6">
        <f t="shared" si="3"/>
        <v>3.5</v>
      </c>
      <c r="R34" s="6">
        <f t="shared" si="3"/>
        <v>1.5</v>
      </c>
      <c r="S34" s="6">
        <f t="shared" si="3"/>
        <v>2.5</v>
      </c>
      <c r="T34" s="6">
        <f t="shared" si="3"/>
        <v>6.5</v>
      </c>
      <c r="U34" s="6">
        <f t="shared" si="3"/>
        <v>7</v>
      </c>
      <c r="V34" s="6">
        <f t="shared" si="3"/>
        <v>2</v>
      </c>
      <c r="W34" s="6"/>
      <c r="X34" s="6"/>
      <c r="Y34" s="6"/>
      <c r="Z34" s="6"/>
      <c r="AA34" s="6"/>
      <c r="AB34" s="5">
        <f t="shared" si="4"/>
        <v>3.7264833574529664E-2</v>
      </c>
      <c r="AE34" t="s">
        <v>103</v>
      </c>
      <c r="AF34">
        <v>75.5</v>
      </c>
      <c r="AG34">
        <v>65.5</v>
      </c>
    </row>
    <row r="35" spans="1:33" x14ac:dyDescent="0.45">
      <c r="A35">
        <v>8</v>
      </c>
      <c r="B35" s="6" t="s">
        <v>73</v>
      </c>
      <c r="C35" s="6">
        <f t="shared" si="2"/>
        <v>51.5</v>
      </c>
      <c r="D35" s="6">
        <f t="shared" si="3"/>
        <v>8.5</v>
      </c>
      <c r="E35" s="6">
        <f t="shared" si="3"/>
        <v>-2.5</v>
      </c>
      <c r="F35" s="6">
        <f t="shared" si="3"/>
        <v>10</v>
      </c>
      <c r="G35" s="6">
        <f t="shared" si="3"/>
        <v>2</v>
      </c>
      <c r="H35" s="6">
        <f t="shared" si="3"/>
        <v>-1.5</v>
      </c>
      <c r="I35" s="6">
        <f t="shared" si="3"/>
        <v>0.5</v>
      </c>
      <c r="J35" s="6">
        <f t="shared" si="3"/>
        <v>4.5</v>
      </c>
      <c r="K35" s="6">
        <f t="shared" si="3"/>
        <v>-5</v>
      </c>
      <c r="L35" s="6">
        <f t="shared" si="3"/>
        <v>1.5</v>
      </c>
      <c r="M35" s="6">
        <f t="shared" si="3"/>
        <v>5</v>
      </c>
      <c r="N35" s="6">
        <f t="shared" si="3"/>
        <v>1.5</v>
      </c>
      <c r="O35" s="6">
        <f t="shared" si="3"/>
        <v>3.5</v>
      </c>
      <c r="P35" s="6">
        <f t="shared" si="3"/>
        <v>-2</v>
      </c>
      <c r="Q35" s="6">
        <f t="shared" si="3"/>
        <v>16.5</v>
      </c>
      <c r="R35" s="6">
        <f t="shared" si="3"/>
        <v>4</v>
      </c>
      <c r="S35" s="6">
        <f t="shared" si="3"/>
        <v>0</v>
      </c>
      <c r="T35" s="6">
        <f t="shared" si="3"/>
        <v>2.5</v>
      </c>
      <c r="U35" s="6">
        <f t="shared" si="3"/>
        <v>2</v>
      </c>
      <c r="V35" s="6">
        <f t="shared" si="3"/>
        <v>0.5</v>
      </c>
      <c r="W35" s="6"/>
      <c r="X35" s="6"/>
      <c r="Y35" s="6"/>
      <c r="Z35" s="6"/>
      <c r="AA35" s="6"/>
      <c r="AB35" s="5">
        <f t="shared" si="4"/>
        <v>3.8247307835128107E-2</v>
      </c>
      <c r="AE35" t="s">
        <v>103</v>
      </c>
      <c r="AF35">
        <v>87.5</v>
      </c>
      <c r="AG35">
        <v>82</v>
      </c>
    </row>
    <row r="36" spans="1:33" x14ac:dyDescent="0.45">
      <c r="A36">
        <v>9</v>
      </c>
      <c r="B36" s="6" t="s">
        <v>74</v>
      </c>
      <c r="C36" s="6">
        <f t="shared" si="2"/>
        <v>36.5</v>
      </c>
      <c r="D36" s="6">
        <f t="shared" si="3"/>
        <v>2</v>
      </c>
      <c r="E36" s="6">
        <f t="shared" si="3"/>
        <v>2.5</v>
      </c>
      <c r="F36" s="6">
        <f t="shared" si="3"/>
        <v>5.5</v>
      </c>
      <c r="G36" s="6">
        <f t="shared" si="3"/>
        <v>-5.5</v>
      </c>
      <c r="H36" s="6">
        <f t="shared" si="3"/>
        <v>0</v>
      </c>
      <c r="I36" s="6">
        <f t="shared" si="3"/>
        <v>-2</v>
      </c>
      <c r="J36" s="6">
        <f t="shared" si="3"/>
        <v>1</v>
      </c>
      <c r="K36" s="6">
        <f t="shared" si="3"/>
        <v>10.5</v>
      </c>
      <c r="L36" s="6">
        <f t="shared" si="3"/>
        <v>1</v>
      </c>
      <c r="M36" s="6">
        <f t="shared" si="3"/>
        <v>7.5</v>
      </c>
      <c r="N36" s="6">
        <f t="shared" si="3"/>
        <v>1.5</v>
      </c>
      <c r="O36" s="6">
        <f t="shared" si="3"/>
        <v>1.5</v>
      </c>
      <c r="P36" s="6">
        <f t="shared" si="3"/>
        <v>0.5</v>
      </c>
      <c r="Q36" s="6">
        <f t="shared" si="3"/>
        <v>1</v>
      </c>
      <c r="R36" s="6">
        <f t="shared" si="3"/>
        <v>11</v>
      </c>
      <c r="S36" s="6">
        <f t="shared" si="3"/>
        <v>0</v>
      </c>
      <c r="T36" s="6">
        <f t="shared" si="3"/>
        <v>0</v>
      </c>
      <c r="U36" s="6">
        <f t="shared" si="3"/>
        <v>-0.5</v>
      </c>
      <c r="V36" s="6">
        <f t="shared" si="3"/>
        <v>-1</v>
      </c>
      <c r="W36" s="6"/>
      <c r="X36" s="6"/>
      <c r="Y36" s="6"/>
      <c r="Z36" s="6"/>
      <c r="AA36" s="6"/>
      <c r="AB36" s="5">
        <f t="shared" si="4"/>
        <v>2.626844188557035E-2</v>
      </c>
      <c r="AE36" t="s">
        <v>104</v>
      </c>
      <c r="AF36" t="s">
        <v>86</v>
      </c>
    </row>
    <row r="37" spans="1:33" x14ac:dyDescent="0.45">
      <c r="C37" s="7">
        <f>SUM(C27:C36)</f>
        <v>340</v>
      </c>
      <c r="D37" s="7">
        <f t="shared" ref="D37:V37" si="5">SUM(D27:D36)</f>
        <v>60</v>
      </c>
      <c r="E37" s="7">
        <f t="shared" si="5"/>
        <v>14</v>
      </c>
      <c r="F37" s="7">
        <f t="shared" si="5"/>
        <v>36.5</v>
      </c>
      <c r="G37" s="7">
        <f t="shared" si="5"/>
        <v>12.5</v>
      </c>
      <c r="H37" s="7">
        <f t="shared" si="5"/>
        <v>4.5</v>
      </c>
      <c r="I37" s="7">
        <f t="shared" si="5"/>
        <v>21.5</v>
      </c>
      <c r="J37" s="7">
        <f t="shared" si="5"/>
        <v>18</v>
      </c>
      <c r="K37" s="7">
        <f t="shared" si="5"/>
        <v>12</v>
      </c>
      <c r="L37" s="7">
        <f t="shared" si="5"/>
        <v>4.5</v>
      </c>
      <c r="M37" s="7">
        <f t="shared" si="5"/>
        <v>30.5</v>
      </c>
      <c r="N37" s="7">
        <f t="shared" si="5"/>
        <v>26</v>
      </c>
      <c r="O37" s="7">
        <f t="shared" si="5"/>
        <v>8.5</v>
      </c>
      <c r="P37" s="7">
        <f t="shared" si="5"/>
        <v>0.5</v>
      </c>
      <c r="Q37" s="7">
        <f t="shared" si="5"/>
        <v>29</v>
      </c>
      <c r="R37" s="7">
        <f t="shared" si="5"/>
        <v>23</v>
      </c>
      <c r="S37" s="7">
        <f t="shared" si="5"/>
        <v>-5</v>
      </c>
      <c r="T37" s="7">
        <f t="shared" si="5"/>
        <v>9</v>
      </c>
      <c r="U37" s="7">
        <f t="shared" si="5"/>
        <v>12</v>
      </c>
      <c r="V37" s="7">
        <f t="shared" si="5"/>
        <v>23</v>
      </c>
      <c r="W37" s="7"/>
      <c r="X37" s="7"/>
      <c r="Y37" s="7"/>
      <c r="Z37" s="7"/>
      <c r="AA37" s="7"/>
      <c r="AE37" t="s">
        <v>104</v>
      </c>
      <c r="AF37">
        <v>71.5</v>
      </c>
      <c r="AG37">
        <v>69</v>
      </c>
    </row>
    <row r="38" spans="1:33" x14ac:dyDescent="0.45">
      <c r="AE38" t="s">
        <v>104</v>
      </c>
      <c r="AF38">
        <v>73.5</v>
      </c>
      <c r="AG38">
        <v>72.5</v>
      </c>
    </row>
    <row r="39" spans="1:33" x14ac:dyDescent="0.45">
      <c r="AE39" t="s">
        <v>104</v>
      </c>
      <c r="AF39">
        <v>68.5</v>
      </c>
      <c r="AG39">
        <v>68</v>
      </c>
    </row>
    <row r="40" spans="1:33" x14ac:dyDescent="0.45">
      <c r="AE40" t="s">
        <v>104</v>
      </c>
      <c r="AF40">
        <v>68.5</v>
      </c>
      <c r="AG40">
        <v>63.5</v>
      </c>
    </row>
    <row r="41" spans="1:33" x14ac:dyDescent="0.45">
      <c r="AE41" t="s">
        <v>104</v>
      </c>
      <c r="AF41">
        <v>62.5</v>
      </c>
      <c r="AG41">
        <v>62.5</v>
      </c>
    </row>
    <row r="42" spans="1:33" x14ac:dyDescent="0.45">
      <c r="AE42" t="s">
        <v>104</v>
      </c>
      <c r="AF42">
        <v>80.5</v>
      </c>
      <c r="AG42">
        <v>74</v>
      </c>
    </row>
    <row r="43" spans="1:33" x14ac:dyDescent="0.45">
      <c r="AE43" t="s">
        <v>104</v>
      </c>
      <c r="AF43">
        <v>72</v>
      </c>
      <c r="AG43">
        <v>71</v>
      </c>
    </row>
    <row r="44" spans="1:33" x14ac:dyDescent="0.45">
      <c r="AE44" t="s">
        <v>104</v>
      </c>
      <c r="AF44">
        <v>79.5</v>
      </c>
      <c r="AG44">
        <v>80</v>
      </c>
    </row>
    <row r="45" spans="1:33" x14ac:dyDescent="0.45">
      <c r="AE45" t="s">
        <v>104</v>
      </c>
      <c r="AF45">
        <v>70.5</v>
      </c>
      <c r="AG45">
        <v>68.5</v>
      </c>
    </row>
    <row r="46" spans="1:33" x14ac:dyDescent="0.45">
      <c r="AE46" t="s">
        <v>104</v>
      </c>
      <c r="AF46">
        <v>61.5</v>
      </c>
      <c r="AG46">
        <v>67</v>
      </c>
    </row>
    <row r="47" spans="1:33" x14ac:dyDescent="0.45">
      <c r="AE47" t="s">
        <v>105</v>
      </c>
      <c r="AF47" t="s">
        <v>87</v>
      </c>
    </row>
    <row r="48" spans="1:33" x14ac:dyDescent="0.45">
      <c r="AE48" t="s">
        <v>105</v>
      </c>
      <c r="AF48">
        <v>77.5</v>
      </c>
      <c r="AG48">
        <v>77.5</v>
      </c>
    </row>
    <row r="49" spans="31:33" x14ac:dyDescent="0.45">
      <c r="AE49" t="s">
        <v>105</v>
      </c>
      <c r="AF49">
        <v>80.5</v>
      </c>
      <c r="AG49">
        <v>82</v>
      </c>
    </row>
    <row r="50" spans="31:33" x14ac:dyDescent="0.45">
      <c r="AE50" t="s">
        <v>105</v>
      </c>
      <c r="AF50">
        <v>78</v>
      </c>
      <c r="AG50">
        <v>74.5</v>
      </c>
    </row>
    <row r="51" spans="31:33" x14ac:dyDescent="0.45">
      <c r="AE51" t="s">
        <v>105</v>
      </c>
      <c r="AF51">
        <v>66.5</v>
      </c>
      <c r="AG51">
        <v>62.5</v>
      </c>
    </row>
    <row r="52" spans="31:33" x14ac:dyDescent="0.45">
      <c r="AE52" t="s">
        <v>105</v>
      </c>
      <c r="AF52">
        <v>60</v>
      </c>
      <c r="AG52">
        <v>67.5</v>
      </c>
    </row>
    <row r="53" spans="31:33" x14ac:dyDescent="0.45">
      <c r="AE53" t="s">
        <v>105</v>
      </c>
      <c r="AF53">
        <v>75</v>
      </c>
      <c r="AG53">
        <v>74</v>
      </c>
    </row>
    <row r="54" spans="31:33" x14ac:dyDescent="0.45">
      <c r="AE54" t="s">
        <v>105</v>
      </c>
      <c r="AF54">
        <v>82</v>
      </c>
      <c r="AG54">
        <v>77</v>
      </c>
    </row>
    <row r="55" spans="31:33" x14ac:dyDescent="0.45">
      <c r="AE55" t="s">
        <v>105</v>
      </c>
      <c r="AF55">
        <v>72</v>
      </c>
      <c r="AG55">
        <v>70.5</v>
      </c>
    </row>
    <row r="56" spans="31:33" x14ac:dyDescent="0.45">
      <c r="AE56" t="s">
        <v>105</v>
      </c>
      <c r="AF56">
        <v>67</v>
      </c>
      <c r="AG56">
        <v>68.5</v>
      </c>
    </row>
    <row r="57" spans="31:33" x14ac:dyDescent="0.45">
      <c r="AE57" t="s">
        <v>105</v>
      </c>
      <c r="AF57">
        <v>66</v>
      </c>
      <c r="AG57">
        <v>66</v>
      </c>
    </row>
    <row r="58" spans="31:33" x14ac:dyDescent="0.45">
      <c r="AE58" t="s">
        <v>106</v>
      </c>
      <c r="AF58" t="s">
        <v>82</v>
      </c>
    </row>
    <row r="59" spans="31:33" x14ac:dyDescent="0.45">
      <c r="AE59" t="s">
        <v>106</v>
      </c>
      <c r="AF59">
        <v>73</v>
      </c>
      <c r="AG59">
        <v>73.5</v>
      </c>
    </row>
    <row r="60" spans="31:33" x14ac:dyDescent="0.45">
      <c r="AE60" t="s">
        <v>106</v>
      </c>
      <c r="AF60">
        <v>62</v>
      </c>
      <c r="AG60">
        <v>64</v>
      </c>
    </row>
    <row r="61" spans="31:33" x14ac:dyDescent="0.45">
      <c r="AE61" t="s">
        <v>106</v>
      </c>
      <c r="AF61">
        <v>80</v>
      </c>
      <c r="AG61">
        <v>74</v>
      </c>
    </row>
    <row r="62" spans="31:33" x14ac:dyDescent="0.45">
      <c r="AE62" t="s">
        <v>106</v>
      </c>
      <c r="AF62">
        <v>70</v>
      </c>
      <c r="AG62">
        <v>64</v>
      </c>
    </row>
    <row r="63" spans="31:33" x14ac:dyDescent="0.45">
      <c r="AE63" t="s">
        <v>106</v>
      </c>
      <c r="AF63">
        <v>65</v>
      </c>
      <c r="AG63">
        <v>66.5</v>
      </c>
    </row>
    <row r="64" spans="31:33" x14ac:dyDescent="0.45">
      <c r="AE64" t="s">
        <v>106</v>
      </c>
      <c r="AF64">
        <v>68</v>
      </c>
      <c r="AG64">
        <v>66.5</v>
      </c>
    </row>
    <row r="65" spans="31:33" x14ac:dyDescent="0.45">
      <c r="AE65" t="s">
        <v>106</v>
      </c>
      <c r="AF65">
        <v>74.5</v>
      </c>
      <c r="AG65">
        <v>61</v>
      </c>
    </row>
    <row r="66" spans="31:33" x14ac:dyDescent="0.45">
      <c r="AE66" t="s">
        <v>106</v>
      </c>
      <c r="AF66">
        <v>69.5</v>
      </c>
      <c r="AG66">
        <v>69.5</v>
      </c>
    </row>
    <row r="67" spans="31:33" x14ac:dyDescent="0.45">
      <c r="AE67" t="s">
        <v>106</v>
      </c>
      <c r="AF67">
        <v>67</v>
      </c>
      <c r="AG67">
        <v>66.5</v>
      </c>
    </row>
    <row r="68" spans="31:33" x14ac:dyDescent="0.45">
      <c r="AE68" t="s">
        <v>106</v>
      </c>
      <c r="AF68">
        <v>84.5</v>
      </c>
      <c r="AG68">
        <v>86.5</v>
      </c>
    </row>
    <row r="69" spans="31:33" x14ac:dyDescent="0.45">
      <c r="AE69" t="s">
        <v>107</v>
      </c>
      <c r="AF69" t="s">
        <v>88</v>
      </c>
    </row>
    <row r="70" spans="31:33" x14ac:dyDescent="0.45">
      <c r="AE70" t="s">
        <v>107</v>
      </c>
      <c r="AF70">
        <v>72</v>
      </c>
      <c r="AG70">
        <v>73</v>
      </c>
    </row>
    <row r="71" spans="31:33" x14ac:dyDescent="0.45">
      <c r="AE71" t="s">
        <v>107</v>
      </c>
      <c r="AF71">
        <v>65.5</v>
      </c>
      <c r="AG71">
        <v>65.5</v>
      </c>
    </row>
    <row r="72" spans="31:33" x14ac:dyDescent="0.45">
      <c r="AE72" t="s">
        <v>107</v>
      </c>
      <c r="AF72">
        <v>76</v>
      </c>
      <c r="AG72">
        <v>72.5</v>
      </c>
    </row>
    <row r="73" spans="31:33" x14ac:dyDescent="0.45">
      <c r="AE73" t="s">
        <v>107</v>
      </c>
      <c r="AF73">
        <v>65</v>
      </c>
      <c r="AG73">
        <v>66.5</v>
      </c>
    </row>
    <row r="74" spans="31:33" x14ac:dyDescent="0.45">
      <c r="AE74" t="s">
        <v>107</v>
      </c>
      <c r="AF74">
        <v>63</v>
      </c>
      <c r="AG74">
        <v>62</v>
      </c>
    </row>
    <row r="75" spans="31:33" x14ac:dyDescent="0.45">
      <c r="AE75" t="s">
        <v>107</v>
      </c>
      <c r="AF75">
        <v>64</v>
      </c>
      <c r="AG75">
        <v>61</v>
      </c>
    </row>
    <row r="76" spans="31:33" x14ac:dyDescent="0.45">
      <c r="AE76" t="s">
        <v>107</v>
      </c>
      <c r="AF76">
        <v>74.5</v>
      </c>
      <c r="AG76">
        <v>68.5</v>
      </c>
    </row>
    <row r="77" spans="31:33" x14ac:dyDescent="0.45">
      <c r="AE77" t="s">
        <v>107</v>
      </c>
      <c r="AF77">
        <v>68</v>
      </c>
      <c r="AG77">
        <v>66.5</v>
      </c>
    </row>
    <row r="78" spans="31:33" x14ac:dyDescent="0.45">
      <c r="AE78" t="s">
        <v>107</v>
      </c>
      <c r="AF78">
        <v>72.5</v>
      </c>
      <c r="AG78">
        <v>68</v>
      </c>
    </row>
    <row r="79" spans="31:33" x14ac:dyDescent="0.45">
      <c r="AE79" t="s">
        <v>107</v>
      </c>
      <c r="AF79">
        <v>68.5</v>
      </c>
      <c r="AG79">
        <v>67.5</v>
      </c>
    </row>
    <row r="80" spans="31:33" x14ac:dyDescent="0.45">
      <c r="AE80" t="s">
        <v>108</v>
      </c>
      <c r="AF80" t="s">
        <v>89</v>
      </c>
    </row>
    <row r="81" spans="31:33" x14ac:dyDescent="0.45">
      <c r="AE81" t="s">
        <v>108</v>
      </c>
      <c r="AF81">
        <v>68</v>
      </c>
      <c r="AG81">
        <v>63</v>
      </c>
    </row>
    <row r="82" spans="31:33" x14ac:dyDescent="0.45">
      <c r="AE82" t="s">
        <v>108</v>
      </c>
      <c r="AF82">
        <v>68.5</v>
      </c>
      <c r="AG82">
        <v>65.5</v>
      </c>
    </row>
    <row r="83" spans="31:33" x14ac:dyDescent="0.45">
      <c r="AE83" t="s">
        <v>108</v>
      </c>
      <c r="AF83">
        <v>82</v>
      </c>
      <c r="AG83">
        <v>77.5</v>
      </c>
    </row>
    <row r="84" spans="31:33" x14ac:dyDescent="0.45">
      <c r="AE84" t="s">
        <v>108</v>
      </c>
      <c r="AF84">
        <v>68.5</v>
      </c>
      <c r="AG84">
        <v>64</v>
      </c>
    </row>
    <row r="85" spans="31:33" x14ac:dyDescent="0.45">
      <c r="AE85" t="s">
        <v>108</v>
      </c>
      <c r="AF85">
        <v>61</v>
      </c>
      <c r="AG85">
        <v>58.5</v>
      </c>
    </row>
    <row r="86" spans="31:33" x14ac:dyDescent="0.45">
      <c r="AE86" t="s">
        <v>108</v>
      </c>
      <c r="AF86">
        <v>61</v>
      </c>
      <c r="AG86">
        <v>65.5</v>
      </c>
    </row>
    <row r="87" spans="31:33" x14ac:dyDescent="0.45">
      <c r="AE87" t="s">
        <v>108</v>
      </c>
      <c r="AF87">
        <v>62</v>
      </c>
      <c r="AG87">
        <v>72</v>
      </c>
    </row>
    <row r="88" spans="31:33" x14ac:dyDescent="0.45">
      <c r="AE88" t="s">
        <v>108</v>
      </c>
      <c r="AF88">
        <v>67.5</v>
      </c>
      <c r="AG88">
        <v>66</v>
      </c>
    </row>
    <row r="89" spans="31:33" x14ac:dyDescent="0.45">
      <c r="AE89" t="s">
        <v>108</v>
      </c>
      <c r="AF89">
        <v>61</v>
      </c>
      <c r="AG89">
        <v>66</v>
      </c>
    </row>
    <row r="90" spans="31:33" x14ac:dyDescent="0.45">
      <c r="AE90" t="s">
        <v>108</v>
      </c>
      <c r="AF90">
        <v>89.5</v>
      </c>
      <c r="AG90">
        <v>79</v>
      </c>
    </row>
    <row r="91" spans="31:33" x14ac:dyDescent="0.45">
      <c r="AE91" t="s">
        <v>109</v>
      </c>
      <c r="AF91" t="s">
        <v>90</v>
      </c>
    </row>
    <row r="92" spans="31:33" x14ac:dyDescent="0.45">
      <c r="AE92" t="s">
        <v>109</v>
      </c>
      <c r="AF92">
        <v>70.5</v>
      </c>
      <c r="AG92">
        <v>67</v>
      </c>
    </row>
    <row r="93" spans="31:33" x14ac:dyDescent="0.45">
      <c r="AE93" t="s">
        <v>109</v>
      </c>
      <c r="AF93">
        <v>73</v>
      </c>
      <c r="AG93">
        <v>70</v>
      </c>
    </row>
    <row r="94" spans="31:33" x14ac:dyDescent="0.45">
      <c r="AE94" t="s">
        <v>109</v>
      </c>
      <c r="AF94">
        <v>67.5</v>
      </c>
      <c r="AG94">
        <v>72</v>
      </c>
    </row>
    <row r="95" spans="31:33" x14ac:dyDescent="0.45">
      <c r="AE95" t="s">
        <v>109</v>
      </c>
      <c r="AF95">
        <v>68.5</v>
      </c>
      <c r="AG95">
        <v>70</v>
      </c>
    </row>
    <row r="96" spans="31:33" x14ac:dyDescent="0.45">
      <c r="AE96" t="s">
        <v>109</v>
      </c>
      <c r="AF96">
        <v>60</v>
      </c>
      <c r="AG96">
        <v>68</v>
      </c>
    </row>
    <row r="97" spans="31:33" x14ac:dyDescent="0.45">
      <c r="AE97" t="s">
        <v>109</v>
      </c>
      <c r="AF97">
        <v>72</v>
      </c>
      <c r="AG97">
        <v>66</v>
      </c>
    </row>
    <row r="98" spans="31:33" x14ac:dyDescent="0.45">
      <c r="AE98" t="s">
        <v>109</v>
      </c>
      <c r="AF98">
        <v>69</v>
      </c>
      <c r="AG98">
        <v>69.5</v>
      </c>
    </row>
    <row r="99" spans="31:33" x14ac:dyDescent="0.45">
      <c r="AE99" t="s">
        <v>109</v>
      </c>
      <c r="AF99">
        <v>69</v>
      </c>
      <c r="AG99">
        <v>65</v>
      </c>
    </row>
    <row r="100" spans="31:33" x14ac:dyDescent="0.45">
      <c r="AE100" t="s">
        <v>109</v>
      </c>
      <c r="AF100">
        <v>79.5</v>
      </c>
      <c r="AG100">
        <v>78</v>
      </c>
    </row>
    <row r="101" spans="31:33" x14ac:dyDescent="0.45">
      <c r="AE101" t="s">
        <v>109</v>
      </c>
      <c r="AF101">
        <v>86.5</v>
      </c>
      <c r="AG101">
        <v>85.5</v>
      </c>
    </row>
    <row r="102" spans="31:33" x14ac:dyDescent="0.45">
      <c r="AE102" t="s">
        <v>110</v>
      </c>
      <c r="AF102" t="s">
        <v>91</v>
      </c>
    </row>
    <row r="103" spans="31:33" x14ac:dyDescent="0.45">
      <c r="AE103" t="s">
        <v>110</v>
      </c>
      <c r="AF103">
        <v>67</v>
      </c>
      <c r="AG103">
        <v>66.5</v>
      </c>
    </row>
    <row r="104" spans="31:33" x14ac:dyDescent="0.45">
      <c r="AE104" t="s">
        <v>110</v>
      </c>
      <c r="AF104">
        <v>80.5</v>
      </c>
      <c r="AG104">
        <v>77.5</v>
      </c>
    </row>
    <row r="105" spans="31:33" x14ac:dyDescent="0.45">
      <c r="AE105" t="s">
        <v>110</v>
      </c>
      <c r="AF105">
        <v>85</v>
      </c>
      <c r="AG105">
        <v>78</v>
      </c>
    </row>
    <row r="106" spans="31:33" x14ac:dyDescent="0.45">
      <c r="AE106" t="s">
        <v>110</v>
      </c>
      <c r="AF106">
        <v>61</v>
      </c>
      <c r="AG106">
        <v>63.5</v>
      </c>
    </row>
    <row r="107" spans="31:33" x14ac:dyDescent="0.45">
      <c r="AE107" t="s">
        <v>110</v>
      </c>
      <c r="AF107">
        <v>61</v>
      </c>
      <c r="AG107">
        <v>60.5</v>
      </c>
    </row>
    <row r="108" spans="31:33" x14ac:dyDescent="0.45">
      <c r="AE108" t="s">
        <v>110</v>
      </c>
      <c r="AF108">
        <v>70</v>
      </c>
      <c r="AG108">
        <v>66</v>
      </c>
    </row>
    <row r="109" spans="31:33" x14ac:dyDescent="0.45">
      <c r="AE109" t="s">
        <v>110</v>
      </c>
      <c r="AF109">
        <v>72.5</v>
      </c>
      <c r="AG109">
        <v>71</v>
      </c>
    </row>
    <row r="110" spans="31:33" x14ac:dyDescent="0.45">
      <c r="AE110" t="s">
        <v>110</v>
      </c>
      <c r="AF110">
        <v>72</v>
      </c>
      <c r="AG110">
        <v>68</v>
      </c>
    </row>
    <row r="111" spans="31:33" x14ac:dyDescent="0.45">
      <c r="AE111" t="s">
        <v>110</v>
      </c>
      <c r="AF111">
        <v>65</v>
      </c>
      <c r="AG111">
        <v>60</v>
      </c>
    </row>
    <row r="112" spans="31:33" x14ac:dyDescent="0.45">
      <c r="AE112" t="s">
        <v>110</v>
      </c>
      <c r="AF112">
        <v>65</v>
      </c>
      <c r="AG112">
        <v>57.5</v>
      </c>
    </row>
    <row r="113" spans="31:33" x14ac:dyDescent="0.45">
      <c r="AE113" t="s">
        <v>111</v>
      </c>
      <c r="AF113" t="s">
        <v>92</v>
      </c>
    </row>
    <row r="114" spans="31:33" x14ac:dyDescent="0.45">
      <c r="AE114" t="s">
        <v>111</v>
      </c>
      <c r="AF114">
        <v>67</v>
      </c>
      <c r="AG114">
        <v>59</v>
      </c>
    </row>
    <row r="115" spans="31:33" x14ac:dyDescent="0.45">
      <c r="AE115" t="s">
        <v>111</v>
      </c>
      <c r="AF115">
        <v>62.5</v>
      </c>
      <c r="AG115">
        <v>61</v>
      </c>
    </row>
    <row r="116" spans="31:33" x14ac:dyDescent="0.45">
      <c r="AE116" t="s">
        <v>111</v>
      </c>
      <c r="AF116">
        <v>78</v>
      </c>
      <c r="AG116">
        <v>67</v>
      </c>
    </row>
    <row r="117" spans="31:33" x14ac:dyDescent="0.45">
      <c r="AE117" t="s">
        <v>111</v>
      </c>
      <c r="AF117">
        <v>72</v>
      </c>
      <c r="AG117">
        <v>66</v>
      </c>
    </row>
    <row r="118" spans="31:33" x14ac:dyDescent="0.45">
      <c r="AE118" t="s">
        <v>111</v>
      </c>
      <c r="AF118">
        <v>63</v>
      </c>
      <c r="AG118">
        <v>63</v>
      </c>
    </row>
    <row r="119" spans="31:33" x14ac:dyDescent="0.45">
      <c r="AE119" t="s">
        <v>111</v>
      </c>
      <c r="AF119">
        <v>85</v>
      </c>
      <c r="AG119">
        <v>79</v>
      </c>
    </row>
    <row r="120" spans="31:33" x14ac:dyDescent="0.45">
      <c r="AE120" t="s">
        <v>111</v>
      </c>
      <c r="AF120">
        <v>61.5</v>
      </c>
      <c r="AG120">
        <v>72</v>
      </c>
    </row>
    <row r="121" spans="31:33" x14ac:dyDescent="0.45">
      <c r="AE121" t="s">
        <v>111</v>
      </c>
      <c r="AF121">
        <v>70</v>
      </c>
      <c r="AG121">
        <v>69</v>
      </c>
    </row>
    <row r="122" spans="31:33" x14ac:dyDescent="0.45">
      <c r="AE122" t="s">
        <v>111</v>
      </c>
      <c r="AF122">
        <v>70</v>
      </c>
      <c r="AG122">
        <v>68.5</v>
      </c>
    </row>
    <row r="123" spans="31:33" x14ac:dyDescent="0.45">
      <c r="AE123" t="s">
        <v>111</v>
      </c>
      <c r="AF123">
        <v>67</v>
      </c>
      <c r="AG123">
        <v>65.5</v>
      </c>
    </row>
    <row r="124" spans="31:33" x14ac:dyDescent="0.45">
      <c r="AE124" t="s">
        <v>112</v>
      </c>
      <c r="AF124" t="s">
        <v>93</v>
      </c>
    </row>
    <row r="125" spans="31:33" x14ac:dyDescent="0.45">
      <c r="AE125" t="s">
        <v>112</v>
      </c>
      <c r="AF125">
        <v>87.5</v>
      </c>
      <c r="AG125">
        <v>87.5</v>
      </c>
    </row>
    <row r="126" spans="31:33" x14ac:dyDescent="0.45">
      <c r="AE126" t="s">
        <v>112</v>
      </c>
      <c r="AF126">
        <v>72</v>
      </c>
      <c r="AG126">
        <v>70.5</v>
      </c>
    </row>
    <row r="127" spans="31:33" x14ac:dyDescent="0.45">
      <c r="AE127" t="s">
        <v>112</v>
      </c>
      <c r="AF127">
        <v>72</v>
      </c>
      <c r="AG127">
        <v>65</v>
      </c>
    </row>
    <row r="128" spans="31:33" x14ac:dyDescent="0.45">
      <c r="AE128" t="s">
        <v>112</v>
      </c>
      <c r="AF128">
        <v>77</v>
      </c>
      <c r="AG128">
        <v>82</v>
      </c>
    </row>
    <row r="129" spans="31:33" x14ac:dyDescent="0.45">
      <c r="AE129" t="s">
        <v>112</v>
      </c>
      <c r="AF129">
        <v>65</v>
      </c>
      <c r="AG129">
        <v>66.5</v>
      </c>
    </row>
    <row r="130" spans="31:33" x14ac:dyDescent="0.45">
      <c r="AE130" t="s">
        <v>112</v>
      </c>
      <c r="AF130">
        <v>70</v>
      </c>
      <c r="AG130">
        <v>68.5</v>
      </c>
    </row>
    <row r="131" spans="31:33" x14ac:dyDescent="0.45">
      <c r="AE131" t="s">
        <v>112</v>
      </c>
      <c r="AF131">
        <v>69.5</v>
      </c>
      <c r="AG131">
        <v>73</v>
      </c>
    </row>
    <row r="132" spans="31:33" x14ac:dyDescent="0.45">
      <c r="AE132" t="s">
        <v>112</v>
      </c>
      <c r="AF132">
        <v>89.5</v>
      </c>
      <c r="AG132">
        <v>86</v>
      </c>
    </row>
    <row r="133" spans="31:33" x14ac:dyDescent="0.45">
      <c r="AE133" t="s">
        <v>112</v>
      </c>
      <c r="AF133">
        <v>67.5</v>
      </c>
      <c r="AG133">
        <v>64</v>
      </c>
    </row>
    <row r="134" spans="31:33" x14ac:dyDescent="0.45">
      <c r="AE134" t="s">
        <v>112</v>
      </c>
      <c r="AF134">
        <v>61</v>
      </c>
      <c r="AG134">
        <v>59.5</v>
      </c>
    </row>
    <row r="135" spans="31:33" x14ac:dyDescent="0.45">
      <c r="AE135" t="s">
        <v>113</v>
      </c>
      <c r="AF135" t="s">
        <v>94</v>
      </c>
    </row>
    <row r="136" spans="31:33" x14ac:dyDescent="0.45">
      <c r="AE136" t="s">
        <v>113</v>
      </c>
      <c r="AF136">
        <v>68.5</v>
      </c>
      <c r="AG136">
        <v>66.5</v>
      </c>
    </row>
    <row r="137" spans="31:33" x14ac:dyDescent="0.45">
      <c r="AE137" t="s">
        <v>113</v>
      </c>
      <c r="AF137">
        <v>65.5</v>
      </c>
      <c r="AG137">
        <v>71</v>
      </c>
    </row>
    <row r="138" spans="31:33" x14ac:dyDescent="0.45">
      <c r="AE138" t="s">
        <v>113</v>
      </c>
      <c r="AF138">
        <v>82</v>
      </c>
      <c r="AG138">
        <v>85.5</v>
      </c>
    </row>
    <row r="139" spans="31:33" x14ac:dyDescent="0.45">
      <c r="AE139" t="s">
        <v>113</v>
      </c>
      <c r="AF139">
        <v>68</v>
      </c>
      <c r="AG139">
        <v>68.5</v>
      </c>
    </row>
    <row r="140" spans="31:33" x14ac:dyDescent="0.45">
      <c r="AE140" t="s">
        <v>113</v>
      </c>
      <c r="AF140">
        <v>73</v>
      </c>
      <c r="AG140">
        <v>75.5</v>
      </c>
    </row>
    <row r="141" spans="31:33" x14ac:dyDescent="0.45">
      <c r="AE141" t="s">
        <v>113</v>
      </c>
      <c r="AF141">
        <v>68</v>
      </c>
      <c r="AG141">
        <v>62.5</v>
      </c>
    </row>
    <row r="142" spans="31:33" x14ac:dyDescent="0.45">
      <c r="AE142" t="s">
        <v>113</v>
      </c>
      <c r="AF142">
        <v>70.5</v>
      </c>
      <c r="AG142">
        <v>68</v>
      </c>
    </row>
    <row r="143" spans="31:33" x14ac:dyDescent="0.45">
      <c r="AE143" t="s">
        <v>113</v>
      </c>
      <c r="AF143">
        <v>77.5</v>
      </c>
      <c r="AG143">
        <v>73.5</v>
      </c>
    </row>
    <row r="144" spans="31:33" x14ac:dyDescent="0.45">
      <c r="AE144" t="s">
        <v>113</v>
      </c>
      <c r="AF144">
        <v>67</v>
      </c>
      <c r="AG144">
        <v>69</v>
      </c>
    </row>
    <row r="145" spans="31:33" x14ac:dyDescent="0.45">
      <c r="AE145" t="s">
        <v>113</v>
      </c>
      <c r="AF145">
        <v>70.5</v>
      </c>
      <c r="AG145">
        <v>70</v>
      </c>
    </row>
    <row r="146" spans="31:33" x14ac:dyDescent="0.45">
      <c r="AE146" t="s">
        <v>114</v>
      </c>
      <c r="AF146" t="s">
        <v>95</v>
      </c>
    </row>
    <row r="147" spans="31:33" x14ac:dyDescent="0.45">
      <c r="AE147" t="s">
        <v>114</v>
      </c>
      <c r="AF147">
        <v>69</v>
      </c>
      <c r="AG147">
        <v>71.5</v>
      </c>
    </row>
    <row r="148" spans="31:33" x14ac:dyDescent="0.45">
      <c r="AE148" t="s">
        <v>114</v>
      </c>
      <c r="AF148">
        <v>69.5</v>
      </c>
      <c r="AG148">
        <v>67</v>
      </c>
    </row>
    <row r="149" spans="31:33" x14ac:dyDescent="0.45">
      <c r="AE149" t="s">
        <v>114</v>
      </c>
      <c r="AF149">
        <v>69.5</v>
      </c>
      <c r="AG149">
        <v>63.5</v>
      </c>
    </row>
    <row r="150" spans="31:33" x14ac:dyDescent="0.45">
      <c r="AE150" t="s">
        <v>114</v>
      </c>
      <c r="AF150">
        <v>75</v>
      </c>
      <c r="AG150">
        <v>69.5</v>
      </c>
    </row>
    <row r="151" spans="31:33" x14ac:dyDescent="0.45">
      <c r="AE151" t="s">
        <v>114</v>
      </c>
      <c r="AF151">
        <v>72.5</v>
      </c>
      <c r="AG151">
        <v>70</v>
      </c>
    </row>
    <row r="152" spans="31:33" x14ac:dyDescent="0.45">
      <c r="AE152" t="s">
        <v>114</v>
      </c>
      <c r="AF152">
        <v>72.5</v>
      </c>
      <c r="AG152">
        <v>70.5</v>
      </c>
    </row>
    <row r="153" spans="31:33" x14ac:dyDescent="0.45">
      <c r="AE153" t="s">
        <v>114</v>
      </c>
      <c r="AF153">
        <v>63</v>
      </c>
      <c r="AG153">
        <v>71</v>
      </c>
    </row>
    <row r="154" spans="31:33" x14ac:dyDescent="0.45">
      <c r="AE154" t="s">
        <v>114</v>
      </c>
      <c r="AF154">
        <v>71.5</v>
      </c>
      <c r="AG154">
        <v>68</v>
      </c>
    </row>
    <row r="155" spans="31:33" x14ac:dyDescent="0.45">
      <c r="AE155" t="s">
        <v>114</v>
      </c>
      <c r="AF155">
        <v>87.5</v>
      </c>
      <c r="AG155">
        <v>71</v>
      </c>
    </row>
    <row r="156" spans="31:33" x14ac:dyDescent="0.45">
      <c r="AE156" t="s">
        <v>114</v>
      </c>
      <c r="AF156">
        <v>69</v>
      </c>
      <c r="AG156">
        <v>68</v>
      </c>
    </row>
    <row r="157" spans="31:33" x14ac:dyDescent="0.45">
      <c r="AE157" t="s">
        <v>115</v>
      </c>
      <c r="AF157" t="s">
        <v>96</v>
      </c>
    </row>
    <row r="158" spans="31:33" x14ac:dyDescent="0.45">
      <c r="AE158" t="s">
        <v>115</v>
      </c>
      <c r="AF158">
        <v>74</v>
      </c>
      <c r="AG158">
        <v>69</v>
      </c>
    </row>
    <row r="159" spans="31:33" x14ac:dyDescent="0.45">
      <c r="AE159" t="s">
        <v>115</v>
      </c>
      <c r="AF159">
        <v>67</v>
      </c>
      <c r="AG159">
        <v>66.5</v>
      </c>
    </row>
    <row r="160" spans="31:33" x14ac:dyDescent="0.45">
      <c r="AE160" t="s">
        <v>115</v>
      </c>
      <c r="AF160">
        <v>71.5</v>
      </c>
      <c r="AG160">
        <v>65</v>
      </c>
    </row>
    <row r="161" spans="31:33" x14ac:dyDescent="0.45">
      <c r="AE161" t="s">
        <v>115</v>
      </c>
      <c r="AF161">
        <v>71.5</v>
      </c>
      <c r="AG161">
        <v>75</v>
      </c>
    </row>
    <row r="162" spans="31:33" x14ac:dyDescent="0.45">
      <c r="AE162" t="s">
        <v>115</v>
      </c>
      <c r="AF162">
        <v>76</v>
      </c>
      <c r="AG162">
        <v>78</v>
      </c>
    </row>
    <row r="163" spans="31:33" x14ac:dyDescent="0.45">
      <c r="AE163" t="s">
        <v>115</v>
      </c>
      <c r="AF163">
        <v>65.5</v>
      </c>
      <c r="AG163">
        <v>65.5</v>
      </c>
    </row>
    <row r="164" spans="31:33" x14ac:dyDescent="0.45">
      <c r="AE164" t="s">
        <v>115</v>
      </c>
      <c r="AF164">
        <v>61.5</v>
      </c>
      <c r="AG164">
        <v>61.5</v>
      </c>
    </row>
    <row r="165" spans="31:33" x14ac:dyDescent="0.45">
      <c r="AE165" t="s">
        <v>115</v>
      </c>
      <c r="AF165">
        <v>73.5</v>
      </c>
      <c r="AG165">
        <v>72</v>
      </c>
    </row>
    <row r="166" spans="31:33" x14ac:dyDescent="0.45">
      <c r="AE166" t="s">
        <v>115</v>
      </c>
      <c r="AF166">
        <v>67</v>
      </c>
      <c r="AG166">
        <v>63</v>
      </c>
    </row>
    <row r="167" spans="31:33" x14ac:dyDescent="0.45">
      <c r="AE167" t="s">
        <v>115</v>
      </c>
      <c r="AF167">
        <v>76</v>
      </c>
      <c r="AG167">
        <v>65</v>
      </c>
    </row>
    <row r="168" spans="31:33" x14ac:dyDescent="0.45">
      <c r="AE168" t="s">
        <v>116</v>
      </c>
      <c r="AF168" t="s">
        <v>97</v>
      </c>
    </row>
    <row r="169" spans="31:33" x14ac:dyDescent="0.45">
      <c r="AE169" t="s">
        <v>116</v>
      </c>
      <c r="AF169">
        <v>72.5</v>
      </c>
      <c r="AG169">
        <v>71.5</v>
      </c>
    </row>
    <row r="170" spans="31:33" x14ac:dyDescent="0.45">
      <c r="AE170" t="s">
        <v>116</v>
      </c>
      <c r="AF170">
        <v>65</v>
      </c>
      <c r="AG170">
        <v>63.5</v>
      </c>
    </row>
    <row r="171" spans="31:33" x14ac:dyDescent="0.45">
      <c r="AE171" t="s">
        <v>116</v>
      </c>
      <c r="AF171">
        <v>66.5</v>
      </c>
      <c r="AG171">
        <v>66.5</v>
      </c>
    </row>
    <row r="172" spans="31:33" x14ac:dyDescent="0.45">
      <c r="AE172" t="s">
        <v>116</v>
      </c>
      <c r="AF172">
        <v>62.5</v>
      </c>
      <c r="AG172">
        <v>66</v>
      </c>
    </row>
    <row r="173" spans="31:33" x14ac:dyDescent="0.45">
      <c r="AE173" t="s">
        <v>116</v>
      </c>
      <c r="AF173">
        <v>71</v>
      </c>
      <c r="AG173">
        <v>71</v>
      </c>
    </row>
    <row r="174" spans="31:33" x14ac:dyDescent="0.45">
      <c r="AE174" t="s">
        <v>116</v>
      </c>
      <c r="AF174">
        <v>70</v>
      </c>
      <c r="AG174">
        <v>76</v>
      </c>
    </row>
    <row r="175" spans="31:33" x14ac:dyDescent="0.45">
      <c r="AE175" t="s">
        <v>116</v>
      </c>
      <c r="AF175">
        <v>70</v>
      </c>
      <c r="AG175">
        <v>70.5</v>
      </c>
    </row>
    <row r="176" spans="31:33" x14ac:dyDescent="0.45">
      <c r="AE176" t="s">
        <v>116</v>
      </c>
      <c r="AF176">
        <v>69.5</v>
      </c>
      <c r="AG176">
        <v>67</v>
      </c>
    </row>
    <row r="177" spans="31:33" x14ac:dyDescent="0.45">
      <c r="AE177" t="s">
        <v>116</v>
      </c>
      <c r="AF177">
        <v>68</v>
      </c>
      <c r="AG177">
        <v>68</v>
      </c>
    </row>
    <row r="178" spans="31:33" x14ac:dyDescent="0.45">
      <c r="AE178" t="s">
        <v>116</v>
      </c>
      <c r="AF178">
        <v>74.5</v>
      </c>
      <c r="AG178">
        <v>74.5</v>
      </c>
    </row>
    <row r="179" spans="31:33" x14ac:dyDescent="0.45">
      <c r="AE179" t="s">
        <v>117</v>
      </c>
      <c r="AF179" t="s">
        <v>98</v>
      </c>
    </row>
    <row r="180" spans="31:33" x14ac:dyDescent="0.45">
      <c r="AE180" t="s">
        <v>117</v>
      </c>
      <c r="AF180">
        <v>83</v>
      </c>
      <c r="AG180">
        <v>82.5</v>
      </c>
    </row>
    <row r="181" spans="31:33" x14ac:dyDescent="0.45">
      <c r="AE181" t="s">
        <v>117</v>
      </c>
      <c r="AF181">
        <v>64.5</v>
      </c>
      <c r="AG181">
        <v>62.5</v>
      </c>
    </row>
    <row r="182" spans="31:33" x14ac:dyDescent="0.45">
      <c r="AE182" t="s">
        <v>117</v>
      </c>
      <c r="AF182">
        <v>73.5</v>
      </c>
      <c r="AG182">
        <v>75</v>
      </c>
    </row>
    <row r="183" spans="31:33" x14ac:dyDescent="0.45">
      <c r="AE183" t="s">
        <v>117</v>
      </c>
      <c r="AF183">
        <v>85</v>
      </c>
      <c r="AG183">
        <v>85.5</v>
      </c>
    </row>
    <row r="184" spans="31:33" x14ac:dyDescent="0.45">
      <c r="AE184" t="s">
        <v>117</v>
      </c>
      <c r="AF184">
        <v>71</v>
      </c>
      <c r="AG184">
        <v>70</v>
      </c>
    </row>
    <row r="185" spans="31:33" x14ac:dyDescent="0.45">
      <c r="AE185" t="s">
        <v>117</v>
      </c>
      <c r="AF185">
        <v>72.5</v>
      </c>
      <c r="AG185">
        <v>71</v>
      </c>
    </row>
    <row r="186" spans="31:33" x14ac:dyDescent="0.45">
      <c r="AE186" t="s">
        <v>117</v>
      </c>
      <c r="AF186">
        <v>66</v>
      </c>
      <c r="AG186">
        <v>69</v>
      </c>
    </row>
    <row r="187" spans="31:33" x14ac:dyDescent="0.45">
      <c r="AE187" t="s">
        <v>117</v>
      </c>
      <c r="AF187">
        <v>72</v>
      </c>
      <c r="AG187">
        <v>65.5</v>
      </c>
    </row>
    <row r="188" spans="31:33" x14ac:dyDescent="0.45">
      <c r="AE188" t="s">
        <v>117</v>
      </c>
      <c r="AF188">
        <v>77.5</v>
      </c>
      <c r="AG188">
        <v>75</v>
      </c>
    </row>
    <row r="189" spans="31:33" x14ac:dyDescent="0.45">
      <c r="AE189" t="s">
        <v>117</v>
      </c>
      <c r="AF189">
        <v>65.5</v>
      </c>
      <c r="AG189">
        <v>65.5</v>
      </c>
    </row>
    <row r="190" spans="31:33" x14ac:dyDescent="0.45">
      <c r="AE190" t="s">
        <v>118</v>
      </c>
      <c r="AF190" t="s">
        <v>99</v>
      </c>
    </row>
    <row r="191" spans="31:33" x14ac:dyDescent="0.45">
      <c r="AE191" t="s">
        <v>118</v>
      </c>
      <c r="AF191">
        <v>68.5</v>
      </c>
      <c r="AG191">
        <v>66</v>
      </c>
    </row>
    <row r="192" spans="31:33" x14ac:dyDescent="0.45">
      <c r="AE192" t="s">
        <v>118</v>
      </c>
      <c r="AF192">
        <v>59.5</v>
      </c>
      <c r="AG192">
        <v>65</v>
      </c>
    </row>
    <row r="193" spans="31:33" x14ac:dyDescent="0.45">
      <c r="AE193" t="s">
        <v>118</v>
      </c>
      <c r="AF193">
        <v>70</v>
      </c>
      <c r="AG193">
        <v>70</v>
      </c>
    </row>
    <row r="194" spans="31:33" x14ac:dyDescent="0.45">
      <c r="AE194" t="s">
        <v>118</v>
      </c>
      <c r="AF194">
        <v>66</v>
      </c>
      <c r="AG194">
        <v>61.5</v>
      </c>
    </row>
    <row r="195" spans="31:33" x14ac:dyDescent="0.45">
      <c r="AE195" t="s">
        <v>118</v>
      </c>
      <c r="AF195">
        <v>69</v>
      </c>
      <c r="AG195">
        <v>73</v>
      </c>
    </row>
    <row r="196" spans="31:33" x14ac:dyDescent="0.45">
      <c r="AE196" t="s">
        <v>118</v>
      </c>
      <c r="AF196">
        <v>79</v>
      </c>
      <c r="AG196">
        <v>66</v>
      </c>
    </row>
    <row r="197" spans="31:33" x14ac:dyDescent="0.45">
      <c r="AE197" t="s">
        <v>118</v>
      </c>
      <c r="AF197">
        <v>65.5</v>
      </c>
      <c r="AG197">
        <v>72.5</v>
      </c>
    </row>
    <row r="198" spans="31:33" x14ac:dyDescent="0.45">
      <c r="AE198" t="s">
        <v>118</v>
      </c>
      <c r="AF198">
        <v>76</v>
      </c>
      <c r="AG198">
        <v>69</v>
      </c>
    </row>
    <row r="199" spans="31:33" x14ac:dyDescent="0.45">
      <c r="AE199" t="s">
        <v>118</v>
      </c>
      <c r="AF199">
        <v>68.5</v>
      </c>
      <c r="AG199">
        <v>66.5</v>
      </c>
    </row>
    <row r="200" spans="31:33" x14ac:dyDescent="0.45">
      <c r="AE200" t="s">
        <v>118</v>
      </c>
      <c r="AF200">
        <v>75.5</v>
      </c>
      <c r="AG200">
        <v>76</v>
      </c>
    </row>
    <row r="201" spans="31:33" x14ac:dyDescent="0.45">
      <c r="AE201" t="s">
        <v>119</v>
      </c>
      <c r="AF201" t="s">
        <v>100</v>
      </c>
    </row>
    <row r="202" spans="31:33" x14ac:dyDescent="0.45">
      <c r="AE202" t="s">
        <v>119</v>
      </c>
      <c r="AF202">
        <v>76</v>
      </c>
      <c r="AG202">
        <v>75</v>
      </c>
    </row>
    <row r="203" spans="31:33" x14ac:dyDescent="0.45">
      <c r="AE203" t="s">
        <v>119</v>
      </c>
      <c r="AF203">
        <v>64.5</v>
      </c>
      <c r="AG203">
        <v>67.5</v>
      </c>
    </row>
    <row r="204" spans="31:33" x14ac:dyDescent="0.45">
      <c r="AE204" t="s">
        <v>119</v>
      </c>
      <c r="AF204">
        <v>85.5</v>
      </c>
      <c r="AG204">
        <v>77.5</v>
      </c>
    </row>
    <row r="205" spans="31:33" x14ac:dyDescent="0.45">
      <c r="AE205" t="s">
        <v>119</v>
      </c>
      <c r="AF205">
        <v>70</v>
      </c>
      <c r="AG205">
        <v>72</v>
      </c>
    </row>
    <row r="206" spans="31:33" x14ac:dyDescent="0.45">
      <c r="AE206" t="s">
        <v>119</v>
      </c>
      <c r="AF206">
        <v>65</v>
      </c>
      <c r="AG206">
        <v>61</v>
      </c>
    </row>
    <row r="207" spans="31:33" x14ac:dyDescent="0.45">
      <c r="AE207" t="s">
        <v>119</v>
      </c>
      <c r="AF207">
        <v>79.5</v>
      </c>
      <c r="AG207">
        <v>69</v>
      </c>
    </row>
    <row r="208" spans="31:33" x14ac:dyDescent="0.45">
      <c r="AE208" t="s">
        <v>119</v>
      </c>
      <c r="AF208">
        <v>70</v>
      </c>
      <c r="AG208">
        <v>67</v>
      </c>
    </row>
    <row r="209" spans="31:33" x14ac:dyDescent="0.45">
      <c r="AE209" t="s">
        <v>119</v>
      </c>
      <c r="AF209">
        <v>69.5</v>
      </c>
      <c r="AG209">
        <v>67.5</v>
      </c>
    </row>
    <row r="210" spans="31:33" x14ac:dyDescent="0.45">
      <c r="AE210" t="s">
        <v>120</v>
      </c>
      <c r="AF210">
        <v>65</v>
      </c>
      <c r="AG210">
        <v>64.5</v>
      </c>
    </row>
    <row r="211" spans="31:33" x14ac:dyDescent="0.45">
      <c r="AE211" t="s">
        <v>120</v>
      </c>
      <c r="AF211">
        <v>74</v>
      </c>
      <c r="AG211">
        <v>75</v>
      </c>
    </row>
  </sheetData>
  <conditionalFormatting sqref="D27:AA37">
    <cfRule type="cellIs" dxfId="8" priority="2" operator="lessThan">
      <formula>0</formula>
    </cfRule>
  </conditionalFormatting>
  <conditionalFormatting sqref="C27:C37">
    <cfRule type="cellIs" dxfId="7" priority="1" operator="less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B518-E64A-4658-99E9-F4CB5C308463}">
  <sheetPr codeName="Sheet9"/>
  <dimension ref="A2:AG211"/>
  <sheetViews>
    <sheetView workbookViewId="0">
      <selection activeCell="AE3" sqref="AE3"/>
    </sheetView>
  </sheetViews>
  <sheetFormatPr defaultRowHeight="14.25" x14ac:dyDescent="0.45"/>
  <cols>
    <col min="2" max="2" width="10.59765625" bestFit="1" customWidth="1"/>
    <col min="4" max="27" width="5.33203125" customWidth="1"/>
  </cols>
  <sheetData>
    <row r="2" spans="1:33" x14ac:dyDescent="0.45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</row>
    <row r="3" spans="1:33" x14ac:dyDescent="0.45">
      <c r="A3">
        <v>0</v>
      </c>
      <c r="B3" s="6" t="s">
        <v>66</v>
      </c>
      <c r="C3" s="6">
        <f>SUM(D3:AA3)</f>
        <v>1335.5</v>
      </c>
      <c r="D3" s="6">
        <v>67</v>
      </c>
      <c r="E3" s="6">
        <v>72.5</v>
      </c>
      <c r="F3" s="6">
        <v>58</v>
      </c>
      <c r="G3" s="6">
        <v>69</v>
      </c>
      <c r="H3" s="6">
        <v>77.5</v>
      </c>
      <c r="I3" s="6">
        <v>73.5</v>
      </c>
      <c r="J3" s="6">
        <v>73</v>
      </c>
      <c r="K3" s="6">
        <v>63</v>
      </c>
      <c r="L3" s="6">
        <v>67</v>
      </c>
      <c r="M3" s="6">
        <v>66.5</v>
      </c>
      <c r="N3" s="6">
        <v>59</v>
      </c>
      <c r="O3" s="6">
        <v>87.5</v>
      </c>
      <c r="P3" s="6">
        <v>66.5</v>
      </c>
      <c r="Q3" s="6">
        <v>71.5</v>
      </c>
      <c r="R3" s="6">
        <v>69</v>
      </c>
      <c r="S3" s="6">
        <v>71.5</v>
      </c>
      <c r="T3" s="6">
        <v>82.5</v>
      </c>
      <c r="U3" s="6">
        <v>66</v>
      </c>
      <c r="V3" s="6">
        <v>75</v>
      </c>
      <c r="W3" s="6"/>
      <c r="X3" s="6"/>
      <c r="Y3" s="6"/>
      <c r="Z3" s="6"/>
      <c r="AA3" s="6"/>
      <c r="AC3">
        <f>COUNTIF(D3:AA12,"&gt;70")</f>
        <v>74</v>
      </c>
      <c r="AE3" t="s">
        <v>121</v>
      </c>
      <c r="AF3" t="s">
        <v>83</v>
      </c>
    </row>
    <row r="4" spans="1:33" x14ac:dyDescent="0.45">
      <c r="A4">
        <v>1</v>
      </c>
      <c r="B4" s="6" t="s">
        <v>67</v>
      </c>
      <c r="C4" s="6">
        <f t="shared" ref="C4:C12" si="0">SUM(D4:AA4)</f>
        <v>1300.5</v>
      </c>
      <c r="D4" s="6">
        <v>67.5</v>
      </c>
      <c r="E4" s="6">
        <v>72</v>
      </c>
      <c r="F4" s="6">
        <v>69.5</v>
      </c>
      <c r="G4" s="6">
        <v>72.5</v>
      </c>
      <c r="H4" s="6">
        <v>82</v>
      </c>
      <c r="I4" s="6">
        <v>64</v>
      </c>
      <c r="J4" s="6">
        <v>65.5</v>
      </c>
      <c r="K4" s="6">
        <v>65.5</v>
      </c>
      <c r="L4" s="6">
        <v>70</v>
      </c>
      <c r="M4" s="6">
        <v>77.5</v>
      </c>
      <c r="N4" s="6">
        <v>61</v>
      </c>
      <c r="O4" s="6">
        <v>70.5</v>
      </c>
      <c r="P4" s="6">
        <v>71</v>
      </c>
      <c r="Q4" s="6">
        <v>67</v>
      </c>
      <c r="R4" s="6">
        <v>66.5</v>
      </c>
      <c r="S4" s="6">
        <v>63.5</v>
      </c>
      <c r="T4" s="6">
        <v>62.5</v>
      </c>
      <c r="U4" s="6">
        <v>65</v>
      </c>
      <c r="V4" s="6">
        <v>67.5</v>
      </c>
      <c r="W4" s="6"/>
      <c r="X4" s="6"/>
      <c r="Y4" s="6"/>
      <c r="Z4" s="6"/>
      <c r="AA4" s="6"/>
      <c r="AE4" t="s">
        <v>121</v>
      </c>
      <c r="AF4">
        <v>80</v>
      </c>
      <c r="AG4">
        <v>67</v>
      </c>
    </row>
    <row r="5" spans="1:33" x14ac:dyDescent="0.45">
      <c r="A5">
        <v>2</v>
      </c>
      <c r="B5" s="6" t="s">
        <v>68</v>
      </c>
      <c r="C5" s="6">
        <f t="shared" si="0"/>
        <v>1375</v>
      </c>
      <c r="D5" s="6">
        <v>72.5</v>
      </c>
      <c r="E5" s="6">
        <v>69</v>
      </c>
      <c r="F5" s="6">
        <v>82</v>
      </c>
      <c r="G5" s="6">
        <v>68</v>
      </c>
      <c r="H5" s="6">
        <v>74.5</v>
      </c>
      <c r="I5" s="6">
        <v>74</v>
      </c>
      <c r="J5" s="6">
        <v>72.5</v>
      </c>
      <c r="K5" s="6">
        <v>77.5</v>
      </c>
      <c r="L5" s="6">
        <v>72</v>
      </c>
      <c r="M5" s="6">
        <v>78</v>
      </c>
      <c r="N5" s="6">
        <v>67</v>
      </c>
      <c r="O5" s="6">
        <v>65</v>
      </c>
      <c r="P5" s="6">
        <v>85.5</v>
      </c>
      <c r="Q5" s="6">
        <v>63.5</v>
      </c>
      <c r="R5" s="6">
        <v>65</v>
      </c>
      <c r="S5" s="6">
        <v>66.5</v>
      </c>
      <c r="T5" s="6">
        <v>75</v>
      </c>
      <c r="U5" s="6">
        <v>70</v>
      </c>
      <c r="V5" s="6">
        <v>77.5</v>
      </c>
      <c r="W5" s="6"/>
      <c r="X5" s="6"/>
      <c r="Y5" s="6"/>
      <c r="Z5" s="6"/>
      <c r="AA5" s="6"/>
      <c r="AE5" t="s">
        <v>121</v>
      </c>
      <c r="AF5">
        <v>74</v>
      </c>
      <c r="AG5">
        <v>67.5</v>
      </c>
    </row>
    <row r="6" spans="1:33" x14ac:dyDescent="0.45">
      <c r="A6">
        <v>3</v>
      </c>
      <c r="B6" s="6" t="s">
        <v>69</v>
      </c>
      <c r="C6" s="6">
        <f t="shared" si="0"/>
        <v>1298</v>
      </c>
      <c r="D6" s="6">
        <v>70</v>
      </c>
      <c r="E6" s="6">
        <v>65</v>
      </c>
      <c r="F6" s="6">
        <v>63</v>
      </c>
      <c r="G6" s="6">
        <v>63.5</v>
      </c>
      <c r="H6" s="6">
        <v>62.5</v>
      </c>
      <c r="I6" s="6">
        <v>64</v>
      </c>
      <c r="J6" s="6">
        <v>66.5</v>
      </c>
      <c r="K6" s="6">
        <v>64</v>
      </c>
      <c r="L6" s="6">
        <v>70</v>
      </c>
      <c r="M6" s="6">
        <v>63.5</v>
      </c>
      <c r="N6" s="6">
        <v>66</v>
      </c>
      <c r="O6" s="6">
        <v>82</v>
      </c>
      <c r="P6" s="6">
        <v>68.5</v>
      </c>
      <c r="Q6" s="6">
        <v>69.5</v>
      </c>
      <c r="R6" s="6">
        <v>75</v>
      </c>
      <c r="S6" s="6">
        <v>66</v>
      </c>
      <c r="T6" s="6">
        <v>85.5</v>
      </c>
      <c r="U6" s="6">
        <v>61.5</v>
      </c>
      <c r="V6" s="6">
        <v>72</v>
      </c>
      <c r="W6" s="6"/>
      <c r="X6" s="6"/>
      <c r="Y6" s="6"/>
      <c r="Z6" s="6"/>
      <c r="AA6" s="6"/>
      <c r="AE6" t="s">
        <v>121</v>
      </c>
      <c r="AF6">
        <v>79</v>
      </c>
      <c r="AG6">
        <v>72.5</v>
      </c>
    </row>
    <row r="7" spans="1:33" x14ac:dyDescent="0.45">
      <c r="A7">
        <v>4</v>
      </c>
      <c r="B7" s="6" t="s">
        <v>71</v>
      </c>
      <c r="C7" s="6">
        <f t="shared" si="0"/>
        <v>1291.5</v>
      </c>
      <c r="D7" s="6">
        <v>72</v>
      </c>
      <c r="E7" s="6">
        <v>75</v>
      </c>
      <c r="F7" s="6">
        <v>71</v>
      </c>
      <c r="G7" s="6">
        <v>62.5</v>
      </c>
      <c r="H7" s="6">
        <v>67.5</v>
      </c>
      <c r="I7" s="6">
        <v>66.5</v>
      </c>
      <c r="J7" s="6">
        <v>62</v>
      </c>
      <c r="K7" s="6">
        <v>58.5</v>
      </c>
      <c r="L7" s="6">
        <v>68</v>
      </c>
      <c r="M7" s="6">
        <v>60.5</v>
      </c>
      <c r="N7" s="6">
        <v>63</v>
      </c>
      <c r="O7" s="6">
        <v>66.5</v>
      </c>
      <c r="P7" s="6">
        <v>75.5</v>
      </c>
      <c r="Q7" s="6">
        <v>70</v>
      </c>
      <c r="R7" s="6">
        <v>78</v>
      </c>
      <c r="S7" s="6">
        <v>71</v>
      </c>
      <c r="T7" s="6">
        <v>70</v>
      </c>
      <c r="U7" s="6">
        <v>73</v>
      </c>
      <c r="V7" s="6">
        <v>61</v>
      </c>
      <c r="W7" s="6"/>
      <c r="X7" s="6"/>
      <c r="Y7" s="6"/>
      <c r="Z7" s="6"/>
      <c r="AA7" s="6"/>
      <c r="AE7" t="s">
        <v>121</v>
      </c>
      <c r="AF7">
        <v>76.5</v>
      </c>
      <c r="AG7">
        <v>70</v>
      </c>
    </row>
    <row r="8" spans="1:33" x14ac:dyDescent="0.45">
      <c r="A8">
        <v>5</v>
      </c>
      <c r="B8" s="6" t="s">
        <v>70</v>
      </c>
      <c r="C8" s="6">
        <f t="shared" si="0"/>
        <v>1322</v>
      </c>
      <c r="D8" s="6">
        <v>61.5</v>
      </c>
      <c r="E8" s="6">
        <v>85.5</v>
      </c>
      <c r="F8" s="6">
        <v>74</v>
      </c>
      <c r="G8" s="6">
        <v>74</v>
      </c>
      <c r="H8" s="6">
        <v>74</v>
      </c>
      <c r="I8" s="6">
        <v>66.5</v>
      </c>
      <c r="J8" s="6">
        <v>61</v>
      </c>
      <c r="K8" s="6">
        <v>65.5</v>
      </c>
      <c r="L8" s="6">
        <v>66</v>
      </c>
      <c r="M8" s="6">
        <v>66</v>
      </c>
      <c r="N8" s="6">
        <v>79</v>
      </c>
      <c r="O8" s="6">
        <v>68.5</v>
      </c>
      <c r="P8" s="6">
        <v>62.5</v>
      </c>
      <c r="Q8" s="6">
        <v>70.5</v>
      </c>
      <c r="R8" s="6">
        <v>65.5</v>
      </c>
      <c r="S8" s="6">
        <v>76</v>
      </c>
      <c r="T8" s="6">
        <v>71</v>
      </c>
      <c r="U8" s="6">
        <v>66</v>
      </c>
      <c r="V8" s="6">
        <v>69</v>
      </c>
      <c r="W8" s="6"/>
      <c r="X8" s="6"/>
      <c r="Y8" s="6"/>
      <c r="Z8" s="6"/>
      <c r="AA8" s="6"/>
      <c r="AE8" t="s">
        <v>121</v>
      </c>
      <c r="AF8">
        <v>77</v>
      </c>
      <c r="AG8">
        <v>72</v>
      </c>
    </row>
    <row r="9" spans="1:33" x14ac:dyDescent="0.45">
      <c r="A9">
        <v>6</v>
      </c>
      <c r="B9" s="6" t="s">
        <v>72</v>
      </c>
      <c r="C9" s="6">
        <f t="shared" si="0"/>
        <v>1321</v>
      </c>
      <c r="D9" s="6">
        <v>67.5</v>
      </c>
      <c r="E9" s="6">
        <v>72.5</v>
      </c>
      <c r="F9" s="6">
        <v>66.5</v>
      </c>
      <c r="G9" s="6">
        <v>71</v>
      </c>
      <c r="H9" s="6">
        <v>77</v>
      </c>
      <c r="I9" s="6">
        <v>61</v>
      </c>
      <c r="J9" s="6">
        <v>68.5</v>
      </c>
      <c r="K9" s="6">
        <v>72</v>
      </c>
      <c r="L9" s="6">
        <v>69.5</v>
      </c>
      <c r="M9" s="6">
        <v>71</v>
      </c>
      <c r="N9" s="6">
        <v>72</v>
      </c>
      <c r="O9" s="6">
        <v>73</v>
      </c>
      <c r="P9" s="6">
        <v>68</v>
      </c>
      <c r="Q9" s="6">
        <v>71</v>
      </c>
      <c r="R9" s="6">
        <v>61.5</v>
      </c>
      <c r="S9" s="6">
        <v>70.5</v>
      </c>
      <c r="T9" s="6">
        <v>69</v>
      </c>
      <c r="U9" s="6">
        <v>72.5</v>
      </c>
      <c r="V9" s="6">
        <v>67</v>
      </c>
      <c r="W9" s="6"/>
      <c r="X9" s="6"/>
      <c r="Y9" s="6"/>
      <c r="Z9" s="6"/>
      <c r="AA9" s="6"/>
      <c r="AE9" t="s">
        <v>121</v>
      </c>
      <c r="AF9">
        <v>68.5</v>
      </c>
      <c r="AG9">
        <v>61.5</v>
      </c>
    </row>
    <row r="10" spans="1:33" x14ac:dyDescent="0.45">
      <c r="A10">
        <v>7</v>
      </c>
      <c r="B10" s="6" t="s">
        <v>75</v>
      </c>
      <c r="C10" s="6">
        <f t="shared" si="0"/>
        <v>1330.5</v>
      </c>
      <c r="D10" s="6">
        <v>76</v>
      </c>
      <c r="E10" s="6">
        <v>70</v>
      </c>
      <c r="F10" s="6">
        <v>61.5</v>
      </c>
      <c r="G10" s="6">
        <v>80</v>
      </c>
      <c r="H10" s="6">
        <v>70.5</v>
      </c>
      <c r="I10" s="6">
        <v>69.5</v>
      </c>
      <c r="J10" s="6">
        <v>66.5</v>
      </c>
      <c r="K10" s="6">
        <v>66</v>
      </c>
      <c r="L10" s="6">
        <v>65</v>
      </c>
      <c r="M10" s="6">
        <v>68</v>
      </c>
      <c r="N10" s="6">
        <v>69</v>
      </c>
      <c r="O10" s="6">
        <v>86</v>
      </c>
      <c r="P10" s="6">
        <v>73.5</v>
      </c>
      <c r="Q10" s="6">
        <v>68</v>
      </c>
      <c r="R10" s="6">
        <v>72</v>
      </c>
      <c r="S10" s="6">
        <v>67</v>
      </c>
      <c r="T10" s="6">
        <v>65.5</v>
      </c>
      <c r="U10" s="6">
        <v>69</v>
      </c>
      <c r="V10" s="6">
        <v>67.5</v>
      </c>
      <c r="W10" s="6"/>
      <c r="X10" s="6"/>
      <c r="Y10" s="6"/>
      <c r="Z10" s="6"/>
      <c r="AA10" s="6"/>
      <c r="AE10" t="s">
        <v>121</v>
      </c>
      <c r="AF10">
        <v>75.5</v>
      </c>
      <c r="AG10">
        <v>67.5</v>
      </c>
    </row>
    <row r="11" spans="1:33" x14ac:dyDescent="0.45">
      <c r="A11">
        <v>8</v>
      </c>
      <c r="B11" s="6" t="s">
        <v>73</v>
      </c>
      <c r="C11" s="6">
        <f t="shared" si="0"/>
        <v>1295</v>
      </c>
      <c r="D11" s="6">
        <v>73</v>
      </c>
      <c r="E11" s="6">
        <v>71.5</v>
      </c>
      <c r="F11" s="6">
        <v>65.5</v>
      </c>
      <c r="G11" s="6">
        <v>68.5</v>
      </c>
      <c r="H11" s="6">
        <v>68.5</v>
      </c>
      <c r="I11" s="6">
        <v>66.5</v>
      </c>
      <c r="J11" s="6">
        <v>68</v>
      </c>
      <c r="K11" s="6">
        <v>66</v>
      </c>
      <c r="L11" s="6">
        <v>78</v>
      </c>
      <c r="M11" s="6">
        <v>60</v>
      </c>
      <c r="N11" s="6">
        <v>68.5</v>
      </c>
      <c r="O11" s="6">
        <v>64</v>
      </c>
      <c r="P11" s="6">
        <v>69</v>
      </c>
      <c r="Q11" s="6">
        <v>71</v>
      </c>
      <c r="R11" s="6">
        <v>63</v>
      </c>
      <c r="S11" s="6">
        <v>68</v>
      </c>
      <c r="T11" s="6">
        <v>75</v>
      </c>
      <c r="U11" s="6">
        <v>66.5</v>
      </c>
      <c r="V11" s="6">
        <v>64.5</v>
      </c>
      <c r="W11" s="6"/>
      <c r="X11" s="6"/>
      <c r="Y11" s="6"/>
      <c r="Z11" s="6"/>
      <c r="AA11" s="6"/>
      <c r="AE11" t="s">
        <v>121</v>
      </c>
      <c r="AF11">
        <v>80</v>
      </c>
      <c r="AG11">
        <v>76</v>
      </c>
    </row>
    <row r="12" spans="1:33" x14ac:dyDescent="0.45">
      <c r="A12">
        <v>9</v>
      </c>
      <c r="B12" s="6" t="s">
        <v>74</v>
      </c>
      <c r="C12" s="6">
        <f t="shared" si="0"/>
        <v>1353</v>
      </c>
      <c r="D12" s="6">
        <v>74</v>
      </c>
      <c r="E12" s="6">
        <v>69</v>
      </c>
      <c r="F12" s="6">
        <v>82</v>
      </c>
      <c r="G12" s="6">
        <v>67</v>
      </c>
      <c r="H12" s="6">
        <v>66</v>
      </c>
      <c r="I12" s="6">
        <v>86.5</v>
      </c>
      <c r="J12" s="6">
        <v>67.5</v>
      </c>
      <c r="K12" s="6">
        <v>79</v>
      </c>
      <c r="L12" s="6">
        <v>85.5</v>
      </c>
      <c r="M12" s="6">
        <v>57.5</v>
      </c>
      <c r="N12" s="6">
        <v>65.5</v>
      </c>
      <c r="O12" s="6">
        <v>59.5</v>
      </c>
      <c r="P12" s="6">
        <v>70</v>
      </c>
      <c r="Q12" s="6">
        <v>68</v>
      </c>
      <c r="R12" s="6">
        <v>65</v>
      </c>
      <c r="S12" s="6">
        <v>74.5</v>
      </c>
      <c r="T12" s="6">
        <v>65.5</v>
      </c>
      <c r="U12" s="6">
        <v>76</v>
      </c>
      <c r="V12" s="6">
        <v>75</v>
      </c>
      <c r="W12" s="6"/>
      <c r="X12" s="6"/>
      <c r="Y12" s="6"/>
      <c r="Z12" s="6"/>
      <c r="AA12" s="6"/>
      <c r="AE12" t="s">
        <v>121</v>
      </c>
      <c r="AF12">
        <v>83</v>
      </c>
      <c r="AG12">
        <v>73</v>
      </c>
    </row>
    <row r="13" spans="1:33" x14ac:dyDescent="0.45">
      <c r="C13" s="6">
        <f>SUM(C3:C12)</f>
        <v>13222</v>
      </c>
      <c r="AE13" t="s">
        <v>121</v>
      </c>
      <c r="AF13">
        <v>75.5</v>
      </c>
      <c r="AG13">
        <v>74</v>
      </c>
    </row>
    <row r="14" spans="1:33" x14ac:dyDescent="0.45"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13</v>
      </c>
      <c r="Q14">
        <v>14</v>
      </c>
      <c r="R14">
        <v>15</v>
      </c>
      <c r="S14">
        <v>16</v>
      </c>
      <c r="T14">
        <v>17</v>
      </c>
      <c r="U14">
        <v>18</v>
      </c>
      <c r="V14">
        <v>19</v>
      </c>
      <c r="W14">
        <v>20</v>
      </c>
      <c r="X14">
        <v>21</v>
      </c>
      <c r="Y14">
        <v>22</v>
      </c>
      <c r="Z14">
        <v>23</v>
      </c>
      <c r="AA14">
        <v>24</v>
      </c>
      <c r="AE14" t="s">
        <v>122</v>
      </c>
      <c r="AF14" t="s">
        <v>84</v>
      </c>
    </row>
    <row r="15" spans="1:33" x14ac:dyDescent="0.45">
      <c r="A15">
        <v>0</v>
      </c>
      <c r="B15" s="6" t="s">
        <v>66</v>
      </c>
      <c r="C15" s="6">
        <f>SUM(D15:AA15)</f>
        <v>1389</v>
      </c>
      <c r="D15" s="6">
        <v>80</v>
      </c>
      <c r="E15" s="6">
        <v>73.5</v>
      </c>
      <c r="F15" s="6">
        <v>62.5</v>
      </c>
      <c r="G15" s="6">
        <v>72.5</v>
      </c>
      <c r="H15" s="6">
        <v>78.5</v>
      </c>
      <c r="I15" s="6">
        <v>74</v>
      </c>
      <c r="J15" s="6">
        <v>72.5</v>
      </c>
      <c r="K15" s="6">
        <v>70.5</v>
      </c>
      <c r="L15" s="6">
        <v>71</v>
      </c>
      <c r="M15" s="6">
        <v>67</v>
      </c>
      <c r="N15" s="6">
        <v>66.5</v>
      </c>
      <c r="O15" s="6">
        <v>87.5</v>
      </c>
      <c r="P15" s="6">
        <v>68.5</v>
      </c>
      <c r="Q15" s="6">
        <v>68</v>
      </c>
      <c r="R15" s="6">
        <v>74</v>
      </c>
      <c r="S15" s="6">
        <v>72.5</v>
      </c>
      <c r="T15" s="6">
        <v>83</v>
      </c>
      <c r="U15" s="6">
        <v>71.5</v>
      </c>
      <c r="V15" s="6">
        <v>75.5</v>
      </c>
      <c r="W15" s="6"/>
      <c r="X15" s="6"/>
      <c r="Y15" s="6"/>
      <c r="Z15" s="6"/>
      <c r="AA15" s="6"/>
      <c r="AC15">
        <f>COUNTIF(D15:AA24,"&gt;70")</f>
        <v>105</v>
      </c>
      <c r="AE15" t="s">
        <v>122</v>
      </c>
      <c r="AF15">
        <v>73.5</v>
      </c>
      <c r="AG15">
        <v>72.5</v>
      </c>
    </row>
    <row r="16" spans="1:33" x14ac:dyDescent="0.45">
      <c r="A16">
        <v>1</v>
      </c>
      <c r="B16" s="6" t="s">
        <v>67</v>
      </c>
      <c r="C16" s="6">
        <f t="shared" ref="C16:C24" si="1">SUM(D16:AA16)</f>
        <v>1309.5</v>
      </c>
      <c r="D16" s="6">
        <v>74</v>
      </c>
      <c r="E16" s="6">
        <v>75.5</v>
      </c>
      <c r="F16" s="6">
        <v>69</v>
      </c>
      <c r="G16" s="6">
        <v>73.5</v>
      </c>
      <c r="H16" s="6">
        <v>77</v>
      </c>
      <c r="I16" s="6">
        <v>63.5</v>
      </c>
      <c r="J16" s="6">
        <v>66</v>
      </c>
      <c r="K16" s="6">
        <v>68</v>
      </c>
      <c r="L16" s="6">
        <v>74.5</v>
      </c>
      <c r="M16" s="6">
        <v>79.5</v>
      </c>
      <c r="N16" s="6">
        <v>61.5</v>
      </c>
      <c r="O16" s="6">
        <v>72</v>
      </c>
      <c r="P16" s="6">
        <v>65.5</v>
      </c>
      <c r="Q16" s="6">
        <v>69.5</v>
      </c>
      <c r="R16" s="6">
        <v>67</v>
      </c>
      <c r="S16" s="6">
        <v>65</v>
      </c>
      <c r="T16" s="6">
        <v>64.5</v>
      </c>
      <c r="U16" s="6">
        <v>59.5</v>
      </c>
      <c r="V16" s="6">
        <v>64.5</v>
      </c>
      <c r="W16" s="6"/>
      <c r="X16" s="6"/>
      <c r="Y16" s="6"/>
      <c r="Z16" s="6"/>
      <c r="AA16" s="6"/>
      <c r="AE16" t="s">
        <v>122</v>
      </c>
      <c r="AF16">
        <v>75.5</v>
      </c>
      <c r="AG16">
        <v>72</v>
      </c>
    </row>
    <row r="17" spans="1:33" x14ac:dyDescent="0.45">
      <c r="A17">
        <v>2</v>
      </c>
      <c r="B17" s="6" t="s">
        <v>68</v>
      </c>
      <c r="C17" s="6">
        <f t="shared" si="1"/>
        <v>1427.5</v>
      </c>
      <c r="D17" s="6">
        <v>79</v>
      </c>
      <c r="E17" s="6">
        <v>68</v>
      </c>
      <c r="F17" s="6">
        <v>85</v>
      </c>
      <c r="G17" s="6">
        <v>72</v>
      </c>
      <c r="H17" s="6">
        <v>70.5</v>
      </c>
      <c r="I17" s="6">
        <v>79.5</v>
      </c>
      <c r="J17" s="6">
        <v>76</v>
      </c>
      <c r="K17" s="6">
        <v>82</v>
      </c>
      <c r="L17" s="6">
        <v>69</v>
      </c>
      <c r="M17" s="6">
        <v>80</v>
      </c>
      <c r="N17" s="6">
        <v>78</v>
      </c>
      <c r="O17" s="6">
        <v>75.5</v>
      </c>
      <c r="P17" s="6">
        <v>76.5</v>
      </c>
      <c r="Q17" s="6">
        <v>69.5</v>
      </c>
      <c r="R17" s="6">
        <v>71.5</v>
      </c>
      <c r="S17" s="6">
        <v>66.5</v>
      </c>
      <c r="T17" s="6">
        <v>73.5</v>
      </c>
      <c r="U17" s="6">
        <v>70</v>
      </c>
      <c r="V17" s="6">
        <v>85.5</v>
      </c>
      <c r="W17" s="6"/>
      <c r="X17" s="6"/>
      <c r="Y17" s="6"/>
      <c r="Z17" s="6"/>
      <c r="AA17" s="6"/>
      <c r="AE17" t="s">
        <v>122</v>
      </c>
      <c r="AF17">
        <v>68</v>
      </c>
      <c r="AG17">
        <v>69</v>
      </c>
    </row>
    <row r="18" spans="1:33" x14ac:dyDescent="0.45">
      <c r="A18">
        <v>3</v>
      </c>
      <c r="B18" s="6" t="s">
        <v>69</v>
      </c>
      <c r="C18" s="6">
        <f t="shared" si="1"/>
        <v>1340.5</v>
      </c>
      <c r="D18" s="6">
        <v>76.5</v>
      </c>
      <c r="E18" s="6">
        <v>74</v>
      </c>
      <c r="F18" s="6">
        <v>71</v>
      </c>
      <c r="G18" s="6">
        <v>71</v>
      </c>
      <c r="H18" s="6">
        <v>62</v>
      </c>
      <c r="I18" s="6">
        <v>67.5</v>
      </c>
      <c r="J18" s="6">
        <v>75.5</v>
      </c>
      <c r="K18" s="6">
        <v>68</v>
      </c>
      <c r="L18" s="6">
        <v>68.5</v>
      </c>
      <c r="M18" s="6">
        <v>61</v>
      </c>
      <c r="N18" s="6">
        <v>72</v>
      </c>
      <c r="O18" s="6">
        <v>78</v>
      </c>
      <c r="P18" s="6">
        <v>68</v>
      </c>
      <c r="Q18" s="6">
        <v>75</v>
      </c>
      <c r="R18" s="6">
        <v>71.5</v>
      </c>
      <c r="S18" s="6">
        <v>62.5</v>
      </c>
      <c r="T18" s="6">
        <v>85</v>
      </c>
      <c r="U18" s="6">
        <v>65.5</v>
      </c>
      <c r="V18" s="6">
        <v>68</v>
      </c>
      <c r="W18" s="6"/>
      <c r="X18" s="6"/>
      <c r="Y18" s="6"/>
      <c r="Z18" s="6"/>
      <c r="AA18" s="6"/>
      <c r="AE18" t="s">
        <v>122</v>
      </c>
      <c r="AF18">
        <v>74</v>
      </c>
      <c r="AG18">
        <v>65</v>
      </c>
    </row>
    <row r="19" spans="1:33" x14ac:dyDescent="0.45">
      <c r="A19">
        <v>4</v>
      </c>
      <c r="B19" s="6" t="s">
        <v>71</v>
      </c>
      <c r="C19" s="6">
        <f t="shared" si="1"/>
        <v>1305</v>
      </c>
      <c r="D19" s="6">
        <v>77</v>
      </c>
      <c r="E19" s="6">
        <v>82.5</v>
      </c>
      <c r="F19" s="6">
        <v>75.5</v>
      </c>
      <c r="G19" s="6">
        <v>63</v>
      </c>
      <c r="H19" s="6">
        <v>65.5</v>
      </c>
      <c r="I19" s="6">
        <v>66</v>
      </c>
      <c r="J19" s="6">
        <v>64</v>
      </c>
      <c r="K19" s="6">
        <v>61</v>
      </c>
      <c r="L19" s="6">
        <v>62.5</v>
      </c>
      <c r="M19" s="6">
        <v>61</v>
      </c>
      <c r="N19" s="6">
        <v>63</v>
      </c>
      <c r="O19" s="6">
        <v>65</v>
      </c>
      <c r="P19" s="6">
        <v>73</v>
      </c>
      <c r="Q19" s="6">
        <v>72.5</v>
      </c>
      <c r="R19" s="6">
        <v>76</v>
      </c>
      <c r="S19" s="6">
        <v>71</v>
      </c>
      <c r="T19" s="6">
        <v>72.5</v>
      </c>
      <c r="U19" s="6">
        <v>69</v>
      </c>
      <c r="V19" s="6">
        <v>65</v>
      </c>
      <c r="W19" s="6"/>
      <c r="X19" s="6"/>
      <c r="Y19" s="6"/>
      <c r="Z19" s="6"/>
      <c r="AA19" s="6"/>
      <c r="AE19" t="s">
        <v>122</v>
      </c>
      <c r="AF19">
        <v>82.5</v>
      </c>
      <c r="AG19">
        <v>75</v>
      </c>
    </row>
    <row r="20" spans="1:33" x14ac:dyDescent="0.45">
      <c r="A20">
        <v>5</v>
      </c>
      <c r="B20" s="6" t="s">
        <v>70</v>
      </c>
      <c r="C20" s="6">
        <f t="shared" si="1"/>
        <v>1388</v>
      </c>
      <c r="D20" s="6">
        <v>68.5</v>
      </c>
      <c r="E20" s="6">
        <v>88</v>
      </c>
      <c r="F20" s="6">
        <v>71.5</v>
      </c>
      <c r="G20" s="6">
        <v>81</v>
      </c>
      <c r="H20" s="6">
        <v>76</v>
      </c>
      <c r="I20" s="6">
        <v>72</v>
      </c>
      <c r="J20" s="6">
        <v>63.5</v>
      </c>
      <c r="K20" s="6">
        <v>61</v>
      </c>
      <c r="L20" s="6">
        <v>71.5</v>
      </c>
      <c r="M20" s="6">
        <v>73.5</v>
      </c>
      <c r="N20" s="6">
        <v>87</v>
      </c>
      <c r="O20" s="6">
        <v>68.5</v>
      </c>
      <c r="P20" s="6">
        <v>68</v>
      </c>
      <c r="Q20" s="6">
        <v>72.5</v>
      </c>
      <c r="R20" s="6">
        <v>65.5</v>
      </c>
      <c r="S20" s="6">
        <v>70</v>
      </c>
      <c r="T20" s="6">
        <v>72.5</v>
      </c>
      <c r="U20" s="6">
        <v>78</v>
      </c>
      <c r="V20" s="6">
        <v>79.5</v>
      </c>
      <c r="W20" s="6"/>
      <c r="X20" s="6"/>
      <c r="Y20" s="6"/>
      <c r="Z20" s="6"/>
      <c r="AA20" s="6"/>
      <c r="AE20" t="s">
        <v>122</v>
      </c>
      <c r="AF20">
        <v>88</v>
      </c>
      <c r="AG20">
        <v>85.5</v>
      </c>
    </row>
    <row r="21" spans="1:33" x14ac:dyDescent="0.45">
      <c r="A21">
        <v>6</v>
      </c>
      <c r="B21" s="6" t="s">
        <v>72</v>
      </c>
      <c r="C21" s="6">
        <f t="shared" si="1"/>
        <v>1346</v>
      </c>
      <c r="D21" s="6">
        <v>75.5</v>
      </c>
      <c r="E21" s="6">
        <v>72</v>
      </c>
      <c r="F21" s="6">
        <v>80</v>
      </c>
      <c r="G21" s="6">
        <v>79.5</v>
      </c>
      <c r="H21" s="6">
        <v>83</v>
      </c>
      <c r="I21" s="6">
        <v>75.5</v>
      </c>
      <c r="J21" s="6">
        <v>74.5</v>
      </c>
      <c r="K21" s="6">
        <v>62</v>
      </c>
      <c r="L21" s="6">
        <v>70.5</v>
      </c>
      <c r="M21" s="6">
        <v>72.5</v>
      </c>
      <c r="N21" s="6">
        <v>61.5</v>
      </c>
      <c r="O21" s="6">
        <v>69.5</v>
      </c>
      <c r="P21" s="6">
        <v>70.5</v>
      </c>
      <c r="Q21" s="6">
        <v>66.5</v>
      </c>
      <c r="R21" s="6">
        <v>61.5</v>
      </c>
      <c r="S21" s="6">
        <v>70</v>
      </c>
      <c r="T21" s="6">
        <v>66</v>
      </c>
      <c r="U21" s="6">
        <v>65.5</v>
      </c>
      <c r="V21" s="6">
        <v>70</v>
      </c>
      <c r="W21" s="6"/>
      <c r="X21" s="6"/>
      <c r="Y21" s="6"/>
      <c r="Z21" s="6"/>
      <c r="AA21" s="6"/>
      <c r="AE21" t="s">
        <v>122</v>
      </c>
      <c r="AF21">
        <v>72</v>
      </c>
      <c r="AG21">
        <v>72.5</v>
      </c>
    </row>
    <row r="22" spans="1:33" x14ac:dyDescent="0.45">
      <c r="A22">
        <v>7</v>
      </c>
      <c r="B22" s="6" t="s">
        <v>75</v>
      </c>
      <c r="C22" s="6">
        <f t="shared" si="1"/>
        <v>1379.5</v>
      </c>
      <c r="D22" s="6">
        <v>80</v>
      </c>
      <c r="E22" s="6">
        <v>74.5</v>
      </c>
      <c r="F22" s="6">
        <v>64.5</v>
      </c>
      <c r="G22" s="6">
        <v>79.5</v>
      </c>
      <c r="H22" s="6">
        <v>72</v>
      </c>
      <c r="I22" s="6">
        <v>71</v>
      </c>
      <c r="J22" s="6">
        <v>68.5</v>
      </c>
      <c r="K22" s="6">
        <v>67.5</v>
      </c>
      <c r="L22" s="6">
        <v>66</v>
      </c>
      <c r="M22" s="6">
        <v>72</v>
      </c>
      <c r="N22" s="6">
        <v>70</v>
      </c>
      <c r="O22" s="6">
        <v>89.5</v>
      </c>
      <c r="P22" s="6">
        <v>77.5</v>
      </c>
      <c r="Q22" s="6">
        <v>71.5</v>
      </c>
      <c r="R22" s="6">
        <v>73.5</v>
      </c>
      <c r="S22" s="6">
        <v>69.5</v>
      </c>
      <c r="T22" s="6">
        <v>70</v>
      </c>
      <c r="U22" s="6">
        <v>72</v>
      </c>
      <c r="V22" s="6">
        <v>70.5</v>
      </c>
      <c r="W22" s="6"/>
      <c r="X22" s="6"/>
      <c r="Y22" s="6"/>
      <c r="Z22" s="6"/>
      <c r="AA22" s="6"/>
      <c r="AE22" t="s">
        <v>122</v>
      </c>
      <c r="AF22">
        <v>74.5</v>
      </c>
      <c r="AG22">
        <v>70</v>
      </c>
    </row>
    <row r="23" spans="1:33" x14ac:dyDescent="0.45">
      <c r="A23">
        <v>8</v>
      </c>
      <c r="B23" s="6" t="s">
        <v>73</v>
      </c>
      <c r="C23" s="6">
        <f t="shared" si="1"/>
        <v>1337</v>
      </c>
      <c r="D23" s="6">
        <v>83</v>
      </c>
      <c r="E23" s="6">
        <v>71.5</v>
      </c>
      <c r="F23" s="6">
        <v>76.5</v>
      </c>
      <c r="G23" s="6">
        <v>71.5</v>
      </c>
      <c r="H23" s="6">
        <v>67</v>
      </c>
      <c r="I23" s="6">
        <v>67.5</v>
      </c>
      <c r="J23" s="6">
        <v>64</v>
      </c>
      <c r="K23" s="6">
        <v>55</v>
      </c>
      <c r="L23" s="6">
        <v>78</v>
      </c>
      <c r="M23" s="6">
        <v>65</v>
      </c>
      <c r="N23" s="6">
        <v>70</v>
      </c>
      <c r="O23" s="6">
        <v>67.5</v>
      </c>
      <c r="P23" s="6">
        <v>67</v>
      </c>
      <c r="Q23" s="6">
        <v>87.5</v>
      </c>
      <c r="R23" s="6">
        <v>67</v>
      </c>
      <c r="S23" s="6">
        <v>68</v>
      </c>
      <c r="T23" s="6">
        <v>77.5</v>
      </c>
      <c r="U23" s="6">
        <v>68.5</v>
      </c>
      <c r="V23" s="6">
        <v>65</v>
      </c>
      <c r="W23" s="6"/>
      <c r="X23" s="6"/>
      <c r="Y23" s="6"/>
      <c r="Z23" s="6"/>
      <c r="AA23" s="6"/>
      <c r="AE23" t="s">
        <v>122</v>
      </c>
      <c r="AF23">
        <v>71.5</v>
      </c>
      <c r="AG23">
        <v>71.5</v>
      </c>
    </row>
    <row r="24" spans="1:33" x14ac:dyDescent="0.45">
      <c r="A24">
        <v>9</v>
      </c>
      <c r="B24" s="6" t="s">
        <v>74</v>
      </c>
      <c r="C24" s="6">
        <f t="shared" si="1"/>
        <v>1386</v>
      </c>
      <c r="D24" s="6">
        <v>75.5</v>
      </c>
      <c r="E24" s="6">
        <v>71.5</v>
      </c>
      <c r="F24" s="6">
        <v>87.5</v>
      </c>
      <c r="G24" s="6">
        <v>61.5</v>
      </c>
      <c r="H24" s="6">
        <v>67</v>
      </c>
      <c r="I24" s="6">
        <v>85</v>
      </c>
      <c r="J24" s="6">
        <v>68.5</v>
      </c>
      <c r="K24" s="6">
        <v>89</v>
      </c>
      <c r="L24" s="6">
        <v>86.5</v>
      </c>
      <c r="M24" s="6">
        <v>65</v>
      </c>
      <c r="N24" s="6">
        <v>69</v>
      </c>
      <c r="O24" s="6">
        <v>61</v>
      </c>
      <c r="P24" s="6">
        <v>70.5</v>
      </c>
      <c r="Q24" s="6">
        <v>69</v>
      </c>
      <c r="R24" s="6">
        <v>76</v>
      </c>
      <c r="S24" s="6">
        <v>74.5</v>
      </c>
      <c r="T24" s="6">
        <v>65.5</v>
      </c>
      <c r="U24" s="6">
        <v>72.5</v>
      </c>
      <c r="V24" s="6">
        <v>71</v>
      </c>
      <c r="W24" s="6"/>
      <c r="X24" s="6"/>
      <c r="Y24" s="6"/>
      <c r="Z24" s="6"/>
      <c r="AA24" s="6"/>
      <c r="AE24" t="s">
        <v>122</v>
      </c>
      <c r="AF24">
        <v>71.5</v>
      </c>
      <c r="AG24">
        <v>69</v>
      </c>
    </row>
    <row r="25" spans="1:33" x14ac:dyDescent="0.45">
      <c r="C25" s="6">
        <f>SUM(C15:C24)</f>
        <v>13608</v>
      </c>
      <c r="AE25" t="s">
        <v>123</v>
      </c>
      <c r="AF25" t="s">
        <v>85</v>
      </c>
    </row>
    <row r="26" spans="1:33" x14ac:dyDescent="0.45"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  <c r="Z26">
        <v>23</v>
      </c>
      <c r="AA26">
        <v>24</v>
      </c>
      <c r="AE26" t="s">
        <v>123</v>
      </c>
      <c r="AF26">
        <v>62.5</v>
      </c>
      <c r="AG26">
        <v>58</v>
      </c>
    </row>
    <row r="27" spans="1:33" x14ac:dyDescent="0.45">
      <c r="A27">
        <v>0</v>
      </c>
      <c r="B27" s="6" t="s">
        <v>66</v>
      </c>
      <c r="C27" s="6">
        <f t="shared" ref="C27:C36" si="2">SUM(D27:AA27)</f>
        <v>53.5</v>
      </c>
      <c r="D27" s="6">
        <f t="shared" ref="D27:V36" si="3">D15-D3</f>
        <v>13</v>
      </c>
      <c r="E27" s="6">
        <f t="shared" si="3"/>
        <v>1</v>
      </c>
      <c r="F27" s="6">
        <f t="shared" si="3"/>
        <v>4.5</v>
      </c>
      <c r="G27" s="6">
        <f t="shared" si="3"/>
        <v>3.5</v>
      </c>
      <c r="H27" s="6">
        <f t="shared" si="3"/>
        <v>1</v>
      </c>
      <c r="I27" s="6">
        <f t="shared" si="3"/>
        <v>0.5</v>
      </c>
      <c r="J27" s="6">
        <f t="shared" si="3"/>
        <v>-0.5</v>
      </c>
      <c r="K27" s="6">
        <f t="shared" si="3"/>
        <v>7.5</v>
      </c>
      <c r="L27" s="6">
        <f t="shared" si="3"/>
        <v>4</v>
      </c>
      <c r="M27" s="6">
        <f t="shared" si="3"/>
        <v>0.5</v>
      </c>
      <c r="N27" s="6">
        <f t="shared" si="3"/>
        <v>7.5</v>
      </c>
      <c r="O27" s="6">
        <f t="shared" si="3"/>
        <v>0</v>
      </c>
      <c r="P27" s="6">
        <f t="shared" si="3"/>
        <v>2</v>
      </c>
      <c r="Q27" s="6">
        <f t="shared" si="3"/>
        <v>-3.5</v>
      </c>
      <c r="R27" s="6">
        <f t="shared" si="3"/>
        <v>5</v>
      </c>
      <c r="S27" s="6">
        <f t="shared" si="3"/>
        <v>1</v>
      </c>
      <c r="T27" s="6">
        <f t="shared" si="3"/>
        <v>0.5</v>
      </c>
      <c r="U27" s="6">
        <f t="shared" si="3"/>
        <v>5.5</v>
      </c>
      <c r="V27" s="6">
        <f t="shared" si="3"/>
        <v>0.5</v>
      </c>
      <c r="W27" s="6"/>
      <c r="X27" s="6"/>
      <c r="Y27" s="6"/>
      <c r="Z27" s="6"/>
      <c r="AA27" s="6"/>
      <c r="AB27" s="5">
        <f>(C15-C3)/C15</f>
        <v>3.8516918646508282E-2</v>
      </c>
      <c r="AC27">
        <f>COUNTIF(D27:AA36,"&gt;0")</f>
        <v>128</v>
      </c>
      <c r="AE27" t="s">
        <v>123</v>
      </c>
      <c r="AF27">
        <v>69</v>
      </c>
      <c r="AG27">
        <v>69.5</v>
      </c>
    </row>
    <row r="28" spans="1:33" x14ac:dyDescent="0.45">
      <c r="A28">
        <v>1</v>
      </c>
      <c r="B28" s="6" t="s">
        <v>67</v>
      </c>
      <c r="C28" s="6">
        <f t="shared" si="2"/>
        <v>9</v>
      </c>
      <c r="D28" s="6">
        <f t="shared" si="3"/>
        <v>6.5</v>
      </c>
      <c r="E28" s="6">
        <f t="shared" si="3"/>
        <v>3.5</v>
      </c>
      <c r="F28" s="6">
        <f t="shared" si="3"/>
        <v>-0.5</v>
      </c>
      <c r="G28" s="6">
        <f t="shared" si="3"/>
        <v>1</v>
      </c>
      <c r="H28" s="6">
        <f t="shared" si="3"/>
        <v>-5</v>
      </c>
      <c r="I28" s="6">
        <f t="shared" si="3"/>
        <v>-0.5</v>
      </c>
      <c r="J28" s="6">
        <f t="shared" si="3"/>
        <v>0.5</v>
      </c>
      <c r="K28" s="6">
        <f t="shared" si="3"/>
        <v>2.5</v>
      </c>
      <c r="L28" s="6">
        <f t="shared" si="3"/>
        <v>4.5</v>
      </c>
      <c r="M28" s="6">
        <f t="shared" si="3"/>
        <v>2</v>
      </c>
      <c r="N28" s="6">
        <f t="shared" si="3"/>
        <v>0.5</v>
      </c>
      <c r="O28" s="6">
        <f t="shared" si="3"/>
        <v>1.5</v>
      </c>
      <c r="P28" s="6">
        <f t="shared" si="3"/>
        <v>-5.5</v>
      </c>
      <c r="Q28" s="6">
        <f t="shared" si="3"/>
        <v>2.5</v>
      </c>
      <c r="R28" s="6">
        <f t="shared" si="3"/>
        <v>0.5</v>
      </c>
      <c r="S28" s="6">
        <f t="shared" si="3"/>
        <v>1.5</v>
      </c>
      <c r="T28" s="6">
        <f t="shared" si="3"/>
        <v>2</v>
      </c>
      <c r="U28" s="6">
        <f t="shared" si="3"/>
        <v>-5.5</v>
      </c>
      <c r="V28" s="6">
        <f t="shared" si="3"/>
        <v>-3</v>
      </c>
      <c r="W28" s="6"/>
      <c r="X28" s="6"/>
      <c r="Y28" s="6"/>
      <c r="Z28" s="6"/>
      <c r="AA28" s="6"/>
      <c r="AB28" s="5">
        <f t="shared" ref="AB28:AB36" si="4">(C16-C4)/C16</f>
        <v>6.8728522336769758E-3</v>
      </c>
      <c r="AE28" t="s">
        <v>123</v>
      </c>
      <c r="AF28">
        <v>85</v>
      </c>
      <c r="AG28">
        <v>82</v>
      </c>
    </row>
    <row r="29" spans="1:33" x14ac:dyDescent="0.45">
      <c r="A29">
        <v>2</v>
      </c>
      <c r="B29" s="6" t="s">
        <v>68</v>
      </c>
      <c r="C29" s="6">
        <f t="shared" si="2"/>
        <v>52.5</v>
      </c>
      <c r="D29" s="6">
        <f t="shared" si="3"/>
        <v>6.5</v>
      </c>
      <c r="E29" s="6">
        <f t="shared" si="3"/>
        <v>-1</v>
      </c>
      <c r="F29" s="6">
        <f t="shared" si="3"/>
        <v>3</v>
      </c>
      <c r="G29" s="6">
        <f t="shared" si="3"/>
        <v>4</v>
      </c>
      <c r="H29" s="6">
        <f t="shared" si="3"/>
        <v>-4</v>
      </c>
      <c r="I29" s="6">
        <f t="shared" si="3"/>
        <v>5.5</v>
      </c>
      <c r="J29" s="6">
        <f t="shared" si="3"/>
        <v>3.5</v>
      </c>
      <c r="K29" s="6">
        <f t="shared" si="3"/>
        <v>4.5</v>
      </c>
      <c r="L29" s="6">
        <f t="shared" si="3"/>
        <v>-3</v>
      </c>
      <c r="M29" s="6">
        <f t="shared" si="3"/>
        <v>2</v>
      </c>
      <c r="N29" s="6">
        <f t="shared" si="3"/>
        <v>11</v>
      </c>
      <c r="O29" s="6">
        <f t="shared" si="3"/>
        <v>10.5</v>
      </c>
      <c r="P29" s="6">
        <f t="shared" si="3"/>
        <v>-9</v>
      </c>
      <c r="Q29" s="6">
        <f t="shared" si="3"/>
        <v>6</v>
      </c>
      <c r="R29" s="6">
        <f t="shared" si="3"/>
        <v>6.5</v>
      </c>
      <c r="S29" s="6">
        <f t="shared" si="3"/>
        <v>0</v>
      </c>
      <c r="T29" s="6">
        <f t="shared" si="3"/>
        <v>-1.5</v>
      </c>
      <c r="U29" s="6">
        <f t="shared" si="3"/>
        <v>0</v>
      </c>
      <c r="V29" s="6">
        <f t="shared" si="3"/>
        <v>8</v>
      </c>
      <c r="W29" s="6"/>
      <c r="X29" s="6"/>
      <c r="Y29" s="6"/>
      <c r="Z29" s="6"/>
      <c r="AA29" s="6"/>
      <c r="AB29" s="5">
        <f t="shared" si="4"/>
        <v>3.6777583187390543E-2</v>
      </c>
      <c r="AE29" t="s">
        <v>123</v>
      </c>
      <c r="AF29">
        <v>71</v>
      </c>
      <c r="AG29">
        <v>63</v>
      </c>
    </row>
    <row r="30" spans="1:33" x14ac:dyDescent="0.45">
      <c r="A30">
        <v>3</v>
      </c>
      <c r="B30" s="6" t="s">
        <v>69</v>
      </c>
      <c r="C30" s="6">
        <f t="shared" si="2"/>
        <v>42.5</v>
      </c>
      <c r="D30" s="6">
        <f t="shared" si="3"/>
        <v>6.5</v>
      </c>
      <c r="E30" s="6">
        <f t="shared" si="3"/>
        <v>9</v>
      </c>
      <c r="F30" s="6">
        <f t="shared" si="3"/>
        <v>8</v>
      </c>
      <c r="G30" s="6">
        <f t="shared" si="3"/>
        <v>7.5</v>
      </c>
      <c r="H30" s="6">
        <f t="shared" si="3"/>
        <v>-0.5</v>
      </c>
      <c r="I30" s="6">
        <f t="shared" si="3"/>
        <v>3.5</v>
      </c>
      <c r="J30" s="6">
        <f t="shared" si="3"/>
        <v>9</v>
      </c>
      <c r="K30" s="6">
        <f t="shared" si="3"/>
        <v>4</v>
      </c>
      <c r="L30" s="6">
        <f t="shared" si="3"/>
        <v>-1.5</v>
      </c>
      <c r="M30" s="6">
        <f t="shared" si="3"/>
        <v>-2.5</v>
      </c>
      <c r="N30" s="6">
        <f t="shared" si="3"/>
        <v>6</v>
      </c>
      <c r="O30" s="6">
        <f t="shared" si="3"/>
        <v>-4</v>
      </c>
      <c r="P30" s="6">
        <f t="shared" si="3"/>
        <v>-0.5</v>
      </c>
      <c r="Q30" s="6">
        <f t="shared" si="3"/>
        <v>5.5</v>
      </c>
      <c r="R30" s="6">
        <f t="shared" si="3"/>
        <v>-3.5</v>
      </c>
      <c r="S30" s="6">
        <f t="shared" si="3"/>
        <v>-3.5</v>
      </c>
      <c r="T30" s="6">
        <f t="shared" si="3"/>
        <v>-0.5</v>
      </c>
      <c r="U30" s="6">
        <f t="shared" si="3"/>
        <v>4</v>
      </c>
      <c r="V30" s="6">
        <f t="shared" si="3"/>
        <v>-4</v>
      </c>
      <c r="W30" s="6"/>
      <c r="X30" s="6"/>
      <c r="Y30" s="6"/>
      <c r="Z30" s="6"/>
      <c r="AA30" s="6"/>
      <c r="AB30" s="5">
        <f t="shared" si="4"/>
        <v>3.1704587840358074E-2</v>
      </c>
      <c r="AE30" t="s">
        <v>123</v>
      </c>
      <c r="AF30">
        <v>75.5</v>
      </c>
      <c r="AG30">
        <v>71</v>
      </c>
    </row>
    <row r="31" spans="1:33" x14ac:dyDescent="0.45">
      <c r="A31">
        <v>4</v>
      </c>
      <c r="B31" s="6" t="s">
        <v>71</v>
      </c>
      <c r="C31" s="6">
        <f t="shared" si="2"/>
        <v>13.5</v>
      </c>
      <c r="D31" s="6">
        <f t="shared" si="3"/>
        <v>5</v>
      </c>
      <c r="E31" s="6">
        <f t="shared" si="3"/>
        <v>7.5</v>
      </c>
      <c r="F31" s="6">
        <f t="shared" si="3"/>
        <v>4.5</v>
      </c>
      <c r="G31" s="6">
        <f t="shared" si="3"/>
        <v>0.5</v>
      </c>
      <c r="H31" s="6">
        <f t="shared" si="3"/>
        <v>-2</v>
      </c>
      <c r="I31" s="6">
        <f t="shared" si="3"/>
        <v>-0.5</v>
      </c>
      <c r="J31" s="6">
        <f t="shared" si="3"/>
        <v>2</v>
      </c>
      <c r="K31" s="6">
        <f t="shared" si="3"/>
        <v>2.5</v>
      </c>
      <c r="L31" s="6">
        <f t="shared" si="3"/>
        <v>-5.5</v>
      </c>
      <c r="M31" s="6">
        <f t="shared" si="3"/>
        <v>0.5</v>
      </c>
      <c r="N31" s="6">
        <f t="shared" si="3"/>
        <v>0</v>
      </c>
      <c r="O31" s="6">
        <f t="shared" si="3"/>
        <v>-1.5</v>
      </c>
      <c r="P31" s="6">
        <f t="shared" si="3"/>
        <v>-2.5</v>
      </c>
      <c r="Q31" s="6">
        <f t="shared" si="3"/>
        <v>2.5</v>
      </c>
      <c r="R31" s="6">
        <f t="shared" si="3"/>
        <v>-2</v>
      </c>
      <c r="S31" s="6">
        <f t="shared" si="3"/>
        <v>0</v>
      </c>
      <c r="T31" s="6">
        <f t="shared" si="3"/>
        <v>2.5</v>
      </c>
      <c r="U31" s="6">
        <f t="shared" si="3"/>
        <v>-4</v>
      </c>
      <c r="V31" s="6">
        <f t="shared" si="3"/>
        <v>4</v>
      </c>
      <c r="W31" s="6"/>
      <c r="X31" s="6"/>
      <c r="Y31" s="6"/>
      <c r="Z31" s="6"/>
      <c r="AA31" s="6"/>
      <c r="AB31" s="5">
        <f t="shared" si="4"/>
        <v>1.0344827586206896E-2</v>
      </c>
      <c r="AE31" t="s">
        <v>123</v>
      </c>
      <c r="AF31">
        <v>71.5</v>
      </c>
      <c r="AG31">
        <v>74</v>
      </c>
    </row>
    <row r="32" spans="1:33" x14ac:dyDescent="0.45">
      <c r="A32">
        <v>5</v>
      </c>
      <c r="B32" s="6" t="s">
        <v>70</v>
      </c>
      <c r="C32" s="6">
        <f t="shared" si="2"/>
        <v>66</v>
      </c>
      <c r="D32" s="6">
        <f t="shared" si="3"/>
        <v>7</v>
      </c>
      <c r="E32" s="6">
        <f t="shared" si="3"/>
        <v>2.5</v>
      </c>
      <c r="F32" s="6">
        <f t="shared" si="3"/>
        <v>-2.5</v>
      </c>
      <c r="G32" s="6">
        <f t="shared" si="3"/>
        <v>7</v>
      </c>
      <c r="H32" s="6">
        <f t="shared" si="3"/>
        <v>2</v>
      </c>
      <c r="I32" s="6">
        <f t="shared" si="3"/>
        <v>5.5</v>
      </c>
      <c r="J32" s="6">
        <f t="shared" si="3"/>
        <v>2.5</v>
      </c>
      <c r="K32" s="6">
        <f t="shared" si="3"/>
        <v>-4.5</v>
      </c>
      <c r="L32" s="6">
        <f t="shared" si="3"/>
        <v>5.5</v>
      </c>
      <c r="M32" s="6">
        <f t="shared" si="3"/>
        <v>7.5</v>
      </c>
      <c r="N32" s="6">
        <f t="shared" si="3"/>
        <v>8</v>
      </c>
      <c r="O32" s="6">
        <f t="shared" si="3"/>
        <v>0</v>
      </c>
      <c r="P32" s="6">
        <f t="shared" si="3"/>
        <v>5.5</v>
      </c>
      <c r="Q32" s="6">
        <f t="shared" si="3"/>
        <v>2</v>
      </c>
      <c r="R32" s="6">
        <f t="shared" si="3"/>
        <v>0</v>
      </c>
      <c r="S32" s="6">
        <f t="shared" si="3"/>
        <v>-6</v>
      </c>
      <c r="T32" s="6">
        <f t="shared" si="3"/>
        <v>1.5</v>
      </c>
      <c r="U32" s="6">
        <f t="shared" si="3"/>
        <v>12</v>
      </c>
      <c r="V32" s="6">
        <f t="shared" si="3"/>
        <v>10.5</v>
      </c>
      <c r="W32" s="6"/>
      <c r="X32" s="6"/>
      <c r="Y32" s="6"/>
      <c r="Z32" s="6"/>
      <c r="AA32" s="6"/>
      <c r="AB32" s="5">
        <f t="shared" si="4"/>
        <v>4.7550432276657062E-2</v>
      </c>
      <c r="AE32" t="s">
        <v>123</v>
      </c>
      <c r="AF32">
        <v>80</v>
      </c>
      <c r="AG32">
        <v>66.5</v>
      </c>
    </row>
    <row r="33" spans="1:33" x14ac:dyDescent="0.45">
      <c r="A33">
        <v>6</v>
      </c>
      <c r="B33" s="6" t="s">
        <v>72</v>
      </c>
      <c r="C33" s="6">
        <f t="shared" si="2"/>
        <v>25</v>
      </c>
      <c r="D33" s="6">
        <f t="shared" si="3"/>
        <v>8</v>
      </c>
      <c r="E33" s="6">
        <f t="shared" si="3"/>
        <v>-0.5</v>
      </c>
      <c r="F33" s="6">
        <f t="shared" si="3"/>
        <v>13.5</v>
      </c>
      <c r="G33" s="6">
        <f t="shared" si="3"/>
        <v>8.5</v>
      </c>
      <c r="H33" s="6">
        <f t="shared" si="3"/>
        <v>6</v>
      </c>
      <c r="I33" s="6">
        <f t="shared" si="3"/>
        <v>14.5</v>
      </c>
      <c r="J33" s="6">
        <f t="shared" si="3"/>
        <v>6</v>
      </c>
      <c r="K33" s="6">
        <f t="shared" si="3"/>
        <v>-10</v>
      </c>
      <c r="L33" s="6">
        <f t="shared" si="3"/>
        <v>1</v>
      </c>
      <c r="M33" s="6">
        <f t="shared" si="3"/>
        <v>1.5</v>
      </c>
      <c r="N33" s="6">
        <f t="shared" si="3"/>
        <v>-10.5</v>
      </c>
      <c r="O33" s="6">
        <f t="shared" si="3"/>
        <v>-3.5</v>
      </c>
      <c r="P33" s="6">
        <f t="shared" si="3"/>
        <v>2.5</v>
      </c>
      <c r="Q33" s="6">
        <f t="shared" si="3"/>
        <v>-4.5</v>
      </c>
      <c r="R33" s="6">
        <f t="shared" si="3"/>
        <v>0</v>
      </c>
      <c r="S33" s="6">
        <f t="shared" si="3"/>
        <v>-0.5</v>
      </c>
      <c r="T33" s="6">
        <f t="shared" si="3"/>
        <v>-3</v>
      </c>
      <c r="U33" s="6">
        <f t="shared" si="3"/>
        <v>-7</v>
      </c>
      <c r="V33" s="6">
        <f t="shared" si="3"/>
        <v>3</v>
      </c>
      <c r="W33" s="6"/>
      <c r="X33" s="6"/>
      <c r="Y33" s="6"/>
      <c r="Z33" s="6"/>
      <c r="AA33" s="6"/>
      <c r="AB33" s="5">
        <f t="shared" si="4"/>
        <v>1.8573551263001486E-2</v>
      </c>
      <c r="AE33" t="s">
        <v>123</v>
      </c>
      <c r="AF33">
        <v>64.5</v>
      </c>
      <c r="AG33">
        <v>61.5</v>
      </c>
    </row>
    <row r="34" spans="1:33" x14ac:dyDescent="0.45">
      <c r="A34">
        <v>7</v>
      </c>
      <c r="B34" s="6" t="s">
        <v>75</v>
      </c>
      <c r="C34" s="6">
        <f t="shared" si="2"/>
        <v>49</v>
      </c>
      <c r="D34" s="6">
        <f t="shared" si="3"/>
        <v>4</v>
      </c>
      <c r="E34" s="6">
        <f t="shared" si="3"/>
        <v>4.5</v>
      </c>
      <c r="F34" s="6">
        <f t="shared" si="3"/>
        <v>3</v>
      </c>
      <c r="G34" s="6">
        <f t="shared" si="3"/>
        <v>-0.5</v>
      </c>
      <c r="H34" s="6">
        <f t="shared" si="3"/>
        <v>1.5</v>
      </c>
      <c r="I34" s="6">
        <f t="shared" si="3"/>
        <v>1.5</v>
      </c>
      <c r="J34" s="6">
        <f t="shared" si="3"/>
        <v>2</v>
      </c>
      <c r="K34" s="6">
        <f t="shared" si="3"/>
        <v>1.5</v>
      </c>
      <c r="L34" s="6">
        <f t="shared" si="3"/>
        <v>1</v>
      </c>
      <c r="M34" s="6">
        <f t="shared" si="3"/>
        <v>4</v>
      </c>
      <c r="N34" s="6">
        <f t="shared" si="3"/>
        <v>1</v>
      </c>
      <c r="O34" s="6">
        <f t="shared" si="3"/>
        <v>3.5</v>
      </c>
      <c r="P34" s="6">
        <f t="shared" si="3"/>
        <v>4</v>
      </c>
      <c r="Q34" s="6">
        <f t="shared" si="3"/>
        <v>3.5</v>
      </c>
      <c r="R34" s="6">
        <f t="shared" si="3"/>
        <v>1.5</v>
      </c>
      <c r="S34" s="6">
        <f t="shared" si="3"/>
        <v>2.5</v>
      </c>
      <c r="T34" s="6">
        <f t="shared" si="3"/>
        <v>4.5</v>
      </c>
      <c r="U34" s="6">
        <f t="shared" si="3"/>
        <v>3</v>
      </c>
      <c r="V34" s="6">
        <f t="shared" si="3"/>
        <v>3</v>
      </c>
      <c r="W34" s="6"/>
      <c r="X34" s="6"/>
      <c r="Y34" s="6"/>
      <c r="Z34" s="6"/>
      <c r="AA34" s="6"/>
      <c r="AB34" s="5">
        <f t="shared" si="4"/>
        <v>3.5520115984052192E-2</v>
      </c>
      <c r="AE34" t="s">
        <v>123</v>
      </c>
      <c r="AF34">
        <v>76.5</v>
      </c>
      <c r="AG34">
        <v>65.5</v>
      </c>
    </row>
    <row r="35" spans="1:33" x14ac:dyDescent="0.45">
      <c r="A35">
        <v>8</v>
      </c>
      <c r="B35" s="6" t="s">
        <v>73</v>
      </c>
      <c r="C35" s="6">
        <f t="shared" si="2"/>
        <v>42</v>
      </c>
      <c r="D35" s="6">
        <f t="shared" si="3"/>
        <v>10</v>
      </c>
      <c r="E35" s="6">
        <f t="shared" si="3"/>
        <v>0</v>
      </c>
      <c r="F35" s="6">
        <f t="shared" si="3"/>
        <v>11</v>
      </c>
      <c r="G35" s="6">
        <f t="shared" si="3"/>
        <v>3</v>
      </c>
      <c r="H35" s="6">
        <f t="shared" si="3"/>
        <v>-1.5</v>
      </c>
      <c r="I35" s="6">
        <f t="shared" si="3"/>
        <v>1</v>
      </c>
      <c r="J35" s="6">
        <f t="shared" si="3"/>
        <v>-4</v>
      </c>
      <c r="K35" s="6">
        <f t="shared" si="3"/>
        <v>-11</v>
      </c>
      <c r="L35" s="6">
        <f t="shared" si="3"/>
        <v>0</v>
      </c>
      <c r="M35" s="6">
        <f t="shared" si="3"/>
        <v>5</v>
      </c>
      <c r="N35" s="6">
        <f t="shared" si="3"/>
        <v>1.5</v>
      </c>
      <c r="O35" s="6">
        <f t="shared" si="3"/>
        <v>3.5</v>
      </c>
      <c r="P35" s="6">
        <f t="shared" si="3"/>
        <v>-2</v>
      </c>
      <c r="Q35" s="6">
        <f t="shared" si="3"/>
        <v>16.5</v>
      </c>
      <c r="R35" s="6">
        <f t="shared" si="3"/>
        <v>4</v>
      </c>
      <c r="S35" s="6">
        <f t="shared" si="3"/>
        <v>0</v>
      </c>
      <c r="T35" s="6">
        <f t="shared" si="3"/>
        <v>2.5</v>
      </c>
      <c r="U35" s="6">
        <f t="shared" si="3"/>
        <v>2</v>
      </c>
      <c r="V35" s="6">
        <f t="shared" si="3"/>
        <v>0.5</v>
      </c>
      <c r="W35" s="6"/>
      <c r="X35" s="6"/>
      <c r="Y35" s="6"/>
      <c r="Z35" s="6"/>
      <c r="AA35" s="6"/>
      <c r="AB35" s="5">
        <f t="shared" si="4"/>
        <v>3.1413612565445025E-2</v>
      </c>
      <c r="AE35" t="s">
        <v>123</v>
      </c>
      <c r="AF35">
        <v>87.5</v>
      </c>
      <c r="AG35">
        <v>82</v>
      </c>
    </row>
    <row r="36" spans="1:33" x14ac:dyDescent="0.45">
      <c r="A36">
        <v>9</v>
      </c>
      <c r="B36" s="6" t="s">
        <v>74</v>
      </c>
      <c r="C36" s="6">
        <f t="shared" si="2"/>
        <v>33</v>
      </c>
      <c r="D36" s="6">
        <f t="shared" si="3"/>
        <v>1.5</v>
      </c>
      <c r="E36" s="6">
        <f t="shared" si="3"/>
        <v>2.5</v>
      </c>
      <c r="F36" s="6">
        <f t="shared" si="3"/>
        <v>5.5</v>
      </c>
      <c r="G36" s="6">
        <f t="shared" si="3"/>
        <v>-5.5</v>
      </c>
      <c r="H36" s="6">
        <f t="shared" si="3"/>
        <v>1</v>
      </c>
      <c r="I36" s="6">
        <f t="shared" si="3"/>
        <v>-1.5</v>
      </c>
      <c r="J36" s="6">
        <f t="shared" si="3"/>
        <v>1</v>
      </c>
      <c r="K36" s="6">
        <f t="shared" si="3"/>
        <v>10</v>
      </c>
      <c r="L36" s="6">
        <f t="shared" si="3"/>
        <v>1</v>
      </c>
      <c r="M36" s="6">
        <f t="shared" si="3"/>
        <v>7.5</v>
      </c>
      <c r="N36" s="6">
        <f t="shared" si="3"/>
        <v>3.5</v>
      </c>
      <c r="O36" s="6">
        <f t="shared" si="3"/>
        <v>1.5</v>
      </c>
      <c r="P36" s="6">
        <f t="shared" si="3"/>
        <v>0.5</v>
      </c>
      <c r="Q36" s="6">
        <f t="shared" si="3"/>
        <v>1</v>
      </c>
      <c r="R36" s="6">
        <f t="shared" si="3"/>
        <v>11</v>
      </c>
      <c r="S36" s="6">
        <f t="shared" si="3"/>
        <v>0</v>
      </c>
      <c r="T36" s="6">
        <f t="shared" si="3"/>
        <v>0</v>
      </c>
      <c r="U36" s="6">
        <f t="shared" si="3"/>
        <v>-3.5</v>
      </c>
      <c r="V36" s="6">
        <f t="shared" si="3"/>
        <v>-4</v>
      </c>
      <c r="W36" s="6"/>
      <c r="X36" s="6"/>
      <c r="Y36" s="6"/>
      <c r="Z36" s="6"/>
      <c r="AA36" s="6"/>
      <c r="AB36" s="5">
        <f t="shared" si="4"/>
        <v>2.3809523809523808E-2</v>
      </c>
      <c r="AE36" t="s">
        <v>124</v>
      </c>
      <c r="AF36" t="s">
        <v>86</v>
      </c>
    </row>
    <row r="37" spans="1:33" x14ac:dyDescent="0.45">
      <c r="C37" s="7">
        <f>SUM(C27:C36)</f>
        <v>386</v>
      </c>
      <c r="D37" s="7">
        <f t="shared" ref="D37:V37" si="5">SUM(D27:D36)</f>
        <v>68</v>
      </c>
      <c r="E37" s="7">
        <f t="shared" si="5"/>
        <v>29</v>
      </c>
      <c r="F37" s="7">
        <f t="shared" si="5"/>
        <v>50</v>
      </c>
      <c r="G37" s="7">
        <f t="shared" si="5"/>
        <v>29</v>
      </c>
      <c r="H37" s="7">
        <f t="shared" si="5"/>
        <v>-1.5</v>
      </c>
      <c r="I37" s="7">
        <f t="shared" si="5"/>
        <v>29.5</v>
      </c>
      <c r="J37" s="7">
        <f t="shared" si="5"/>
        <v>22</v>
      </c>
      <c r="K37" s="7">
        <f t="shared" si="5"/>
        <v>7</v>
      </c>
      <c r="L37" s="7">
        <f t="shared" si="5"/>
        <v>7</v>
      </c>
      <c r="M37" s="7">
        <f t="shared" si="5"/>
        <v>28</v>
      </c>
      <c r="N37" s="7">
        <f t="shared" si="5"/>
        <v>28.5</v>
      </c>
      <c r="O37" s="7">
        <f t="shared" si="5"/>
        <v>11.5</v>
      </c>
      <c r="P37" s="7">
        <f t="shared" si="5"/>
        <v>-5</v>
      </c>
      <c r="Q37" s="7">
        <f t="shared" si="5"/>
        <v>31.5</v>
      </c>
      <c r="R37" s="7">
        <f t="shared" si="5"/>
        <v>23</v>
      </c>
      <c r="S37" s="7">
        <f t="shared" si="5"/>
        <v>-5</v>
      </c>
      <c r="T37" s="7">
        <f t="shared" si="5"/>
        <v>8.5</v>
      </c>
      <c r="U37" s="7">
        <f t="shared" si="5"/>
        <v>6.5</v>
      </c>
      <c r="V37" s="7">
        <f t="shared" si="5"/>
        <v>18.5</v>
      </c>
      <c r="W37" s="7"/>
      <c r="X37" s="7"/>
      <c r="Y37" s="7"/>
      <c r="Z37" s="7"/>
      <c r="AA37" s="7"/>
      <c r="AE37" t="s">
        <v>124</v>
      </c>
      <c r="AF37">
        <v>72.5</v>
      </c>
      <c r="AG37">
        <v>69</v>
      </c>
    </row>
    <row r="38" spans="1:33" x14ac:dyDescent="0.45">
      <c r="AE38" t="s">
        <v>124</v>
      </c>
      <c r="AF38">
        <v>73.5</v>
      </c>
      <c r="AG38">
        <v>72.5</v>
      </c>
    </row>
    <row r="39" spans="1:33" x14ac:dyDescent="0.45">
      <c r="AE39" t="s">
        <v>124</v>
      </c>
      <c r="AF39">
        <v>72</v>
      </c>
      <c r="AG39">
        <v>68</v>
      </c>
    </row>
    <row r="40" spans="1:33" x14ac:dyDescent="0.45">
      <c r="AE40" t="s">
        <v>124</v>
      </c>
      <c r="AF40">
        <v>71</v>
      </c>
      <c r="AG40">
        <v>63.5</v>
      </c>
    </row>
    <row r="41" spans="1:33" x14ac:dyDescent="0.45">
      <c r="AE41" t="s">
        <v>124</v>
      </c>
      <c r="AF41">
        <v>63</v>
      </c>
      <c r="AG41">
        <v>62.5</v>
      </c>
    </row>
    <row r="42" spans="1:33" x14ac:dyDescent="0.45">
      <c r="AE42" t="s">
        <v>124</v>
      </c>
      <c r="AF42">
        <v>81</v>
      </c>
      <c r="AG42">
        <v>74</v>
      </c>
    </row>
    <row r="43" spans="1:33" x14ac:dyDescent="0.45">
      <c r="AE43" t="s">
        <v>124</v>
      </c>
      <c r="AF43">
        <v>79.5</v>
      </c>
      <c r="AG43">
        <v>71</v>
      </c>
    </row>
    <row r="44" spans="1:33" x14ac:dyDescent="0.45">
      <c r="AE44" t="s">
        <v>124</v>
      </c>
      <c r="AF44">
        <v>79.5</v>
      </c>
      <c r="AG44">
        <v>80</v>
      </c>
    </row>
    <row r="45" spans="1:33" x14ac:dyDescent="0.45">
      <c r="AE45" t="s">
        <v>124</v>
      </c>
      <c r="AF45">
        <v>71.5</v>
      </c>
      <c r="AG45">
        <v>68.5</v>
      </c>
    </row>
    <row r="46" spans="1:33" x14ac:dyDescent="0.45">
      <c r="AE46" t="s">
        <v>124</v>
      </c>
      <c r="AF46">
        <v>61.5</v>
      </c>
      <c r="AG46">
        <v>67</v>
      </c>
    </row>
    <row r="47" spans="1:33" x14ac:dyDescent="0.45">
      <c r="AE47" t="s">
        <v>125</v>
      </c>
      <c r="AF47" t="s">
        <v>87</v>
      </c>
    </row>
    <row r="48" spans="1:33" x14ac:dyDescent="0.45">
      <c r="AE48" t="s">
        <v>125</v>
      </c>
      <c r="AF48">
        <v>78.5</v>
      </c>
      <c r="AG48">
        <v>77.5</v>
      </c>
    </row>
    <row r="49" spans="31:33" x14ac:dyDescent="0.45">
      <c r="AE49" t="s">
        <v>125</v>
      </c>
      <c r="AF49">
        <v>77</v>
      </c>
      <c r="AG49">
        <v>82</v>
      </c>
    </row>
    <row r="50" spans="31:33" x14ac:dyDescent="0.45">
      <c r="AE50" t="s">
        <v>125</v>
      </c>
      <c r="AF50">
        <v>70.5</v>
      </c>
      <c r="AG50">
        <v>74.5</v>
      </c>
    </row>
    <row r="51" spans="31:33" x14ac:dyDescent="0.45">
      <c r="AE51" t="s">
        <v>125</v>
      </c>
      <c r="AF51">
        <v>62</v>
      </c>
      <c r="AG51">
        <v>62.5</v>
      </c>
    </row>
    <row r="52" spans="31:33" x14ac:dyDescent="0.45">
      <c r="AE52" t="s">
        <v>125</v>
      </c>
      <c r="AF52">
        <v>65.5</v>
      </c>
      <c r="AG52">
        <v>67.5</v>
      </c>
    </row>
    <row r="53" spans="31:33" x14ac:dyDescent="0.45">
      <c r="AE53" t="s">
        <v>125</v>
      </c>
      <c r="AF53">
        <v>76</v>
      </c>
      <c r="AG53">
        <v>74</v>
      </c>
    </row>
    <row r="54" spans="31:33" x14ac:dyDescent="0.45">
      <c r="AE54" t="s">
        <v>125</v>
      </c>
      <c r="AF54">
        <v>83</v>
      </c>
      <c r="AG54">
        <v>77</v>
      </c>
    </row>
    <row r="55" spans="31:33" x14ac:dyDescent="0.45">
      <c r="AE55" t="s">
        <v>125</v>
      </c>
      <c r="AF55">
        <v>72</v>
      </c>
      <c r="AG55">
        <v>70.5</v>
      </c>
    </row>
    <row r="56" spans="31:33" x14ac:dyDescent="0.45">
      <c r="AE56" t="s">
        <v>125</v>
      </c>
      <c r="AF56">
        <v>67</v>
      </c>
      <c r="AG56">
        <v>68.5</v>
      </c>
    </row>
    <row r="57" spans="31:33" x14ac:dyDescent="0.45">
      <c r="AE57" t="s">
        <v>125</v>
      </c>
      <c r="AF57">
        <v>67</v>
      </c>
      <c r="AG57">
        <v>66</v>
      </c>
    </row>
    <row r="58" spans="31:33" x14ac:dyDescent="0.45">
      <c r="AE58" t="s">
        <v>126</v>
      </c>
      <c r="AF58" t="s">
        <v>82</v>
      </c>
    </row>
    <row r="59" spans="31:33" x14ac:dyDescent="0.45">
      <c r="AE59" t="s">
        <v>126</v>
      </c>
      <c r="AF59">
        <v>74</v>
      </c>
      <c r="AG59">
        <v>73.5</v>
      </c>
    </row>
    <row r="60" spans="31:33" x14ac:dyDescent="0.45">
      <c r="AE60" t="s">
        <v>126</v>
      </c>
      <c r="AF60">
        <v>63.5</v>
      </c>
      <c r="AG60">
        <v>64</v>
      </c>
    </row>
    <row r="61" spans="31:33" x14ac:dyDescent="0.45">
      <c r="AE61" t="s">
        <v>126</v>
      </c>
      <c r="AF61">
        <v>79.5</v>
      </c>
      <c r="AG61">
        <v>74</v>
      </c>
    </row>
    <row r="62" spans="31:33" x14ac:dyDescent="0.45">
      <c r="AE62" t="s">
        <v>126</v>
      </c>
      <c r="AF62">
        <v>67.5</v>
      </c>
      <c r="AG62">
        <v>64</v>
      </c>
    </row>
    <row r="63" spans="31:33" x14ac:dyDescent="0.45">
      <c r="AE63" t="s">
        <v>126</v>
      </c>
      <c r="AF63">
        <v>66</v>
      </c>
      <c r="AG63">
        <v>66.5</v>
      </c>
    </row>
    <row r="64" spans="31:33" x14ac:dyDescent="0.45">
      <c r="AE64" t="s">
        <v>126</v>
      </c>
      <c r="AF64">
        <v>72</v>
      </c>
      <c r="AG64">
        <v>66.5</v>
      </c>
    </row>
    <row r="65" spans="31:33" x14ac:dyDescent="0.45">
      <c r="AE65" t="s">
        <v>126</v>
      </c>
      <c r="AF65">
        <v>75.5</v>
      </c>
      <c r="AG65">
        <v>61</v>
      </c>
    </row>
    <row r="66" spans="31:33" x14ac:dyDescent="0.45">
      <c r="AE66" t="s">
        <v>126</v>
      </c>
      <c r="AF66">
        <v>71</v>
      </c>
      <c r="AG66">
        <v>69.5</v>
      </c>
    </row>
    <row r="67" spans="31:33" x14ac:dyDescent="0.45">
      <c r="AE67" t="s">
        <v>126</v>
      </c>
      <c r="AF67">
        <v>67.5</v>
      </c>
      <c r="AG67">
        <v>66.5</v>
      </c>
    </row>
    <row r="68" spans="31:33" x14ac:dyDescent="0.45">
      <c r="AE68" t="s">
        <v>126</v>
      </c>
      <c r="AF68">
        <v>85</v>
      </c>
      <c r="AG68">
        <v>86.5</v>
      </c>
    </row>
    <row r="69" spans="31:33" x14ac:dyDescent="0.45">
      <c r="AE69" t="s">
        <v>127</v>
      </c>
      <c r="AF69" t="s">
        <v>88</v>
      </c>
    </row>
    <row r="70" spans="31:33" x14ac:dyDescent="0.45">
      <c r="AE70" t="s">
        <v>127</v>
      </c>
      <c r="AF70">
        <v>72.5</v>
      </c>
      <c r="AG70">
        <v>73</v>
      </c>
    </row>
    <row r="71" spans="31:33" x14ac:dyDescent="0.45">
      <c r="AE71" t="s">
        <v>127</v>
      </c>
      <c r="AF71">
        <v>66</v>
      </c>
      <c r="AG71">
        <v>65.5</v>
      </c>
    </row>
    <row r="72" spans="31:33" x14ac:dyDescent="0.45">
      <c r="AE72" t="s">
        <v>127</v>
      </c>
      <c r="AF72">
        <v>76</v>
      </c>
      <c r="AG72">
        <v>72.5</v>
      </c>
    </row>
    <row r="73" spans="31:33" x14ac:dyDescent="0.45">
      <c r="AE73" t="s">
        <v>127</v>
      </c>
      <c r="AF73">
        <v>75.5</v>
      </c>
      <c r="AG73">
        <v>66.5</v>
      </c>
    </row>
    <row r="74" spans="31:33" x14ac:dyDescent="0.45">
      <c r="AE74" t="s">
        <v>127</v>
      </c>
      <c r="AF74">
        <v>64</v>
      </c>
      <c r="AG74">
        <v>62</v>
      </c>
    </row>
    <row r="75" spans="31:33" x14ac:dyDescent="0.45">
      <c r="AE75" t="s">
        <v>127</v>
      </c>
      <c r="AF75">
        <v>63.5</v>
      </c>
      <c r="AG75">
        <v>61</v>
      </c>
    </row>
    <row r="76" spans="31:33" x14ac:dyDescent="0.45">
      <c r="AE76" t="s">
        <v>127</v>
      </c>
      <c r="AF76">
        <v>74.5</v>
      </c>
      <c r="AG76">
        <v>68.5</v>
      </c>
    </row>
    <row r="77" spans="31:33" x14ac:dyDescent="0.45">
      <c r="AE77" t="s">
        <v>127</v>
      </c>
      <c r="AF77">
        <v>68.5</v>
      </c>
      <c r="AG77">
        <v>66.5</v>
      </c>
    </row>
    <row r="78" spans="31:33" x14ac:dyDescent="0.45">
      <c r="AE78" t="s">
        <v>127</v>
      </c>
      <c r="AF78">
        <v>64</v>
      </c>
      <c r="AG78">
        <v>68</v>
      </c>
    </row>
    <row r="79" spans="31:33" x14ac:dyDescent="0.45">
      <c r="AE79" t="s">
        <v>127</v>
      </c>
      <c r="AF79">
        <v>68.5</v>
      </c>
      <c r="AG79">
        <v>67.5</v>
      </c>
    </row>
    <row r="80" spans="31:33" x14ac:dyDescent="0.45">
      <c r="AE80" t="s">
        <v>128</v>
      </c>
      <c r="AF80" t="s">
        <v>89</v>
      </c>
    </row>
    <row r="81" spans="31:33" x14ac:dyDescent="0.45">
      <c r="AE81" t="s">
        <v>128</v>
      </c>
      <c r="AF81">
        <v>70.5</v>
      </c>
      <c r="AG81">
        <v>63</v>
      </c>
    </row>
    <row r="82" spans="31:33" x14ac:dyDescent="0.45">
      <c r="AE82" t="s">
        <v>128</v>
      </c>
      <c r="AF82">
        <v>68</v>
      </c>
      <c r="AG82">
        <v>65.5</v>
      </c>
    </row>
    <row r="83" spans="31:33" x14ac:dyDescent="0.45">
      <c r="AE83" t="s">
        <v>128</v>
      </c>
      <c r="AF83">
        <v>82</v>
      </c>
      <c r="AG83">
        <v>77.5</v>
      </c>
    </row>
    <row r="84" spans="31:33" x14ac:dyDescent="0.45">
      <c r="AE84" t="s">
        <v>128</v>
      </c>
      <c r="AF84">
        <v>68</v>
      </c>
      <c r="AG84">
        <v>64</v>
      </c>
    </row>
    <row r="85" spans="31:33" x14ac:dyDescent="0.45">
      <c r="AE85" t="s">
        <v>128</v>
      </c>
      <c r="AF85">
        <v>61</v>
      </c>
      <c r="AG85">
        <v>58.5</v>
      </c>
    </row>
    <row r="86" spans="31:33" x14ac:dyDescent="0.45">
      <c r="AE86" t="s">
        <v>128</v>
      </c>
      <c r="AF86">
        <v>61</v>
      </c>
      <c r="AG86">
        <v>65.5</v>
      </c>
    </row>
    <row r="87" spans="31:33" x14ac:dyDescent="0.45">
      <c r="AE87" t="s">
        <v>128</v>
      </c>
      <c r="AF87">
        <v>62</v>
      </c>
      <c r="AG87">
        <v>72</v>
      </c>
    </row>
    <row r="88" spans="31:33" x14ac:dyDescent="0.45">
      <c r="AE88" t="s">
        <v>128</v>
      </c>
      <c r="AF88">
        <v>67.5</v>
      </c>
      <c r="AG88">
        <v>66</v>
      </c>
    </row>
    <row r="89" spans="31:33" x14ac:dyDescent="0.45">
      <c r="AE89" t="s">
        <v>128</v>
      </c>
      <c r="AF89">
        <v>55</v>
      </c>
      <c r="AG89">
        <v>66</v>
      </c>
    </row>
    <row r="90" spans="31:33" x14ac:dyDescent="0.45">
      <c r="AE90" t="s">
        <v>128</v>
      </c>
      <c r="AF90">
        <v>89</v>
      </c>
      <c r="AG90">
        <v>79</v>
      </c>
    </row>
    <row r="91" spans="31:33" x14ac:dyDescent="0.45">
      <c r="AE91" t="s">
        <v>129</v>
      </c>
      <c r="AF91" t="s">
        <v>90</v>
      </c>
    </row>
    <row r="92" spans="31:33" x14ac:dyDescent="0.45">
      <c r="AE92" t="s">
        <v>129</v>
      </c>
      <c r="AF92">
        <v>71</v>
      </c>
      <c r="AG92">
        <v>67</v>
      </c>
    </row>
    <row r="93" spans="31:33" x14ac:dyDescent="0.45">
      <c r="AE93" t="s">
        <v>129</v>
      </c>
      <c r="AF93">
        <v>74.5</v>
      </c>
      <c r="AG93">
        <v>70</v>
      </c>
    </row>
    <row r="94" spans="31:33" x14ac:dyDescent="0.45">
      <c r="AE94" t="s">
        <v>129</v>
      </c>
      <c r="AF94">
        <v>69</v>
      </c>
      <c r="AG94">
        <v>72</v>
      </c>
    </row>
    <row r="95" spans="31:33" x14ac:dyDescent="0.45">
      <c r="AE95" t="s">
        <v>129</v>
      </c>
      <c r="AF95">
        <v>68.5</v>
      </c>
      <c r="AG95">
        <v>70</v>
      </c>
    </row>
    <row r="96" spans="31:33" x14ac:dyDescent="0.45">
      <c r="AE96" t="s">
        <v>129</v>
      </c>
      <c r="AF96">
        <v>62.5</v>
      </c>
      <c r="AG96">
        <v>68</v>
      </c>
    </row>
    <row r="97" spans="31:33" x14ac:dyDescent="0.45">
      <c r="AE97" t="s">
        <v>129</v>
      </c>
      <c r="AF97">
        <v>71.5</v>
      </c>
      <c r="AG97">
        <v>66</v>
      </c>
    </row>
    <row r="98" spans="31:33" x14ac:dyDescent="0.45">
      <c r="AE98" t="s">
        <v>129</v>
      </c>
      <c r="AF98">
        <v>70.5</v>
      </c>
      <c r="AG98">
        <v>69.5</v>
      </c>
    </row>
    <row r="99" spans="31:33" x14ac:dyDescent="0.45">
      <c r="AE99" t="s">
        <v>129</v>
      </c>
      <c r="AF99">
        <v>66</v>
      </c>
      <c r="AG99">
        <v>65</v>
      </c>
    </row>
    <row r="100" spans="31:33" x14ac:dyDescent="0.45">
      <c r="AE100" t="s">
        <v>129</v>
      </c>
      <c r="AF100">
        <v>78</v>
      </c>
      <c r="AG100">
        <v>78</v>
      </c>
    </row>
    <row r="101" spans="31:33" x14ac:dyDescent="0.45">
      <c r="AE101" t="s">
        <v>129</v>
      </c>
      <c r="AF101">
        <v>86.5</v>
      </c>
      <c r="AG101">
        <v>85.5</v>
      </c>
    </row>
    <row r="102" spans="31:33" x14ac:dyDescent="0.45">
      <c r="AE102" t="s">
        <v>130</v>
      </c>
      <c r="AF102" t="s">
        <v>91</v>
      </c>
    </row>
    <row r="103" spans="31:33" x14ac:dyDescent="0.45">
      <c r="AE103" t="s">
        <v>130</v>
      </c>
      <c r="AF103">
        <v>67</v>
      </c>
      <c r="AG103">
        <v>66.5</v>
      </c>
    </row>
    <row r="104" spans="31:33" x14ac:dyDescent="0.45">
      <c r="AE104" t="s">
        <v>130</v>
      </c>
      <c r="AF104">
        <v>78</v>
      </c>
      <c r="AG104">
        <v>77.5</v>
      </c>
    </row>
    <row r="105" spans="31:33" x14ac:dyDescent="0.45">
      <c r="AE105" t="s">
        <v>130</v>
      </c>
      <c r="AF105">
        <v>83.5</v>
      </c>
      <c r="AG105">
        <v>78</v>
      </c>
    </row>
    <row r="106" spans="31:33" x14ac:dyDescent="0.45">
      <c r="AE106" t="s">
        <v>130</v>
      </c>
      <c r="AF106">
        <v>63.5</v>
      </c>
      <c r="AG106">
        <v>63.5</v>
      </c>
    </row>
    <row r="107" spans="31:33" x14ac:dyDescent="0.45">
      <c r="AE107" t="s">
        <v>130</v>
      </c>
      <c r="AF107">
        <v>61</v>
      </c>
      <c r="AG107">
        <v>60.5</v>
      </c>
    </row>
    <row r="108" spans="31:33" x14ac:dyDescent="0.45">
      <c r="AE108" t="s">
        <v>130</v>
      </c>
      <c r="AF108">
        <v>69</v>
      </c>
      <c r="AG108">
        <v>66</v>
      </c>
    </row>
    <row r="109" spans="31:33" x14ac:dyDescent="0.45">
      <c r="AE109" t="s">
        <v>130</v>
      </c>
      <c r="AF109">
        <v>75</v>
      </c>
      <c r="AG109">
        <v>71</v>
      </c>
    </row>
    <row r="110" spans="31:33" x14ac:dyDescent="0.45">
      <c r="AE110" t="s">
        <v>130</v>
      </c>
      <c r="AF110">
        <v>72</v>
      </c>
      <c r="AG110">
        <v>68</v>
      </c>
    </row>
    <row r="111" spans="31:33" x14ac:dyDescent="0.45">
      <c r="AE111" t="s">
        <v>130</v>
      </c>
      <c r="AF111">
        <v>65</v>
      </c>
      <c r="AG111">
        <v>60</v>
      </c>
    </row>
    <row r="112" spans="31:33" x14ac:dyDescent="0.45">
      <c r="AE112" t="s">
        <v>130</v>
      </c>
      <c r="AF112">
        <v>61</v>
      </c>
      <c r="AG112">
        <v>57.5</v>
      </c>
    </row>
    <row r="113" spans="31:33" x14ac:dyDescent="0.45">
      <c r="AE113" t="s">
        <v>131</v>
      </c>
      <c r="AF113" t="s">
        <v>92</v>
      </c>
    </row>
    <row r="114" spans="31:33" x14ac:dyDescent="0.45">
      <c r="AE114" t="s">
        <v>132</v>
      </c>
      <c r="AF114">
        <v>66.5</v>
      </c>
      <c r="AG114">
        <v>59</v>
      </c>
    </row>
    <row r="115" spans="31:33" x14ac:dyDescent="0.45">
      <c r="AE115" t="s">
        <v>132</v>
      </c>
      <c r="AF115">
        <v>62.5</v>
      </c>
      <c r="AG115">
        <v>61</v>
      </c>
    </row>
    <row r="116" spans="31:33" x14ac:dyDescent="0.45">
      <c r="AE116" t="s">
        <v>132</v>
      </c>
      <c r="AF116">
        <v>77.5</v>
      </c>
      <c r="AG116">
        <v>67</v>
      </c>
    </row>
    <row r="117" spans="31:33" x14ac:dyDescent="0.45">
      <c r="AE117" t="s">
        <v>132</v>
      </c>
      <c r="AF117">
        <v>75.5</v>
      </c>
      <c r="AG117">
        <v>66</v>
      </c>
    </row>
    <row r="118" spans="31:33" x14ac:dyDescent="0.45">
      <c r="AE118" t="s">
        <v>132</v>
      </c>
      <c r="AF118">
        <v>66</v>
      </c>
      <c r="AG118">
        <v>63</v>
      </c>
    </row>
    <row r="119" spans="31:33" x14ac:dyDescent="0.45">
      <c r="AE119" t="s">
        <v>132</v>
      </c>
      <c r="AF119">
        <v>83.5</v>
      </c>
      <c r="AG119">
        <v>79</v>
      </c>
    </row>
    <row r="120" spans="31:33" x14ac:dyDescent="0.45">
      <c r="AE120" t="s">
        <v>132</v>
      </c>
      <c r="AF120">
        <v>65.5</v>
      </c>
      <c r="AG120">
        <v>72</v>
      </c>
    </row>
    <row r="121" spans="31:33" x14ac:dyDescent="0.45">
      <c r="AE121" t="s">
        <v>132</v>
      </c>
      <c r="AF121">
        <v>72</v>
      </c>
      <c r="AG121">
        <v>69</v>
      </c>
    </row>
    <row r="122" spans="31:33" x14ac:dyDescent="0.45">
      <c r="AE122" t="s">
        <v>132</v>
      </c>
      <c r="AF122">
        <v>70</v>
      </c>
      <c r="AG122">
        <v>68.5</v>
      </c>
    </row>
    <row r="123" spans="31:33" x14ac:dyDescent="0.45">
      <c r="AE123" t="s">
        <v>132</v>
      </c>
      <c r="AF123">
        <v>66.5</v>
      </c>
      <c r="AG123">
        <v>65.5</v>
      </c>
    </row>
    <row r="124" spans="31:33" x14ac:dyDescent="0.45">
      <c r="AE124" t="s">
        <v>133</v>
      </c>
      <c r="AF124" t="s">
        <v>93</v>
      </c>
    </row>
    <row r="125" spans="31:33" x14ac:dyDescent="0.45">
      <c r="AE125" t="s">
        <v>133</v>
      </c>
      <c r="AF125">
        <v>84.5</v>
      </c>
      <c r="AG125">
        <v>87.5</v>
      </c>
    </row>
    <row r="126" spans="31:33" x14ac:dyDescent="0.45">
      <c r="AE126" t="s">
        <v>133</v>
      </c>
      <c r="AF126">
        <v>72.5</v>
      </c>
      <c r="AG126">
        <v>70.5</v>
      </c>
    </row>
    <row r="127" spans="31:33" x14ac:dyDescent="0.45">
      <c r="AE127" t="s">
        <v>133</v>
      </c>
      <c r="AF127">
        <v>77.5</v>
      </c>
      <c r="AG127">
        <v>65</v>
      </c>
    </row>
    <row r="128" spans="31:33" x14ac:dyDescent="0.45">
      <c r="AE128" t="s">
        <v>133</v>
      </c>
      <c r="AF128">
        <v>81</v>
      </c>
      <c r="AG128">
        <v>82</v>
      </c>
    </row>
    <row r="129" spans="31:33" x14ac:dyDescent="0.45">
      <c r="AE129" t="s">
        <v>133</v>
      </c>
      <c r="AF129">
        <v>67.5</v>
      </c>
      <c r="AG129">
        <v>66.5</v>
      </c>
    </row>
    <row r="130" spans="31:33" x14ac:dyDescent="0.45">
      <c r="AE130" t="s">
        <v>133</v>
      </c>
      <c r="AF130">
        <v>74</v>
      </c>
      <c r="AG130">
        <v>68.5</v>
      </c>
    </row>
    <row r="131" spans="31:33" x14ac:dyDescent="0.45">
      <c r="AE131" t="s">
        <v>133</v>
      </c>
      <c r="AF131">
        <v>68.5</v>
      </c>
      <c r="AG131">
        <v>73</v>
      </c>
    </row>
    <row r="132" spans="31:33" x14ac:dyDescent="0.45">
      <c r="AE132" t="s">
        <v>133</v>
      </c>
      <c r="AF132">
        <v>84</v>
      </c>
      <c r="AG132">
        <v>86</v>
      </c>
    </row>
    <row r="133" spans="31:33" x14ac:dyDescent="0.45">
      <c r="AE133" t="s">
        <v>133</v>
      </c>
      <c r="AF133">
        <v>69.5</v>
      </c>
      <c r="AG133">
        <v>64</v>
      </c>
    </row>
    <row r="134" spans="31:33" x14ac:dyDescent="0.45">
      <c r="AE134" t="s">
        <v>133</v>
      </c>
      <c r="AF134">
        <v>61</v>
      </c>
      <c r="AG134">
        <v>59.5</v>
      </c>
    </row>
    <row r="135" spans="31:33" x14ac:dyDescent="0.45">
      <c r="AE135" t="s">
        <v>134</v>
      </c>
      <c r="AF135" t="s">
        <v>94</v>
      </c>
    </row>
    <row r="136" spans="31:33" x14ac:dyDescent="0.45">
      <c r="AE136" t="s">
        <v>134</v>
      </c>
      <c r="AF136">
        <v>68.5</v>
      </c>
      <c r="AG136">
        <v>66.5</v>
      </c>
    </row>
    <row r="137" spans="31:33" x14ac:dyDescent="0.45">
      <c r="AE137" t="s">
        <v>134</v>
      </c>
      <c r="AF137">
        <v>65.5</v>
      </c>
      <c r="AG137">
        <v>71</v>
      </c>
    </row>
    <row r="138" spans="31:33" x14ac:dyDescent="0.45">
      <c r="AE138" t="s">
        <v>134</v>
      </c>
      <c r="AF138">
        <v>82</v>
      </c>
      <c r="AG138">
        <v>85.5</v>
      </c>
    </row>
    <row r="139" spans="31:33" x14ac:dyDescent="0.45">
      <c r="AE139" t="s">
        <v>134</v>
      </c>
      <c r="AF139">
        <v>67</v>
      </c>
      <c r="AG139">
        <v>68.5</v>
      </c>
    </row>
    <row r="140" spans="31:33" x14ac:dyDescent="0.45">
      <c r="AE140" t="s">
        <v>134</v>
      </c>
      <c r="AF140">
        <v>73.5</v>
      </c>
      <c r="AG140">
        <v>75.5</v>
      </c>
    </row>
    <row r="141" spans="31:33" x14ac:dyDescent="0.45">
      <c r="AE141" t="s">
        <v>134</v>
      </c>
      <c r="AF141">
        <v>68</v>
      </c>
      <c r="AG141">
        <v>62.5</v>
      </c>
    </row>
    <row r="142" spans="31:33" x14ac:dyDescent="0.45">
      <c r="AE142" t="s">
        <v>134</v>
      </c>
      <c r="AF142">
        <v>69.5</v>
      </c>
      <c r="AG142">
        <v>68</v>
      </c>
    </row>
    <row r="143" spans="31:33" x14ac:dyDescent="0.45">
      <c r="AE143" t="s">
        <v>134</v>
      </c>
      <c r="AF143">
        <v>77.5</v>
      </c>
      <c r="AG143">
        <v>73.5</v>
      </c>
    </row>
    <row r="144" spans="31:33" x14ac:dyDescent="0.45">
      <c r="AE144" t="s">
        <v>134</v>
      </c>
      <c r="AF144">
        <v>68.5</v>
      </c>
      <c r="AG144">
        <v>69</v>
      </c>
    </row>
    <row r="145" spans="31:33" x14ac:dyDescent="0.45">
      <c r="AE145" t="s">
        <v>134</v>
      </c>
      <c r="AF145">
        <v>70.5</v>
      </c>
      <c r="AG145">
        <v>70</v>
      </c>
    </row>
    <row r="146" spans="31:33" x14ac:dyDescent="0.45">
      <c r="AE146" t="s">
        <v>135</v>
      </c>
      <c r="AF146" t="s">
        <v>95</v>
      </c>
    </row>
    <row r="147" spans="31:33" x14ac:dyDescent="0.45">
      <c r="AE147" t="s">
        <v>135</v>
      </c>
      <c r="AF147">
        <v>72.5</v>
      </c>
      <c r="AG147">
        <v>71.5</v>
      </c>
    </row>
    <row r="148" spans="31:33" x14ac:dyDescent="0.45">
      <c r="AE148" t="s">
        <v>135</v>
      </c>
      <c r="AF148">
        <v>69.5</v>
      </c>
      <c r="AG148">
        <v>67</v>
      </c>
    </row>
    <row r="149" spans="31:33" x14ac:dyDescent="0.45">
      <c r="AE149" t="s">
        <v>135</v>
      </c>
      <c r="AF149">
        <v>69.5</v>
      </c>
      <c r="AG149">
        <v>63.5</v>
      </c>
    </row>
    <row r="150" spans="31:33" x14ac:dyDescent="0.45">
      <c r="AE150" t="s">
        <v>135</v>
      </c>
      <c r="AF150">
        <v>80</v>
      </c>
      <c r="AG150">
        <v>69.5</v>
      </c>
    </row>
    <row r="151" spans="31:33" x14ac:dyDescent="0.45">
      <c r="AE151" t="s">
        <v>135</v>
      </c>
      <c r="AF151">
        <v>72.5</v>
      </c>
      <c r="AG151">
        <v>70</v>
      </c>
    </row>
    <row r="152" spans="31:33" x14ac:dyDescent="0.45">
      <c r="AE152" t="s">
        <v>135</v>
      </c>
      <c r="AF152">
        <v>72.5</v>
      </c>
      <c r="AG152">
        <v>70.5</v>
      </c>
    </row>
    <row r="153" spans="31:33" x14ac:dyDescent="0.45">
      <c r="AE153" t="s">
        <v>135</v>
      </c>
      <c r="AF153">
        <v>64</v>
      </c>
      <c r="AG153">
        <v>71</v>
      </c>
    </row>
    <row r="154" spans="31:33" x14ac:dyDescent="0.45">
      <c r="AE154" t="s">
        <v>135</v>
      </c>
      <c r="AF154">
        <v>69</v>
      </c>
      <c r="AG154">
        <v>68</v>
      </c>
    </row>
    <row r="155" spans="31:33" x14ac:dyDescent="0.45">
      <c r="AE155" t="s">
        <v>135</v>
      </c>
      <c r="AF155">
        <v>91</v>
      </c>
      <c r="AG155">
        <v>71</v>
      </c>
    </row>
    <row r="156" spans="31:33" x14ac:dyDescent="0.45">
      <c r="AE156" t="s">
        <v>135</v>
      </c>
      <c r="AF156">
        <v>70.5</v>
      </c>
      <c r="AG156">
        <v>68</v>
      </c>
    </row>
    <row r="157" spans="31:33" x14ac:dyDescent="0.45">
      <c r="AE157" t="s">
        <v>136</v>
      </c>
      <c r="AF157" t="s">
        <v>96</v>
      </c>
    </row>
    <row r="158" spans="31:33" x14ac:dyDescent="0.45">
      <c r="AE158" t="s">
        <v>136</v>
      </c>
      <c r="AF158">
        <v>74</v>
      </c>
      <c r="AG158">
        <v>69</v>
      </c>
    </row>
    <row r="159" spans="31:33" x14ac:dyDescent="0.45">
      <c r="AE159" t="s">
        <v>136</v>
      </c>
      <c r="AF159">
        <v>67.5</v>
      </c>
      <c r="AG159">
        <v>66.5</v>
      </c>
    </row>
    <row r="160" spans="31:33" x14ac:dyDescent="0.45">
      <c r="AE160" t="s">
        <v>136</v>
      </c>
      <c r="AF160">
        <v>71.5</v>
      </c>
      <c r="AG160">
        <v>65</v>
      </c>
    </row>
    <row r="161" spans="31:33" x14ac:dyDescent="0.45">
      <c r="AE161" t="s">
        <v>136</v>
      </c>
      <c r="AF161">
        <v>71.5</v>
      </c>
      <c r="AG161">
        <v>75</v>
      </c>
    </row>
    <row r="162" spans="31:33" x14ac:dyDescent="0.45">
      <c r="AE162" t="s">
        <v>136</v>
      </c>
      <c r="AF162">
        <v>73.5</v>
      </c>
      <c r="AG162">
        <v>78</v>
      </c>
    </row>
    <row r="163" spans="31:33" x14ac:dyDescent="0.45">
      <c r="AE163" t="s">
        <v>136</v>
      </c>
      <c r="AF163">
        <v>65.5</v>
      </c>
      <c r="AG163">
        <v>65.5</v>
      </c>
    </row>
    <row r="164" spans="31:33" x14ac:dyDescent="0.45">
      <c r="AE164" t="s">
        <v>136</v>
      </c>
      <c r="AF164">
        <v>61.5</v>
      </c>
      <c r="AG164">
        <v>61.5</v>
      </c>
    </row>
    <row r="165" spans="31:33" x14ac:dyDescent="0.45">
      <c r="AE165" t="s">
        <v>136</v>
      </c>
      <c r="AF165">
        <v>75.5</v>
      </c>
      <c r="AG165">
        <v>72</v>
      </c>
    </row>
    <row r="166" spans="31:33" x14ac:dyDescent="0.45">
      <c r="AE166" t="s">
        <v>136</v>
      </c>
      <c r="AF166">
        <v>67</v>
      </c>
      <c r="AG166">
        <v>63</v>
      </c>
    </row>
    <row r="167" spans="31:33" x14ac:dyDescent="0.45">
      <c r="AE167" t="s">
        <v>136</v>
      </c>
      <c r="AF167">
        <v>74.5</v>
      </c>
      <c r="AG167">
        <v>65</v>
      </c>
    </row>
    <row r="168" spans="31:33" x14ac:dyDescent="0.45">
      <c r="AE168" t="s">
        <v>137</v>
      </c>
      <c r="AF168" t="s">
        <v>97</v>
      </c>
    </row>
    <row r="169" spans="31:33" x14ac:dyDescent="0.45">
      <c r="AE169" t="s">
        <v>137</v>
      </c>
      <c r="AF169">
        <v>74</v>
      </c>
      <c r="AG169">
        <v>71.5</v>
      </c>
    </row>
    <row r="170" spans="31:33" x14ac:dyDescent="0.45">
      <c r="AE170" t="s">
        <v>137</v>
      </c>
      <c r="AF170">
        <v>66.5</v>
      </c>
      <c r="AG170">
        <v>63.5</v>
      </c>
    </row>
    <row r="171" spans="31:33" x14ac:dyDescent="0.45">
      <c r="AE171" t="s">
        <v>137</v>
      </c>
      <c r="AF171">
        <v>67.5</v>
      </c>
      <c r="AG171">
        <v>66.5</v>
      </c>
    </row>
    <row r="172" spans="31:33" x14ac:dyDescent="0.45">
      <c r="AE172" t="s">
        <v>137</v>
      </c>
      <c r="AF172">
        <v>62.5</v>
      </c>
      <c r="AG172">
        <v>66</v>
      </c>
    </row>
    <row r="173" spans="31:33" x14ac:dyDescent="0.45">
      <c r="AE173" t="s">
        <v>137</v>
      </c>
      <c r="AF173">
        <v>70.5</v>
      </c>
      <c r="AG173">
        <v>71</v>
      </c>
    </row>
    <row r="174" spans="31:33" x14ac:dyDescent="0.45">
      <c r="AE174" t="s">
        <v>137</v>
      </c>
      <c r="AF174">
        <v>71</v>
      </c>
      <c r="AG174">
        <v>76</v>
      </c>
    </row>
    <row r="175" spans="31:33" x14ac:dyDescent="0.45">
      <c r="AE175" t="s">
        <v>137</v>
      </c>
      <c r="AF175">
        <v>70</v>
      </c>
      <c r="AG175">
        <v>70.5</v>
      </c>
    </row>
    <row r="176" spans="31:33" x14ac:dyDescent="0.45">
      <c r="AE176" t="s">
        <v>137</v>
      </c>
      <c r="AF176">
        <v>69.5</v>
      </c>
      <c r="AG176">
        <v>67</v>
      </c>
    </row>
    <row r="177" spans="31:33" x14ac:dyDescent="0.45">
      <c r="AE177" t="s">
        <v>137</v>
      </c>
      <c r="AF177">
        <v>68</v>
      </c>
      <c r="AG177">
        <v>68</v>
      </c>
    </row>
    <row r="178" spans="31:33" x14ac:dyDescent="0.45">
      <c r="AE178" t="s">
        <v>137</v>
      </c>
      <c r="AF178">
        <v>78</v>
      </c>
      <c r="AG178">
        <v>74.5</v>
      </c>
    </row>
    <row r="179" spans="31:33" x14ac:dyDescent="0.45">
      <c r="AE179" t="s">
        <v>138</v>
      </c>
      <c r="AF179" t="s">
        <v>98</v>
      </c>
    </row>
    <row r="180" spans="31:33" x14ac:dyDescent="0.45">
      <c r="AE180" t="s">
        <v>138</v>
      </c>
      <c r="AF180">
        <v>82.5</v>
      </c>
      <c r="AG180">
        <v>82.5</v>
      </c>
    </row>
    <row r="181" spans="31:33" x14ac:dyDescent="0.45">
      <c r="AE181" t="s">
        <v>138</v>
      </c>
      <c r="AF181">
        <v>59</v>
      </c>
      <c r="AG181">
        <v>62.5</v>
      </c>
    </row>
    <row r="182" spans="31:33" x14ac:dyDescent="0.45">
      <c r="AE182" t="s">
        <v>138</v>
      </c>
      <c r="AF182">
        <v>73.5</v>
      </c>
      <c r="AG182">
        <v>75</v>
      </c>
    </row>
    <row r="183" spans="31:33" x14ac:dyDescent="0.45">
      <c r="AE183" t="s">
        <v>138</v>
      </c>
      <c r="AF183">
        <v>85</v>
      </c>
      <c r="AG183">
        <v>85.5</v>
      </c>
    </row>
    <row r="184" spans="31:33" x14ac:dyDescent="0.45">
      <c r="AE184" t="s">
        <v>138</v>
      </c>
      <c r="AF184">
        <v>73</v>
      </c>
      <c r="AG184">
        <v>70</v>
      </c>
    </row>
    <row r="185" spans="31:33" x14ac:dyDescent="0.45">
      <c r="AE185" t="s">
        <v>138</v>
      </c>
      <c r="AF185">
        <v>71</v>
      </c>
      <c r="AG185">
        <v>71</v>
      </c>
    </row>
    <row r="186" spans="31:33" x14ac:dyDescent="0.45">
      <c r="AE186" t="s">
        <v>138</v>
      </c>
      <c r="AF186">
        <v>67</v>
      </c>
      <c r="AG186">
        <v>69</v>
      </c>
    </row>
    <row r="187" spans="31:33" x14ac:dyDescent="0.45">
      <c r="AE187" t="s">
        <v>138</v>
      </c>
      <c r="AF187">
        <v>72</v>
      </c>
      <c r="AG187">
        <v>65.5</v>
      </c>
    </row>
    <row r="188" spans="31:33" x14ac:dyDescent="0.45">
      <c r="AE188" t="s">
        <v>138</v>
      </c>
      <c r="AF188">
        <v>77.5</v>
      </c>
      <c r="AG188">
        <v>75</v>
      </c>
    </row>
    <row r="189" spans="31:33" x14ac:dyDescent="0.45">
      <c r="AE189" t="s">
        <v>138</v>
      </c>
      <c r="AF189">
        <v>67.5</v>
      </c>
      <c r="AG189">
        <v>65.5</v>
      </c>
    </row>
    <row r="190" spans="31:33" x14ac:dyDescent="0.45">
      <c r="AE190" t="s">
        <v>139</v>
      </c>
      <c r="AF190" t="s">
        <v>99</v>
      </c>
    </row>
    <row r="191" spans="31:33" x14ac:dyDescent="0.45">
      <c r="AE191" t="s">
        <v>139</v>
      </c>
      <c r="AF191">
        <v>71</v>
      </c>
      <c r="AG191">
        <v>66</v>
      </c>
    </row>
    <row r="192" spans="31:33" x14ac:dyDescent="0.45">
      <c r="AE192" t="s">
        <v>139</v>
      </c>
      <c r="AF192">
        <v>54</v>
      </c>
      <c r="AG192">
        <v>65</v>
      </c>
    </row>
    <row r="193" spans="31:33" x14ac:dyDescent="0.45">
      <c r="AE193" t="s">
        <v>139</v>
      </c>
      <c r="AF193">
        <v>72</v>
      </c>
      <c r="AG193">
        <v>70</v>
      </c>
    </row>
    <row r="194" spans="31:33" x14ac:dyDescent="0.45">
      <c r="AE194" t="s">
        <v>139</v>
      </c>
      <c r="AF194">
        <v>66</v>
      </c>
      <c r="AG194">
        <v>61.5</v>
      </c>
    </row>
    <row r="195" spans="31:33" x14ac:dyDescent="0.45">
      <c r="AE195" t="s">
        <v>139</v>
      </c>
      <c r="AF195">
        <v>72</v>
      </c>
      <c r="AG195">
        <v>73</v>
      </c>
    </row>
    <row r="196" spans="31:33" x14ac:dyDescent="0.45">
      <c r="AE196" t="s">
        <v>139</v>
      </c>
      <c r="AF196">
        <v>78.5</v>
      </c>
      <c r="AG196">
        <v>66</v>
      </c>
    </row>
    <row r="197" spans="31:33" x14ac:dyDescent="0.45">
      <c r="AE197" t="s">
        <v>139</v>
      </c>
      <c r="AF197">
        <v>72.5</v>
      </c>
      <c r="AG197">
        <v>72.5</v>
      </c>
    </row>
    <row r="198" spans="31:33" x14ac:dyDescent="0.45">
      <c r="AE198" t="s">
        <v>139</v>
      </c>
      <c r="AF198">
        <v>76.5</v>
      </c>
      <c r="AG198">
        <v>69</v>
      </c>
    </row>
    <row r="199" spans="31:33" x14ac:dyDescent="0.45">
      <c r="AE199" t="s">
        <v>139</v>
      </c>
      <c r="AF199">
        <v>68.5</v>
      </c>
      <c r="AG199">
        <v>66.5</v>
      </c>
    </row>
    <row r="200" spans="31:33" x14ac:dyDescent="0.45">
      <c r="AE200" t="s">
        <v>139</v>
      </c>
      <c r="AF200">
        <v>75.5</v>
      </c>
      <c r="AG200">
        <v>76</v>
      </c>
    </row>
    <row r="201" spans="31:33" x14ac:dyDescent="0.45">
      <c r="AE201" t="s">
        <v>140</v>
      </c>
      <c r="AF201" t="s">
        <v>100</v>
      </c>
    </row>
    <row r="202" spans="31:33" x14ac:dyDescent="0.45">
      <c r="AE202" t="s">
        <v>140</v>
      </c>
      <c r="AF202">
        <v>77</v>
      </c>
      <c r="AG202">
        <v>75</v>
      </c>
    </row>
    <row r="203" spans="31:33" x14ac:dyDescent="0.45">
      <c r="AE203" t="s">
        <v>140</v>
      </c>
      <c r="AF203">
        <v>65.5</v>
      </c>
      <c r="AG203">
        <v>67.5</v>
      </c>
    </row>
    <row r="204" spans="31:33" x14ac:dyDescent="0.45">
      <c r="AE204" t="s">
        <v>140</v>
      </c>
      <c r="AF204">
        <v>85.5</v>
      </c>
      <c r="AG204">
        <v>77.5</v>
      </c>
    </row>
    <row r="205" spans="31:33" x14ac:dyDescent="0.45">
      <c r="AE205" t="s">
        <v>140</v>
      </c>
      <c r="AF205">
        <v>70</v>
      </c>
      <c r="AG205">
        <v>72</v>
      </c>
    </row>
    <row r="206" spans="31:33" x14ac:dyDescent="0.45">
      <c r="AE206" t="s">
        <v>140</v>
      </c>
      <c r="AF206">
        <v>59.5</v>
      </c>
      <c r="AG206">
        <v>61</v>
      </c>
    </row>
    <row r="207" spans="31:33" x14ac:dyDescent="0.45">
      <c r="AE207" t="s">
        <v>140</v>
      </c>
      <c r="AF207">
        <v>81.5</v>
      </c>
      <c r="AG207">
        <v>69</v>
      </c>
    </row>
    <row r="208" spans="31:33" x14ac:dyDescent="0.45">
      <c r="AE208" t="s">
        <v>140</v>
      </c>
      <c r="AF208">
        <v>70</v>
      </c>
      <c r="AG208">
        <v>67</v>
      </c>
    </row>
    <row r="209" spans="31:33" x14ac:dyDescent="0.45">
      <c r="AE209" t="s">
        <v>140</v>
      </c>
      <c r="AF209">
        <v>69</v>
      </c>
      <c r="AG209">
        <v>67.5</v>
      </c>
    </row>
    <row r="210" spans="31:33" x14ac:dyDescent="0.45">
      <c r="AE210" t="s">
        <v>140</v>
      </c>
      <c r="AF210">
        <v>65.5</v>
      </c>
      <c r="AG210">
        <v>64.5</v>
      </c>
    </row>
    <row r="211" spans="31:33" x14ac:dyDescent="0.45">
      <c r="AE211" t="s">
        <v>140</v>
      </c>
      <c r="AF211">
        <v>75</v>
      </c>
      <c r="AG211">
        <v>75</v>
      </c>
    </row>
  </sheetData>
  <conditionalFormatting sqref="D27:AA37">
    <cfRule type="cellIs" dxfId="6" priority="2" operator="lessThan">
      <formula>0</formula>
    </cfRule>
  </conditionalFormatting>
  <conditionalFormatting sqref="C27:C37">
    <cfRule type="cellIs" dxfId="5" priority="1" operator="less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AQ211"/>
  <sheetViews>
    <sheetView tabSelected="1" zoomScale="80" zoomScaleNormal="80" workbookViewId="0">
      <selection activeCell="AD34" sqref="AD34"/>
    </sheetView>
  </sheetViews>
  <sheetFormatPr defaultRowHeight="14.25" x14ac:dyDescent="0.45"/>
  <cols>
    <col min="2" max="2" width="10.59765625" bestFit="1" customWidth="1"/>
    <col min="4" max="27" width="5.33203125" customWidth="1"/>
  </cols>
  <sheetData>
    <row r="1" spans="1:43" x14ac:dyDescent="0.45"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</row>
    <row r="2" spans="1:43" x14ac:dyDescent="0.45">
      <c r="A2">
        <v>0</v>
      </c>
      <c r="B2" s="6" t="s">
        <v>66</v>
      </c>
      <c r="C2" s="6">
        <f>SUM(H2:AA2)</f>
        <v>1069.5</v>
      </c>
      <c r="D2" s="6">
        <v>67</v>
      </c>
      <c r="E2" s="6">
        <v>72.5</v>
      </c>
      <c r="F2" s="6">
        <v>58</v>
      </c>
      <c r="G2" s="6">
        <v>69</v>
      </c>
      <c r="H2" s="6">
        <v>77.5</v>
      </c>
      <c r="I2" s="6">
        <v>73.5</v>
      </c>
      <c r="J2" s="6">
        <v>73</v>
      </c>
      <c r="K2" s="6">
        <v>63</v>
      </c>
      <c r="L2" s="6">
        <v>67</v>
      </c>
      <c r="M2" s="6">
        <v>66.5</v>
      </c>
      <c r="N2" s="6">
        <v>59</v>
      </c>
      <c r="O2" s="6">
        <v>87.5</v>
      </c>
      <c r="P2" s="6">
        <v>66.5</v>
      </c>
      <c r="Q2" s="6">
        <v>71.5</v>
      </c>
      <c r="R2" s="6">
        <v>69</v>
      </c>
      <c r="S2" s="6">
        <v>71.5</v>
      </c>
      <c r="T2" s="6">
        <v>82.5</v>
      </c>
      <c r="U2" s="6">
        <v>66</v>
      </c>
      <c r="V2" s="6">
        <v>75.5</v>
      </c>
      <c r="W2" s="6"/>
      <c r="X2" s="6"/>
      <c r="Y2" s="6"/>
      <c r="Z2" s="6"/>
      <c r="AA2" s="6"/>
      <c r="AC2">
        <f>COUNTIF(D2:AA11,"&gt;70")</f>
        <v>74</v>
      </c>
    </row>
    <row r="3" spans="1:43" x14ac:dyDescent="0.45">
      <c r="A3">
        <v>1</v>
      </c>
      <c r="B3" s="6" t="s">
        <v>67</v>
      </c>
      <c r="C3" s="6">
        <f t="shared" ref="C3:C11" si="0">SUM(H3:AA3)</f>
        <v>1018.5</v>
      </c>
      <c r="D3" s="6">
        <v>67.5</v>
      </c>
      <c r="E3" s="6">
        <v>72</v>
      </c>
      <c r="F3" s="6">
        <v>69.5</v>
      </c>
      <c r="G3" s="6">
        <v>72.5</v>
      </c>
      <c r="H3" s="6">
        <v>82</v>
      </c>
      <c r="I3" s="6">
        <v>64</v>
      </c>
      <c r="J3" s="6">
        <v>65.5</v>
      </c>
      <c r="K3" s="6">
        <v>65.5</v>
      </c>
      <c r="L3" s="6">
        <v>70</v>
      </c>
      <c r="M3" s="6">
        <v>77.5</v>
      </c>
      <c r="N3" s="6">
        <v>61</v>
      </c>
      <c r="O3" s="6">
        <v>70.5</v>
      </c>
      <c r="P3" s="6">
        <v>71</v>
      </c>
      <c r="Q3" s="6">
        <v>67</v>
      </c>
      <c r="R3" s="6">
        <v>66.5</v>
      </c>
      <c r="S3" s="6">
        <v>63.5</v>
      </c>
      <c r="T3" s="6">
        <v>62.5</v>
      </c>
      <c r="U3" s="6">
        <v>65</v>
      </c>
      <c r="V3" s="6">
        <v>67</v>
      </c>
      <c r="W3" s="6"/>
      <c r="X3" s="6"/>
      <c r="Y3" s="6"/>
      <c r="Z3" s="6"/>
      <c r="AA3" s="6"/>
      <c r="AE3" t="s">
        <v>357</v>
      </c>
      <c r="AF3" t="s">
        <v>83</v>
      </c>
      <c r="AK3" t="s">
        <v>2</v>
      </c>
      <c r="AL3">
        <v>120</v>
      </c>
      <c r="AM3">
        <v>120</v>
      </c>
      <c r="AN3">
        <v>130</v>
      </c>
      <c r="AO3">
        <v>110</v>
      </c>
      <c r="AP3">
        <v>100</v>
      </c>
      <c r="AQ3">
        <v>110</v>
      </c>
    </row>
    <row r="4" spans="1:43" x14ac:dyDescent="0.45">
      <c r="A4">
        <v>2</v>
      </c>
      <c r="B4" s="6" t="s">
        <v>68</v>
      </c>
      <c r="C4" s="6">
        <f t="shared" si="0"/>
        <v>1084.5</v>
      </c>
      <c r="D4" s="6">
        <v>72.5</v>
      </c>
      <c r="E4" s="6">
        <v>69</v>
      </c>
      <c r="F4" s="6">
        <v>82</v>
      </c>
      <c r="G4" s="6">
        <v>68</v>
      </c>
      <c r="H4" s="6">
        <v>74.5</v>
      </c>
      <c r="I4" s="6">
        <v>74</v>
      </c>
      <c r="J4" s="6">
        <v>72.5</v>
      </c>
      <c r="K4" s="6">
        <v>77.5</v>
      </c>
      <c r="L4" s="6">
        <v>72</v>
      </c>
      <c r="M4" s="6">
        <v>78</v>
      </c>
      <c r="N4" s="6">
        <v>67</v>
      </c>
      <c r="O4" s="6">
        <v>65</v>
      </c>
      <c r="P4" s="6">
        <v>85.5</v>
      </c>
      <c r="Q4" s="6">
        <v>63.5</v>
      </c>
      <c r="R4" s="6">
        <v>65</v>
      </c>
      <c r="S4" s="6">
        <v>66.5</v>
      </c>
      <c r="T4" s="6">
        <v>75</v>
      </c>
      <c r="U4" s="6">
        <v>70</v>
      </c>
      <c r="V4" s="6">
        <v>78.5</v>
      </c>
      <c r="W4" s="6"/>
      <c r="X4" s="6"/>
      <c r="Y4" s="6"/>
      <c r="Z4" s="6"/>
      <c r="AA4" s="6"/>
      <c r="AE4" t="s">
        <v>358</v>
      </c>
      <c r="AF4">
        <v>69.5</v>
      </c>
      <c r="AG4">
        <v>67</v>
      </c>
      <c r="AH4">
        <v>11</v>
      </c>
      <c r="AK4" t="s">
        <v>354</v>
      </c>
      <c r="AL4">
        <v>50</v>
      </c>
      <c r="AM4">
        <v>40</v>
      </c>
      <c r="AN4">
        <v>40</v>
      </c>
      <c r="AO4">
        <v>40</v>
      </c>
      <c r="AP4">
        <v>40</v>
      </c>
      <c r="AQ4">
        <v>40</v>
      </c>
    </row>
    <row r="5" spans="1:43" x14ac:dyDescent="0.45">
      <c r="A5">
        <v>3</v>
      </c>
      <c r="B5" s="6" t="s">
        <v>69</v>
      </c>
      <c r="C5" s="6">
        <f t="shared" si="0"/>
        <v>1035.5</v>
      </c>
      <c r="D5" s="6">
        <v>70</v>
      </c>
      <c r="E5" s="6">
        <v>65</v>
      </c>
      <c r="F5" s="6">
        <v>63</v>
      </c>
      <c r="G5" s="6">
        <v>63.5</v>
      </c>
      <c r="H5" s="6">
        <v>62.5</v>
      </c>
      <c r="I5" s="6">
        <v>64</v>
      </c>
      <c r="J5" s="6">
        <v>66.5</v>
      </c>
      <c r="K5" s="6">
        <v>64</v>
      </c>
      <c r="L5" s="6">
        <v>70</v>
      </c>
      <c r="M5" s="6">
        <v>63.5</v>
      </c>
      <c r="N5" s="6">
        <v>66</v>
      </c>
      <c r="O5" s="6">
        <v>82</v>
      </c>
      <c r="P5" s="6">
        <v>68.5</v>
      </c>
      <c r="Q5" s="6">
        <v>69.5</v>
      </c>
      <c r="R5" s="6">
        <v>75</v>
      </c>
      <c r="S5" s="6">
        <v>66</v>
      </c>
      <c r="T5" s="6">
        <v>85.5</v>
      </c>
      <c r="U5" s="6">
        <v>61.5</v>
      </c>
      <c r="V5" s="6">
        <v>71</v>
      </c>
      <c r="W5" s="6"/>
      <c r="X5" s="6"/>
      <c r="Y5" s="6"/>
      <c r="Z5" s="6"/>
      <c r="AA5" s="6"/>
      <c r="AE5" t="s">
        <v>358</v>
      </c>
      <c r="AF5">
        <v>67</v>
      </c>
      <c r="AG5">
        <v>67.5</v>
      </c>
      <c r="AH5">
        <v>11</v>
      </c>
      <c r="AK5" t="s">
        <v>22</v>
      </c>
      <c r="AL5">
        <v>3</v>
      </c>
      <c r="AM5">
        <v>3</v>
      </c>
      <c r="AN5">
        <v>3</v>
      </c>
      <c r="AO5">
        <v>3</v>
      </c>
      <c r="AP5">
        <v>3</v>
      </c>
      <c r="AQ5">
        <v>3</v>
      </c>
    </row>
    <row r="6" spans="1:43" x14ac:dyDescent="0.45">
      <c r="A6">
        <v>4</v>
      </c>
      <c r="B6" s="6" t="s">
        <v>71</v>
      </c>
      <c r="C6" s="6">
        <f t="shared" si="0"/>
        <v>1016.5</v>
      </c>
      <c r="D6" s="6">
        <v>72</v>
      </c>
      <c r="E6" s="6">
        <v>75</v>
      </c>
      <c r="F6" s="6">
        <v>71</v>
      </c>
      <c r="G6" s="6">
        <v>62.5</v>
      </c>
      <c r="H6" s="6">
        <v>67.5</v>
      </c>
      <c r="I6" s="6">
        <v>66.5</v>
      </c>
      <c r="J6" s="6">
        <v>62</v>
      </c>
      <c r="K6" s="6">
        <v>58.5</v>
      </c>
      <c r="L6" s="6">
        <v>68</v>
      </c>
      <c r="M6" s="6">
        <v>60.5</v>
      </c>
      <c r="N6" s="6">
        <v>63</v>
      </c>
      <c r="O6" s="6">
        <v>66.5</v>
      </c>
      <c r="P6" s="6">
        <v>75.5</v>
      </c>
      <c r="Q6" s="6">
        <v>70</v>
      </c>
      <c r="R6" s="6">
        <v>78</v>
      </c>
      <c r="S6" s="6">
        <v>71</v>
      </c>
      <c r="T6" s="6">
        <v>70</v>
      </c>
      <c r="U6" s="6">
        <v>73</v>
      </c>
      <c r="V6" s="6">
        <v>66.5</v>
      </c>
      <c r="W6" s="6"/>
      <c r="X6" s="6"/>
      <c r="Y6" s="6"/>
      <c r="Z6" s="6"/>
      <c r="AA6" s="6"/>
      <c r="AE6" t="s">
        <v>358</v>
      </c>
      <c r="AF6">
        <v>71</v>
      </c>
      <c r="AG6">
        <v>72.5</v>
      </c>
      <c r="AH6">
        <v>11</v>
      </c>
      <c r="AK6" t="s">
        <v>355</v>
      </c>
      <c r="AL6">
        <v>1</v>
      </c>
      <c r="AM6">
        <v>1</v>
      </c>
      <c r="AN6">
        <v>1</v>
      </c>
      <c r="AO6">
        <v>1</v>
      </c>
      <c r="AP6">
        <v>1</v>
      </c>
      <c r="AQ6">
        <v>2</v>
      </c>
    </row>
    <row r="7" spans="1:43" x14ac:dyDescent="0.45">
      <c r="A7">
        <v>5</v>
      </c>
      <c r="B7" s="6" t="s">
        <v>70</v>
      </c>
      <c r="C7" s="6">
        <f t="shared" si="0"/>
        <v>1028</v>
      </c>
      <c r="D7" s="6">
        <v>61.5</v>
      </c>
      <c r="E7" s="6">
        <v>85.5</v>
      </c>
      <c r="F7" s="6">
        <v>74</v>
      </c>
      <c r="G7" s="6">
        <v>74</v>
      </c>
      <c r="H7" s="6">
        <v>74</v>
      </c>
      <c r="I7" s="6">
        <v>66.5</v>
      </c>
      <c r="J7" s="6">
        <v>61</v>
      </c>
      <c r="K7" s="6">
        <v>65.5</v>
      </c>
      <c r="L7" s="6">
        <v>66</v>
      </c>
      <c r="M7" s="6">
        <v>66</v>
      </c>
      <c r="N7" s="6">
        <v>79</v>
      </c>
      <c r="O7" s="6">
        <v>68.5</v>
      </c>
      <c r="P7" s="6">
        <v>62.5</v>
      </c>
      <c r="Q7" s="6">
        <v>70.5</v>
      </c>
      <c r="R7" s="6">
        <v>65.5</v>
      </c>
      <c r="S7" s="6">
        <v>76</v>
      </c>
      <c r="T7" s="6">
        <v>71</v>
      </c>
      <c r="U7" s="6">
        <v>66</v>
      </c>
      <c r="V7" s="6">
        <v>70</v>
      </c>
      <c r="W7" s="6"/>
      <c r="X7" s="6"/>
      <c r="Y7" s="6"/>
      <c r="Z7" s="6"/>
      <c r="AA7" s="6"/>
      <c r="AE7" t="s">
        <v>358</v>
      </c>
      <c r="AF7">
        <v>70</v>
      </c>
      <c r="AG7">
        <v>70</v>
      </c>
      <c r="AH7">
        <v>11</v>
      </c>
      <c r="AK7" t="s">
        <v>356</v>
      </c>
      <c r="AL7">
        <v>30</v>
      </c>
      <c r="AM7">
        <v>30</v>
      </c>
      <c r="AN7">
        <v>30</v>
      </c>
      <c r="AO7">
        <v>30</v>
      </c>
      <c r="AP7">
        <v>30</v>
      </c>
      <c r="AQ7">
        <v>30</v>
      </c>
    </row>
    <row r="8" spans="1:43" x14ac:dyDescent="0.45">
      <c r="A8">
        <v>6</v>
      </c>
      <c r="B8" s="6" t="s">
        <v>72</v>
      </c>
      <c r="C8" s="6">
        <f t="shared" si="0"/>
        <v>1044</v>
      </c>
      <c r="D8" s="6">
        <v>67.5</v>
      </c>
      <c r="E8" s="6">
        <v>72.5</v>
      </c>
      <c r="F8" s="6">
        <v>66.5</v>
      </c>
      <c r="G8" s="6">
        <v>71</v>
      </c>
      <c r="H8" s="6">
        <v>77</v>
      </c>
      <c r="I8" s="6">
        <v>61</v>
      </c>
      <c r="J8" s="6">
        <v>68.5</v>
      </c>
      <c r="K8" s="6">
        <v>72</v>
      </c>
      <c r="L8" s="6">
        <v>69.5</v>
      </c>
      <c r="M8" s="6">
        <v>71</v>
      </c>
      <c r="N8" s="6">
        <v>72</v>
      </c>
      <c r="O8" s="6">
        <v>73</v>
      </c>
      <c r="P8" s="6">
        <v>68</v>
      </c>
      <c r="Q8" s="6">
        <v>71</v>
      </c>
      <c r="R8" s="6">
        <v>61.5</v>
      </c>
      <c r="S8" s="6">
        <v>70.5</v>
      </c>
      <c r="T8" s="6">
        <v>69</v>
      </c>
      <c r="U8" s="6">
        <v>72.5</v>
      </c>
      <c r="V8" s="6">
        <v>67.5</v>
      </c>
      <c r="W8" s="6"/>
      <c r="X8" s="6"/>
      <c r="Y8" s="6"/>
      <c r="Z8" s="6"/>
      <c r="AA8" s="6"/>
      <c r="AE8" t="s">
        <v>358</v>
      </c>
      <c r="AF8">
        <v>71</v>
      </c>
      <c r="AG8">
        <v>72</v>
      </c>
      <c r="AH8">
        <v>11</v>
      </c>
      <c r="AL8">
        <v>-37</v>
      </c>
      <c r="AM8">
        <v>-29</v>
      </c>
      <c r="AN8">
        <v>-31.5</v>
      </c>
      <c r="AO8">
        <v>-24</v>
      </c>
      <c r="AP8">
        <v>-28</v>
      </c>
      <c r="AQ8">
        <v>-17</v>
      </c>
    </row>
    <row r="9" spans="1:43" x14ac:dyDescent="0.45">
      <c r="A9">
        <v>7</v>
      </c>
      <c r="B9" s="6" t="s">
        <v>75</v>
      </c>
      <c r="C9" s="6">
        <f t="shared" si="0"/>
        <v>1042.5</v>
      </c>
      <c r="D9" s="6">
        <v>76</v>
      </c>
      <c r="E9" s="6">
        <v>70</v>
      </c>
      <c r="F9" s="6">
        <v>61.5</v>
      </c>
      <c r="G9" s="6">
        <v>80</v>
      </c>
      <c r="H9" s="6">
        <v>70.5</v>
      </c>
      <c r="I9" s="6">
        <v>69.5</v>
      </c>
      <c r="J9" s="6">
        <v>66.5</v>
      </c>
      <c r="K9" s="6">
        <v>66</v>
      </c>
      <c r="L9" s="6">
        <v>65</v>
      </c>
      <c r="M9" s="6">
        <v>68</v>
      </c>
      <c r="N9" s="6">
        <v>69</v>
      </c>
      <c r="O9" s="6">
        <v>86</v>
      </c>
      <c r="P9" s="6">
        <v>73.5</v>
      </c>
      <c r="Q9" s="6">
        <v>68</v>
      </c>
      <c r="R9" s="6">
        <v>72</v>
      </c>
      <c r="S9" s="6">
        <v>67</v>
      </c>
      <c r="T9" s="6">
        <v>65.5</v>
      </c>
      <c r="U9" s="6">
        <v>69</v>
      </c>
      <c r="V9" s="6">
        <v>67</v>
      </c>
      <c r="W9" s="6"/>
      <c r="X9" s="6"/>
      <c r="Y9" s="6"/>
      <c r="Z9" s="6"/>
      <c r="AA9" s="6"/>
      <c r="AE9" t="s">
        <v>358</v>
      </c>
      <c r="AF9">
        <v>60.5</v>
      </c>
      <c r="AG9">
        <v>61.5</v>
      </c>
      <c r="AH9">
        <v>11</v>
      </c>
      <c r="AL9">
        <v>6</v>
      </c>
      <c r="AM9">
        <v>6</v>
      </c>
      <c r="AN9">
        <v>5</v>
      </c>
      <c r="AO9">
        <v>4</v>
      </c>
      <c r="AP9">
        <v>4</v>
      </c>
      <c r="AQ9">
        <v>4</v>
      </c>
    </row>
    <row r="10" spans="1:43" x14ac:dyDescent="0.45">
      <c r="A10">
        <v>8</v>
      </c>
      <c r="B10" s="6" t="s">
        <v>73</v>
      </c>
      <c r="C10" s="6">
        <f t="shared" si="0"/>
        <v>1017</v>
      </c>
      <c r="D10" s="6">
        <v>73</v>
      </c>
      <c r="E10" s="6">
        <v>71.5</v>
      </c>
      <c r="F10" s="6">
        <v>65.5</v>
      </c>
      <c r="G10" s="6">
        <v>68.5</v>
      </c>
      <c r="H10" s="6">
        <v>68.5</v>
      </c>
      <c r="I10" s="6">
        <v>66.5</v>
      </c>
      <c r="J10" s="6">
        <v>68</v>
      </c>
      <c r="K10" s="6">
        <v>66</v>
      </c>
      <c r="L10" s="6">
        <v>78</v>
      </c>
      <c r="M10" s="6">
        <v>60</v>
      </c>
      <c r="N10" s="6">
        <v>68.5</v>
      </c>
      <c r="O10" s="6">
        <v>64</v>
      </c>
      <c r="P10" s="6">
        <v>69</v>
      </c>
      <c r="Q10" s="6">
        <v>71</v>
      </c>
      <c r="R10" s="6">
        <v>63</v>
      </c>
      <c r="S10" s="6">
        <v>68</v>
      </c>
      <c r="T10" s="6">
        <v>75</v>
      </c>
      <c r="U10" s="6">
        <v>66.5</v>
      </c>
      <c r="V10" s="6">
        <v>65</v>
      </c>
      <c r="W10" s="6"/>
      <c r="X10" s="6"/>
      <c r="Y10" s="6"/>
      <c r="Z10" s="6"/>
      <c r="AA10" s="6"/>
      <c r="AE10" t="s">
        <v>358</v>
      </c>
      <c r="AF10">
        <v>74</v>
      </c>
      <c r="AG10">
        <v>67.5</v>
      </c>
      <c r="AH10">
        <v>11</v>
      </c>
    </row>
    <row r="11" spans="1:43" x14ac:dyDescent="0.45">
      <c r="A11">
        <v>9</v>
      </c>
      <c r="B11" s="6" t="s">
        <v>74</v>
      </c>
      <c r="C11" s="6">
        <f t="shared" si="0"/>
        <v>1060.5</v>
      </c>
      <c r="D11" s="6">
        <v>74</v>
      </c>
      <c r="E11" s="6">
        <v>69</v>
      </c>
      <c r="F11" s="6">
        <v>82</v>
      </c>
      <c r="G11" s="6">
        <v>67</v>
      </c>
      <c r="H11" s="6">
        <v>66</v>
      </c>
      <c r="I11" s="6">
        <v>86.5</v>
      </c>
      <c r="J11" s="6">
        <v>67.5</v>
      </c>
      <c r="K11" s="6">
        <v>79</v>
      </c>
      <c r="L11" s="6">
        <v>85.5</v>
      </c>
      <c r="M11" s="6">
        <v>57.5</v>
      </c>
      <c r="N11" s="6">
        <v>65.5</v>
      </c>
      <c r="O11" s="6">
        <v>59.5</v>
      </c>
      <c r="P11" s="6">
        <v>70</v>
      </c>
      <c r="Q11" s="6">
        <v>68</v>
      </c>
      <c r="R11" s="6">
        <v>65</v>
      </c>
      <c r="S11" s="6">
        <v>74.5</v>
      </c>
      <c r="T11" s="6">
        <v>65.5</v>
      </c>
      <c r="U11" s="6">
        <v>76</v>
      </c>
      <c r="V11" s="6">
        <v>74.5</v>
      </c>
      <c r="W11" s="6"/>
      <c r="X11" s="6"/>
      <c r="Y11" s="6"/>
      <c r="Z11" s="6"/>
      <c r="AA11" s="6"/>
      <c r="AE11" t="s">
        <v>358</v>
      </c>
      <c r="AF11">
        <v>68</v>
      </c>
      <c r="AG11">
        <v>76</v>
      </c>
      <c r="AH11">
        <v>11</v>
      </c>
    </row>
    <row r="12" spans="1:43" x14ac:dyDescent="0.45">
      <c r="C12" s="6">
        <f>SUM(C2:C11)</f>
        <v>10416.5</v>
      </c>
      <c r="V12">
        <v>74.5</v>
      </c>
      <c r="AE12" t="s">
        <v>358</v>
      </c>
      <c r="AF12">
        <v>74</v>
      </c>
      <c r="AG12">
        <v>73</v>
      </c>
      <c r="AH12">
        <v>11</v>
      </c>
    </row>
    <row r="13" spans="1:43" x14ac:dyDescent="0.45">
      <c r="D13">
        <v>1</v>
      </c>
      <c r="E13">
        <v>2</v>
      </c>
      <c r="F13">
        <v>3</v>
      </c>
      <c r="G13">
        <v>4</v>
      </c>
      <c r="H13">
        <v>5</v>
      </c>
      <c r="I13">
        <v>6</v>
      </c>
      <c r="J13">
        <v>7</v>
      </c>
      <c r="K13">
        <v>8</v>
      </c>
      <c r="L13">
        <v>9</v>
      </c>
      <c r="M13">
        <v>10</v>
      </c>
      <c r="N13">
        <v>11</v>
      </c>
      <c r="O13">
        <v>12</v>
      </c>
      <c r="P13">
        <v>13</v>
      </c>
      <c r="Q13">
        <v>14</v>
      </c>
      <c r="R13">
        <v>15</v>
      </c>
      <c r="S13">
        <v>16</v>
      </c>
      <c r="T13">
        <v>17</v>
      </c>
      <c r="U13">
        <v>18</v>
      </c>
      <c r="V13">
        <v>19</v>
      </c>
      <c r="W13">
        <v>20</v>
      </c>
      <c r="X13">
        <v>21</v>
      </c>
      <c r="Y13">
        <v>22</v>
      </c>
      <c r="Z13">
        <v>23</v>
      </c>
      <c r="AA13">
        <v>24</v>
      </c>
      <c r="AE13" t="s">
        <v>358</v>
      </c>
      <c r="AF13">
        <v>65</v>
      </c>
      <c r="AG13">
        <v>74</v>
      </c>
      <c r="AH13">
        <v>11</v>
      </c>
    </row>
    <row r="14" spans="1:43" x14ac:dyDescent="0.45">
      <c r="A14">
        <v>0</v>
      </c>
      <c r="B14" s="6" t="s">
        <v>66</v>
      </c>
      <c r="C14" s="6">
        <f>SUM(H14:AA14)</f>
        <v>1070.5</v>
      </c>
      <c r="D14" s="6">
        <v>69.5</v>
      </c>
      <c r="E14" s="6">
        <v>69.5</v>
      </c>
      <c r="F14" s="6">
        <v>61.5</v>
      </c>
      <c r="G14" s="6">
        <v>65</v>
      </c>
      <c r="H14" s="6">
        <v>81.5</v>
      </c>
      <c r="I14" s="6">
        <v>70</v>
      </c>
      <c r="J14" s="6">
        <v>70.5</v>
      </c>
      <c r="K14" s="6">
        <v>64</v>
      </c>
      <c r="L14" s="6">
        <v>71</v>
      </c>
      <c r="M14" s="6">
        <v>60</v>
      </c>
      <c r="N14" s="6">
        <v>65.5</v>
      </c>
      <c r="O14" s="6">
        <v>79</v>
      </c>
      <c r="P14" s="6">
        <v>68.5</v>
      </c>
      <c r="Q14" s="6">
        <v>72</v>
      </c>
      <c r="R14" s="6">
        <v>72</v>
      </c>
      <c r="S14" s="6">
        <v>70.5</v>
      </c>
      <c r="T14" s="6">
        <v>82.5</v>
      </c>
      <c r="U14" s="6">
        <v>69.5</v>
      </c>
      <c r="V14" s="6">
        <v>74</v>
      </c>
      <c r="W14" s="6"/>
      <c r="X14" s="6"/>
      <c r="Y14" s="6"/>
      <c r="Z14" s="6"/>
      <c r="AA14" s="6"/>
      <c r="AB14" s="5">
        <f>(C14-C2)/C14</f>
        <v>9.3414292386735165E-4</v>
      </c>
      <c r="AC14">
        <f>COUNTIF(D14:AA23,"&gt;70")</f>
        <v>74</v>
      </c>
      <c r="AE14" t="s">
        <v>359</v>
      </c>
      <c r="AF14" t="s">
        <v>84</v>
      </c>
    </row>
    <row r="15" spans="1:43" x14ac:dyDescent="0.45">
      <c r="A15">
        <v>1</v>
      </c>
      <c r="B15" s="6" t="s">
        <v>67</v>
      </c>
      <c r="C15" s="6">
        <f t="shared" ref="C15:C23" si="1">SUM(H15:AA15)</f>
        <v>1018</v>
      </c>
      <c r="D15" s="6">
        <v>67</v>
      </c>
      <c r="E15" s="6">
        <v>70.5</v>
      </c>
      <c r="F15" s="6">
        <v>69</v>
      </c>
      <c r="G15" s="6">
        <v>72</v>
      </c>
      <c r="H15" s="6">
        <v>78</v>
      </c>
      <c r="I15" s="6">
        <v>63</v>
      </c>
      <c r="J15" s="6">
        <v>64</v>
      </c>
      <c r="K15" s="6">
        <v>68.5</v>
      </c>
      <c r="L15" s="6">
        <v>68</v>
      </c>
      <c r="M15" s="6">
        <v>76.5</v>
      </c>
      <c r="N15" s="6">
        <v>60</v>
      </c>
      <c r="O15" s="6">
        <v>72.5</v>
      </c>
      <c r="P15" s="6">
        <v>71</v>
      </c>
      <c r="Q15" s="6">
        <v>69</v>
      </c>
      <c r="R15" s="6">
        <v>65.5</v>
      </c>
      <c r="S15" s="6">
        <v>65</v>
      </c>
      <c r="T15" s="6">
        <v>64</v>
      </c>
      <c r="U15" s="6">
        <v>64.5</v>
      </c>
      <c r="V15" s="6">
        <v>68.5</v>
      </c>
      <c r="W15" s="6"/>
      <c r="X15" s="6"/>
      <c r="Y15" s="6"/>
      <c r="Z15" s="6"/>
      <c r="AA15" s="6"/>
      <c r="AB15" s="5">
        <f>(C15-C3)/C15</f>
        <v>-4.9115913555992138E-4</v>
      </c>
      <c r="AE15" t="s">
        <v>359</v>
      </c>
      <c r="AF15">
        <v>69.5</v>
      </c>
      <c r="AG15">
        <v>72.5</v>
      </c>
      <c r="AH15">
        <v>11</v>
      </c>
    </row>
    <row r="16" spans="1:43" x14ac:dyDescent="0.45">
      <c r="A16">
        <v>2</v>
      </c>
      <c r="B16" s="6" t="s">
        <v>68</v>
      </c>
      <c r="C16" s="6">
        <f t="shared" si="1"/>
        <v>1076.5</v>
      </c>
      <c r="D16" s="6">
        <v>71</v>
      </c>
      <c r="E16" s="6">
        <v>69</v>
      </c>
      <c r="F16" s="6">
        <v>81</v>
      </c>
      <c r="G16" s="6">
        <v>68.5</v>
      </c>
      <c r="H16" s="6">
        <v>79</v>
      </c>
      <c r="I16" s="6">
        <v>76</v>
      </c>
      <c r="J16" s="6">
        <v>65</v>
      </c>
      <c r="K16" s="6">
        <v>74.5</v>
      </c>
      <c r="L16" s="6">
        <v>68</v>
      </c>
      <c r="M16" s="6">
        <v>75</v>
      </c>
      <c r="N16" s="6">
        <v>70.5</v>
      </c>
      <c r="O16" s="6">
        <v>78</v>
      </c>
      <c r="P16" s="6">
        <v>73.5</v>
      </c>
      <c r="Q16" s="6">
        <v>64.5</v>
      </c>
      <c r="R16" s="6">
        <v>64.5</v>
      </c>
      <c r="S16" s="6">
        <v>66.5</v>
      </c>
      <c r="T16" s="6">
        <v>71</v>
      </c>
      <c r="U16" s="6">
        <v>73.5</v>
      </c>
      <c r="V16" s="6">
        <v>77</v>
      </c>
      <c r="W16" s="6"/>
      <c r="X16" s="6"/>
      <c r="Y16" s="6"/>
      <c r="Z16" s="6"/>
      <c r="AA16" s="6"/>
      <c r="AB16" s="5">
        <f>(C16-C4)/C16</f>
        <v>-7.4314909428704135E-3</v>
      </c>
      <c r="AE16" t="s">
        <v>359</v>
      </c>
      <c r="AF16">
        <v>70.5</v>
      </c>
      <c r="AG16">
        <v>72</v>
      </c>
      <c r="AH16">
        <v>11</v>
      </c>
    </row>
    <row r="17" spans="1:34" x14ac:dyDescent="0.45">
      <c r="A17">
        <v>3</v>
      </c>
      <c r="B17" s="6" t="s">
        <v>69</v>
      </c>
      <c r="C17" s="6">
        <f t="shared" si="1"/>
        <v>1035.5</v>
      </c>
      <c r="D17" s="6">
        <v>70</v>
      </c>
      <c r="E17" s="6">
        <v>63.5</v>
      </c>
      <c r="F17" s="6">
        <v>64.5</v>
      </c>
      <c r="G17" s="6">
        <v>63.5</v>
      </c>
      <c r="H17" s="6">
        <v>66.5</v>
      </c>
      <c r="I17" s="6">
        <v>65.5</v>
      </c>
      <c r="J17" s="6">
        <v>70</v>
      </c>
      <c r="K17" s="6">
        <v>65.5</v>
      </c>
      <c r="L17" s="6">
        <v>71</v>
      </c>
      <c r="M17" s="6">
        <v>59.5</v>
      </c>
      <c r="N17" s="6">
        <v>69.5</v>
      </c>
      <c r="O17" s="6">
        <v>82.5</v>
      </c>
      <c r="P17" s="6">
        <v>64</v>
      </c>
      <c r="Q17" s="6">
        <v>70.5</v>
      </c>
      <c r="R17" s="6">
        <v>75</v>
      </c>
      <c r="S17" s="6">
        <v>62.5</v>
      </c>
      <c r="T17" s="6">
        <v>84.5</v>
      </c>
      <c r="U17" s="6">
        <v>61.5</v>
      </c>
      <c r="V17" s="6">
        <v>67.5</v>
      </c>
      <c r="W17" s="6"/>
      <c r="X17" s="6"/>
      <c r="Y17" s="6"/>
      <c r="Z17" s="6"/>
      <c r="AA17" s="6"/>
      <c r="AB17" s="5">
        <f>(C17-C5)/C17</f>
        <v>0</v>
      </c>
      <c r="AE17" t="s">
        <v>359</v>
      </c>
      <c r="AF17">
        <v>69</v>
      </c>
      <c r="AG17">
        <v>69</v>
      </c>
      <c r="AH17">
        <v>11</v>
      </c>
    </row>
    <row r="18" spans="1:34" x14ac:dyDescent="0.45">
      <c r="A18">
        <v>4</v>
      </c>
      <c r="B18" s="6" t="s">
        <v>71</v>
      </c>
      <c r="C18" s="6">
        <f t="shared" si="1"/>
        <v>997</v>
      </c>
      <c r="D18" s="6">
        <v>71</v>
      </c>
      <c r="E18" s="6">
        <v>80</v>
      </c>
      <c r="F18" s="6">
        <v>72</v>
      </c>
      <c r="G18" s="6">
        <v>64</v>
      </c>
      <c r="H18" s="6">
        <v>69</v>
      </c>
      <c r="I18" s="6">
        <v>66</v>
      </c>
      <c r="J18" s="6">
        <v>62</v>
      </c>
      <c r="K18" s="6">
        <v>61</v>
      </c>
      <c r="L18" s="6">
        <v>62.5</v>
      </c>
      <c r="M18" s="6">
        <v>61</v>
      </c>
      <c r="N18" s="6">
        <v>65</v>
      </c>
      <c r="O18" s="6">
        <v>64</v>
      </c>
      <c r="P18" s="6">
        <v>75.5</v>
      </c>
      <c r="Q18" s="6">
        <v>70</v>
      </c>
      <c r="R18" s="6">
        <v>71</v>
      </c>
      <c r="S18" s="6">
        <v>70</v>
      </c>
      <c r="T18" s="6">
        <v>66.5</v>
      </c>
      <c r="U18" s="6">
        <v>72.5</v>
      </c>
      <c r="V18" s="6">
        <v>61</v>
      </c>
      <c r="W18" s="6"/>
      <c r="X18" s="6"/>
      <c r="Y18" s="6"/>
      <c r="Z18" s="6"/>
      <c r="AA18" s="6"/>
      <c r="AB18" s="5">
        <f>(C18-C6)/C18</f>
        <v>-1.9558676028084254E-2</v>
      </c>
      <c r="AE18" t="s">
        <v>359</v>
      </c>
      <c r="AF18">
        <v>63.5</v>
      </c>
      <c r="AG18">
        <v>65</v>
      </c>
      <c r="AH18">
        <v>11</v>
      </c>
    </row>
    <row r="19" spans="1:34" x14ac:dyDescent="0.45">
      <c r="A19">
        <v>5</v>
      </c>
      <c r="B19" s="6" t="s">
        <v>70</v>
      </c>
      <c r="C19" s="6">
        <f t="shared" si="1"/>
        <v>1043</v>
      </c>
      <c r="D19" s="6">
        <v>60.5</v>
      </c>
      <c r="E19" s="6">
        <v>77.5</v>
      </c>
      <c r="F19" s="6">
        <v>71.5</v>
      </c>
      <c r="G19" s="6">
        <v>71.5</v>
      </c>
      <c r="H19" s="6">
        <v>73</v>
      </c>
      <c r="I19" s="6">
        <v>65</v>
      </c>
      <c r="J19" s="6">
        <v>61</v>
      </c>
      <c r="K19" s="6">
        <v>66.5</v>
      </c>
      <c r="L19" s="6">
        <v>70.5</v>
      </c>
      <c r="M19" s="6">
        <v>73</v>
      </c>
      <c r="N19" s="6">
        <v>84</v>
      </c>
      <c r="O19" s="6">
        <v>71</v>
      </c>
      <c r="P19" s="6">
        <v>65.5</v>
      </c>
      <c r="Q19" s="6">
        <v>64</v>
      </c>
      <c r="R19" s="6">
        <v>66.5</v>
      </c>
      <c r="S19" s="6">
        <v>68</v>
      </c>
      <c r="T19" s="6">
        <v>73</v>
      </c>
      <c r="U19" s="6">
        <v>69.5</v>
      </c>
      <c r="V19" s="6">
        <v>72.5</v>
      </c>
      <c r="W19" s="6"/>
      <c r="X19" s="6"/>
      <c r="Y19" s="6"/>
      <c r="Z19" s="6"/>
      <c r="AA19" s="6"/>
      <c r="AB19" s="5">
        <f>(C19-C7)/C19</f>
        <v>1.4381591562799617E-2</v>
      </c>
      <c r="AE19" t="s">
        <v>359</v>
      </c>
      <c r="AF19">
        <v>80</v>
      </c>
      <c r="AG19">
        <v>75</v>
      </c>
      <c r="AH19">
        <v>11</v>
      </c>
    </row>
    <row r="20" spans="1:34" x14ac:dyDescent="0.45">
      <c r="A20">
        <v>6</v>
      </c>
      <c r="B20" s="6" t="s">
        <v>72</v>
      </c>
      <c r="C20" s="6">
        <f t="shared" si="1"/>
        <v>1046.5</v>
      </c>
      <c r="D20" s="6">
        <v>74</v>
      </c>
      <c r="E20" s="6">
        <v>69</v>
      </c>
      <c r="F20" s="6">
        <v>65.5</v>
      </c>
      <c r="G20" s="6">
        <v>72</v>
      </c>
      <c r="H20" s="6">
        <v>81.5</v>
      </c>
      <c r="I20" s="6">
        <v>69.5</v>
      </c>
      <c r="J20" s="6">
        <v>68.5</v>
      </c>
      <c r="K20" s="6">
        <v>71.5</v>
      </c>
      <c r="L20" s="6">
        <v>70.5</v>
      </c>
      <c r="M20" s="6">
        <v>70.5</v>
      </c>
      <c r="N20" s="6">
        <v>71</v>
      </c>
      <c r="O20" s="6">
        <v>69</v>
      </c>
      <c r="P20" s="6">
        <v>68.5</v>
      </c>
      <c r="Q20" s="6">
        <v>71</v>
      </c>
      <c r="R20" s="6">
        <v>61.5</v>
      </c>
      <c r="S20" s="6">
        <v>66.5</v>
      </c>
      <c r="T20" s="6">
        <v>66</v>
      </c>
      <c r="U20" s="6">
        <v>71.5</v>
      </c>
      <c r="V20" s="6">
        <v>69.5</v>
      </c>
      <c r="W20" s="6"/>
      <c r="X20" s="6"/>
      <c r="Y20" s="6"/>
      <c r="Z20" s="6"/>
      <c r="AA20" s="6"/>
      <c r="AB20" s="5">
        <f>(C20-C8)/C20</f>
        <v>2.3889154323936935E-3</v>
      </c>
      <c r="AE20" t="s">
        <v>359</v>
      </c>
      <c r="AF20">
        <v>77.5</v>
      </c>
      <c r="AG20">
        <v>85.5</v>
      </c>
      <c r="AH20">
        <v>11</v>
      </c>
    </row>
    <row r="21" spans="1:34" x14ac:dyDescent="0.45">
      <c r="A21">
        <v>7</v>
      </c>
      <c r="B21" s="6" t="s">
        <v>75</v>
      </c>
      <c r="C21" s="6">
        <f t="shared" si="1"/>
        <v>1032.5</v>
      </c>
      <c r="D21" s="6">
        <v>68</v>
      </c>
      <c r="E21" s="6">
        <v>69.5</v>
      </c>
      <c r="F21" s="6">
        <v>59</v>
      </c>
      <c r="G21" s="6">
        <v>74</v>
      </c>
      <c r="H21" s="6">
        <v>70.5</v>
      </c>
      <c r="I21" s="6">
        <v>69.5</v>
      </c>
      <c r="J21" s="6">
        <v>68.5</v>
      </c>
      <c r="K21" s="6">
        <v>65.5</v>
      </c>
      <c r="L21" s="6">
        <v>65</v>
      </c>
      <c r="M21" s="6">
        <v>67.5</v>
      </c>
      <c r="N21" s="6">
        <v>71.5</v>
      </c>
      <c r="O21" s="6">
        <v>77.5</v>
      </c>
      <c r="P21" s="6">
        <v>69.5</v>
      </c>
      <c r="Q21" s="6">
        <v>72.5</v>
      </c>
      <c r="R21" s="6">
        <v>64</v>
      </c>
      <c r="S21" s="6">
        <v>65.5</v>
      </c>
      <c r="T21" s="6">
        <v>68.5</v>
      </c>
      <c r="U21" s="6">
        <v>69</v>
      </c>
      <c r="V21" s="6">
        <v>68</v>
      </c>
      <c r="W21" s="6"/>
      <c r="X21" s="6"/>
      <c r="Y21" s="6"/>
      <c r="Z21" s="6"/>
      <c r="AA21" s="6"/>
      <c r="AB21" s="5">
        <f>(C21-C9)/C21</f>
        <v>-9.6852300242130755E-3</v>
      </c>
      <c r="AE21" t="s">
        <v>359</v>
      </c>
      <c r="AF21">
        <v>69</v>
      </c>
      <c r="AG21">
        <v>72.5</v>
      </c>
      <c r="AH21">
        <v>11</v>
      </c>
    </row>
    <row r="22" spans="1:34" x14ac:dyDescent="0.45">
      <c r="A22">
        <v>8</v>
      </c>
      <c r="B22" s="6" t="s">
        <v>73</v>
      </c>
      <c r="C22" s="6">
        <f t="shared" si="1"/>
        <v>1032.5</v>
      </c>
      <c r="D22" s="6">
        <v>74</v>
      </c>
      <c r="E22" s="6">
        <v>69</v>
      </c>
      <c r="F22" s="6">
        <v>66.5</v>
      </c>
      <c r="G22" s="6">
        <v>67</v>
      </c>
      <c r="H22" s="6">
        <v>65.5</v>
      </c>
      <c r="I22" s="6">
        <v>69.5</v>
      </c>
      <c r="J22" s="6">
        <v>68.5</v>
      </c>
      <c r="K22" s="6">
        <v>66</v>
      </c>
      <c r="L22" s="6">
        <v>76</v>
      </c>
      <c r="M22" s="6">
        <v>60.5</v>
      </c>
      <c r="N22" s="6">
        <v>70.5</v>
      </c>
      <c r="O22" s="6">
        <v>69</v>
      </c>
      <c r="P22" s="6">
        <v>68</v>
      </c>
      <c r="Q22" s="6">
        <v>75</v>
      </c>
      <c r="R22" s="6">
        <v>64</v>
      </c>
      <c r="S22" s="6">
        <v>68</v>
      </c>
      <c r="T22" s="6">
        <v>73.5</v>
      </c>
      <c r="U22" s="6">
        <v>70.5</v>
      </c>
      <c r="V22" s="6">
        <v>68</v>
      </c>
      <c r="W22" s="6"/>
      <c r="X22" s="6"/>
      <c r="Y22" s="6"/>
      <c r="Z22" s="6"/>
      <c r="AA22" s="6"/>
      <c r="AB22" s="5">
        <f>(C22-C10)/C22</f>
        <v>1.5012106537530266E-2</v>
      </c>
      <c r="AE22" t="s">
        <v>359</v>
      </c>
      <c r="AF22">
        <v>69.5</v>
      </c>
      <c r="AG22">
        <v>70</v>
      </c>
      <c r="AH22">
        <v>11</v>
      </c>
    </row>
    <row r="23" spans="1:34" x14ac:dyDescent="0.45">
      <c r="A23">
        <v>9</v>
      </c>
      <c r="B23" s="6" t="s">
        <v>74</v>
      </c>
      <c r="C23" s="6">
        <f t="shared" si="1"/>
        <v>1058</v>
      </c>
      <c r="D23" s="6">
        <v>65</v>
      </c>
      <c r="E23" s="6">
        <v>69.5</v>
      </c>
      <c r="F23" s="6">
        <v>79.5</v>
      </c>
      <c r="G23" s="6">
        <v>66.5</v>
      </c>
      <c r="H23" s="6">
        <v>66</v>
      </c>
      <c r="I23" s="6">
        <v>83</v>
      </c>
      <c r="J23" s="6">
        <v>68.5</v>
      </c>
      <c r="K23" s="6">
        <v>85</v>
      </c>
      <c r="L23" s="6">
        <v>85.5</v>
      </c>
      <c r="M23" s="6">
        <v>64</v>
      </c>
      <c r="N23" s="6">
        <v>65</v>
      </c>
      <c r="O23" s="6">
        <v>62.5</v>
      </c>
      <c r="P23" s="6">
        <v>69</v>
      </c>
      <c r="Q23" s="6">
        <v>65.5</v>
      </c>
      <c r="R23" s="6">
        <v>65</v>
      </c>
      <c r="S23" s="6">
        <v>67.5</v>
      </c>
      <c r="T23" s="6">
        <v>64</v>
      </c>
      <c r="U23" s="6">
        <v>76</v>
      </c>
      <c r="V23" s="6">
        <v>71.5</v>
      </c>
      <c r="W23" s="6"/>
      <c r="X23" s="6"/>
      <c r="Y23" s="6"/>
      <c r="Z23" s="6"/>
      <c r="AA23" s="6"/>
      <c r="AB23" s="5">
        <f>(C23-C11)/C23</f>
        <v>-2.3629489603024575E-3</v>
      </c>
      <c r="AE23" t="s">
        <v>359</v>
      </c>
      <c r="AF23">
        <v>69</v>
      </c>
      <c r="AG23">
        <v>71.5</v>
      </c>
      <c r="AH23">
        <v>11</v>
      </c>
    </row>
    <row r="24" spans="1:34" x14ac:dyDescent="0.45">
      <c r="C24" s="6">
        <f>SUM(C14:C23)</f>
        <v>10410</v>
      </c>
      <c r="AB24" s="5">
        <f>(C24-C12)/C24</f>
        <v>-6.2439961575408258E-4</v>
      </c>
      <c r="AE24" t="s">
        <v>359</v>
      </c>
      <c r="AF24">
        <v>69.5</v>
      </c>
      <c r="AG24">
        <v>69</v>
      </c>
      <c r="AH24">
        <v>11</v>
      </c>
    </row>
    <row r="25" spans="1:34" x14ac:dyDescent="0.45">
      <c r="D25">
        <v>1</v>
      </c>
      <c r="E25">
        <v>2</v>
      </c>
      <c r="F25">
        <v>3</v>
      </c>
      <c r="G25">
        <v>4</v>
      </c>
      <c r="H25">
        <v>5</v>
      </c>
      <c r="I25">
        <v>6</v>
      </c>
      <c r="J25">
        <v>7</v>
      </c>
      <c r="K25">
        <v>8</v>
      </c>
      <c r="L25">
        <v>9</v>
      </c>
      <c r="M25">
        <v>10</v>
      </c>
      <c r="N25">
        <v>11</v>
      </c>
      <c r="O25">
        <v>12</v>
      </c>
      <c r="P25">
        <v>13</v>
      </c>
      <c r="Q25">
        <v>14</v>
      </c>
      <c r="R25">
        <v>15</v>
      </c>
      <c r="S25">
        <v>16</v>
      </c>
      <c r="T25">
        <v>17</v>
      </c>
      <c r="U25">
        <v>18</v>
      </c>
      <c r="V25">
        <v>19</v>
      </c>
      <c r="W25">
        <v>20</v>
      </c>
      <c r="X25">
        <v>21</v>
      </c>
      <c r="Y25">
        <v>22</v>
      </c>
      <c r="Z25">
        <v>23</v>
      </c>
      <c r="AA25">
        <v>24</v>
      </c>
      <c r="AE25" t="s">
        <v>360</v>
      </c>
      <c r="AF25" t="s">
        <v>85</v>
      </c>
    </row>
    <row r="26" spans="1:34" x14ac:dyDescent="0.45">
      <c r="A26">
        <v>0</v>
      </c>
      <c r="B26" s="6" t="s">
        <v>66</v>
      </c>
      <c r="C26" s="7">
        <f>COUNTIF(D26:AA26,"&lt;11")</f>
        <v>0</v>
      </c>
      <c r="D26" s="6">
        <v>11</v>
      </c>
      <c r="E26" s="6">
        <v>11</v>
      </c>
      <c r="F26" s="6">
        <v>11</v>
      </c>
      <c r="G26" s="6">
        <v>11</v>
      </c>
      <c r="H26" s="6">
        <v>11</v>
      </c>
      <c r="I26" s="6">
        <v>11</v>
      </c>
      <c r="J26" s="6">
        <v>11</v>
      </c>
      <c r="K26" s="6">
        <v>11</v>
      </c>
      <c r="L26" s="6">
        <v>11</v>
      </c>
      <c r="M26" s="6">
        <v>11</v>
      </c>
      <c r="N26" s="6">
        <v>11</v>
      </c>
      <c r="O26" s="6">
        <v>11</v>
      </c>
      <c r="P26" s="6">
        <v>11</v>
      </c>
      <c r="Q26" s="6">
        <v>11</v>
      </c>
      <c r="R26" s="6">
        <v>11</v>
      </c>
      <c r="S26" s="6">
        <v>11</v>
      </c>
      <c r="T26" s="6">
        <v>11</v>
      </c>
      <c r="U26" s="6">
        <v>11</v>
      </c>
      <c r="V26" s="6">
        <v>11</v>
      </c>
      <c r="W26" s="6">
        <v>11</v>
      </c>
      <c r="X26" s="6"/>
      <c r="Y26" s="6"/>
      <c r="Z26" s="6"/>
      <c r="AA26" s="6"/>
      <c r="AC26">
        <f>COUNTIF(H39:AA48,"&gt;0")</f>
        <v>65</v>
      </c>
      <c r="AE26" t="s">
        <v>360</v>
      </c>
      <c r="AF26">
        <v>61.5</v>
      </c>
      <c r="AG26">
        <v>58</v>
      </c>
      <c r="AH26">
        <v>11</v>
      </c>
    </row>
    <row r="27" spans="1:34" x14ac:dyDescent="0.45">
      <c r="A27">
        <v>1</v>
      </c>
      <c r="B27" s="6" t="s">
        <v>67</v>
      </c>
      <c r="C27" s="7">
        <f t="shared" ref="C27:C35" si="2">COUNTIF(D27:AA27,"&lt;11")</f>
        <v>1</v>
      </c>
      <c r="D27" s="6">
        <v>11</v>
      </c>
      <c r="E27" s="6">
        <v>11</v>
      </c>
      <c r="F27" s="6">
        <v>11</v>
      </c>
      <c r="G27" s="6">
        <v>11</v>
      </c>
      <c r="H27" s="6">
        <v>11</v>
      </c>
      <c r="I27" s="6">
        <v>11</v>
      </c>
      <c r="J27" s="6">
        <v>11</v>
      </c>
      <c r="K27" s="6">
        <v>11</v>
      </c>
      <c r="L27" s="6">
        <v>11</v>
      </c>
      <c r="M27" s="6">
        <v>11</v>
      </c>
      <c r="N27" s="6">
        <v>11</v>
      </c>
      <c r="O27" s="6">
        <v>11</v>
      </c>
      <c r="P27" s="6">
        <v>11</v>
      </c>
      <c r="Q27" s="6">
        <v>11</v>
      </c>
      <c r="R27" s="6">
        <v>11</v>
      </c>
      <c r="S27" s="6">
        <v>11</v>
      </c>
      <c r="T27" s="6">
        <v>10</v>
      </c>
      <c r="U27" s="6">
        <v>11</v>
      </c>
      <c r="V27" s="6">
        <v>11</v>
      </c>
      <c r="W27" s="6">
        <v>11</v>
      </c>
      <c r="X27" s="6"/>
      <c r="Y27" s="6"/>
      <c r="Z27" s="6"/>
      <c r="AA27" s="6"/>
      <c r="AC27">
        <f>COUNTIF(H39:AA48,"&lt;0")</f>
        <v>63</v>
      </c>
      <c r="AE27" t="s">
        <v>360</v>
      </c>
      <c r="AF27">
        <v>69</v>
      </c>
      <c r="AG27">
        <v>69.5</v>
      </c>
      <c r="AH27">
        <v>11</v>
      </c>
    </row>
    <row r="28" spans="1:34" x14ac:dyDescent="0.45">
      <c r="A28">
        <v>2</v>
      </c>
      <c r="B28" s="6" t="s">
        <v>68</v>
      </c>
      <c r="C28" s="7">
        <f t="shared" si="2"/>
        <v>0</v>
      </c>
      <c r="D28" s="6">
        <v>11</v>
      </c>
      <c r="E28" s="6">
        <v>11</v>
      </c>
      <c r="F28" s="6">
        <v>11</v>
      </c>
      <c r="G28" s="6">
        <v>11</v>
      </c>
      <c r="H28" s="6">
        <v>11</v>
      </c>
      <c r="I28" s="6">
        <v>11</v>
      </c>
      <c r="J28" s="6">
        <v>11</v>
      </c>
      <c r="K28" s="6">
        <v>11</v>
      </c>
      <c r="L28" s="6">
        <v>11</v>
      </c>
      <c r="M28" s="6">
        <v>11</v>
      </c>
      <c r="N28" s="6">
        <v>11</v>
      </c>
      <c r="O28" s="6">
        <v>11</v>
      </c>
      <c r="P28" s="6">
        <v>11</v>
      </c>
      <c r="Q28" s="6">
        <v>11</v>
      </c>
      <c r="R28" s="6">
        <v>11</v>
      </c>
      <c r="S28" s="6">
        <v>11</v>
      </c>
      <c r="T28" s="6">
        <v>11</v>
      </c>
      <c r="U28" s="6">
        <v>11</v>
      </c>
      <c r="V28" s="6">
        <v>11</v>
      </c>
      <c r="W28" s="6">
        <v>11</v>
      </c>
      <c r="X28" s="6"/>
      <c r="Y28" s="6"/>
      <c r="Z28" s="6"/>
      <c r="AA28" s="6"/>
      <c r="AC28">
        <f>COUNTIF(H39:AA48,"0")</f>
        <v>32</v>
      </c>
      <c r="AE28" t="s">
        <v>360</v>
      </c>
      <c r="AF28">
        <v>81</v>
      </c>
      <c r="AG28">
        <v>82</v>
      </c>
      <c r="AH28">
        <v>11</v>
      </c>
    </row>
    <row r="29" spans="1:34" x14ac:dyDescent="0.45">
      <c r="A29">
        <v>3</v>
      </c>
      <c r="B29" s="6" t="s">
        <v>69</v>
      </c>
      <c r="C29" s="7">
        <f t="shared" si="2"/>
        <v>1</v>
      </c>
      <c r="D29" s="6">
        <v>11</v>
      </c>
      <c r="E29" s="6">
        <v>11</v>
      </c>
      <c r="F29" s="6">
        <v>11</v>
      </c>
      <c r="G29" s="6">
        <v>11</v>
      </c>
      <c r="H29" s="6">
        <v>11</v>
      </c>
      <c r="I29" s="6">
        <v>11</v>
      </c>
      <c r="J29" s="6">
        <v>11</v>
      </c>
      <c r="K29" s="6">
        <v>11</v>
      </c>
      <c r="L29" s="6">
        <v>11</v>
      </c>
      <c r="M29" s="6">
        <v>11</v>
      </c>
      <c r="N29" s="6">
        <v>11</v>
      </c>
      <c r="O29" s="6">
        <v>11</v>
      </c>
      <c r="P29" s="6">
        <v>10</v>
      </c>
      <c r="Q29" s="6">
        <v>11</v>
      </c>
      <c r="R29" s="6">
        <v>11</v>
      </c>
      <c r="S29" s="6">
        <v>11</v>
      </c>
      <c r="T29" s="6">
        <v>11</v>
      </c>
      <c r="U29" s="6">
        <v>11</v>
      </c>
      <c r="V29" s="6">
        <v>11</v>
      </c>
      <c r="W29" s="6">
        <v>11</v>
      </c>
      <c r="X29" s="6"/>
      <c r="Y29" s="6"/>
      <c r="Z29" s="6"/>
      <c r="AA29" s="6"/>
      <c r="AC29" s="4">
        <f>AC26/SUM(AC26:AC28)</f>
        <v>0.40625</v>
      </c>
      <c r="AE29" t="s">
        <v>360</v>
      </c>
      <c r="AF29">
        <v>64.5</v>
      </c>
      <c r="AG29">
        <v>63</v>
      </c>
      <c r="AH29">
        <v>11</v>
      </c>
    </row>
    <row r="30" spans="1:34" x14ac:dyDescent="0.45">
      <c r="A30">
        <v>4</v>
      </c>
      <c r="B30" s="6" t="s">
        <v>71</v>
      </c>
      <c r="C30" s="7">
        <f t="shared" si="2"/>
        <v>2</v>
      </c>
      <c r="D30" s="6">
        <v>11</v>
      </c>
      <c r="E30" s="6">
        <v>11</v>
      </c>
      <c r="F30" s="6">
        <v>11</v>
      </c>
      <c r="G30" s="6">
        <v>11</v>
      </c>
      <c r="H30" s="6">
        <v>11</v>
      </c>
      <c r="I30" s="6">
        <v>11</v>
      </c>
      <c r="J30" s="6">
        <v>11</v>
      </c>
      <c r="K30" s="6">
        <v>11</v>
      </c>
      <c r="L30" s="6">
        <v>10</v>
      </c>
      <c r="M30" s="6">
        <v>11</v>
      </c>
      <c r="N30" s="6">
        <v>11</v>
      </c>
      <c r="O30" s="6">
        <v>11</v>
      </c>
      <c r="P30" s="6">
        <v>11</v>
      </c>
      <c r="Q30" s="6">
        <v>11</v>
      </c>
      <c r="R30" s="6">
        <v>11</v>
      </c>
      <c r="S30" s="6">
        <v>11</v>
      </c>
      <c r="T30" s="6">
        <v>11</v>
      </c>
      <c r="U30" s="6">
        <v>11</v>
      </c>
      <c r="V30" s="6">
        <v>10</v>
      </c>
      <c r="W30" s="6">
        <v>11</v>
      </c>
      <c r="X30" s="6"/>
      <c r="Y30" s="6"/>
      <c r="Z30" s="6"/>
      <c r="AA30" s="6"/>
      <c r="AC30" s="4">
        <f>AC27/SUM(AC26:AC28)</f>
        <v>0.39374999999999999</v>
      </c>
      <c r="AE30" t="s">
        <v>360</v>
      </c>
      <c r="AF30">
        <v>72</v>
      </c>
      <c r="AG30">
        <v>71</v>
      </c>
      <c r="AH30">
        <v>11</v>
      </c>
    </row>
    <row r="31" spans="1:34" x14ac:dyDescent="0.45">
      <c r="A31">
        <v>5</v>
      </c>
      <c r="B31" s="6" t="s">
        <v>70</v>
      </c>
      <c r="C31" s="7">
        <f t="shared" si="2"/>
        <v>0</v>
      </c>
      <c r="D31" s="6">
        <v>11</v>
      </c>
      <c r="E31" s="6">
        <v>11</v>
      </c>
      <c r="F31" s="6">
        <v>11</v>
      </c>
      <c r="G31" s="6">
        <v>11</v>
      </c>
      <c r="H31" s="6">
        <v>11</v>
      </c>
      <c r="I31" s="6">
        <v>11</v>
      </c>
      <c r="J31" s="6">
        <v>11</v>
      </c>
      <c r="K31" s="6">
        <v>11</v>
      </c>
      <c r="L31" s="6">
        <v>11</v>
      </c>
      <c r="M31" s="6">
        <v>11</v>
      </c>
      <c r="N31" s="6">
        <v>11</v>
      </c>
      <c r="O31" s="6">
        <v>11</v>
      </c>
      <c r="P31" s="6">
        <v>11</v>
      </c>
      <c r="Q31" s="6">
        <v>11</v>
      </c>
      <c r="R31" s="6">
        <v>11</v>
      </c>
      <c r="S31" s="6">
        <v>11</v>
      </c>
      <c r="T31" s="6">
        <v>11</v>
      </c>
      <c r="U31" s="6">
        <v>11</v>
      </c>
      <c r="V31" s="6">
        <v>11</v>
      </c>
      <c r="W31" s="6">
        <v>11</v>
      </c>
      <c r="X31" s="6"/>
      <c r="Y31" s="6"/>
      <c r="Z31" s="6"/>
      <c r="AA31" s="6"/>
      <c r="AE31" t="s">
        <v>360</v>
      </c>
      <c r="AF31">
        <v>71.5</v>
      </c>
      <c r="AG31">
        <v>74</v>
      </c>
      <c r="AH31">
        <v>11</v>
      </c>
    </row>
    <row r="32" spans="1:34" x14ac:dyDescent="0.45">
      <c r="A32">
        <v>6</v>
      </c>
      <c r="B32" s="6" t="s">
        <v>72</v>
      </c>
      <c r="C32" s="7">
        <f t="shared" si="2"/>
        <v>0</v>
      </c>
      <c r="D32" s="6">
        <v>11</v>
      </c>
      <c r="E32" s="6">
        <v>11</v>
      </c>
      <c r="F32" s="6">
        <v>11</v>
      </c>
      <c r="G32" s="6">
        <v>11</v>
      </c>
      <c r="H32" s="6">
        <v>11</v>
      </c>
      <c r="I32" s="6">
        <v>11</v>
      </c>
      <c r="J32" s="6">
        <v>11</v>
      </c>
      <c r="K32" s="6">
        <v>11</v>
      </c>
      <c r="L32" s="6">
        <v>11</v>
      </c>
      <c r="M32" s="6">
        <v>11</v>
      </c>
      <c r="N32" s="6">
        <v>11</v>
      </c>
      <c r="O32" s="6">
        <v>11</v>
      </c>
      <c r="P32" s="6">
        <v>11</v>
      </c>
      <c r="Q32" s="6">
        <v>11</v>
      </c>
      <c r="R32" s="6">
        <v>11</v>
      </c>
      <c r="S32" s="6">
        <v>11</v>
      </c>
      <c r="T32" s="6">
        <v>11</v>
      </c>
      <c r="U32" s="6">
        <v>11</v>
      </c>
      <c r="V32" s="6">
        <v>11</v>
      </c>
      <c r="W32" s="6">
        <v>11</v>
      </c>
      <c r="X32" s="6"/>
      <c r="Y32" s="6"/>
      <c r="Z32" s="6"/>
      <c r="AA32" s="6"/>
      <c r="AE32" t="s">
        <v>360</v>
      </c>
      <c r="AF32">
        <v>65.5</v>
      </c>
      <c r="AG32">
        <v>66.5</v>
      </c>
      <c r="AH32">
        <v>11</v>
      </c>
    </row>
    <row r="33" spans="1:34" x14ac:dyDescent="0.45">
      <c r="A33">
        <v>7</v>
      </c>
      <c r="B33" s="6" t="s">
        <v>75</v>
      </c>
      <c r="C33" s="7">
        <f t="shared" si="2"/>
        <v>0</v>
      </c>
      <c r="D33" s="6">
        <v>11</v>
      </c>
      <c r="E33" s="6">
        <v>11</v>
      </c>
      <c r="F33" s="6">
        <v>11</v>
      </c>
      <c r="G33" s="6">
        <v>11</v>
      </c>
      <c r="H33" s="6">
        <v>11</v>
      </c>
      <c r="I33" s="6">
        <v>11</v>
      </c>
      <c r="J33" s="6">
        <v>11</v>
      </c>
      <c r="K33" s="6">
        <v>11</v>
      </c>
      <c r="L33" s="6">
        <v>11</v>
      </c>
      <c r="M33" s="6">
        <v>11</v>
      </c>
      <c r="N33" s="6">
        <v>11</v>
      </c>
      <c r="O33" s="6">
        <v>11</v>
      </c>
      <c r="P33" s="6">
        <v>11</v>
      </c>
      <c r="Q33" s="6">
        <v>11</v>
      </c>
      <c r="R33" s="6">
        <v>11</v>
      </c>
      <c r="S33" s="6">
        <v>11</v>
      </c>
      <c r="T33" s="6">
        <v>11</v>
      </c>
      <c r="U33" s="6">
        <v>11</v>
      </c>
      <c r="V33" s="6">
        <v>11</v>
      </c>
      <c r="W33" s="6">
        <v>11</v>
      </c>
      <c r="X33" s="6"/>
      <c r="Y33" s="6"/>
      <c r="Z33" s="6"/>
      <c r="AA33" s="6"/>
      <c r="AE33" t="s">
        <v>360</v>
      </c>
      <c r="AF33">
        <v>59</v>
      </c>
      <c r="AG33">
        <v>61.5</v>
      </c>
      <c r="AH33">
        <v>11</v>
      </c>
    </row>
    <row r="34" spans="1:34" x14ac:dyDescent="0.45">
      <c r="A34">
        <v>8</v>
      </c>
      <c r="B34" s="6" t="s">
        <v>73</v>
      </c>
      <c r="C34" s="7">
        <f t="shared" si="2"/>
        <v>0</v>
      </c>
      <c r="D34" s="6">
        <v>11</v>
      </c>
      <c r="E34" s="6">
        <v>11</v>
      </c>
      <c r="F34" s="6">
        <v>11</v>
      </c>
      <c r="G34" s="6">
        <v>11</v>
      </c>
      <c r="H34" s="6">
        <v>11</v>
      </c>
      <c r="I34" s="6">
        <v>11</v>
      </c>
      <c r="J34" s="6">
        <v>11</v>
      </c>
      <c r="K34" s="6">
        <v>11</v>
      </c>
      <c r="L34" s="6">
        <v>11</v>
      </c>
      <c r="M34" s="6">
        <v>11</v>
      </c>
      <c r="N34" s="6">
        <v>11</v>
      </c>
      <c r="O34" s="6">
        <v>11</v>
      </c>
      <c r="P34" s="6">
        <v>11</v>
      </c>
      <c r="Q34" s="6">
        <v>11</v>
      </c>
      <c r="R34" s="6">
        <v>11</v>
      </c>
      <c r="S34" s="6">
        <v>11</v>
      </c>
      <c r="T34" s="6">
        <v>11</v>
      </c>
      <c r="U34" s="6">
        <v>11</v>
      </c>
      <c r="V34" s="6">
        <v>11</v>
      </c>
      <c r="W34" s="6">
        <v>11</v>
      </c>
      <c r="X34" s="6"/>
      <c r="Y34" s="6"/>
      <c r="Z34" s="6"/>
      <c r="AA34" s="6"/>
      <c r="AE34" t="s">
        <v>360</v>
      </c>
      <c r="AF34">
        <v>66.5</v>
      </c>
      <c r="AG34">
        <v>65.5</v>
      </c>
      <c r="AH34">
        <v>11</v>
      </c>
    </row>
    <row r="35" spans="1:34" x14ac:dyDescent="0.45">
      <c r="A35">
        <v>9</v>
      </c>
      <c r="B35" s="6" t="s">
        <v>74</v>
      </c>
      <c r="C35" s="7">
        <f t="shared" si="2"/>
        <v>0</v>
      </c>
      <c r="D35" s="6">
        <v>11</v>
      </c>
      <c r="E35" s="6">
        <v>11</v>
      </c>
      <c r="F35" s="6">
        <v>11</v>
      </c>
      <c r="G35" s="6">
        <v>11</v>
      </c>
      <c r="H35" s="6">
        <v>11</v>
      </c>
      <c r="I35" s="6">
        <v>11</v>
      </c>
      <c r="J35" s="6">
        <v>11</v>
      </c>
      <c r="K35" s="6">
        <v>11</v>
      </c>
      <c r="L35" s="6">
        <v>11</v>
      </c>
      <c r="M35" s="6">
        <v>11</v>
      </c>
      <c r="N35" s="6">
        <v>11</v>
      </c>
      <c r="O35" s="6">
        <v>11</v>
      </c>
      <c r="P35" s="6">
        <v>11</v>
      </c>
      <c r="Q35" s="6">
        <v>11</v>
      </c>
      <c r="R35" s="6">
        <v>11</v>
      </c>
      <c r="S35" s="6">
        <v>11</v>
      </c>
      <c r="T35" s="6">
        <v>11</v>
      </c>
      <c r="U35" s="6">
        <v>11</v>
      </c>
      <c r="V35" s="6">
        <v>11</v>
      </c>
      <c r="W35" s="6">
        <v>11</v>
      </c>
      <c r="X35" s="6"/>
      <c r="Y35" s="6"/>
      <c r="Z35" s="6"/>
      <c r="AA35" s="6"/>
      <c r="AE35" t="s">
        <v>360</v>
      </c>
      <c r="AF35">
        <v>79.5</v>
      </c>
      <c r="AG35">
        <v>82</v>
      </c>
      <c r="AH35">
        <v>11</v>
      </c>
    </row>
    <row r="36" spans="1:34" x14ac:dyDescent="0.45">
      <c r="C36" s="7">
        <f>SUM(C26:C35)</f>
        <v>4</v>
      </c>
      <c r="D36" s="7">
        <f xml:space="preserve"> COUNTIF(D26:D35,"&lt;11")</f>
        <v>0</v>
      </c>
      <c r="E36" s="7">
        <f t="shared" ref="E36:V36" si="3" xml:space="preserve"> COUNTIF(E26:E35,"&lt;11")</f>
        <v>0</v>
      </c>
      <c r="F36" s="7">
        <f t="shared" si="3"/>
        <v>0</v>
      </c>
      <c r="G36" s="7">
        <f t="shared" si="3"/>
        <v>0</v>
      </c>
      <c r="H36" s="7">
        <f t="shared" si="3"/>
        <v>0</v>
      </c>
      <c r="I36" s="7">
        <f t="shared" si="3"/>
        <v>0</v>
      </c>
      <c r="J36" s="7">
        <f t="shared" si="3"/>
        <v>0</v>
      </c>
      <c r="K36" s="7">
        <f t="shared" si="3"/>
        <v>0</v>
      </c>
      <c r="L36" s="7">
        <f t="shared" si="3"/>
        <v>1</v>
      </c>
      <c r="M36" s="7">
        <f t="shared" si="3"/>
        <v>0</v>
      </c>
      <c r="N36" s="7">
        <f t="shared" si="3"/>
        <v>0</v>
      </c>
      <c r="O36" s="7">
        <f t="shared" si="3"/>
        <v>0</v>
      </c>
      <c r="P36" s="7">
        <f t="shared" si="3"/>
        <v>1</v>
      </c>
      <c r="Q36" s="7">
        <f t="shared" si="3"/>
        <v>0</v>
      </c>
      <c r="R36" s="7">
        <f t="shared" si="3"/>
        <v>0</v>
      </c>
      <c r="S36" s="7">
        <f t="shared" si="3"/>
        <v>0</v>
      </c>
      <c r="T36" s="7">
        <f t="shared" si="3"/>
        <v>1</v>
      </c>
      <c r="U36" s="7">
        <f t="shared" si="3"/>
        <v>0</v>
      </c>
      <c r="V36" s="7">
        <f t="shared" si="3"/>
        <v>1</v>
      </c>
      <c r="W36" s="7"/>
      <c r="X36" s="7"/>
      <c r="Y36" s="7"/>
      <c r="Z36" s="7"/>
      <c r="AA36" s="7"/>
      <c r="AE36" t="s">
        <v>361</v>
      </c>
      <c r="AF36" t="s">
        <v>86</v>
      </c>
    </row>
    <row r="37" spans="1:34" x14ac:dyDescent="0.45">
      <c r="AE37" t="s">
        <v>361</v>
      </c>
      <c r="AF37">
        <v>65</v>
      </c>
      <c r="AG37">
        <v>69</v>
      </c>
      <c r="AH37">
        <v>11</v>
      </c>
    </row>
    <row r="38" spans="1:34" x14ac:dyDescent="0.45"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  <c r="O38">
        <v>12</v>
      </c>
      <c r="P38">
        <v>13</v>
      </c>
      <c r="Q38">
        <v>14</v>
      </c>
      <c r="R38">
        <v>15</v>
      </c>
      <c r="S38">
        <v>16</v>
      </c>
      <c r="T38">
        <v>17</v>
      </c>
      <c r="U38">
        <v>18</v>
      </c>
      <c r="V38">
        <v>19</v>
      </c>
      <c r="W38">
        <v>20</v>
      </c>
      <c r="X38">
        <v>21</v>
      </c>
      <c r="Y38">
        <v>22</v>
      </c>
      <c r="Z38">
        <v>23</v>
      </c>
      <c r="AA38">
        <v>24</v>
      </c>
      <c r="AE38" t="s">
        <v>361</v>
      </c>
      <c r="AF38">
        <v>72</v>
      </c>
      <c r="AG38">
        <v>72.5</v>
      </c>
      <c r="AH38">
        <v>11</v>
      </c>
    </row>
    <row r="39" spans="1:34" x14ac:dyDescent="0.45">
      <c r="A39">
        <v>0</v>
      </c>
      <c r="B39" s="6" t="s">
        <v>66</v>
      </c>
      <c r="C39" s="6">
        <f>SUM(I39:AA39)</f>
        <v>-3</v>
      </c>
      <c r="D39" s="6">
        <f>D14-D2</f>
        <v>2.5</v>
      </c>
      <c r="E39" s="6">
        <f t="shared" ref="E39:W48" si="4">E14-E2</f>
        <v>-3</v>
      </c>
      <c r="F39" s="6">
        <f t="shared" si="4"/>
        <v>3.5</v>
      </c>
      <c r="G39" s="6">
        <f t="shared" si="4"/>
        <v>-4</v>
      </c>
      <c r="H39" s="6">
        <f t="shared" si="4"/>
        <v>4</v>
      </c>
      <c r="I39" s="6">
        <f t="shared" si="4"/>
        <v>-3.5</v>
      </c>
      <c r="J39" s="6">
        <f t="shared" si="4"/>
        <v>-2.5</v>
      </c>
      <c r="K39" s="6">
        <f t="shared" ref="K39" si="5">K14-K2</f>
        <v>1</v>
      </c>
      <c r="L39" s="6">
        <f t="shared" si="4"/>
        <v>4</v>
      </c>
      <c r="M39" s="6">
        <f t="shared" si="4"/>
        <v>-6.5</v>
      </c>
      <c r="N39" s="6">
        <f t="shared" si="4"/>
        <v>6.5</v>
      </c>
      <c r="O39" s="6">
        <f t="shared" si="4"/>
        <v>-8.5</v>
      </c>
      <c r="P39" s="6">
        <f t="shared" si="4"/>
        <v>2</v>
      </c>
      <c r="Q39" s="6">
        <f t="shared" si="4"/>
        <v>0.5</v>
      </c>
      <c r="R39" s="6">
        <f t="shared" si="4"/>
        <v>3</v>
      </c>
      <c r="S39" s="6">
        <f t="shared" si="4"/>
        <v>-1</v>
      </c>
      <c r="T39" s="6">
        <f t="shared" si="4"/>
        <v>0</v>
      </c>
      <c r="U39" s="6">
        <f t="shared" si="4"/>
        <v>3.5</v>
      </c>
      <c r="V39" s="6">
        <f t="shared" si="4"/>
        <v>-1.5</v>
      </c>
      <c r="W39" s="6">
        <f t="shared" si="4"/>
        <v>0</v>
      </c>
      <c r="X39" s="6"/>
      <c r="Y39" s="6"/>
      <c r="Z39" s="6"/>
      <c r="AA39" s="6"/>
      <c r="AB39" s="5"/>
      <c r="AE39" t="s">
        <v>361</v>
      </c>
      <c r="AF39">
        <v>68.5</v>
      </c>
      <c r="AG39">
        <v>68</v>
      </c>
      <c r="AH39">
        <v>11</v>
      </c>
    </row>
    <row r="40" spans="1:34" x14ac:dyDescent="0.45">
      <c r="A40">
        <v>1</v>
      </c>
      <c r="B40" s="6" t="s">
        <v>67</v>
      </c>
      <c r="C40" s="6">
        <f t="shared" ref="C40:C48" si="6">SUM(I40:AA40)</f>
        <v>3.5</v>
      </c>
      <c r="D40" s="6">
        <f t="shared" ref="D40:S48" si="7">D15-D3</f>
        <v>-0.5</v>
      </c>
      <c r="E40" s="6">
        <f t="shared" si="7"/>
        <v>-1.5</v>
      </c>
      <c r="F40" s="6">
        <f t="shared" si="7"/>
        <v>-0.5</v>
      </c>
      <c r="G40" s="6">
        <f t="shared" si="7"/>
        <v>-0.5</v>
      </c>
      <c r="H40" s="6">
        <f t="shared" si="7"/>
        <v>-4</v>
      </c>
      <c r="I40" s="6">
        <f t="shared" si="7"/>
        <v>-1</v>
      </c>
      <c r="J40" s="6">
        <f t="shared" si="7"/>
        <v>-1.5</v>
      </c>
      <c r="K40" s="6">
        <f t="shared" ref="K40" si="8">K15-K3</f>
        <v>3</v>
      </c>
      <c r="L40" s="6">
        <f t="shared" si="7"/>
        <v>-2</v>
      </c>
      <c r="M40" s="6">
        <f t="shared" si="7"/>
        <v>-1</v>
      </c>
      <c r="N40" s="6">
        <f t="shared" si="7"/>
        <v>-1</v>
      </c>
      <c r="O40" s="6">
        <f t="shared" si="7"/>
        <v>2</v>
      </c>
      <c r="P40" s="6">
        <f t="shared" si="7"/>
        <v>0</v>
      </c>
      <c r="Q40" s="6">
        <f t="shared" si="7"/>
        <v>2</v>
      </c>
      <c r="R40" s="6">
        <f t="shared" si="7"/>
        <v>-1</v>
      </c>
      <c r="S40" s="6">
        <f t="shared" si="7"/>
        <v>1.5</v>
      </c>
      <c r="T40" s="6">
        <f t="shared" si="4"/>
        <v>1.5</v>
      </c>
      <c r="U40" s="6">
        <f t="shared" si="4"/>
        <v>-0.5</v>
      </c>
      <c r="V40" s="6">
        <f t="shared" si="4"/>
        <v>1.5</v>
      </c>
      <c r="W40" s="6">
        <f t="shared" si="4"/>
        <v>0</v>
      </c>
      <c r="X40" s="6"/>
      <c r="Y40" s="6"/>
      <c r="Z40" s="6"/>
      <c r="AA40" s="6"/>
      <c r="AB40" s="5"/>
      <c r="AE40" t="s">
        <v>361</v>
      </c>
      <c r="AF40">
        <v>63.5</v>
      </c>
      <c r="AG40">
        <v>63.5</v>
      </c>
      <c r="AH40">
        <v>11</v>
      </c>
    </row>
    <row r="41" spans="1:34" x14ac:dyDescent="0.45">
      <c r="A41">
        <v>2</v>
      </c>
      <c r="B41" s="6" t="s">
        <v>68</v>
      </c>
      <c r="C41" s="6">
        <f t="shared" si="6"/>
        <v>-12.5</v>
      </c>
      <c r="D41" s="6">
        <f t="shared" si="7"/>
        <v>-1.5</v>
      </c>
      <c r="E41" s="6">
        <f t="shared" si="4"/>
        <v>0</v>
      </c>
      <c r="F41" s="6">
        <f t="shared" si="4"/>
        <v>-1</v>
      </c>
      <c r="G41" s="6">
        <f t="shared" si="4"/>
        <v>0.5</v>
      </c>
      <c r="H41" s="6">
        <f t="shared" si="4"/>
        <v>4.5</v>
      </c>
      <c r="I41" s="6">
        <f t="shared" si="4"/>
        <v>2</v>
      </c>
      <c r="J41" s="6">
        <f t="shared" si="4"/>
        <v>-7.5</v>
      </c>
      <c r="K41" s="6">
        <f t="shared" ref="K41" si="9">K16-K4</f>
        <v>-3</v>
      </c>
      <c r="L41" s="6">
        <f t="shared" si="4"/>
        <v>-4</v>
      </c>
      <c r="M41" s="6">
        <f t="shared" si="4"/>
        <v>-3</v>
      </c>
      <c r="N41" s="6">
        <f t="shared" si="4"/>
        <v>3.5</v>
      </c>
      <c r="O41" s="6">
        <f t="shared" si="4"/>
        <v>13</v>
      </c>
      <c r="P41" s="6">
        <f t="shared" si="4"/>
        <v>-12</v>
      </c>
      <c r="Q41" s="6">
        <f t="shared" si="4"/>
        <v>1</v>
      </c>
      <c r="R41" s="6">
        <f t="shared" si="4"/>
        <v>-0.5</v>
      </c>
      <c r="S41" s="6">
        <f t="shared" si="4"/>
        <v>0</v>
      </c>
      <c r="T41" s="6">
        <f t="shared" si="4"/>
        <v>-4</v>
      </c>
      <c r="U41" s="6">
        <f t="shared" si="4"/>
        <v>3.5</v>
      </c>
      <c r="V41" s="6">
        <f t="shared" si="4"/>
        <v>-1.5</v>
      </c>
      <c r="W41" s="6">
        <f t="shared" si="4"/>
        <v>0</v>
      </c>
      <c r="X41" s="6"/>
      <c r="Y41" s="6"/>
      <c r="Z41" s="6"/>
      <c r="AA41" s="6"/>
      <c r="AB41" s="5"/>
      <c r="AE41" t="s">
        <v>361</v>
      </c>
      <c r="AF41">
        <v>64</v>
      </c>
      <c r="AG41">
        <v>62.5</v>
      </c>
      <c r="AH41">
        <v>11</v>
      </c>
    </row>
    <row r="42" spans="1:34" x14ac:dyDescent="0.45">
      <c r="A42">
        <v>3</v>
      </c>
      <c r="B42" s="6" t="s">
        <v>69</v>
      </c>
      <c r="C42" s="6">
        <f t="shared" si="6"/>
        <v>-4</v>
      </c>
      <c r="D42" s="6">
        <f t="shared" si="7"/>
        <v>0</v>
      </c>
      <c r="E42" s="6">
        <f t="shared" si="4"/>
        <v>-1.5</v>
      </c>
      <c r="F42" s="6">
        <f t="shared" si="4"/>
        <v>1.5</v>
      </c>
      <c r="G42" s="6">
        <f t="shared" si="4"/>
        <v>0</v>
      </c>
      <c r="H42" s="6">
        <f t="shared" si="4"/>
        <v>4</v>
      </c>
      <c r="I42" s="6">
        <f t="shared" si="4"/>
        <v>1.5</v>
      </c>
      <c r="J42" s="6">
        <f t="shared" si="4"/>
        <v>3.5</v>
      </c>
      <c r="K42" s="6">
        <f t="shared" ref="K42" si="10">K17-K5</f>
        <v>1.5</v>
      </c>
      <c r="L42" s="6">
        <f t="shared" si="4"/>
        <v>1</v>
      </c>
      <c r="M42" s="6">
        <f t="shared" si="4"/>
        <v>-4</v>
      </c>
      <c r="N42" s="6">
        <f t="shared" si="4"/>
        <v>3.5</v>
      </c>
      <c r="O42" s="6">
        <f t="shared" si="4"/>
        <v>0.5</v>
      </c>
      <c r="P42" s="6">
        <f t="shared" si="4"/>
        <v>-4.5</v>
      </c>
      <c r="Q42" s="6">
        <f t="shared" si="4"/>
        <v>1</v>
      </c>
      <c r="R42" s="6">
        <f t="shared" si="4"/>
        <v>0</v>
      </c>
      <c r="S42" s="6">
        <f t="shared" si="4"/>
        <v>-3.5</v>
      </c>
      <c r="T42" s="6">
        <f t="shared" si="4"/>
        <v>-1</v>
      </c>
      <c r="U42" s="6">
        <f t="shared" si="4"/>
        <v>0</v>
      </c>
      <c r="V42" s="6">
        <f t="shared" si="4"/>
        <v>-3.5</v>
      </c>
      <c r="W42" s="6">
        <f t="shared" si="4"/>
        <v>0</v>
      </c>
      <c r="X42" s="6"/>
      <c r="Y42" s="6"/>
      <c r="Z42" s="6"/>
      <c r="AA42" s="6"/>
      <c r="AB42" s="5"/>
      <c r="AC42" s="4"/>
      <c r="AE42" t="s">
        <v>361</v>
      </c>
      <c r="AF42">
        <v>71.5</v>
      </c>
      <c r="AG42">
        <v>74</v>
      </c>
      <c r="AH42">
        <v>11</v>
      </c>
    </row>
    <row r="43" spans="1:34" x14ac:dyDescent="0.45">
      <c r="A43">
        <v>4</v>
      </c>
      <c r="B43" s="6" t="s">
        <v>71</v>
      </c>
      <c r="C43" s="6">
        <f t="shared" si="6"/>
        <v>-21</v>
      </c>
      <c r="D43" s="6">
        <f t="shared" si="7"/>
        <v>-1</v>
      </c>
      <c r="E43" s="6">
        <f t="shared" si="4"/>
        <v>5</v>
      </c>
      <c r="F43" s="6">
        <f t="shared" si="4"/>
        <v>1</v>
      </c>
      <c r="G43" s="6">
        <f t="shared" si="4"/>
        <v>1.5</v>
      </c>
      <c r="H43" s="6">
        <f t="shared" si="4"/>
        <v>1.5</v>
      </c>
      <c r="I43" s="6">
        <f t="shared" si="4"/>
        <v>-0.5</v>
      </c>
      <c r="J43" s="6">
        <f t="shared" si="4"/>
        <v>0</v>
      </c>
      <c r="K43" s="6">
        <f t="shared" ref="K43" si="11">K18-K6</f>
        <v>2.5</v>
      </c>
      <c r="L43" s="6">
        <f t="shared" si="4"/>
        <v>-5.5</v>
      </c>
      <c r="M43" s="6">
        <f t="shared" si="4"/>
        <v>0.5</v>
      </c>
      <c r="N43" s="6">
        <f t="shared" si="4"/>
        <v>2</v>
      </c>
      <c r="O43" s="6">
        <f t="shared" si="4"/>
        <v>-2.5</v>
      </c>
      <c r="P43" s="6">
        <f t="shared" si="4"/>
        <v>0</v>
      </c>
      <c r="Q43" s="6">
        <f t="shared" si="4"/>
        <v>0</v>
      </c>
      <c r="R43" s="6">
        <f t="shared" si="4"/>
        <v>-7</v>
      </c>
      <c r="S43" s="6">
        <f t="shared" si="4"/>
        <v>-1</v>
      </c>
      <c r="T43" s="6">
        <f t="shared" si="4"/>
        <v>-3.5</v>
      </c>
      <c r="U43" s="6">
        <f t="shared" si="4"/>
        <v>-0.5</v>
      </c>
      <c r="V43" s="6">
        <f t="shared" si="4"/>
        <v>-5.5</v>
      </c>
      <c r="W43" s="6">
        <f t="shared" si="4"/>
        <v>0</v>
      </c>
      <c r="X43" s="6"/>
      <c r="Y43" s="6"/>
      <c r="Z43" s="6"/>
      <c r="AA43" s="6"/>
      <c r="AB43" s="5"/>
      <c r="AC43" s="4"/>
      <c r="AE43" t="s">
        <v>361</v>
      </c>
      <c r="AF43">
        <v>72</v>
      </c>
      <c r="AG43">
        <v>71</v>
      </c>
      <c r="AH43">
        <v>11</v>
      </c>
    </row>
    <row r="44" spans="1:34" x14ac:dyDescent="0.45">
      <c r="A44">
        <v>5</v>
      </c>
      <c r="B44" s="6" t="s">
        <v>70</v>
      </c>
      <c r="C44" s="6">
        <f t="shared" si="6"/>
        <v>16</v>
      </c>
      <c r="D44" s="6">
        <f t="shared" si="7"/>
        <v>-1</v>
      </c>
      <c r="E44" s="6">
        <f t="shared" si="4"/>
        <v>-8</v>
      </c>
      <c r="F44" s="6">
        <f t="shared" si="4"/>
        <v>-2.5</v>
      </c>
      <c r="G44" s="6">
        <f t="shared" si="4"/>
        <v>-2.5</v>
      </c>
      <c r="H44" s="6">
        <f t="shared" si="4"/>
        <v>-1</v>
      </c>
      <c r="I44" s="6">
        <f t="shared" si="4"/>
        <v>-1.5</v>
      </c>
      <c r="J44" s="6">
        <f t="shared" si="4"/>
        <v>0</v>
      </c>
      <c r="K44" s="6">
        <f t="shared" ref="K44" si="12">K19-K7</f>
        <v>1</v>
      </c>
      <c r="L44" s="6">
        <f t="shared" si="4"/>
        <v>4.5</v>
      </c>
      <c r="M44" s="6">
        <f t="shared" si="4"/>
        <v>7</v>
      </c>
      <c r="N44" s="6">
        <f t="shared" si="4"/>
        <v>5</v>
      </c>
      <c r="O44" s="6">
        <f t="shared" si="4"/>
        <v>2.5</v>
      </c>
      <c r="P44" s="6">
        <f t="shared" si="4"/>
        <v>3</v>
      </c>
      <c r="Q44" s="6">
        <f t="shared" si="4"/>
        <v>-6.5</v>
      </c>
      <c r="R44" s="6">
        <f t="shared" si="4"/>
        <v>1</v>
      </c>
      <c r="S44" s="6">
        <f t="shared" si="4"/>
        <v>-8</v>
      </c>
      <c r="T44" s="6">
        <f t="shared" si="4"/>
        <v>2</v>
      </c>
      <c r="U44" s="6">
        <f t="shared" si="4"/>
        <v>3.5</v>
      </c>
      <c r="V44" s="6">
        <f t="shared" si="4"/>
        <v>2.5</v>
      </c>
      <c r="W44" s="6">
        <f t="shared" si="4"/>
        <v>0</v>
      </c>
      <c r="X44" s="6"/>
      <c r="Y44" s="6"/>
      <c r="Z44" s="6"/>
      <c r="AA44" s="6"/>
      <c r="AB44" s="5"/>
      <c r="AE44" t="s">
        <v>361</v>
      </c>
      <c r="AF44">
        <v>74</v>
      </c>
      <c r="AG44">
        <v>80</v>
      </c>
      <c r="AH44">
        <v>11</v>
      </c>
    </row>
    <row r="45" spans="1:34" x14ac:dyDescent="0.45">
      <c r="A45">
        <v>6</v>
      </c>
      <c r="B45" s="6" t="s">
        <v>72</v>
      </c>
      <c r="C45" s="6">
        <f t="shared" si="6"/>
        <v>-2</v>
      </c>
      <c r="D45" s="6">
        <f t="shared" si="7"/>
        <v>6.5</v>
      </c>
      <c r="E45" s="6">
        <f t="shared" si="4"/>
        <v>-3.5</v>
      </c>
      <c r="F45" s="6">
        <f t="shared" si="4"/>
        <v>-1</v>
      </c>
      <c r="G45" s="6">
        <f t="shared" si="4"/>
        <v>1</v>
      </c>
      <c r="H45" s="6">
        <f t="shared" si="4"/>
        <v>4.5</v>
      </c>
      <c r="I45" s="6">
        <f t="shared" si="4"/>
        <v>8.5</v>
      </c>
      <c r="J45" s="6">
        <f t="shared" si="4"/>
        <v>0</v>
      </c>
      <c r="K45" s="6">
        <f t="shared" ref="K45" si="13">K20-K8</f>
        <v>-0.5</v>
      </c>
      <c r="L45" s="6">
        <f t="shared" si="4"/>
        <v>1</v>
      </c>
      <c r="M45" s="6">
        <f t="shared" si="4"/>
        <v>-0.5</v>
      </c>
      <c r="N45" s="6">
        <f t="shared" si="4"/>
        <v>-1</v>
      </c>
      <c r="O45" s="6">
        <f t="shared" si="4"/>
        <v>-4</v>
      </c>
      <c r="P45" s="6">
        <f t="shared" si="4"/>
        <v>0.5</v>
      </c>
      <c r="Q45" s="6">
        <f t="shared" si="4"/>
        <v>0</v>
      </c>
      <c r="R45" s="6">
        <f t="shared" si="4"/>
        <v>0</v>
      </c>
      <c r="S45" s="6">
        <f t="shared" si="4"/>
        <v>-4</v>
      </c>
      <c r="T45" s="6">
        <f t="shared" si="4"/>
        <v>-3</v>
      </c>
      <c r="U45" s="6">
        <f t="shared" si="4"/>
        <v>-1</v>
      </c>
      <c r="V45" s="6">
        <f t="shared" si="4"/>
        <v>2</v>
      </c>
      <c r="W45" s="6">
        <f t="shared" si="4"/>
        <v>0</v>
      </c>
      <c r="X45" s="6"/>
      <c r="Y45" s="6"/>
      <c r="Z45" s="6"/>
      <c r="AA45" s="6"/>
      <c r="AB45" s="5"/>
      <c r="AE45" t="s">
        <v>361</v>
      </c>
      <c r="AF45">
        <v>67</v>
      </c>
      <c r="AG45">
        <v>68.5</v>
      </c>
      <c r="AH45">
        <v>11</v>
      </c>
    </row>
    <row r="46" spans="1:34" x14ac:dyDescent="0.45">
      <c r="A46">
        <v>7</v>
      </c>
      <c r="B46" s="6" t="s">
        <v>75</v>
      </c>
      <c r="C46" s="6">
        <f t="shared" si="6"/>
        <v>-10</v>
      </c>
      <c r="D46" s="6">
        <f t="shared" si="7"/>
        <v>-8</v>
      </c>
      <c r="E46" s="6">
        <f t="shared" si="4"/>
        <v>-0.5</v>
      </c>
      <c r="F46" s="6">
        <f t="shared" si="4"/>
        <v>-2.5</v>
      </c>
      <c r="G46" s="6">
        <f t="shared" si="4"/>
        <v>-6</v>
      </c>
      <c r="H46" s="6">
        <f t="shared" si="4"/>
        <v>0</v>
      </c>
      <c r="I46" s="6">
        <f t="shared" si="4"/>
        <v>0</v>
      </c>
      <c r="J46" s="6">
        <f t="shared" si="4"/>
        <v>2</v>
      </c>
      <c r="K46" s="6">
        <f t="shared" ref="K46" si="14">K21-K9</f>
        <v>-0.5</v>
      </c>
      <c r="L46" s="6">
        <f t="shared" si="4"/>
        <v>0</v>
      </c>
      <c r="M46" s="6">
        <f t="shared" si="4"/>
        <v>-0.5</v>
      </c>
      <c r="N46" s="6">
        <f t="shared" si="4"/>
        <v>2.5</v>
      </c>
      <c r="O46" s="6">
        <f t="shared" si="4"/>
        <v>-8.5</v>
      </c>
      <c r="P46" s="6">
        <f t="shared" si="4"/>
        <v>-4</v>
      </c>
      <c r="Q46" s="6">
        <f t="shared" si="4"/>
        <v>4.5</v>
      </c>
      <c r="R46" s="6">
        <f t="shared" si="4"/>
        <v>-8</v>
      </c>
      <c r="S46" s="6">
        <f t="shared" si="4"/>
        <v>-1.5</v>
      </c>
      <c r="T46" s="6">
        <f t="shared" si="4"/>
        <v>3</v>
      </c>
      <c r="U46" s="6">
        <f t="shared" si="4"/>
        <v>0</v>
      </c>
      <c r="V46" s="6">
        <f t="shared" si="4"/>
        <v>1</v>
      </c>
      <c r="W46" s="6">
        <f t="shared" si="4"/>
        <v>0</v>
      </c>
      <c r="X46" s="6"/>
      <c r="Y46" s="6"/>
      <c r="Z46" s="6"/>
      <c r="AA46" s="6"/>
      <c r="AB46" s="5"/>
      <c r="AE46" t="s">
        <v>361</v>
      </c>
      <c r="AF46">
        <v>66.5</v>
      </c>
      <c r="AG46">
        <v>67</v>
      </c>
      <c r="AH46">
        <v>11</v>
      </c>
    </row>
    <row r="47" spans="1:34" x14ac:dyDescent="0.45">
      <c r="A47">
        <v>8</v>
      </c>
      <c r="B47" s="6" t="s">
        <v>73</v>
      </c>
      <c r="C47" s="6">
        <f t="shared" si="6"/>
        <v>18.5</v>
      </c>
      <c r="D47" s="6">
        <f t="shared" si="7"/>
        <v>1</v>
      </c>
      <c r="E47" s="6">
        <f t="shared" si="4"/>
        <v>-2.5</v>
      </c>
      <c r="F47" s="6">
        <f t="shared" si="4"/>
        <v>1</v>
      </c>
      <c r="G47" s="6">
        <f t="shared" si="4"/>
        <v>-1.5</v>
      </c>
      <c r="H47" s="6">
        <f t="shared" si="4"/>
        <v>-3</v>
      </c>
      <c r="I47" s="6">
        <f t="shared" si="4"/>
        <v>3</v>
      </c>
      <c r="J47" s="6">
        <f t="shared" si="4"/>
        <v>0.5</v>
      </c>
      <c r="K47" s="6">
        <f t="shared" ref="K47" si="15">K22-K10</f>
        <v>0</v>
      </c>
      <c r="L47" s="6">
        <f t="shared" si="4"/>
        <v>-2</v>
      </c>
      <c r="M47" s="6">
        <f t="shared" si="4"/>
        <v>0.5</v>
      </c>
      <c r="N47" s="6">
        <f t="shared" si="4"/>
        <v>2</v>
      </c>
      <c r="O47" s="6">
        <f t="shared" si="4"/>
        <v>5</v>
      </c>
      <c r="P47" s="6">
        <f t="shared" si="4"/>
        <v>-1</v>
      </c>
      <c r="Q47" s="6">
        <f t="shared" si="4"/>
        <v>4</v>
      </c>
      <c r="R47" s="6">
        <f t="shared" si="4"/>
        <v>1</v>
      </c>
      <c r="S47" s="6">
        <f t="shared" si="4"/>
        <v>0</v>
      </c>
      <c r="T47" s="6">
        <f t="shared" si="4"/>
        <v>-1.5</v>
      </c>
      <c r="U47" s="6">
        <f t="shared" si="4"/>
        <v>4</v>
      </c>
      <c r="V47" s="6">
        <f t="shared" si="4"/>
        <v>3</v>
      </c>
      <c r="W47" s="6">
        <f t="shared" si="4"/>
        <v>0</v>
      </c>
      <c r="X47" s="6"/>
      <c r="Y47" s="6"/>
      <c r="Z47" s="6"/>
      <c r="AA47" s="6"/>
      <c r="AB47" s="5"/>
      <c r="AE47" t="s">
        <v>362</v>
      </c>
      <c r="AF47" t="s">
        <v>87</v>
      </c>
    </row>
    <row r="48" spans="1:34" x14ac:dyDescent="0.45">
      <c r="A48">
        <v>9</v>
      </c>
      <c r="B48" s="6" t="s">
        <v>74</v>
      </c>
      <c r="C48" s="6">
        <f t="shared" si="6"/>
        <v>-2.5</v>
      </c>
      <c r="D48" s="6">
        <f t="shared" si="7"/>
        <v>-9</v>
      </c>
      <c r="E48" s="6">
        <f t="shared" si="4"/>
        <v>0.5</v>
      </c>
      <c r="F48" s="6">
        <f t="shared" si="4"/>
        <v>-2.5</v>
      </c>
      <c r="G48" s="6">
        <f t="shared" si="4"/>
        <v>-0.5</v>
      </c>
      <c r="H48" s="6">
        <f t="shared" si="4"/>
        <v>0</v>
      </c>
      <c r="I48" s="6">
        <f t="shared" si="4"/>
        <v>-3.5</v>
      </c>
      <c r="J48" s="6">
        <f t="shared" si="4"/>
        <v>1</v>
      </c>
      <c r="K48" s="6">
        <f t="shared" ref="K48" si="16">K23-K11</f>
        <v>6</v>
      </c>
      <c r="L48" s="6">
        <f t="shared" si="4"/>
        <v>0</v>
      </c>
      <c r="M48" s="6">
        <f t="shared" si="4"/>
        <v>6.5</v>
      </c>
      <c r="N48" s="6">
        <f t="shared" si="4"/>
        <v>-0.5</v>
      </c>
      <c r="O48" s="6">
        <f t="shared" si="4"/>
        <v>3</v>
      </c>
      <c r="P48" s="6">
        <f t="shared" si="4"/>
        <v>-1</v>
      </c>
      <c r="Q48" s="6">
        <f t="shared" si="4"/>
        <v>-2.5</v>
      </c>
      <c r="R48" s="6">
        <f t="shared" si="4"/>
        <v>0</v>
      </c>
      <c r="S48" s="6">
        <f t="shared" si="4"/>
        <v>-7</v>
      </c>
      <c r="T48" s="6">
        <f t="shared" si="4"/>
        <v>-1.5</v>
      </c>
      <c r="U48" s="6">
        <f t="shared" si="4"/>
        <v>0</v>
      </c>
      <c r="V48" s="6">
        <f>V23-V11</f>
        <v>-3</v>
      </c>
      <c r="W48" s="6">
        <f t="shared" si="4"/>
        <v>0</v>
      </c>
      <c r="X48" s="6"/>
      <c r="Y48" s="6"/>
      <c r="Z48" s="6"/>
      <c r="AA48" s="6"/>
      <c r="AB48" s="5"/>
      <c r="AE48" t="s">
        <v>362</v>
      </c>
      <c r="AF48">
        <v>81.5</v>
      </c>
      <c r="AG48">
        <v>77.5</v>
      </c>
      <c r="AH48">
        <v>11</v>
      </c>
    </row>
    <row r="49" spans="3:34" x14ac:dyDescent="0.45">
      <c r="C49" s="7">
        <f>SUM(C39:C48)</f>
        <v>-17</v>
      </c>
      <c r="D49" s="7">
        <f t="shared" ref="D49:W49" si="17">SUM(D39:D48)</f>
        <v>-11</v>
      </c>
      <c r="E49" s="7">
        <f t="shared" si="17"/>
        <v>-15</v>
      </c>
      <c r="F49" s="7">
        <f t="shared" si="17"/>
        <v>-3</v>
      </c>
      <c r="G49" s="7">
        <f t="shared" si="17"/>
        <v>-12</v>
      </c>
      <c r="H49" s="7">
        <f t="shared" si="17"/>
        <v>10.5</v>
      </c>
      <c r="I49" s="7">
        <f t="shared" si="17"/>
        <v>5</v>
      </c>
      <c r="J49" s="7">
        <f t="shared" si="17"/>
        <v>-4.5</v>
      </c>
      <c r="K49" s="7">
        <f t="shared" si="17"/>
        <v>11</v>
      </c>
      <c r="L49" s="7">
        <f t="shared" si="17"/>
        <v>-3</v>
      </c>
      <c r="M49" s="7">
        <f t="shared" si="17"/>
        <v>-1</v>
      </c>
      <c r="N49" s="7">
        <f t="shared" si="17"/>
        <v>22.5</v>
      </c>
      <c r="O49" s="7">
        <f t="shared" si="17"/>
        <v>2.5</v>
      </c>
      <c r="P49" s="7">
        <f t="shared" si="17"/>
        <v>-17</v>
      </c>
      <c r="Q49" s="7">
        <f t="shared" si="17"/>
        <v>4</v>
      </c>
      <c r="R49" s="7">
        <f t="shared" si="17"/>
        <v>-11.5</v>
      </c>
      <c r="S49" s="7">
        <f t="shared" si="17"/>
        <v>-24.5</v>
      </c>
      <c r="T49" s="7">
        <f t="shared" si="17"/>
        <v>-8</v>
      </c>
      <c r="U49" s="7">
        <f t="shared" si="17"/>
        <v>12.5</v>
      </c>
      <c r="V49" s="7">
        <f t="shared" si="17"/>
        <v>-5</v>
      </c>
      <c r="W49" s="7">
        <f t="shared" si="17"/>
        <v>0</v>
      </c>
      <c r="X49" s="7"/>
      <c r="Y49" s="7"/>
      <c r="Z49" s="7"/>
      <c r="AA49" s="7"/>
      <c r="AB49" s="5"/>
      <c r="AE49" t="s">
        <v>362</v>
      </c>
      <c r="AF49">
        <v>78</v>
      </c>
      <c r="AG49">
        <v>82</v>
      </c>
      <c r="AH49">
        <v>11</v>
      </c>
    </row>
    <row r="50" spans="3:34" x14ac:dyDescent="0.45">
      <c r="AE50" t="s">
        <v>362</v>
      </c>
      <c r="AF50">
        <v>79</v>
      </c>
      <c r="AG50">
        <v>74.5</v>
      </c>
      <c r="AH50">
        <v>11</v>
      </c>
    </row>
    <row r="51" spans="3:34" x14ac:dyDescent="0.45">
      <c r="AE51" t="s">
        <v>362</v>
      </c>
      <c r="AF51">
        <v>66.5</v>
      </c>
      <c r="AG51">
        <v>62.5</v>
      </c>
      <c r="AH51">
        <v>11</v>
      </c>
    </row>
    <row r="52" spans="3:34" x14ac:dyDescent="0.45">
      <c r="AE52" t="s">
        <v>362</v>
      </c>
      <c r="AF52">
        <v>69</v>
      </c>
      <c r="AG52">
        <v>67.5</v>
      </c>
      <c r="AH52">
        <v>11</v>
      </c>
    </row>
    <row r="53" spans="3:34" x14ac:dyDescent="0.45">
      <c r="AE53" t="s">
        <v>362</v>
      </c>
      <c r="AF53">
        <v>73</v>
      </c>
      <c r="AG53">
        <v>74</v>
      </c>
      <c r="AH53">
        <v>11</v>
      </c>
    </row>
    <row r="54" spans="3:34" x14ac:dyDescent="0.45">
      <c r="AE54" t="s">
        <v>362</v>
      </c>
      <c r="AF54">
        <v>81.5</v>
      </c>
      <c r="AG54">
        <v>77</v>
      </c>
      <c r="AH54">
        <v>11</v>
      </c>
    </row>
    <row r="55" spans="3:34" x14ac:dyDescent="0.45">
      <c r="AE55" t="s">
        <v>362</v>
      </c>
      <c r="AF55">
        <v>70.5</v>
      </c>
      <c r="AG55">
        <v>70.5</v>
      </c>
      <c r="AH55">
        <v>11</v>
      </c>
    </row>
    <row r="56" spans="3:34" x14ac:dyDescent="0.45">
      <c r="AE56" t="s">
        <v>362</v>
      </c>
      <c r="AF56">
        <v>65.5</v>
      </c>
      <c r="AG56">
        <v>68.5</v>
      </c>
      <c r="AH56">
        <v>11</v>
      </c>
    </row>
    <row r="57" spans="3:34" x14ac:dyDescent="0.45">
      <c r="AE57" t="s">
        <v>362</v>
      </c>
      <c r="AF57">
        <v>66</v>
      </c>
      <c r="AG57">
        <v>66</v>
      </c>
      <c r="AH57">
        <v>11</v>
      </c>
    </row>
    <row r="58" spans="3:34" x14ac:dyDescent="0.45">
      <c r="AE58" t="s">
        <v>363</v>
      </c>
      <c r="AF58" t="s">
        <v>82</v>
      </c>
    </row>
    <row r="59" spans="3:34" x14ac:dyDescent="0.45">
      <c r="AE59" t="s">
        <v>363</v>
      </c>
      <c r="AF59">
        <v>70</v>
      </c>
      <c r="AG59">
        <v>73.5</v>
      </c>
      <c r="AH59">
        <v>11</v>
      </c>
    </row>
    <row r="60" spans="3:34" x14ac:dyDescent="0.45">
      <c r="AE60" t="s">
        <v>363</v>
      </c>
      <c r="AF60">
        <v>63</v>
      </c>
      <c r="AG60">
        <v>64</v>
      </c>
      <c r="AH60">
        <v>11</v>
      </c>
    </row>
    <row r="61" spans="3:34" x14ac:dyDescent="0.45">
      <c r="AE61" t="s">
        <v>363</v>
      </c>
      <c r="AF61">
        <v>76</v>
      </c>
      <c r="AG61">
        <v>74</v>
      </c>
      <c r="AH61">
        <v>11</v>
      </c>
    </row>
    <row r="62" spans="3:34" x14ac:dyDescent="0.45">
      <c r="AE62" t="s">
        <v>363</v>
      </c>
      <c r="AF62">
        <v>65.5</v>
      </c>
      <c r="AG62">
        <v>64</v>
      </c>
      <c r="AH62">
        <v>11</v>
      </c>
    </row>
    <row r="63" spans="3:34" x14ac:dyDescent="0.45">
      <c r="AE63" t="s">
        <v>363</v>
      </c>
      <c r="AF63">
        <v>66</v>
      </c>
      <c r="AG63">
        <v>66.5</v>
      </c>
      <c r="AH63">
        <v>11</v>
      </c>
    </row>
    <row r="64" spans="3:34" x14ac:dyDescent="0.45">
      <c r="AE64" t="s">
        <v>363</v>
      </c>
      <c r="AF64">
        <v>65</v>
      </c>
      <c r="AG64">
        <v>66.5</v>
      </c>
      <c r="AH64">
        <v>11</v>
      </c>
    </row>
    <row r="65" spans="31:34" x14ac:dyDescent="0.45">
      <c r="AE65" t="s">
        <v>363</v>
      </c>
      <c r="AF65">
        <v>69.5</v>
      </c>
      <c r="AG65">
        <v>61</v>
      </c>
      <c r="AH65">
        <v>11</v>
      </c>
    </row>
    <row r="66" spans="31:34" x14ac:dyDescent="0.45">
      <c r="AE66" t="s">
        <v>363</v>
      </c>
      <c r="AF66">
        <v>69.5</v>
      </c>
      <c r="AG66">
        <v>69.5</v>
      </c>
      <c r="AH66">
        <v>11</v>
      </c>
    </row>
    <row r="67" spans="31:34" x14ac:dyDescent="0.45">
      <c r="AE67" t="s">
        <v>363</v>
      </c>
      <c r="AF67">
        <v>69.5</v>
      </c>
      <c r="AG67">
        <v>66.5</v>
      </c>
      <c r="AH67">
        <v>11</v>
      </c>
    </row>
    <row r="68" spans="31:34" x14ac:dyDescent="0.45">
      <c r="AE68" t="s">
        <v>363</v>
      </c>
      <c r="AF68">
        <v>83</v>
      </c>
      <c r="AG68">
        <v>86.5</v>
      </c>
      <c r="AH68">
        <v>11</v>
      </c>
    </row>
    <row r="69" spans="31:34" x14ac:dyDescent="0.45">
      <c r="AE69" t="s">
        <v>364</v>
      </c>
      <c r="AF69" t="s">
        <v>88</v>
      </c>
    </row>
    <row r="70" spans="31:34" x14ac:dyDescent="0.45">
      <c r="AE70" t="s">
        <v>364</v>
      </c>
      <c r="AF70">
        <v>70.5</v>
      </c>
      <c r="AG70">
        <v>73</v>
      </c>
      <c r="AH70">
        <v>11</v>
      </c>
    </row>
    <row r="71" spans="31:34" x14ac:dyDescent="0.45">
      <c r="AE71" t="s">
        <v>364</v>
      </c>
      <c r="AF71">
        <v>64</v>
      </c>
      <c r="AG71">
        <v>65.5</v>
      </c>
      <c r="AH71">
        <v>11</v>
      </c>
    </row>
    <row r="72" spans="31:34" x14ac:dyDescent="0.45">
      <c r="AE72" t="s">
        <v>364</v>
      </c>
      <c r="AF72">
        <v>65</v>
      </c>
      <c r="AG72">
        <v>72.5</v>
      </c>
      <c r="AH72">
        <v>11</v>
      </c>
    </row>
    <row r="73" spans="31:34" x14ac:dyDescent="0.45">
      <c r="AE73" t="s">
        <v>364</v>
      </c>
      <c r="AF73">
        <v>70</v>
      </c>
      <c r="AG73">
        <v>66.5</v>
      </c>
      <c r="AH73">
        <v>11</v>
      </c>
    </row>
    <row r="74" spans="31:34" x14ac:dyDescent="0.45">
      <c r="AE74" t="s">
        <v>364</v>
      </c>
      <c r="AF74">
        <v>62</v>
      </c>
      <c r="AG74">
        <v>62</v>
      </c>
      <c r="AH74">
        <v>11</v>
      </c>
    </row>
    <row r="75" spans="31:34" x14ac:dyDescent="0.45">
      <c r="AE75" t="s">
        <v>364</v>
      </c>
      <c r="AF75">
        <v>61</v>
      </c>
      <c r="AG75">
        <v>61</v>
      </c>
      <c r="AH75">
        <v>11</v>
      </c>
    </row>
    <row r="76" spans="31:34" x14ac:dyDescent="0.45">
      <c r="AE76" t="s">
        <v>364</v>
      </c>
      <c r="AF76">
        <v>68.5</v>
      </c>
      <c r="AG76">
        <v>68.5</v>
      </c>
      <c r="AH76">
        <v>11</v>
      </c>
    </row>
    <row r="77" spans="31:34" x14ac:dyDescent="0.45">
      <c r="AE77" t="s">
        <v>364</v>
      </c>
      <c r="AF77">
        <v>68.5</v>
      </c>
      <c r="AG77">
        <v>66.5</v>
      </c>
      <c r="AH77">
        <v>11</v>
      </c>
    </row>
    <row r="78" spans="31:34" x14ac:dyDescent="0.45">
      <c r="AE78" t="s">
        <v>364</v>
      </c>
      <c r="AF78">
        <v>68.5</v>
      </c>
      <c r="AG78">
        <v>68</v>
      </c>
      <c r="AH78">
        <v>11</v>
      </c>
    </row>
    <row r="79" spans="31:34" x14ac:dyDescent="0.45">
      <c r="AE79" t="s">
        <v>364</v>
      </c>
      <c r="AF79">
        <v>68.5</v>
      </c>
      <c r="AG79">
        <v>67.5</v>
      </c>
      <c r="AH79">
        <v>11</v>
      </c>
    </row>
    <row r="80" spans="31:34" x14ac:dyDescent="0.45">
      <c r="AE80" t="s">
        <v>365</v>
      </c>
      <c r="AF80" t="s">
        <v>89</v>
      </c>
    </row>
    <row r="81" spans="31:34" x14ac:dyDescent="0.45">
      <c r="AE81" t="s">
        <v>365</v>
      </c>
      <c r="AF81">
        <v>64</v>
      </c>
      <c r="AG81">
        <v>63</v>
      </c>
      <c r="AH81">
        <v>11</v>
      </c>
    </row>
    <row r="82" spans="31:34" x14ac:dyDescent="0.45">
      <c r="AE82" t="s">
        <v>365</v>
      </c>
      <c r="AF82">
        <v>68.5</v>
      </c>
      <c r="AG82">
        <v>65.5</v>
      </c>
      <c r="AH82">
        <v>11</v>
      </c>
    </row>
    <row r="83" spans="31:34" x14ac:dyDescent="0.45">
      <c r="AE83" t="s">
        <v>365</v>
      </c>
      <c r="AF83">
        <v>74.5</v>
      </c>
      <c r="AG83">
        <v>77.5</v>
      </c>
      <c r="AH83">
        <v>11</v>
      </c>
    </row>
    <row r="84" spans="31:34" x14ac:dyDescent="0.45">
      <c r="AE84" t="s">
        <v>365</v>
      </c>
      <c r="AF84">
        <v>65.5</v>
      </c>
      <c r="AG84">
        <v>64</v>
      </c>
      <c r="AH84">
        <v>11</v>
      </c>
    </row>
    <row r="85" spans="31:34" x14ac:dyDescent="0.45">
      <c r="AE85" t="s">
        <v>365</v>
      </c>
      <c r="AF85">
        <v>61</v>
      </c>
      <c r="AG85">
        <v>58.5</v>
      </c>
      <c r="AH85">
        <v>11</v>
      </c>
    </row>
    <row r="86" spans="31:34" x14ac:dyDescent="0.45">
      <c r="AE86" t="s">
        <v>365</v>
      </c>
      <c r="AF86">
        <v>66.5</v>
      </c>
      <c r="AG86">
        <v>65.5</v>
      </c>
      <c r="AH86">
        <v>11</v>
      </c>
    </row>
    <row r="87" spans="31:34" x14ac:dyDescent="0.45">
      <c r="AE87" t="s">
        <v>365</v>
      </c>
      <c r="AF87">
        <v>71.5</v>
      </c>
      <c r="AG87">
        <v>72</v>
      </c>
      <c r="AH87">
        <v>11</v>
      </c>
    </row>
    <row r="88" spans="31:34" x14ac:dyDescent="0.45">
      <c r="AE88" t="s">
        <v>365</v>
      </c>
      <c r="AF88">
        <v>65.5</v>
      </c>
      <c r="AG88">
        <v>66</v>
      </c>
      <c r="AH88">
        <v>11</v>
      </c>
    </row>
    <row r="89" spans="31:34" x14ac:dyDescent="0.45">
      <c r="AE89" t="s">
        <v>365</v>
      </c>
      <c r="AF89">
        <v>66</v>
      </c>
      <c r="AG89">
        <v>66</v>
      </c>
      <c r="AH89">
        <v>11</v>
      </c>
    </row>
    <row r="90" spans="31:34" x14ac:dyDescent="0.45">
      <c r="AE90" t="s">
        <v>365</v>
      </c>
      <c r="AF90">
        <v>85</v>
      </c>
      <c r="AG90">
        <v>79</v>
      </c>
      <c r="AH90">
        <v>11</v>
      </c>
    </row>
    <row r="91" spans="31:34" x14ac:dyDescent="0.45">
      <c r="AE91" t="s">
        <v>366</v>
      </c>
      <c r="AF91" t="s">
        <v>90</v>
      </c>
    </row>
    <row r="92" spans="31:34" x14ac:dyDescent="0.45">
      <c r="AE92" t="s">
        <v>366</v>
      </c>
      <c r="AF92">
        <v>71</v>
      </c>
      <c r="AG92">
        <v>67</v>
      </c>
      <c r="AH92">
        <v>11</v>
      </c>
    </row>
    <row r="93" spans="31:34" x14ac:dyDescent="0.45">
      <c r="AE93" t="s">
        <v>366</v>
      </c>
      <c r="AF93">
        <v>68</v>
      </c>
      <c r="AG93">
        <v>70</v>
      </c>
      <c r="AH93">
        <v>11</v>
      </c>
    </row>
    <row r="94" spans="31:34" x14ac:dyDescent="0.45">
      <c r="AE94" t="s">
        <v>366</v>
      </c>
      <c r="AF94">
        <v>68</v>
      </c>
      <c r="AG94">
        <v>72</v>
      </c>
      <c r="AH94">
        <v>11</v>
      </c>
    </row>
    <row r="95" spans="31:34" x14ac:dyDescent="0.45">
      <c r="AE95" t="s">
        <v>366</v>
      </c>
      <c r="AF95">
        <v>71</v>
      </c>
      <c r="AG95">
        <v>70</v>
      </c>
      <c r="AH95">
        <v>11</v>
      </c>
    </row>
    <row r="96" spans="31:34" x14ac:dyDescent="0.45">
      <c r="AE96" t="s">
        <v>366</v>
      </c>
      <c r="AF96">
        <v>62.5</v>
      </c>
      <c r="AG96">
        <v>68</v>
      </c>
      <c r="AH96">
        <v>10</v>
      </c>
    </row>
    <row r="97" spans="31:34" x14ac:dyDescent="0.45">
      <c r="AE97" t="s">
        <v>366</v>
      </c>
      <c r="AF97">
        <v>70.5</v>
      </c>
      <c r="AG97">
        <v>66</v>
      </c>
      <c r="AH97">
        <v>11</v>
      </c>
    </row>
    <row r="98" spans="31:34" x14ac:dyDescent="0.45">
      <c r="AE98" t="s">
        <v>366</v>
      </c>
      <c r="AF98">
        <v>70.5</v>
      </c>
      <c r="AG98">
        <v>69.5</v>
      </c>
      <c r="AH98">
        <v>11</v>
      </c>
    </row>
    <row r="99" spans="31:34" x14ac:dyDescent="0.45">
      <c r="AE99" t="s">
        <v>366</v>
      </c>
      <c r="AF99">
        <v>65</v>
      </c>
      <c r="AG99">
        <v>65</v>
      </c>
      <c r="AH99">
        <v>11</v>
      </c>
    </row>
    <row r="100" spans="31:34" x14ac:dyDescent="0.45">
      <c r="AE100" t="s">
        <v>366</v>
      </c>
      <c r="AF100">
        <v>76</v>
      </c>
      <c r="AG100">
        <v>78</v>
      </c>
      <c r="AH100">
        <v>11</v>
      </c>
    </row>
    <row r="101" spans="31:34" x14ac:dyDescent="0.45">
      <c r="AE101" t="s">
        <v>366</v>
      </c>
      <c r="AF101">
        <v>85.5</v>
      </c>
      <c r="AG101">
        <v>85.5</v>
      </c>
      <c r="AH101">
        <v>11</v>
      </c>
    </row>
    <row r="102" spans="31:34" x14ac:dyDescent="0.45">
      <c r="AE102" t="s">
        <v>367</v>
      </c>
      <c r="AF102" t="s">
        <v>91</v>
      </c>
    </row>
    <row r="103" spans="31:34" x14ac:dyDescent="0.45">
      <c r="AE103" t="s">
        <v>367</v>
      </c>
      <c r="AF103">
        <v>60</v>
      </c>
      <c r="AG103">
        <v>66.5</v>
      </c>
      <c r="AH103">
        <v>11</v>
      </c>
    </row>
    <row r="104" spans="31:34" x14ac:dyDescent="0.45">
      <c r="AE104" t="s">
        <v>367</v>
      </c>
      <c r="AF104">
        <v>76.5</v>
      </c>
      <c r="AG104">
        <v>77.5</v>
      </c>
      <c r="AH104">
        <v>11</v>
      </c>
    </row>
    <row r="105" spans="31:34" x14ac:dyDescent="0.45">
      <c r="AE105" t="s">
        <v>367</v>
      </c>
      <c r="AF105">
        <v>75</v>
      </c>
      <c r="AG105">
        <v>78</v>
      </c>
      <c r="AH105">
        <v>11</v>
      </c>
    </row>
    <row r="106" spans="31:34" x14ac:dyDescent="0.45">
      <c r="AE106" t="s">
        <v>367</v>
      </c>
      <c r="AF106">
        <v>59.5</v>
      </c>
      <c r="AG106">
        <v>63.5</v>
      </c>
      <c r="AH106">
        <v>11</v>
      </c>
    </row>
    <row r="107" spans="31:34" x14ac:dyDescent="0.45">
      <c r="AE107" t="s">
        <v>367</v>
      </c>
      <c r="AF107">
        <v>61</v>
      </c>
      <c r="AG107">
        <v>60.5</v>
      </c>
      <c r="AH107">
        <v>11</v>
      </c>
    </row>
    <row r="108" spans="31:34" x14ac:dyDescent="0.45">
      <c r="AE108" t="s">
        <v>367</v>
      </c>
      <c r="AF108">
        <v>73</v>
      </c>
      <c r="AG108">
        <v>66</v>
      </c>
      <c r="AH108">
        <v>11</v>
      </c>
    </row>
    <row r="109" spans="31:34" x14ac:dyDescent="0.45">
      <c r="AE109" t="s">
        <v>367</v>
      </c>
      <c r="AF109">
        <v>70.5</v>
      </c>
      <c r="AG109">
        <v>71</v>
      </c>
      <c r="AH109">
        <v>11</v>
      </c>
    </row>
    <row r="110" spans="31:34" x14ac:dyDescent="0.45">
      <c r="AE110" t="s">
        <v>367</v>
      </c>
      <c r="AF110">
        <v>67.5</v>
      </c>
      <c r="AG110">
        <v>68</v>
      </c>
      <c r="AH110">
        <v>11</v>
      </c>
    </row>
    <row r="111" spans="31:34" x14ac:dyDescent="0.45">
      <c r="AE111" t="s">
        <v>367</v>
      </c>
      <c r="AF111">
        <v>60.5</v>
      </c>
      <c r="AG111">
        <v>60</v>
      </c>
      <c r="AH111">
        <v>11</v>
      </c>
    </row>
    <row r="112" spans="31:34" x14ac:dyDescent="0.45">
      <c r="AE112" t="s">
        <v>367</v>
      </c>
      <c r="AF112">
        <v>64</v>
      </c>
      <c r="AG112">
        <v>57.5</v>
      </c>
      <c r="AH112">
        <v>11</v>
      </c>
    </row>
    <row r="113" spans="31:34" x14ac:dyDescent="0.45">
      <c r="AE113" t="s">
        <v>368</v>
      </c>
      <c r="AF113" t="s">
        <v>92</v>
      </c>
    </row>
    <row r="114" spans="31:34" x14ac:dyDescent="0.45">
      <c r="AE114" t="s">
        <v>368</v>
      </c>
      <c r="AF114">
        <v>65.5</v>
      </c>
      <c r="AG114">
        <v>59</v>
      </c>
      <c r="AH114">
        <v>11</v>
      </c>
    </row>
    <row r="115" spans="31:34" x14ac:dyDescent="0.45">
      <c r="AE115" t="s">
        <v>368</v>
      </c>
      <c r="AF115">
        <v>60</v>
      </c>
      <c r="AG115">
        <v>61</v>
      </c>
      <c r="AH115">
        <v>11</v>
      </c>
    </row>
    <row r="116" spans="31:34" x14ac:dyDescent="0.45">
      <c r="AE116" t="s">
        <v>368</v>
      </c>
      <c r="AF116">
        <v>70.5</v>
      </c>
      <c r="AG116">
        <v>67</v>
      </c>
      <c r="AH116">
        <v>11</v>
      </c>
    </row>
    <row r="117" spans="31:34" x14ac:dyDescent="0.45">
      <c r="AE117" t="s">
        <v>368</v>
      </c>
      <c r="AF117">
        <v>69.5</v>
      </c>
      <c r="AG117">
        <v>66</v>
      </c>
      <c r="AH117">
        <v>11</v>
      </c>
    </row>
    <row r="118" spans="31:34" x14ac:dyDescent="0.45">
      <c r="AE118" t="s">
        <v>368</v>
      </c>
      <c r="AF118">
        <v>65</v>
      </c>
      <c r="AG118">
        <v>63</v>
      </c>
      <c r="AH118">
        <v>11</v>
      </c>
    </row>
    <row r="119" spans="31:34" x14ac:dyDescent="0.45">
      <c r="AE119" t="s">
        <v>368</v>
      </c>
      <c r="AF119">
        <v>84</v>
      </c>
      <c r="AG119">
        <v>79</v>
      </c>
      <c r="AH119">
        <v>11</v>
      </c>
    </row>
    <row r="120" spans="31:34" x14ac:dyDescent="0.45">
      <c r="AE120" t="s">
        <v>368</v>
      </c>
      <c r="AF120">
        <v>71</v>
      </c>
      <c r="AG120">
        <v>72</v>
      </c>
      <c r="AH120">
        <v>11</v>
      </c>
    </row>
    <row r="121" spans="31:34" x14ac:dyDescent="0.45">
      <c r="AE121" t="s">
        <v>368</v>
      </c>
      <c r="AF121">
        <v>71.5</v>
      </c>
      <c r="AG121">
        <v>69</v>
      </c>
      <c r="AH121">
        <v>11</v>
      </c>
    </row>
    <row r="122" spans="31:34" x14ac:dyDescent="0.45">
      <c r="AE122" t="s">
        <v>368</v>
      </c>
      <c r="AF122">
        <v>70.5</v>
      </c>
      <c r="AG122">
        <v>68.5</v>
      </c>
      <c r="AH122">
        <v>11</v>
      </c>
    </row>
    <row r="123" spans="31:34" x14ac:dyDescent="0.45">
      <c r="AE123" t="s">
        <v>368</v>
      </c>
      <c r="AF123">
        <v>65</v>
      </c>
      <c r="AG123">
        <v>65.5</v>
      </c>
      <c r="AH123">
        <v>11</v>
      </c>
    </row>
    <row r="124" spans="31:34" x14ac:dyDescent="0.45">
      <c r="AE124" t="s">
        <v>369</v>
      </c>
      <c r="AF124" t="s">
        <v>93</v>
      </c>
    </row>
    <row r="125" spans="31:34" x14ac:dyDescent="0.45">
      <c r="AE125" t="s">
        <v>369</v>
      </c>
      <c r="AF125">
        <v>79</v>
      </c>
      <c r="AG125">
        <v>87.5</v>
      </c>
      <c r="AH125">
        <v>11</v>
      </c>
    </row>
    <row r="126" spans="31:34" x14ac:dyDescent="0.45">
      <c r="AE126" t="s">
        <v>369</v>
      </c>
      <c r="AF126">
        <v>72.5</v>
      </c>
      <c r="AG126">
        <v>70.5</v>
      </c>
      <c r="AH126">
        <v>11</v>
      </c>
    </row>
    <row r="127" spans="31:34" x14ac:dyDescent="0.45">
      <c r="AE127" t="s">
        <v>369</v>
      </c>
      <c r="AF127">
        <v>78</v>
      </c>
      <c r="AG127">
        <v>65</v>
      </c>
      <c r="AH127">
        <v>11</v>
      </c>
    </row>
    <row r="128" spans="31:34" x14ac:dyDescent="0.45">
      <c r="AE128" t="s">
        <v>369</v>
      </c>
      <c r="AF128">
        <v>82.5</v>
      </c>
      <c r="AG128">
        <v>82</v>
      </c>
      <c r="AH128">
        <v>11</v>
      </c>
    </row>
    <row r="129" spans="31:34" x14ac:dyDescent="0.45">
      <c r="AE129" t="s">
        <v>369</v>
      </c>
      <c r="AF129">
        <v>64</v>
      </c>
      <c r="AG129">
        <v>66.5</v>
      </c>
      <c r="AH129">
        <v>11</v>
      </c>
    </row>
    <row r="130" spans="31:34" x14ac:dyDescent="0.45">
      <c r="AE130" t="s">
        <v>369</v>
      </c>
      <c r="AF130">
        <v>71</v>
      </c>
      <c r="AG130">
        <v>68.5</v>
      </c>
      <c r="AH130">
        <v>11</v>
      </c>
    </row>
    <row r="131" spans="31:34" x14ac:dyDescent="0.45">
      <c r="AE131" t="s">
        <v>369</v>
      </c>
      <c r="AF131">
        <v>69</v>
      </c>
      <c r="AG131">
        <v>73</v>
      </c>
      <c r="AH131">
        <v>11</v>
      </c>
    </row>
    <row r="132" spans="31:34" x14ac:dyDescent="0.45">
      <c r="AE132" t="s">
        <v>369</v>
      </c>
      <c r="AF132">
        <v>77.5</v>
      </c>
      <c r="AG132">
        <v>86</v>
      </c>
      <c r="AH132">
        <v>11</v>
      </c>
    </row>
    <row r="133" spans="31:34" x14ac:dyDescent="0.45">
      <c r="AE133" t="s">
        <v>369</v>
      </c>
      <c r="AF133">
        <v>69</v>
      </c>
      <c r="AG133">
        <v>64</v>
      </c>
      <c r="AH133">
        <v>11</v>
      </c>
    </row>
    <row r="134" spans="31:34" x14ac:dyDescent="0.45">
      <c r="AE134" t="s">
        <v>369</v>
      </c>
      <c r="AF134">
        <v>62.5</v>
      </c>
      <c r="AG134">
        <v>59.5</v>
      </c>
      <c r="AH134">
        <v>11</v>
      </c>
    </row>
    <row r="135" spans="31:34" x14ac:dyDescent="0.45">
      <c r="AE135" t="s">
        <v>370</v>
      </c>
      <c r="AF135" t="s">
        <v>94</v>
      </c>
    </row>
    <row r="136" spans="31:34" x14ac:dyDescent="0.45">
      <c r="AE136" t="s">
        <v>370</v>
      </c>
      <c r="AF136">
        <v>68.5</v>
      </c>
      <c r="AG136">
        <v>66.5</v>
      </c>
      <c r="AH136">
        <v>11</v>
      </c>
    </row>
    <row r="137" spans="31:34" x14ac:dyDescent="0.45">
      <c r="AE137" t="s">
        <v>370</v>
      </c>
      <c r="AF137">
        <v>71</v>
      </c>
      <c r="AG137">
        <v>71</v>
      </c>
      <c r="AH137">
        <v>11</v>
      </c>
    </row>
    <row r="138" spans="31:34" x14ac:dyDescent="0.45">
      <c r="AE138" t="s">
        <v>370</v>
      </c>
      <c r="AF138">
        <v>73.5</v>
      </c>
      <c r="AG138">
        <v>85.5</v>
      </c>
      <c r="AH138">
        <v>11</v>
      </c>
    </row>
    <row r="139" spans="31:34" x14ac:dyDescent="0.45">
      <c r="AE139" t="s">
        <v>370</v>
      </c>
      <c r="AF139">
        <v>64</v>
      </c>
      <c r="AG139">
        <v>68.5</v>
      </c>
      <c r="AH139">
        <v>10</v>
      </c>
    </row>
    <row r="140" spans="31:34" x14ac:dyDescent="0.45">
      <c r="AE140" t="s">
        <v>370</v>
      </c>
      <c r="AF140">
        <v>75.5</v>
      </c>
      <c r="AG140">
        <v>75.5</v>
      </c>
      <c r="AH140">
        <v>11</v>
      </c>
    </row>
    <row r="141" spans="31:34" x14ac:dyDescent="0.45">
      <c r="AE141" t="s">
        <v>370</v>
      </c>
      <c r="AF141">
        <v>65.5</v>
      </c>
      <c r="AG141">
        <v>62.5</v>
      </c>
      <c r="AH141">
        <v>11</v>
      </c>
    </row>
    <row r="142" spans="31:34" x14ac:dyDescent="0.45">
      <c r="AE142" t="s">
        <v>370</v>
      </c>
      <c r="AF142">
        <v>68.5</v>
      </c>
      <c r="AG142">
        <v>68</v>
      </c>
      <c r="AH142">
        <v>11</v>
      </c>
    </row>
    <row r="143" spans="31:34" x14ac:dyDescent="0.45">
      <c r="AE143" t="s">
        <v>370</v>
      </c>
      <c r="AF143">
        <v>69.5</v>
      </c>
      <c r="AG143">
        <v>73.5</v>
      </c>
      <c r="AH143">
        <v>11</v>
      </c>
    </row>
    <row r="144" spans="31:34" x14ac:dyDescent="0.45">
      <c r="AE144" t="s">
        <v>370</v>
      </c>
      <c r="AF144">
        <v>68</v>
      </c>
      <c r="AG144">
        <v>69</v>
      </c>
      <c r="AH144">
        <v>11</v>
      </c>
    </row>
    <row r="145" spans="31:34" x14ac:dyDescent="0.45">
      <c r="AE145" t="s">
        <v>370</v>
      </c>
      <c r="AF145">
        <v>69</v>
      </c>
      <c r="AG145">
        <v>70</v>
      </c>
      <c r="AH145">
        <v>11</v>
      </c>
    </row>
    <row r="146" spans="31:34" x14ac:dyDescent="0.45">
      <c r="AE146" t="s">
        <v>371</v>
      </c>
      <c r="AF146" t="s">
        <v>95</v>
      </c>
    </row>
    <row r="147" spans="31:34" x14ac:dyDescent="0.45">
      <c r="AE147" t="s">
        <v>371</v>
      </c>
      <c r="AF147">
        <v>72</v>
      </c>
      <c r="AG147">
        <v>71.5</v>
      </c>
      <c r="AH147">
        <v>11</v>
      </c>
    </row>
    <row r="148" spans="31:34" x14ac:dyDescent="0.45">
      <c r="AE148" t="s">
        <v>371</v>
      </c>
      <c r="AF148">
        <v>69</v>
      </c>
      <c r="AG148">
        <v>67</v>
      </c>
      <c r="AH148">
        <v>11</v>
      </c>
    </row>
    <row r="149" spans="31:34" x14ac:dyDescent="0.45">
      <c r="AE149" t="s">
        <v>371</v>
      </c>
      <c r="AF149">
        <v>64.5</v>
      </c>
      <c r="AG149">
        <v>63.5</v>
      </c>
      <c r="AH149">
        <v>11</v>
      </c>
    </row>
    <row r="150" spans="31:34" x14ac:dyDescent="0.45">
      <c r="AE150" t="s">
        <v>371</v>
      </c>
      <c r="AF150">
        <v>70.5</v>
      </c>
      <c r="AG150">
        <v>69.5</v>
      </c>
      <c r="AH150">
        <v>11</v>
      </c>
    </row>
    <row r="151" spans="31:34" x14ac:dyDescent="0.45">
      <c r="AE151" t="s">
        <v>371</v>
      </c>
      <c r="AF151">
        <v>70</v>
      </c>
      <c r="AG151">
        <v>70</v>
      </c>
      <c r="AH151">
        <v>11</v>
      </c>
    </row>
    <row r="152" spans="31:34" x14ac:dyDescent="0.45">
      <c r="AE152" t="s">
        <v>371</v>
      </c>
      <c r="AF152">
        <v>64</v>
      </c>
      <c r="AG152">
        <v>70.5</v>
      </c>
      <c r="AH152">
        <v>11</v>
      </c>
    </row>
    <row r="153" spans="31:34" x14ac:dyDescent="0.45">
      <c r="AE153" t="s">
        <v>371</v>
      </c>
      <c r="AF153">
        <v>71</v>
      </c>
      <c r="AG153">
        <v>71</v>
      </c>
      <c r="AH153">
        <v>11</v>
      </c>
    </row>
    <row r="154" spans="31:34" x14ac:dyDescent="0.45">
      <c r="AE154" t="s">
        <v>371</v>
      </c>
      <c r="AF154">
        <v>72.5</v>
      </c>
      <c r="AG154">
        <v>68</v>
      </c>
      <c r="AH154">
        <v>11</v>
      </c>
    </row>
    <row r="155" spans="31:34" x14ac:dyDescent="0.45">
      <c r="AE155" t="s">
        <v>371</v>
      </c>
      <c r="AF155">
        <v>75</v>
      </c>
      <c r="AG155">
        <v>71</v>
      </c>
      <c r="AH155">
        <v>11</v>
      </c>
    </row>
    <row r="156" spans="31:34" x14ac:dyDescent="0.45">
      <c r="AE156" t="s">
        <v>371</v>
      </c>
      <c r="AF156">
        <v>65.5</v>
      </c>
      <c r="AG156">
        <v>68</v>
      </c>
      <c r="AH156">
        <v>11</v>
      </c>
    </row>
    <row r="157" spans="31:34" x14ac:dyDescent="0.45">
      <c r="AE157" t="s">
        <v>372</v>
      </c>
      <c r="AF157" t="s">
        <v>96</v>
      </c>
    </row>
    <row r="158" spans="31:34" x14ac:dyDescent="0.45">
      <c r="AE158" t="s">
        <v>372</v>
      </c>
      <c r="AF158">
        <v>72</v>
      </c>
      <c r="AG158">
        <v>69</v>
      </c>
      <c r="AH158">
        <v>11</v>
      </c>
    </row>
    <row r="159" spans="31:34" x14ac:dyDescent="0.45">
      <c r="AE159" t="s">
        <v>372</v>
      </c>
      <c r="AF159">
        <v>65.5</v>
      </c>
      <c r="AG159">
        <v>66.5</v>
      </c>
      <c r="AH159">
        <v>11</v>
      </c>
    </row>
    <row r="160" spans="31:34" x14ac:dyDescent="0.45">
      <c r="AE160" t="s">
        <v>372</v>
      </c>
      <c r="AF160">
        <v>64.5</v>
      </c>
      <c r="AG160">
        <v>65</v>
      </c>
      <c r="AH160">
        <v>11</v>
      </c>
    </row>
    <row r="161" spans="31:34" x14ac:dyDescent="0.45">
      <c r="AE161" t="s">
        <v>372</v>
      </c>
      <c r="AF161">
        <v>75</v>
      </c>
      <c r="AG161">
        <v>75</v>
      </c>
      <c r="AH161">
        <v>11</v>
      </c>
    </row>
    <row r="162" spans="31:34" x14ac:dyDescent="0.45">
      <c r="AE162" t="s">
        <v>372</v>
      </c>
      <c r="AF162">
        <v>71</v>
      </c>
      <c r="AG162">
        <v>78</v>
      </c>
      <c r="AH162">
        <v>11</v>
      </c>
    </row>
    <row r="163" spans="31:34" x14ac:dyDescent="0.45">
      <c r="AE163" t="s">
        <v>372</v>
      </c>
      <c r="AF163">
        <v>66.5</v>
      </c>
      <c r="AG163">
        <v>65.5</v>
      </c>
      <c r="AH163">
        <v>11</v>
      </c>
    </row>
    <row r="164" spans="31:34" x14ac:dyDescent="0.45">
      <c r="AE164" t="s">
        <v>372</v>
      </c>
      <c r="AF164">
        <v>61.5</v>
      </c>
      <c r="AG164">
        <v>61.5</v>
      </c>
      <c r="AH164">
        <v>11</v>
      </c>
    </row>
    <row r="165" spans="31:34" x14ac:dyDescent="0.45">
      <c r="AE165" t="s">
        <v>372</v>
      </c>
      <c r="AF165">
        <v>64</v>
      </c>
      <c r="AG165">
        <v>72</v>
      </c>
      <c r="AH165">
        <v>11</v>
      </c>
    </row>
    <row r="166" spans="31:34" x14ac:dyDescent="0.45">
      <c r="AE166" t="s">
        <v>372</v>
      </c>
      <c r="AF166">
        <v>64</v>
      </c>
      <c r="AG166">
        <v>63</v>
      </c>
      <c r="AH166">
        <v>11</v>
      </c>
    </row>
    <row r="167" spans="31:34" x14ac:dyDescent="0.45">
      <c r="AE167" t="s">
        <v>372</v>
      </c>
      <c r="AF167">
        <v>65</v>
      </c>
      <c r="AG167">
        <v>65</v>
      </c>
      <c r="AH167">
        <v>11</v>
      </c>
    </row>
    <row r="168" spans="31:34" x14ac:dyDescent="0.45">
      <c r="AE168" t="s">
        <v>373</v>
      </c>
      <c r="AF168" t="s">
        <v>97</v>
      </c>
    </row>
    <row r="169" spans="31:34" x14ac:dyDescent="0.45">
      <c r="AE169" t="s">
        <v>373</v>
      </c>
      <c r="AF169">
        <v>70.5</v>
      </c>
      <c r="AG169">
        <v>71.5</v>
      </c>
      <c r="AH169">
        <v>11</v>
      </c>
    </row>
    <row r="170" spans="31:34" x14ac:dyDescent="0.45">
      <c r="AE170" t="s">
        <v>373</v>
      </c>
      <c r="AF170">
        <v>65</v>
      </c>
      <c r="AG170">
        <v>63.5</v>
      </c>
      <c r="AH170">
        <v>11</v>
      </c>
    </row>
    <row r="171" spans="31:34" x14ac:dyDescent="0.45">
      <c r="AE171" t="s">
        <v>373</v>
      </c>
      <c r="AF171">
        <v>66.5</v>
      </c>
      <c r="AG171">
        <v>66.5</v>
      </c>
      <c r="AH171">
        <v>11</v>
      </c>
    </row>
    <row r="172" spans="31:34" x14ac:dyDescent="0.45">
      <c r="AE172" t="s">
        <v>373</v>
      </c>
      <c r="AF172">
        <v>62.5</v>
      </c>
      <c r="AG172">
        <v>66</v>
      </c>
      <c r="AH172">
        <v>11</v>
      </c>
    </row>
    <row r="173" spans="31:34" x14ac:dyDescent="0.45">
      <c r="AE173" t="s">
        <v>373</v>
      </c>
      <c r="AF173">
        <v>70</v>
      </c>
      <c r="AG173">
        <v>71</v>
      </c>
      <c r="AH173">
        <v>11</v>
      </c>
    </row>
    <row r="174" spans="31:34" x14ac:dyDescent="0.45">
      <c r="AE174" t="s">
        <v>373</v>
      </c>
      <c r="AF174">
        <v>68</v>
      </c>
      <c r="AG174">
        <v>76</v>
      </c>
      <c r="AH174">
        <v>11</v>
      </c>
    </row>
    <row r="175" spans="31:34" x14ac:dyDescent="0.45">
      <c r="AE175" t="s">
        <v>373</v>
      </c>
      <c r="AF175">
        <v>66.5</v>
      </c>
      <c r="AG175">
        <v>70.5</v>
      </c>
      <c r="AH175">
        <v>11</v>
      </c>
    </row>
    <row r="176" spans="31:34" x14ac:dyDescent="0.45">
      <c r="AE176" t="s">
        <v>373</v>
      </c>
      <c r="AF176">
        <v>65.5</v>
      </c>
      <c r="AG176">
        <v>67</v>
      </c>
      <c r="AH176">
        <v>11</v>
      </c>
    </row>
    <row r="177" spans="31:34" x14ac:dyDescent="0.45">
      <c r="AE177" t="s">
        <v>373</v>
      </c>
      <c r="AF177">
        <v>68</v>
      </c>
      <c r="AG177">
        <v>68</v>
      </c>
      <c r="AH177">
        <v>11</v>
      </c>
    </row>
    <row r="178" spans="31:34" x14ac:dyDescent="0.45">
      <c r="AE178" t="s">
        <v>373</v>
      </c>
      <c r="AF178">
        <v>67.5</v>
      </c>
      <c r="AG178">
        <v>74.5</v>
      </c>
      <c r="AH178">
        <v>11</v>
      </c>
    </row>
    <row r="179" spans="31:34" x14ac:dyDescent="0.45">
      <c r="AE179" t="s">
        <v>374</v>
      </c>
      <c r="AF179" t="s">
        <v>98</v>
      </c>
    </row>
    <row r="180" spans="31:34" x14ac:dyDescent="0.45">
      <c r="AE180" t="s">
        <v>374</v>
      </c>
      <c r="AF180">
        <v>82.5</v>
      </c>
      <c r="AG180">
        <v>82.5</v>
      </c>
      <c r="AH180">
        <v>11</v>
      </c>
    </row>
    <row r="181" spans="31:34" x14ac:dyDescent="0.45">
      <c r="AE181" t="s">
        <v>374</v>
      </c>
      <c r="AF181">
        <v>64</v>
      </c>
      <c r="AG181">
        <v>62.5</v>
      </c>
      <c r="AH181">
        <v>10</v>
      </c>
    </row>
    <row r="182" spans="31:34" x14ac:dyDescent="0.45">
      <c r="AE182" t="s">
        <v>374</v>
      </c>
      <c r="AF182">
        <v>71</v>
      </c>
      <c r="AG182">
        <v>75</v>
      </c>
      <c r="AH182">
        <v>11</v>
      </c>
    </row>
    <row r="183" spans="31:34" x14ac:dyDescent="0.45">
      <c r="AE183" t="s">
        <v>374</v>
      </c>
      <c r="AF183">
        <v>84.5</v>
      </c>
      <c r="AG183">
        <v>85.5</v>
      </c>
      <c r="AH183">
        <v>11</v>
      </c>
    </row>
    <row r="184" spans="31:34" x14ac:dyDescent="0.45">
      <c r="AE184" t="s">
        <v>374</v>
      </c>
      <c r="AF184">
        <v>66.5</v>
      </c>
      <c r="AG184">
        <v>70</v>
      </c>
      <c r="AH184">
        <v>11</v>
      </c>
    </row>
    <row r="185" spans="31:34" x14ac:dyDescent="0.45">
      <c r="AE185" t="s">
        <v>374</v>
      </c>
      <c r="AF185">
        <v>73</v>
      </c>
      <c r="AG185">
        <v>71</v>
      </c>
      <c r="AH185">
        <v>11</v>
      </c>
    </row>
    <row r="186" spans="31:34" x14ac:dyDescent="0.45">
      <c r="AE186" t="s">
        <v>374</v>
      </c>
      <c r="AF186">
        <v>66</v>
      </c>
      <c r="AG186">
        <v>69</v>
      </c>
      <c r="AH186">
        <v>11</v>
      </c>
    </row>
    <row r="187" spans="31:34" x14ac:dyDescent="0.45">
      <c r="AE187" t="s">
        <v>374</v>
      </c>
      <c r="AF187">
        <v>68.5</v>
      </c>
      <c r="AG187">
        <v>65.5</v>
      </c>
      <c r="AH187">
        <v>11</v>
      </c>
    </row>
    <row r="188" spans="31:34" x14ac:dyDescent="0.45">
      <c r="AE188" t="s">
        <v>374</v>
      </c>
      <c r="AF188">
        <v>73.5</v>
      </c>
      <c r="AG188">
        <v>75</v>
      </c>
      <c r="AH188">
        <v>11</v>
      </c>
    </row>
    <row r="189" spans="31:34" x14ac:dyDescent="0.45">
      <c r="AE189" t="s">
        <v>374</v>
      </c>
      <c r="AF189">
        <v>64</v>
      </c>
      <c r="AG189">
        <v>65.5</v>
      </c>
      <c r="AH189">
        <v>11</v>
      </c>
    </row>
    <row r="190" spans="31:34" x14ac:dyDescent="0.45">
      <c r="AE190" t="s">
        <v>375</v>
      </c>
      <c r="AF190" t="s">
        <v>99</v>
      </c>
    </row>
    <row r="191" spans="31:34" x14ac:dyDescent="0.45">
      <c r="AE191" t="s">
        <v>375</v>
      </c>
      <c r="AF191">
        <v>69.5</v>
      </c>
      <c r="AG191">
        <v>66</v>
      </c>
      <c r="AH191">
        <v>11</v>
      </c>
    </row>
    <row r="192" spans="31:34" x14ac:dyDescent="0.45">
      <c r="AE192" t="s">
        <v>375</v>
      </c>
      <c r="AF192">
        <v>64.5</v>
      </c>
      <c r="AG192">
        <v>65</v>
      </c>
      <c r="AH192">
        <v>11</v>
      </c>
    </row>
    <row r="193" spans="31:34" x14ac:dyDescent="0.45">
      <c r="AE193" t="s">
        <v>375</v>
      </c>
      <c r="AF193">
        <v>73.5</v>
      </c>
      <c r="AG193">
        <v>70</v>
      </c>
      <c r="AH193">
        <v>11</v>
      </c>
    </row>
    <row r="194" spans="31:34" x14ac:dyDescent="0.45">
      <c r="AE194" t="s">
        <v>375</v>
      </c>
      <c r="AF194">
        <v>61.5</v>
      </c>
      <c r="AG194">
        <v>61.5</v>
      </c>
      <c r="AH194">
        <v>11</v>
      </c>
    </row>
    <row r="195" spans="31:34" x14ac:dyDescent="0.45">
      <c r="AE195" t="s">
        <v>375</v>
      </c>
      <c r="AF195">
        <v>72.5</v>
      </c>
      <c r="AG195">
        <v>73</v>
      </c>
      <c r="AH195">
        <v>11</v>
      </c>
    </row>
    <row r="196" spans="31:34" x14ac:dyDescent="0.45">
      <c r="AE196" t="s">
        <v>375</v>
      </c>
      <c r="AF196">
        <v>69.5</v>
      </c>
      <c r="AG196">
        <v>66</v>
      </c>
      <c r="AH196">
        <v>11</v>
      </c>
    </row>
    <row r="197" spans="31:34" x14ac:dyDescent="0.45">
      <c r="AE197" t="s">
        <v>375</v>
      </c>
      <c r="AF197">
        <v>71.5</v>
      </c>
      <c r="AG197">
        <v>72.5</v>
      </c>
      <c r="AH197">
        <v>11</v>
      </c>
    </row>
    <row r="198" spans="31:34" x14ac:dyDescent="0.45">
      <c r="AE198" t="s">
        <v>375</v>
      </c>
      <c r="AF198">
        <v>69</v>
      </c>
      <c r="AG198">
        <v>69</v>
      </c>
      <c r="AH198">
        <v>11</v>
      </c>
    </row>
    <row r="199" spans="31:34" x14ac:dyDescent="0.45">
      <c r="AE199" t="s">
        <v>375</v>
      </c>
      <c r="AF199">
        <v>70.5</v>
      </c>
      <c r="AG199">
        <v>66.5</v>
      </c>
      <c r="AH199">
        <v>11</v>
      </c>
    </row>
    <row r="200" spans="31:34" x14ac:dyDescent="0.45">
      <c r="AE200" t="s">
        <v>375</v>
      </c>
      <c r="AF200">
        <v>76</v>
      </c>
      <c r="AG200">
        <v>76</v>
      </c>
      <c r="AH200">
        <v>11</v>
      </c>
    </row>
    <row r="201" spans="31:34" x14ac:dyDescent="0.45">
      <c r="AE201" t="s">
        <v>376</v>
      </c>
      <c r="AF201" t="s">
        <v>100</v>
      </c>
    </row>
    <row r="202" spans="31:34" x14ac:dyDescent="0.45">
      <c r="AE202" t="s">
        <v>376</v>
      </c>
      <c r="AF202">
        <v>74</v>
      </c>
      <c r="AG202">
        <v>75.5</v>
      </c>
      <c r="AH202">
        <v>11</v>
      </c>
    </row>
    <row r="203" spans="31:34" x14ac:dyDescent="0.45">
      <c r="AE203" t="s">
        <v>376</v>
      </c>
      <c r="AF203">
        <v>68.5</v>
      </c>
      <c r="AG203">
        <v>67</v>
      </c>
      <c r="AH203">
        <v>11</v>
      </c>
    </row>
    <row r="204" spans="31:34" x14ac:dyDescent="0.45">
      <c r="AE204" t="s">
        <v>376</v>
      </c>
      <c r="AF204">
        <v>77</v>
      </c>
      <c r="AG204">
        <v>78.5</v>
      </c>
      <c r="AH204">
        <v>11</v>
      </c>
    </row>
    <row r="205" spans="31:34" x14ac:dyDescent="0.45">
      <c r="AE205" t="s">
        <v>376</v>
      </c>
      <c r="AF205">
        <v>67.5</v>
      </c>
      <c r="AG205">
        <v>71</v>
      </c>
      <c r="AH205">
        <v>11</v>
      </c>
    </row>
    <row r="206" spans="31:34" x14ac:dyDescent="0.45">
      <c r="AE206" t="s">
        <v>376</v>
      </c>
      <c r="AF206">
        <v>61</v>
      </c>
      <c r="AG206">
        <v>66.5</v>
      </c>
      <c r="AH206">
        <v>10</v>
      </c>
    </row>
    <row r="207" spans="31:34" x14ac:dyDescent="0.45">
      <c r="AE207" t="s">
        <v>376</v>
      </c>
      <c r="AF207">
        <v>72.5</v>
      </c>
      <c r="AG207">
        <v>70</v>
      </c>
      <c r="AH207">
        <v>11</v>
      </c>
    </row>
    <row r="208" spans="31:34" x14ac:dyDescent="0.45">
      <c r="AE208" t="s">
        <v>376</v>
      </c>
      <c r="AF208">
        <v>69.5</v>
      </c>
      <c r="AG208">
        <v>67.5</v>
      </c>
      <c r="AH208">
        <v>11</v>
      </c>
    </row>
    <row r="209" spans="31:34" x14ac:dyDescent="0.45">
      <c r="AE209" t="s">
        <v>376</v>
      </c>
      <c r="AF209">
        <v>68</v>
      </c>
      <c r="AG209">
        <v>67</v>
      </c>
      <c r="AH209">
        <v>11</v>
      </c>
    </row>
    <row r="210" spans="31:34" x14ac:dyDescent="0.45">
      <c r="AE210" t="s">
        <v>376</v>
      </c>
      <c r="AF210">
        <v>68</v>
      </c>
      <c r="AG210">
        <v>65</v>
      </c>
      <c r="AH210">
        <v>11</v>
      </c>
    </row>
    <row r="211" spans="31:34" x14ac:dyDescent="0.45">
      <c r="AE211" t="s">
        <v>376</v>
      </c>
      <c r="AF211">
        <v>71.5</v>
      </c>
      <c r="AG211">
        <v>74.5</v>
      </c>
      <c r="AH211">
        <v>11</v>
      </c>
    </row>
  </sheetData>
  <conditionalFormatting sqref="D26:AA35">
    <cfRule type="cellIs" dxfId="4" priority="5" operator="lessThan">
      <formula>11</formula>
    </cfRule>
  </conditionalFormatting>
  <conditionalFormatting sqref="D14:AA23">
    <cfRule type="cellIs" dxfId="3" priority="4" operator="greaterThan">
      <formula>70</formula>
    </cfRule>
  </conditionalFormatting>
  <conditionalFormatting sqref="C39:AA49">
    <cfRule type="cellIs" dxfId="2" priority="3" operator="lessThan">
      <formula>0</formula>
    </cfRule>
  </conditionalFormatting>
  <conditionalFormatting sqref="D36:AA36">
    <cfRule type="cellIs" dxfId="1" priority="2" operator="greaterThan">
      <formula>0</formula>
    </cfRule>
  </conditionalFormatting>
  <conditionalFormatting sqref="C26:C35">
    <cfRule type="cellIs" dxfId="0" priority="1" operator="greater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  <ignoredErrors>
    <ignoredError sqref="D36:J36 L36:U3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/>
  <dimension ref="B2:F130"/>
  <sheetViews>
    <sheetView workbookViewId="0">
      <selection activeCell="F19" sqref="F19"/>
    </sheetView>
  </sheetViews>
  <sheetFormatPr defaultRowHeight="14.25" x14ac:dyDescent="0.45"/>
  <cols>
    <col min="11" max="11" width="13.06640625" bestFit="1" customWidth="1"/>
    <col min="12" max="12" width="10.9296875" bestFit="1" customWidth="1"/>
    <col min="21" max="21" width="13.06640625" bestFit="1" customWidth="1"/>
    <col min="22" max="22" width="10.9296875" bestFit="1" customWidth="1"/>
  </cols>
  <sheetData>
    <row r="2" spans="2:6" x14ac:dyDescent="0.45">
      <c r="B2" s="8" t="s">
        <v>80</v>
      </c>
      <c r="C2" s="8" t="s">
        <v>81</v>
      </c>
      <c r="D2" s="8" t="s">
        <v>2</v>
      </c>
      <c r="E2" s="8" t="s">
        <v>78</v>
      </c>
      <c r="F2" s="8" t="s">
        <v>79</v>
      </c>
    </row>
    <row r="3" spans="2:6" x14ac:dyDescent="0.45">
      <c r="B3" s="9" t="s">
        <v>48</v>
      </c>
      <c r="C3" s="10">
        <v>0</v>
      </c>
      <c r="D3" s="10">
        <v>0</v>
      </c>
      <c r="E3" s="10">
        <v>0</v>
      </c>
      <c r="F3" s="10">
        <v>0.96396396396396433</v>
      </c>
    </row>
    <row r="4" spans="2:6" x14ac:dyDescent="0.45">
      <c r="B4" s="9" t="s">
        <v>48</v>
      </c>
      <c r="C4" s="10">
        <v>0</v>
      </c>
      <c r="D4" s="10">
        <v>0</v>
      </c>
      <c r="E4" s="10">
        <v>1</v>
      </c>
      <c r="F4" s="10">
        <v>1.0705128205128209</v>
      </c>
    </row>
    <row r="5" spans="2:6" x14ac:dyDescent="0.45">
      <c r="B5" s="9" t="s">
        <v>48</v>
      </c>
      <c r="C5" s="10">
        <v>0</v>
      </c>
      <c r="D5" s="10">
        <v>0</v>
      </c>
      <c r="E5" s="10">
        <v>2</v>
      </c>
      <c r="F5" s="10">
        <v>1.194063926940639</v>
      </c>
    </row>
    <row r="6" spans="2:6" x14ac:dyDescent="0.45">
      <c r="B6" s="9" t="s">
        <v>48</v>
      </c>
      <c r="C6" s="10">
        <v>0</v>
      </c>
      <c r="D6" s="10">
        <v>0</v>
      </c>
      <c r="E6" s="10">
        <v>3</v>
      </c>
      <c r="F6" s="10">
        <v>1.2179487179487178</v>
      </c>
    </row>
    <row r="7" spans="2:6" x14ac:dyDescent="0.45">
      <c r="B7" s="9" t="s">
        <v>48</v>
      </c>
      <c r="C7" s="10">
        <v>0</v>
      </c>
      <c r="D7" s="10">
        <v>1</v>
      </c>
      <c r="E7" s="10">
        <v>0</v>
      </c>
      <c r="F7" s="10">
        <v>1.0267295597484276</v>
      </c>
    </row>
    <row r="8" spans="2:6" x14ac:dyDescent="0.45">
      <c r="B8" s="9" t="s">
        <v>48</v>
      </c>
      <c r="C8" s="10">
        <v>0</v>
      </c>
      <c r="D8" s="10">
        <v>1</v>
      </c>
      <c r="E8" s="10">
        <v>1</v>
      </c>
      <c r="F8" s="10">
        <v>0.97644927536231896</v>
      </c>
    </row>
    <row r="9" spans="2:6" x14ac:dyDescent="0.45">
      <c r="B9" s="9" t="s">
        <v>48</v>
      </c>
      <c r="C9" s="10">
        <v>0</v>
      </c>
      <c r="D9" s="10">
        <v>1</v>
      </c>
      <c r="E9" s="10">
        <v>2</v>
      </c>
      <c r="F9" s="10">
        <v>1.2135416666666665</v>
      </c>
    </row>
    <row r="10" spans="2:6" x14ac:dyDescent="0.45">
      <c r="B10" s="9" t="s">
        <v>48</v>
      </c>
      <c r="C10" s="10">
        <v>0</v>
      </c>
      <c r="D10" s="10">
        <v>1</v>
      </c>
      <c r="E10" s="10">
        <v>3</v>
      </c>
      <c r="F10" s="10">
        <v>1.150326797385621</v>
      </c>
    </row>
    <row r="11" spans="2:6" x14ac:dyDescent="0.45">
      <c r="B11" s="9" t="s">
        <v>48</v>
      </c>
      <c r="C11" s="10">
        <v>0</v>
      </c>
      <c r="D11" s="10">
        <v>2</v>
      </c>
      <c r="E11" s="10">
        <v>0</v>
      </c>
      <c r="F11" s="10">
        <v>0.96138211382113814</v>
      </c>
    </row>
    <row r="12" spans="2:6" x14ac:dyDescent="0.45">
      <c r="B12" s="9" t="s">
        <v>48</v>
      </c>
      <c r="C12" s="10">
        <v>0</v>
      </c>
      <c r="D12" s="10">
        <v>2</v>
      </c>
      <c r="E12" s="10">
        <v>1</v>
      </c>
      <c r="F12" s="10">
        <v>0.9924242424242421</v>
      </c>
    </row>
    <row r="13" spans="2:6" x14ac:dyDescent="0.45">
      <c r="B13" s="9" t="s">
        <v>48</v>
      </c>
      <c r="C13" s="10">
        <v>0</v>
      </c>
      <c r="D13" s="10">
        <v>2</v>
      </c>
      <c r="E13" s="10">
        <v>2</v>
      </c>
      <c r="F13" s="10">
        <v>1.0459183673469388</v>
      </c>
    </row>
    <row r="14" spans="2:6" x14ac:dyDescent="0.45">
      <c r="B14" s="9" t="s">
        <v>48</v>
      </c>
      <c r="C14" s="10">
        <v>0</v>
      </c>
      <c r="D14" s="10">
        <v>2</v>
      </c>
      <c r="E14" s="10">
        <v>3</v>
      </c>
      <c r="F14" s="10">
        <v>1.0945945945945945</v>
      </c>
    </row>
    <row r="15" spans="2:6" x14ac:dyDescent="0.45">
      <c r="B15" s="9" t="s">
        <v>48</v>
      </c>
      <c r="C15" s="10">
        <v>0</v>
      </c>
      <c r="D15" s="10">
        <v>3</v>
      </c>
      <c r="E15" s="10">
        <v>0</v>
      </c>
      <c r="F15" s="10">
        <v>1.0440251572327046</v>
      </c>
    </row>
    <row r="16" spans="2:6" x14ac:dyDescent="0.45">
      <c r="B16" s="9" t="s">
        <v>48</v>
      </c>
      <c r="C16" s="10">
        <v>0</v>
      </c>
      <c r="D16" s="10">
        <v>3</v>
      </c>
      <c r="E16" s="10">
        <v>1</v>
      </c>
      <c r="F16" s="10">
        <v>0.97644927536231874</v>
      </c>
    </row>
    <row r="17" spans="2:6" x14ac:dyDescent="0.45">
      <c r="B17" s="9" t="s">
        <v>48</v>
      </c>
      <c r="C17" s="10">
        <v>0</v>
      </c>
      <c r="D17" s="10">
        <v>3</v>
      </c>
      <c r="E17" s="10">
        <v>2</v>
      </c>
      <c r="F17" s="10">
        <v>1.0448717948717949</v>
      </c>
    </row>
    <row r="18" spans="2:6" x14ac:dyDescent="0.45">
      <c r="B18" s="9" t="s">
        <v>48</v>
      </c>
      <c r="C18" s="10">
        <v>0</v>
      </c>
      <c r="D18" s="10">
        <v>3</v>
      </c>
      <c r="E18" s="10">
        <v>3</v>
      </c>
      <c r="F18" s="10">
        <v>1.1029411764705885</v>
      </c>
    </row>
    <row r="19" spans="2:6" x14ac:dyDescent="0.45">
      <c r="B19" s="9" t="s">
        <v>48</v>
      </c>
      <c r="C19" s="10">
        <v>1</v>
      </c>
      <c r="D19" s="10">
        <v>0</v>
      </c>
      <c r="E19" s="10">
        <v>0</v>
      </c>
      <c r="F19" s="10">
        <v>1.0976190476190475</v>
      </c>
    </row>
    <row r="20" spans="2:6" x14ac:dyDescent="0.45">
      <c r="B20" s="9" t="s">
        <v>48</v>
      </c>
      <c r="C20" s="10">
        <v>1</v>
      </c>
      <c r="D20" s="10">
        <v>0</v>
      </c>
      <c r="E20" s="10">
        <v>1</v>
      </c>
      <c r="F20" s="10">
        <v>1.23125</v>
      </c>
    </row>
    <row r="21" spans="2:6" x14ac:dyDescent="0.45">
      <c r="B21" s="9" t="s">
        <v>48</v>
      </c>
      <c r="C21" s="10">
        <v>1</v>
      </c>
      <c r="D21" s="10">
        <v>0</v>
      </c>
      <c r="E21" s="10">
        <v>2</v>
      </c>
      <c r="F21" s="10">
        <v>1.2585470085470087</v>
      </c>
    </row>
    <row r="22" spans="2:6" x14ac:dyDescent="0.45">
      <c r="B22" s="9" t="s">
        <v>48</v>
      </c>
      <c r="C22" s="10">
        <v>1</v>
      </c>
      <c r="D22" s="10">
        <v>0</v>
      </c>
      <c r="E22" s="10">
        <v>3</v>
      </c>
      <c r="F22" s="10">
        <v>1.1696969696969695</v>
      </c>
    </row>
    <row r="23" spans="2:6" x14ac:dyDescent="0.45">
      <c r="B23" s="9" t="s">
        <v>48</v>
      </c>
      <c r="C23" s="10">
        <v>1</v>
      </c>
      <c r="D23" s="10">
        <v>1</v>
      </c>
      <c r="E23" s="10">
        <v>0</v>
      </c>
      <c r="F23" s="10">
        <v>0.9934640522875815</v>
      </c>
    </row>
    <row r="24" spans="2:6" x14ac:dyDescent="0.45">
      <c r="B24" s="9" t="s">
        <v>48</v>
      </c>
      <c r="C24" s="10">
        <v>1</v>
      </c>
      <c r="D24" s="10">
        <v>1</v>
      </c>
      <c r="E24" s="10">
        <v>1</v>
      </c>
      <c r="F24" s="10">
        <v>1.0260416666666667</v>
      </c>
    </row>
    <row r="25" spans="2:6" x14ac:dyDescent="0.45">
      <c r="B25" s="9" t="s">
        <v>48</v>
      </c>
      <c r="C25" s="10">
        <v>1</v>
      </c>
      <c r="D25" s="10">
        <v>1</v>
      </c>
      <c r="E25" s="10">
        <v>2</v>
      </c>
      <c r="F25" s="10">
        <v>1.0555555555555558</v>
      </c>
    </row>
    <row r="26" spans="2:6" x14ac:dyDescent="0.45">
      <c r="B26" s="9" t="s">
        <v>48</v>
      </c>
      <c r="C26" s="10">
        <v>1</v>
      </c>
      <c r="D26" s="10">
        <v>1</v>
      </c>
      <c r="E26" s="10">
        <v>3</v>
      </c>
      <c r="F26" s="10">
        <v>1.2558139534883719</v>
      </c>
    </row>
    <row r="27" spans="2:6" x14ac:dyDescent="0.45">
      <c r="B27" s="9" t="s">
        <v>48</v>
      </c>
      <c r="C27" s="10">
        <v>1</v>
      </c>
      <c r="D27" s="10">
        <v>2</v>
      </c>
      <c r="E27" s="10">
        <v>0</v>
      </c>
      <c r="F27" s="10">
        <v>0.96085858585858597</v>
      </c>
    </row>
    <row r="28" spans="2:6" x14ac:dyDescent="0.45">
      <c r="B28" s="9" t="s">
        <v>48</v>
      </c>
      <c r="C28" s="10">
        <v>1</v>
      </c>
      <c r="D28" s="10">
        <v>2</v>
      </c>
      <c r="E28" s="10">
        <v>1</v>
      </c>
      <c r="F28" s="10">
        <v>0.98449612403100728</v>
      </c>
    </row>
    <row r="29" spans="2:6" x14ac:dyDescent="0.45">
      <c r="B29" s="9" t="s">
        <v>48</v>
      </c>
      <c r="C29" s="10">
        <v>1</v>
      </c>
      <c r="D29" s="10">
        <v>2</v>
      </c>
      <c r="E29" s="10">
        <v>2</v>
      </c>
      <c r="F29" s="10">
        <v>1.0815602836879432</v>
      </c>
    </row>
    <row r="30" spans="2:6" x14ac:dyDescent="0.45">
      <c r="B30" s="9" t="s">
        <v>48</v>
      </c>
      <c r="C30" s="10">
        <v>1</v>
      </c>
      <c r="D30" s="10">
        <v>2</v>
      </c>
      <c r="E30" s="10">
        <v>3</v>
      </c>
      <c r="F30" s="10">
        <v>1.1851851851851851</v>
      </c>
    </row>
    <row r="31" spans="2:6" x14ac:dyDescent="0.45">
      <c r="B31" s="9" t="s">
        <v>48</v>
      </c>
      <c r="C31" s="10">
        <v>1</v>
      </c>
      <c r="D31" s="10">
        <v>3</v>
      </c>
      <c r="E31" s="10">
        <v>0</v>
      </c>
      <c r="F31" s="10">
        <v>1.005050505050505</v>
      </c>
    </row>
    <row r="32" spans="2:6" x14ac:dyDescent="0.45">
      <c r="B32" s="9" t="s">
        <v>48</v>
      </c>
      <c r="C32" s="10">
        <v>1</v>
      </c>
      <c r="D32" s="10">
        <v>3</v>
      </c>
      <c r="E32" s="10">
        <v>1</v>
      </c>
      <c r="F32" s="10">
        <v>0.99431818181818177</v>
      </c>
    </row>
    <row r="33" spans="2:6" x14ac:dyDescent="0.45">
      <c r="B33" s="9" t="s">
        <v>48</v>
      </c>
      <c r="C33" s="10">
        <v>1</v>
      </c>
      <c r="D33" s="10">
        <v>3</v>
      </c>
      <c r="E33" s="10">
        <v>2</v>
      </c>
      <c r="F33" s="10">
        <v>0.99494949494949503</v>
      </c>
    </row>
    <row r="34" spans="2:6" x14ac:dyDescent="0.45">
      <c r="B34" s="9" t="s">
        <v>48</v>
      </c>
      <c r="C34" s="10">
        <v>1</v>
      </c>
      <c r="D34" s="10">
        <v>3</v>
      </c>
      <c r="E34" s="10">
        <v>3</v>
      </c>
      <c r="F34" s="10">
        <v>0.99404761904761896</v>
      </c>
    </row>
    <row r="35" spans="2:6" x14ac:dyDescent="0.45">
      <c r="B35" s="9" t="s">
        <v>47</v>
      </c>
      <c r="C35" s="10">
        <v>0</v>
      </c>
      <c r="D35" s="10">
        <v>0</v>
      </c>
      <c r="E35" s="10">
        <v>0</v>
      </c>
      <c r="F35" s="10">
        <v>1.0072463768115945</v>
      </c>
    </row>
    <row r="36" spans="2:6" x14ac:dyDescent="0.45">
      <c r="B36" s="9" t="s">
        <v>47</v>
      </c>
      <c r="C36" s="10">
        <v>0</v>
      </c>
      <c r="D36" s="10">
        <v>0</v>
      </c>
      <c r="E36" s="10">
        <v>1</v>
      </c>
      <c r="F36" s="10">
        <v>1.0915300546448088</v>
      </c>
    </row>
    <row r="37" spans="2:6" x14ac:dyDescent="0.45">
      <c r="B37" s="9" t="s">
        <v>47</v>
      </c>
      <c r="C37" s="10">
        <v>0</v>
      </c>
      <c r="D37" s="10">
        <v>0</v>
      </c>
      <c r="E37" s="10">
        <v>2</v>
      </c>
      <c r="F37" s="10">
        <v>1.0890151515151514</v>
      </c>
    </row>
    <row r="38" spans="2:6" x14ac:dyDescent="0.45">
      <c r="B38" s="9" t="s">
        <v>47</v>
      </c>
      <c r="C38" s="10">
        <v>0</v>
      </c>
      <c r="D38" s="10">
        <v>0</v>
      </c>
      <c r="E38" s="10">
        <v>3</v>
      </c>
      <c r="F38" s="10">
        <v>1.0670289855072468</v>
      </c>
    </row>
    <row r="39" spans="2:6" x14ac:dyDescent="0.45">
      <c r="B39" s="9" t="s">
        <v>47</v>
      </c>
      <c r="C39" s="10">
        <v>0</v>
      </c>
      <c r="D39" s="10">
        <v>1</v>
      </c>
      <c r="E39" s="10">
        <v>0</v>
      </c>
      <c r="F39" s="10">
        <v>0.96759259259259234</v>
      </c>
    </row>
    <row r="40" spans="2:6" x14ac:dyDescent="0.45">
      <c r="B40" s="9" t="s">
        <v>47</v>
      </c>
      <c r="C40" s="10">
        <v>0</v>
      </c>
      <c r="D40" s="10">
        <v>1</v>
      </c>
      <c r="E40" s="10">
        <v>1</v>
      </c>
      <c r="F40" s="10">
        <v>1.0250000000000006</v>
      </c>
    </row>
    <row r="41" spans="2:6" x14ac:dyDescent="0.45">
      <c r="B41" s="9" t="s">
        <v>47</v>
      </c>
      <c r="C41" s="10">
        <v>0</v>
      </c>
      <c r="D41" s="10">
        <v>1</v>
      </c>
      <c r="E41" s="10">
        <v>2</v>
      </c>
      <c r="F41" s="10">
        <v>1.1094771241830064</v>
      </c>
    </row>
    <row r="42" spans="2:6" x14ac:dyDescent="0.45">
      <c r="B42" s="9" t="s">
        <v>47</v>
      </c>
      <c r="C42" s="10">
        <v>0</v>
      </c>
      <c r="D42" s="10">
        <v>1</v>
      </c>
      <c r="E42" s="10">
        <v>3</v>
      </c>
      <c r="F42" s="10">
        <v>1.0663841807909606</v>
      </c>
    </row>
    <row r="43" spans="2:6" x14ac:dyDescent="0.45">
      <c r="B43" s="9" t="s">
        <v>47</v>
      </c>
      <c r="C43" s="10">
        <v>0</v>
      </c>
      <c r="D43" s="10">
        <v>2</v>
      </c>
      <c r="E43" s="10">
        <v>0</v>
      </c>
      <c r="F43" s="10">
        <v>0.95673076923076927</v>
      </c>
    </row>
    <row r="44" spans="2:6" x14ac:dyDescent="0.45">
      <c r="B44" s="9" t="s">
        <v>47</v>
      </c>
      <c r="C44" s="10">
        <v>0</v>
      </c>
      <c r="D44" s="10">
        <v>2</v>
      </c>
      <c r="E44" s="10">
        <v>1</v>
      </c>
      <c r="F44" s="10">
        <v>0.98059360730593581</v>
      </c>
    </row>
    <row r="45" spans="2:6" x14ac:dyDescent="0.45">
      <c r="B45" s="9" t="s">
        <v>47</v>
      </c>
      <c r="C45" s="10">
        <v>0</v>
      </c>
      <c r="D45" s="10">
        <v>2</v>
      </c>
      <c r="E45" s="10">
        <v>2</v>
      </c>
      <c r="F45" s="10">
        <v>1.0252976190476191</v>
      </c>
    </row>
    <row r="46" spans="2:6" x14ac:dyDescent="0.45">
      <c r="B46" s="9" t="s">
        <v>47</v>
      </c>
      <c r="C46" s="10">
        <v>0</v>
      </c>
      <c r="D46" s="10">
        <v>2</v>
      </c>
      <c r="E46" s="10">
        <v>3</v>
      </c>
      <c r="F46" s="10">
        <v>0.97764227642276424</v>
      </c>
    </row>
    <row r="47" spans="2:6" x14ac:dyDescent="0.45">
      <c r="B47" s="9" t="s">
        <v>47</v>
      </c>
      <c r="C47" s="10">
        <v>0</v>
      </c>
      <c r="D47" s="10">
        <v>3</v>
      </c>
      <c r="E47" s="10">
        <v>0</v>
      </c>
      <c r="F47" s="10">
        <v>0.9783105022831049</v>
      </c>
    </row>
    <row r="48" spans="2:6" x14ac:dyDescent="0.45">
      <c r="B48" s="9" t="s">
        <v>47</v>
      </c>
      <c r="C48" s="10">
        <v>0</v>
      </c>
      <c r="D48" s="10">
        <v>3</v>
      </c>
      <c r="E48" s="10">
        <v>1</v>
      </c>
      <c r="F48" s="10">
        <v>0.97619047619047594</v>
      </c>
    </row>
    <row r="49" spans="2:6" x14ac:dyDescent="0.45">
      <c r="B49" s="9" t="s">
        <v>47</v>
      </c>
      <c r="C49" s="10">
        <v>0</v>
      </c>
      <c r="D49" s="10">
        <v>3</v>
      </c>
      <c r="E49" s="10">
        <v>2</v>
      </c>
      <c r="F49" s="10">
        <v>0.9909420289855071</v>
      </c>
    </row>
    <row r="50" spans="2:6" x14ac:dyDescent="0.45">
      <c r="B50" s="9" t="s">
        <v>47</v>
      </c>
      <c r="C50" s="10">
        <v>0</v>
      </c>
      <c r="D50" s="10">
        <v>3</v>
      </c>
      <c r="E50" s="10">
        <v>3</v>
      </c>
      <c r="F50" s="10">
        <v>1.0227272727272727</v>
      </c>
    </row>
    <row r="51" spans="2:6" x14ac:dyDescent="0.45">
      <c r="B51" s="9" t="s">
        <v>47</v>
      </c>
      <c r="C51" s="10">
        <v>1</v>
      </c>
      <c r="D51" s="10">
        <v>0</v>
      </c>
      <c r="E51" s="10">
        <v>0</v>
      </c>
      <c r="F51" s="10">
        <v>1.0604166666666666</v>
      </c>
    </row>
    <row r="52" spans="2:6" x14ac:dyDescent="0.45">
      <c r="B52" s="9" t="s">
        <v>47</v>
      </c>
      <c r="C52" s="10">
        <v>1</v>
      </c>
      <c r="D52" s="10">
        <v>0</v>
      </c>
      <c r="E52" s="10">
        <v>1</v>
      </c>
      <c r="F52" s="10">
        <v>1.0714285714285714</v>
      </c>
    </row>
    <row r="53" spans="2:6" x14ac:dyDescent="0.45">
      <c r="B53" s="9" t="s">
        <v>47</v>
      </c>
      <c r="C53" s="10">
        <v>1</v>
      </c>
      <c r="D53" s="10">
        <v>0</v>
      </c>
      <c r="E53" s="10">
        <v>2</v>
      </c>
      <c r="F53" s="10">
        <v>1.1325757575757578</v>
      </c>
    </row>
    <row r="54" spans="2:6" x14ac:dyDescent="0.45">
      <c r="B54" s="9" t="s">
        <v>47</v>
      </c>
      <c r="C54" s="10">
        <v>1</v>
      </c>
      <c r="D54" s="10">
        <v>0</v>
      </c>
      <c r="E54" s="10">
        <v>3</v>
      </c>
      <c r="F54" s="10">
        <v>1.0980392156862748</v>
      </c>
    </row>
    <row r="55" spans="2:6" x14ac:dyDescent="0.45">
      <c r="B55" s="9" t="s">
        <v>47</v>
      </c>
      <c r="C55" s="10">
        <v>1</v>
      </c>
      <c r="D55" s="10">
        <v>1</v>
      </c>
      <c r="E55" s="10">
        <v>0</v>
      </c>
      <c r="F55" s="10">
        <v>0.97883597883597884</v>
      </c>
    </row>
    <row r="56" spans="2:6" x14ac:dyDescent="0.45">
      <c r="B56" s="9" t="s">
        <v>47</v>
      </c>
      <c r="C56" s="10">
        <v>1</v>
      </c>
      <c r="D56" s="10">
        <v>1</v>
      </c>
      <c r="E56" s="10">
        <v>1</v>
      </c>
      <c r="F56" s="10">
        <v>1.0704022988505744</v>
      </c>
    </row>
    <row r="57" spans="2:6" x14ac:dyDescent="0.45">
      <c r="B57" s="9" t="s">
        <v>47</v>
      </c>
      <c r="C57" s="10">
        <v>1</v>
      </c>
      <c r="D57" s="10">
        <v>1</v>
      </c>
      <c r="E57" s="10">
        <v>2</v>
      </c>
      <c r="F57" s="10">
        <v>1.0661375661375661</v>
      </c>
    </row>
    <row r="58" spans="2:6" x14ac:dyDescent="0.45">
      <c r="B58" s="9" t="s">
        <v>47</v>
      </c>
      <c r="C58" s="10">
        <v>1</v>
      </c>
      <c r="D58" s="10">
        <v>1</v>
      </c>
      <c r="E58" s="10">
        <v>3</v>
      </c>
      <c r="F58" s="10">
        <v>1.1435185185185186</v>
      </c>
    </row>
    <row r="59" spans="2:6" x14ac:dyDescent="0.45">
      <c r="B59" s="9" t="s">
        <v>47</v>
      </c>
      <c r="C59" s="10">
        <v>1</v>
      </c>
      <c r="D59" s="10">
        <v>2</v>
      </c>
      <c r="E59" s="10">
        <v>0</v>
      </c>
      <c r="F59" s="10">
        <v>0.95189003436426112</v>
      </c>
    </row>
    <row r="60" spans="2:6" x14ac:dyDescent="0.45">
      <c r="B60" s="9" t="s">
        <v>47</v>
      </c>
      <c r="C60" s="10">
        <v>1</v>
      </c>
      <c r="D60" s="10">
        <v>2</v>
      </c>
      <c r="E60" s="10">
        <v>1</v>
      </c>
      <c r="F60" s="10">
        <v>0.99659863945578209</v>
      </c>
    </row>
    <row r="61" spans="2:6" x14ac:dyDescent="0.45">
      <c r="B61" s="9" t="s">
        <v>47</v>
      </c>
      <c r="C61" s="10">
        <v>1</v>
      </c>
      <c r="D61" s="10">
        <v>2</v>
      </c>
      <c r="E61" s="10">
        <v>2</v>
      </c>
      <c r="F61" s="10">
        <v>1.0292397660818715</v>
      </c>
    </row>
    <row r="62" spans="2:6" x14ac:dyDescent="0.45">
      <c r="B62" s="9" t="s">
        <v>47</v>
      </c>
      <c r="C62" s="10">
        <v>1</v>
      </c>
      <c r="D62" s="10">
        <v>2</v>
      </c>
      <c r="E62" s="10">
        <v>3</v>
      </c>
      <c r="F62" s="10">
        <v>1.0503875968992247</v>
      </c>
    </row>
    <row r="63" spans="2:6" x14ac:dyDescent="0.45">
      <c r="B63" s="9" t="s">
        <v>47</v>
      </c>
      <c r="C63" s="10">
        <v>1</v>
      </c>
      <c r="D63" s="10">
        <v>3</v>
      </c>
      <c r="E63" s="10">
        <v>0</v>
      </c>
      <c r="F63" s="10">
        <v>0.97499999999999987</v>
      </c>
    </row>
    <row r="64" spans="2:6" x14ac:dyDescent="0.45">
      <c r="B64" s="9" t="s">
        <v>47</v>
      </c>
      <c r="C64" s="10">
        <v>1</v>
      </c>
      <c r="D64" s="10">
        <v>3</v>
      </c>
      <c r="E64" s="10">
        <v>1</v>
      </c>
      <c r="F64" s="10">
        <v>1.0097222222222222</v>
      </c>
    </row>
    <row r="65" spans="2:6" x14ac:dyDescent="0.45">
      <c r="B65" s="9" t="s">
        <v>47</v>
      </c>
      <c r="C65" s="10">
        <v>1</v>
      </c>
      <c r="D65" s="10">
        <v>3</v>
      </c>
      <c r="E65" s="10">
        <v>2</v>
      </c>
      <c r="F65" s="10">
        <v>0.96913580246913555</v>
      </c>
    </row>
    <row r="66" spans="2:6" x14ac:dyDescent="0.45">
      <c r="B66" s="9" t="s">
        <v>47</v>
      </c>
      <c r="C66" s="10">
        <v>1</v>
      </c>
      <c r="D66" s="10">
        <v>3</v>
      </c>
      <c r="E66" s="10">
        <v>3</v>
      </c>
      <c r="F66" s="10">
        <v>0.95679012345678993</v>
      </c>
    </row>
    <row r="67" spans="2:6" x14ac:dyDescent="0.45">
      <c r="B67" s="9" t="s">
        <v>46</v>
      </c>
      <c r="C67" s="10">
        <v>0</v>
      </c>
      <c r="D67" s="10">
        <v>0</v>
      </c>
      <c r="E67" s="10">
        <v>0</v>
      </c>
      <c r="F67" s="10">
        <v>0.9591836734693876</v>
      </c>
    </row>
    <row r="68" spans="2:6" x14ac:dyDescent="0.45">
      <c r="B68" s="9" t="s">
        <v>46</v>
      </c>
      <c r="C68" s="10">
        <v>0</v>
      </c>
      <c r="D68" s="10">
        <v>0</v>
      </c>
      <c r="E68" s="10">
        <v>1</v>
      </c>
      <c r="F68" s="10">
        <v>1.0405982905982909</v>
      </c>
    </row>
    <row r="69" spans="2:6" x14ac:dyDescent="0.45">
      <c r="B69" s="9" t="s">
        <v>46</v>
      </c>
      <c r="C69" s="10">
        <v>0</v>
      </c>
      <c r="D69" s="10">
        <v>0</v>
      </c>
      <c r="E69" s="10">
        <v>2</v>
      </c>
      <c r="F69" s="10">
        <v>1.0491666666666666</v>
      </c>
    </row>
    <row r="70" spans="2:6" x14ac:dyDescent="0.45">
      <c r="B70" s="9" t="s">
        <v>46</v>
      </c>
      <c r="C70" s="10">
        <v>0</v>
      </c>
      <c r="D70" s="10">
        <v>0</v>
      </c>
      <c r="E70" s="10">
        <v>3</v>
      </c>
      <c r="F70" s="10">
        <v>1.007861635220126</v>
      </c>
    </row>
    <row r="71" spans="2:6" x14ac:dyDescent="0.45">
      <c r="B71" s="9" t="s">
        <v>46</v>
      </c>
      <c r="C71" s="10">
        <v>0</v>
      </c>
      <c r="D71" s="10">
        <v>1</v>
      </c>
      <c r="E71" s="10">
        <v>0</v>
      </c>
      <c r="F71" s="10">
        <v>0.92910447761194015</v>
      </c>
    </row>
    <row r="72" spans="2:6" x14ac:dyDescent="0.45">
      <c r="B72" s="9" t="s">
        <v>46</v>
      </c>
      <c r="C72" s="10">
        <v>0</v>
      </c>
      <c r="D72" s="10">
        <v>1</v>
      </c>
      <c r="E72" s="10">
        <v>1</v>
      </c>
      <c r="F72" s="10">
        <v>0.97101449275362295</v>
      </c>
    </row>
    <row r="73" spans="2:6" x14ac:dyDescent="0.45">
      <c r="B73" s="9" t="s">
        <v>46</v>
      </c>
      <c r="C73" s="10">
        <v>0</v>
      </c>
      <c r="D73" s="10">
        <v>1</v>
      </c>
      <c r="E73" s="10">
        <v>2</v>
      </c>
      <c r="F73" s="10">
        <v>1.0375816993464055</v>
      </c>
    </row>
    <row r="74" spans="2:6" x14ac:dyDescent="0.45">
      <c r="B74" s="9" t="s">
        <v>46</v>
      </c>
      <c r="C74" s="10">
        <v>0</v>
      </c>
      <c r="D74" s="10">
        <v>1</v>
      </c>
      <c r="E74" s="10">
        <v>3</v>
      </c>
      <c r="F74" s="10">
        <v>1.0582010582010581</v>
      </c>
    </row>
    <row r="75" spans="2:6" x14ac:dyDescent="0.45">
      <c r="B75" s="9" t="s">
        <v>46</v>
      </c>
      <c r="C75" s="10">
        <v>0</v>
      </c>
      <c r="D75" s="10">
        <v>2</v>
      </c>
      <c r="E75" s="10">
        <v>0</v>
      </c>
      <c r="F75" s="10">
        <v>0.92543859649122784</v>
      </c>
    </row>
    <row r="76" spans="2:6" x14ac:dyDescent="0.45">
      <c r="B76" s="9" t="s">
        <v>46</v>
      </c>
      <c r="C76" s="10">
        <v>0</v>
      </c>
      <c r="D76" s="10">
        <v>2</v>
      </c>
      <c r="E76" s="10">
        <v>1</v>
      </c>
      <c r="F76" s="10">
        <v>0.9704641350210973</v>
      </c>
    </row>
    <row r="77" spans="2:6" x14ac:dyDescent="0.45">
      <c r="B77" s="9" t="s">
        <v>46</v>
      </c>
      <c r="C77" s="10">
        <v>0</v>
      </c>
      <c r="D77" s="10">
        <v>2</v>
      </c>
      <c r="E77" s="10">
        <v>2</v>
      </c>
      <c r="F77" s="10">
        <v>0.99047619047619062</v>
      </c>
    </row>
    <row r="78" spans="2:6" x14ac:dyDescent="0.45">
      <c r="B78" s="9" t="s">
        <v>46</v>
      </c>
      <c r="C78" s="10">
        <v>0</v>
      </c>
      <c r="D78" s="10">
        <v>2</v>
      </c>
      <c r="E78" s="10">
        <v>3</v>
      </c>
      <c r="F78" s="10">
        <v>0.98302469135802495</v>
      </c>
    </row>
    <row r="79" spans="2:6" x14ac:dyDescent="0.45">
      <c r="B79" s="9" t="s">
        <v>46</v>
      </c>
      <c r="C79" s="10">
        <v>0</v>
      </c>
      <c r="D79" s="10">
        <v>3</v>
      </c>
      <c r="E79" s="10">
        <v>0</v>
      </c>
      <c r="F79" s="10">
        <v>0.98137254901960758</v>
      </c>
    </row>
    <row r="80" spans="2:6" x14ac:dyDescent="0.45">
      <c r="B80" s="9" t="s">
        <v>46</v>
      </c>
      <c r="C80" s="10">
        <v>0</v>
      </c>
      <c r="D80" s="10">
        <v>3</v>
      </c>
      <c r="E80" s="10">
        <v>1</v>
      </c>
      <c r="F80" s="10">
        <v>0.90303030303030307</v>
      </c>
    </row>
    <row r="81" spans="2:6" x14ac:dyDescent="0.45">
      <c r="B81" s="9" t="s">
        <v>46</v>
      </c>
      <c r="C81" s="10">
        <v>0</v>
      </c>
      <c r="D81" s="10">
        <v>3</v>
      </c>
      <c r="E81" s="10">
        <v>2</v>
      </c>
      <c r="F81" s="10">
        <v>1.0000000000000002</v>
      </c>
    </row>
    <row r="82" spans="2:6" x14ac:dyDescent="0.45">
      <c r="B82" s="9" t="s">
        <v>46</v>
      </c>
      <c r="C82" s="10">
        <v>0</v>
      </c>
      <c r="D82" s="10">
        <v>3</v>
      </c>
      <c r="E82" s="10">
        <v>3</v>
      </c>
      <c r="F82" s="10">
        <v>0.93333333333333357</v>
      </c>
    </row>
    <row r="83" spans="2:6" x14ac:dyDescent="0.45">
      <c r="B83" s="9" t="s">
        <v>46</v>
      </c>
      <c r="C83" s="10">
        <v>1</v>
      </c>
      <c r="D83" s="10">
        <v>0</v>
      </c>
      <c r="E83" s="10">
        <v>0</v>
      </c>
      <c r="F83" s="10">
        <v>1.0487421383647795</v>
      </c>
    </row>
    <row r="84" spans="2:6" x14ac:dyDescent="0.45">
      <c r="B84" s="9" t="s">
        <v>46</v>
      </c>
      <c r="C84" s="10">
        <v>1</v>
      </c>
      <c r="D84" s="10">
        <v>0</v>
      </c>
      <c r="E84" s="10">
        <v>1</v>
      </c>
      <c r="F84" s="10">
        <v>1.0964285714285715</v>
      </c>
    </row>
    <row r="85" spans="2:6" x14ac:dyDescent="0.45">
      <c r="B85" s="9" t="s">
        <v>46</v>
      </c>
      <c r="C85" s="10">
        <v>1</v>
      </c>
      <c r="D85" s="10">
        <v>0</v>
      </c>
      <c r="E85" s="10">
        <v>2</v>
      </c>
      <c r="F85" s="10">
        <v>1.0743589743589745</v>
      </c>
    </row>
    <row r="86" spans="2:6" x14ac:dyDescent="0.45">
      <c r="B86" s="9" t="s">
        <v>46</v>
      </c>
      <c r="C86" s="10">
        <v>1</v>
      </c>
      <c r="D86" s="10">
        <v>0</v>
      </c>
      <c r="E86" s="10">
        <v>3</v>
      </c>
      <c r="F86" s="10">
        <v>1.0455426356589146</v>
      </c>
    </row>
    <row r="87" spans="2:6" x14ac:dyDescent="0.45">
      <c r="B87" s="9" t="s">
        <v>46</v>
      </c>
      <c r="C87" s="10">
        <v>1</v>
      </c>
      <c r="D87" s="10">
        <v>1</v>
      </c>
      <c r="E87" s="10">
        <v>0</v>
      </c>
      <c r="F87" s="10">
        <v>0.95648148148148171</v>
      </c>
    </row>
    <row r="88" spans="2:6" x14ac:dyDescent="0.45">
      <c r="B88" s="9" t="s">
        <v>46</v>
      </c>
      <c r="C88" s="10">
        <v>1</v>
      </c>
      <c r="D88" s="10">
        <v>1</v>
      </c>
      <c r="E88" s="10">
        <v>1</v>
      </c>
      <c r="F88" s="10">
        <v>1.0161691542288556</v>
      </c>
    </row>
    <row r="89" spans="2:6" x14ac:dyDescent="0.45">
      <c r="B89" s="9" t="s">
        <v>46</v>
      </c>
      <c r="C89" s="10">
        <v>1</v>
      </c>
      <c r="D89" s="10">
        <v>1</v>
      </c>
      <c r="E89" s="10">
        <v>2</v>
      </c>
      <c r="F89" s="10">
        <v>1.042237442922374</v>
      </c>
    </row>
    <row r="90" spans="2:6" x14ac:dyDescent="0.45">
      <c r="B90" s="9" t="s">
        <v>46</v>
      </c>
      <c r="C90" s="10">
        <v>1</v>
      </c>
      <c r="D90" s="10">
        <v>1</v>
      </c>
      <c r="E90" s="10">
        <v>3</v>
      </c>
      <c r="F90" s="10">
        <v>1.0595238095238098</v>
      </c>
    </row>
    <row r="91" spans="2:6" x14ac:dyDescent="0.45">
      <c r="B91" s="9" t="s">
        <v>46</v>
      </c>
      <c r="C91" s="10">
        <v>1</v>
      </c>
      <c r="D91" s="10">
        <v>2</v>
      </c>
      <c r="E91" s="10">
        <v>0</v>
      </c>
      <c r="F91" s="10">
        <v>0.95915032679738577</v>
      </c>
    </row>
    <row r="92" spans="2:6" x14ac:dyDescent="0.45">
      <c r="B92" s="9" t="s">
        <v>46</v>
      </c>
      <c r="C92" s="10">
        <v>1</v>
      </c>
      <c r="D92" s="10">
        <v>2</v>
      </c>
      <c r="E92" s="10">
        <v>1</v>
      </c>
      <c r="F92" s="10">
        <v>0.91304347826086973</v>
      </c>
    </row>
    <row r="93" spans="2:6" x14ac:dyDescent="0.45">
      <c r="B93" s="9" t="s">
        <v>46</v>
      </c>
      <c r="C93" s="10">
        <v>1</v>
      </c>
      <c r="D93" s="10">
        <v>2</v>
      </c>
      <c r="E93" s="10">
        <v>2</v>
      </c>
      <c r="F93" s="10">
        <v>1.001207729468599</v>
      </c>
    </row>
    <row r="94" spans="2:6" x14ac:dyDescent="0.45">
      <c r="B94" s="9" t="s">
        <v>46</v>
      </c>
      <c r="C94" s="10">
        <v>1</v>
      </c>
      <c r="D94" s="10">
        <v>2</v>
      </c>
      <c r="E94" s="10">
        <v>3</v>
      </c>
      <c r="F94" s="10">
        <v>1.0208333333333333</v>
      </c>
    </row>
    <row r="95" spans="2:6" x14ac:dyDescent="0.45">
      <c r="B95" s="9" t="s">
        <v>46</v>
      </c>
      <c r="C95" s="10">
        <v>1</v>
      </c>
      <c r="D95" s="10">
        <v>3</v>
      </c>
      <c r="E95" s="10">
        <v>0</v>
      </c>
      <c r="F95" s="10">
        <v>0.94999999999999973</v>
      </c>
    </row>
    <row r="96" spans="2:6" x14ac:dyDescent="0.45">
      <c r="B96" s="9" t="s">
        <v>46</v>
      </c>
      <c r="C96" s="10">
        <v>1</v>
      </c>
      <c r="D96" s="10">
        <v>3</v>
      </c>
      <c r="E96" s="10">
        <v>1</v>
      </c>
      <c r="F96" s="10">
        <v>0.95098039215686281</v>
      </c>
    </row>
    <row r="97" spans="2:6" x14ac:dyDescent="0.45">
      <c r="B97" s="9" t="s">
        <v>46</v>
      </c>
      <c r="C97" s="10">
        <v>1</v>
      </c>
      <c r="D97" s="10">
        <v>3</v>
      </c>
      <c r="E97" s="10">
        <v>2</v>
      </c>
      <c r="F97" s="10">
        <v>0.98202614379084963</v>
      </c>
    </row>
    <row r="98" spans="2:6" x14ac:dyDescent="0.45">
      <c r="B98" s="9" t="s">
        <v>46</v>
      </c>
      <c r="C98" s="10">
        <v>1</v>
      </c>
      <c r="D98" s="10">
        <v>3</v>
      </c>
      <c r="E98" s="10">
        <v>3</v>
      </c>
      <c r="F98" s="10">
        <v>1</v>
      </c>
    </row>
    <row r="99" spans="2:6" x14ac:dyDescent="0.45">
      <c r="B99" s="9" t="s">
        <v>45</v>
      </c>
      <c r="C99" s="10">
        <v>0</v>
      </c>
      <c r="D99" s="10">
        <v>0</v>
      </c>
      <c r="E99" s="10">
        <v>0</v>
      </c>
      <c r="F99" s="10">
        <v>0.96666666666666679</v>
      </c>
    </row>
    <row r="100" spans="2:6" x14ac:dyDescent="0.45">
      <c r="B100" s="9" t="s">
        <v>45</v>
      </c>
      <c r="C100" s="10">
        <v>0</v>
      </c>
      <c r="D100" s="10">
        <v>0</v>
      </c>
      <c r="E100" s="10">
        <v>1</v>
      </c>
      <c r="F100" s="10">
        <v>0.95833333333333326</v>
      </c>
    </row>
    <row r="101" spans="2:6" x14ac:dyDescent="0.45">
      <c r="B101" s="9" t="s">
        <v>45</v>
      </c>
      <c r="C101" s="10">
        <v>0</v>
      </c>
      <c r="D101" s="10">
        <v>0</v>
      </c>
      <c r="E101" s="10">
        <v>2</v>
      </c>
      <c r="F101" s="10">
        <v>1.0125</v>
      </c>
    </row>
    <row r="102" spans="2:6" x14ac:dyDescent="0.45">
      <c r="B102" s="9" t="s">
        <v>45</v>
      </c>
      <c r="C102" s="10">
        <v>0</v>
      </c>
      <c r="D102" s="10">
        <v>0</v>
      </c>
      <c r="E102" s="10">
        <v>3</v>
      </c>
      <c r="F102" s="10">
        <v>0.93333333333333335</v>
      </c>
    </row>
    <row r="103" spans="2:6" x14ac:dyDescent="0.45">
      <c r="B103" s="9" t="s">
        <v>45</v>
      </c>
      <c r="C103" s="10">
        <v>0</v>
      </c>
      <c r="D103" s="10">
        <v>1</v>
      </c>
      <c r="E103" s="10">
        <v>0</v>
      </c>
      <c r="F103" s="10">
        <v>0.73076923076923073</v>
      </c>
    </row>
    <row r="104" spans="2:6" x14ac:dyDescent="0.45">
      <c r="B104" s="9" t="s">
        <v>45</v>
      </c>
      <c r="C104" s="10">
        <v>0</v>
      </c>
      <c r="D104" s="10">
        <v>1</v>
      </c>
      <c r="E104" s="10">
        <v>1</v>
      </c>
      <c r="F104" s="10">
        <v>0.89102564102564075</v>
      </c>
    </row>
    <row r="105" spans="2:6" x14ac:dyDescent="0.45">
      <c r="B105" s="9" t="s">
        <v>45</v>
      </c>
      <c r="C105" s="10">
        <v>0</v>
      </c>
      <c r="D105" s="10">
        <v>1</v>
      </c>
      <c r="E105" s="10">
        <v>2</v>
      </c>
      <c r="F105" s="10">
        <v>0.93333333333333324</v>
      </c>
    </row>
    <row r="106" spans="2:6" x14ac:dyDescent="0.45">
      <c r="B106" s="9" t="s">
        <v>45</v>
      </c>
      <c r="C106" s="10">
        <v>0</v>
      </c>
      <c r="D106" s="10">
        <v>1</v>
      </c>
      <c r="E106" s="10">
        <v>3</v>
      </c>
      <c r="F106" s="10">
        <v>0.89444444444444426</v>
      </c>
    </row>
    <row r="107" spans="2:6" x14ac:dyDescent="0.45">
      <c r="B107" s="9" t="s">
        <v>45</v>
      </c>
      <c r="C107" s="10">
        <v>0</v>
      </c>
      <c r="D107" s="10">
        <v>2</v>
      </c>
      <c r="E107" s="10">
        <v>0</v>
      </c>
      <c r="F107" s="10">
        <v>0.64583333333333337</v>
      </c>
    </row>
    <row r="108" spans="2:6" x14ac:dyDescent="0.45">
      <c r="B108" s="9" t="s">
        <v>45</v>
      </c>
      <c r="C108" s="10">
        <v>0</v>
      </c>
      <c r="D108" s="10">
        <v>2</v>
      </c>
      <c r="E108" s="10">
        <v>1</v>
      </c>
      <c r="F108" s="10">
        <v>0.89444444444444449</v>
      </c>
    </row>
    <row r="109" spans="2:6" x14ac:dyDescent="0.45">
      <c r="B109" s="9" t="s">
        <v>45</v>
      </c>
      <c r="C109" s="10">
        <v>0</v>
      </c>
      <c r="D109" s="10">
        <v>2</v>
      </c>
      <c r="E109" s="10">
        <v>2</v>
      </c>
      <c r="F109" s="10">
        <v>0.83333333333333326</v>
      </c>
    </row>
    <row r="110" spans="2:6" x14ac:dyDescent="0.45">
      <c r="B110" s="9" t="s">
        <v>45</v>
      </c>
      <c r="C110" s="10">
        <v>0</v>
      </c>
      <c r="D110" s="10">
        <v>2</v>
      </c>
      <c r="E110" s="10">
        <v>3</v>
      </c>
      <c r="F110" s="10">
        <v>1.0333333333333334</v>
      </c>
    </row>
    <row r="111" spans="2:6" x14ac:dyDescent="0.45">
      <c r="B111" s="9" t="s">
        <v>45</v>
      </c>
      <c r="C111" s="10">
        <v>0</v>
      </c>
      <c r="D111" s="10">
        <v>3</v>
      </c>
      <c r="E111" s="10">
        <v>0</v>
      </c>
      <c r="F111" s="10">
        <v>0.7685185185185186</v>
      </c>
    </row>
    <row r="112" spans="2:6" x14ac:dyDescent="0.45">
      <c r="B112" s="9" t="s">
        <v>45</v>
      </c>
      <c r="C112" s="10">
        <v>0</v>
      </c>
      <c r="D112" s="10">
        <v>3</v>
      </c>
      <c r="E112" s="10">
        <v>1</v>
      </c>
      <c r="F112" s="10">
        <v>0.58333333333333337</v>
      </c>
    </row>
    <row r="113" spans="2:6" x14ac:dyDescent="0.45">
      <c r="B113" s="9" t="s">
        <v>45</v>
      </c>
      <c r="C113" s="10">
        <v>0</v>
      </c>
      <c r="D113" s="10">
        <v>3</v>
      </c>
      <c r="E113" s="10">
        <v>2</v>
      </c>
      <c r="F113" s="10">
        <v>0.75925925925925919</v>
      </c>
    </row>
    <row r="114" spans="2:6" x14ac:dyDescent="0.45">
      <c r="B114" s="9" t="s">
        <v>45</v>
      </c>
      <c r="C114" s="10">
        <v>0</v>
      </c>
      <c r="D114" s="10">
        <v>3</v>
      </c>
      <c r="E114" s="10">
        <v>3</v>
      </c>
      <c r="F114" s="10">
        <v>0.98333333333333317</v>
      </c>
    </row>
    <row r="115" spans="2:6" x14ac:dyDescent="0.45">
      <c r="B115" s="9" t="s">
        <v>45</v>
      </c>
      <c r="C115" s="10">
        <v>1</v>
      </c>
      <c r="D115" s="10">
        <v>0</v>
      </c>
      <c r="E115" s="10">
        <v>0</v>
      </c>
      <c r="F115" s="10">
        <v>0.98333333333333317</v>
      </c>
    </row>
    <row r="116" spans="2:6" x14ac:dyDescent="0.45">
      <c r="B116" s="9" t="s">
        <v>45</v>
      </c>
      <c r="C116" s="10">
        <v>1</v>
      </c>
      <c r="D116" s="10">
        <v>0</v>
      </c>
      <c r="E116" s="10">
        <v>1</v>
      </c>
      <c r="F116" s="10">
        <v>0.97435897435897434</v>
      </c>
    </row>
    <row r="117" spans="2:6" x14ac:dyDescent="0.45">
      <c r="B117" s="9" t="s">
        <v>45</v>
      </c>
      <c r="C117" s="10">
        <v>1</v>
      </c>
      <c r="D117" s="10">
        <v>0</v>
      </c>
      <c r="E117" s="10">
        <v>2</v>
      </c>
      <c r="F117" s="10">
        <v>0.9423076923076924</v>
      </c>
    </row>
    <row r="118" spans="2:6" x14ac:dyDescent="0.45">
      <c r="B118" s="9" t="s">
        <v>45</v>
      </c>
      <c r="C118" s="10">
        <v>1</v>
      </c>
      <c r="D118" s="10">
        <v>0</v>
      </c>
      <c r="E118" s="10">
        <v>3</v>
      </c>
      <c r="F118" s="10">
        <v>0.88725490196078438</v>
      </c>
    </row>
    <row r="119" spans="2:6" x14ac:dyDescent="0.45">
      <c r="B119" s="9" t="s">
        <v>45</v>
      </c>
      <c r="C119" s="10">
        <v>1</v>
      </c>
      <c r="D119" s="10">
        <v>1</v>
      </c>
      <c r="E119" s="10">
        <v>0</v>
      </c>
      <c r="F119" s="10">
        <v>0.84895833333333337</v>
      </c>
    </row>
    <row r="120" spans="2:6" x14ac:dyDescent="0.45">
      <c r="B120" s="9" t="s">
        <v>45</v>
      </c>
      <c r="C120" s="10">
        <v>1</v>
      </c>
      <c r="D120" s="10">
        <v>1</v>
      </c>
      <c r="E120" s="10">
        <v>1</v>
      </c>
      <c r="F120" s="10">
        <v>0.91666666666666674</v>
      </c>
    </row>
    <row r="121" spans="2:6" x14ac:dyDescent="0.45">
      <c r="B121" s="9" t="s">
        <v>45</v>
      </c>
      <c r="C121" s="10">
        <v>1</v>
      </c>
      <c r="D121" s="10">
        <v>1</v>
      </c>
      <c r="E121" s="10">
        <v>2</v>
      </c>
      <c r="F121" s="10">
        <v>0.96111111111111103</v>
      </c>
    </row>
    <row r="122" spans="2:6" x14ac:dyDescent="0.45">
      <c r="B122" s="9" t="s">
        <v>45</v>
      </c>
      <c r="C122" s="10">
        <v>1</v>
      </c>
      <c r="D122" s="10">
        <v>1</v>
      </c>
      <c r="E122" s="10">
        <v>3</v>
      </c>
      <c r="F122" s="10">
        <v>0.90909090909090895</v>
      </c>
    </row>
    <row r="123" spans="2:6" x14ac:dyDescent="0.45">
      <c r="B123" s="9" t="s">
        <v>45</v>
      </c>
      <c r="C123" s="10">
        <v>1</v>
      </c>
      <c r="D123" s="10">
        <v>2</v>
      </c>
      <c r="E123" s="10">
        <v>0</v>
      </c>
      <c r="F123" s="10">
        <v>0.72083333333333333</v>
      </c>
    </row>
    <row r="124" spans="2:6" x14ac:dyDescent="0.45">
      <c r="B124" s="9" t="s">
        <v>45</v>
      </c>
      <c r="C124" s="10">
        <v>1</v>
      </c>
      <c r="D124" s="10">
        <v>2</v>
      </c>
      <c r="E124" s="10">
        <v>1</v>
      </c>
      <c r="F124" s="10">
        <v>0.64166666666666661</v>
      </c>
    </row>
    <row r="125" spans="2:6" x14ac:dyDescent="0.45">
      <c r="B125" s="9" t="s">
        <v>45</v>
      </c>
      <c r="C125" s="10">
        <v>1</v>
      </c>
      <c r="D125" s="10">
        <v>2</v>
      </c>
      <c r="E125" s="10">
        <v>2</v>
      </c>
      <c r="F125" s="10">
        <v>0.8653846153846152</v>
      </c>
    </row>
    <row r="126" spans="2:6" x14ac:dyDescent="0.45">
      <c r="B126" s="9" t="s">
        <v>45</v>
      </c>
      <c r="C126" s="10">
        <v>1</v>
      </c>
      <c r="D126" s="10">
        <v>2</v>
      </c>
      <c r="E126" s="10">
        <v>3</v>
      </c>
      <c r="F126" s="10">
        <v>0.82407407407407407</v>
      </c>
    </row>
    <row r="127" spans="2:6" x14ac:dyDescent="0.45">
      <c r="B127" s="9" t="s">
        <v>45</v>
      </c>
      <c r="C127" s="10">
        <v>1</v>
      </c>
      <c r="D127" s="10">
        <v>3</v>
      </c>
      <c r="E127" s="10">
        <v>0</v>
      </c>
      <c r="F127" s="10">
        <v>0.65833333333333344</v>
      </c>
    </row>
    <row r="128" spans="2:6" x14ac:dyDescent="0.45">
      <c r="B128" s="9" t="s">
        <v>45</v>
      </c>
      <c r="C128" s="10">
        <v>1</v>
      </c>
      <c r="D128" s="10">
        <v>3</v>
      </c>
      <c r="E128" s="10">
        <v>1</v>
      </c>
      <c r="F128" s="10">
        <v>0.75595238095238104</v>
      </c>
    </row>
    <row r="129" spans="2:6" x14ac:dyDescent="0.45">
      <c r="B129" s="9" t="s">
        <v>45</v>
      </c>
      <c r="C129" s="10">
        <v>1</v>
      </c>
      <c r="D129" s="10">
        <v>3</v>
      </c>
      <c r="E129" s="10">
        <v>2</v>
      </c>
      <c r="F129" s="10">
        <v>0.89166666666666661</v>
      </c>
    </row>
    <row r="130" spans="2:6" x14ac:dyDescent="0.45">
      <c r="B130" s="9" t="s">
        <v>45</v>
      </c>
      <c r="C130" s="10">
        <v>1</v>
      </c>
      <c r="D130" s="10">
        <v>3</v>
      </c>
      <c r="E130" s="10">
        <v>3</v>
      </c>
      <c r="F130" s="10">
        <v>0.76666666666666661</v>
      </c>
    </row>
  </sheetData>
  <pageMargins left="0.7" right="0.7" top="0.75" bottom="0.75" header="0.3" footer="0.3"/>
  <headerFooter>
    <oddFooter>&amp;L_x000D_&amp;1#&amp;"Aptos"&amp;7&amp;K000000 C2 General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AB704-1AC2-44A9-8ECF-590AFFE771FD}">
  <sheetPr codeName="Sheet7"/>
  <dimension ref="B2:R56"/>
  <sheetViews>
    <sheetView topLeftCell="A22" workbookViewId="0">
      <selection activeCell="F43" sqref="F43"/>
    </sheetView>
  </sheetViews>
  <sheetFormatPr defaultRowHeight="14.25" x14ac:dyDescent="0.45"/>
  <cols>
    <col min="4" max="4" width="12.3984375" bestFit="1" customWidth="1"/>
  </cols>
  <sheetData>
    <row r="2" spans="2:12" x14ac:dyDescent="0.45">
      <c r="B2" t="s">
        <v>337</v>
      </c>
    </row>
    <row r="3" spans="2:12" x14ac:dyDescent="0.45">
      <c r="B3" t="s">
        <v>338</v>
      </c>
    </row>
    <row r="4" spans="2:12" x14ac:dyDescent="0.45">
      <c r="B4" t="s">
        <v>339</v>
      </c>
    </row>
    <row r="5" spans="2:12" x14ac:dyDescent="0.45">
      <c r="B5">
        <v>1</v>
      </c>
      <c r="C5" t="s">
        <v>45</v>
      </c>
      <c r="D5" t="s">
        <v>315</v>
      </c>
      <c r="E5" t="s">
        <v>35</v>
      </c>
      <c r="F5">
        <v>171</v>
      </c>
      <c r="G5">
        <v>82</v>
      </c>
      <c r="H5">
        <v>73</v>
      </c>
      <c r="I5">
        <v>0</v>
      </c>
      <c r="J5">
        <v>0</v>
      </c>
      <c r="K5">
        <v>16</v>
      </c>
      <c r="L5" t="s">
        <v>336</v>
      </c>
    </row>
    <row r="6" spans="2:12" x14ac:dyDescent="0.45">
      <c r="B6">
        <v>2</v>
      </c>
      <c r="C6" t="s">
        <v>45</v>
      </c>
      <c r="D6" t="s">
        <v>326</v>
      </c>
      <c r="E6" t="s">
        <v>35</v>
      </c>
      <c r="F6">
        <v>73</v>
      </c>
      <c r="G6">
        <v>0</v>
      </c>
      <c r="H6">
        <v>73</v>
      </c>
      <c r="I6">
        <v>0</v>
      </c>
      <c r="J6">
        <v>0</v>
      </c>
      <c r="K6">
        <v>0</v>
      </c>
    </row>
    <row r="7" spans="2:12" x14ac:dyDescent="0.45">
      <c r="B7">
        <v>3</v>
      </c>
      <c r="C7" t="s">
        <v>45</v>
      </c>
      <c r="D7" t="s">
        <v>350</v>
      </c>
      <c r="E7" t="s">
        <v>35</v>
      </c>
      <c r="F7">
        <v>73</v>
      </c>
      <c r="G7">
        <v>0</v>
      </c>
      <c r="H7">
        <v>73</v>
      </c>
      <c r="I7">
        <v>0</v>
      </c>
      <c r="J7">
        <v>0</v>
      </c>
      <c r="K7">
        <v>0</v>
      </c>
    </row>
    <row r="8" spans="2:12" x14ac:dyDescent="0.45">
      <c r="B8">
        <v>4</v>
      </c>
      <c r="C8" t="s">
        <v>46</v>
      </c>
      <c r="D8" t="s">
        <v>351</v>
      </c>
      <c r="E8" t="s">
        <v>28</v>
      </c>
      <c r="F8">
        <v>49</v>
      </c>
      <c r="G8">
        <v>0</v>
      </c>
      <c r="H8">
        <v>49</v>
      </c>
      <c r="I8">
        <v>0</v>
      </c>
      <c r="J8">
        <v>0</v>
      </c>
      <c r="K8">
        <v>0</v>
      </c>
    </row>
    <row r="9" spans="2:12" x14ac:dyDescent="0.45">
      <c r="B9">
        <v>5</v>
      </c>
      <c r="C9" t="s">
        <v>46</v>
      </c>
      <c r="D9" t="s">
        <v>316</v>
      </c>
      <c r="E9" t="s">
        <v>44</v>
      </c>
      <c r="F9">
        <v>159</v>
      </c>
      <c r="G9">
        <v>84</v>
      </c>
      <c r="H9">
        <v>59</v>
      </c>
      <c r="I9">
        <v>0</v>
      </c>
      <c r="J9">
        <v>0</v>
      </c>
      <c r="K9">
        <v>16</v>
      </c>
      <c r="L9" t="s">
        <v>336</v>
      </c>
    </row>
    <row r="10" spans="2:12" x14ac:dyDescent="0.45">
      <c r="B10">
        <v>6</v>
      </c>
      <c r="C10" t="s">
        <v>46</v>
      </c>
      <c r="D10" t="s">
        <v>333</v>
      </c>
      <c r="E10" t="s">
        <v>44</v>
      </c>
      <c r="F10">
        <v>164</v>
      </c>
      <c r="G10">
        <v>93</v>
      </c>
      <c r="H10">
        <v>59</v>
      </c>
      <c r="I10">
        <v>0</v>
      </c>
      <c r="J10">
        <v>0</v>
      </c>
      <c r="K10">
        <v>12</v>
      </c>
    </row>
    <row r="11" spans="2:12" x14ac:dyDescent="0.45">
      <c r="B11">
        <v>7</v>
      </c>
      <c r="C11" t="s">
        <v>46</v>
      </c>
      <c r="D11" t="s">
        <v>317</v>
      </c>
      <c r="E11" t="s">
        <v>36</v>
      </c>
      <c r="F11">
        <v>162</v>
      </c>
      <c r="G11">
        <v>101</v>
      </c>
      <c r="H11">
        <v>45</v>
      </c>
      <c r="I11">
        <v>0</v>
      </c>
      <c r="J11">
        <v>0</v>
      </c>
      <c r="K11">
        <v>16</v>
      </c>
      <c r="L11" t="s">
        <v>336</v>
      </c>
    </row>
    <row r="12" spans="2:12" x14ac:dyDescent="0.45">
      <c r="B12">
        <v>8</v>
      </c>
      <c r="C12" t="s">
        <v>46</v>
      </c>
      <c r="D12" t="s">
        <v>334</v>
      </c>
      <c r="E12" t="s">
        <v>38</v>
      </c>
      <c r="F12">
        <v>142</v>
      </c>
      <c r="G12">
        <v>90</v>
      </c>
      <c r="H12">
        <v>43</v>
      </c>
      <c r="I12">
        <v>0</v>
      </c>
      <c r="J12">
        <v>0</v>
      </c>
      <c r="K12">
        <v>9</v>
      </c>
      <c r="L12" t="s">
        <v>336</v>
      </c>
    </row>
    <row r="13" spans="2:12" x14ac:dyDescent="0.45">
      <c r="B13">
        <v>9</v>
      </c>
      <c r="C13" t="s">
        <v>46</v>
      </c>
      <c r="D13" t="s">
        <v>352</v>
      </c>
      <c r="E13" t="s">
        <v>28</v>
      </c>
      <c r="F13">
        <v>81</v>
      </c>
      <c r="G13">
        <v>31</v>
      </c>
      <c r="H13">
        <v>49</v>
      </c>
      <c r="I13">
        <v>0</v>
      </c>
      <c r="J13">
        <v>0</v>
      </c>
      <c r="K13">
        <v>1</v>
      </c>
    </row>
    <row r="14" spans="2:12" x14ac:dyDescent="0.45">
      <c r="B14">
        <v>10</v>
      </c>
      <c r="C14" t="s">
        <v>46</v>
      </c>
      <c r="D14" t="s">
        <v>318</v>
      </c>
      <c r="E14" t="s">
        <v>44</v>
      </c>
      <c r="F14">
        <v>170</v>
      </c>
      <c r="G14">
        <v>95</v>
      </c>
      <c r="H14">
        <v>59</v>
      </c>
      <c r="I14">
        <v>0</v>
      </c>
      <c r="J14">
        <v>0</v>
      </c>
      <c r="K14">
        <v>16</v>
      </c>
    </row>
    <row r="15" spans="2:12" x14ac:dyDescent="0.45">
      <c r="B15">
        <v>11</v>
      </c>
      <c r="C15" t="s">
        <v>46</v>
      </c>
      <c r="D15" t="s">
        <v>335</v>
      </c>
      <c r="E15" t="s">
        <v>25</v>
      </c>
      <c r="F15">
        <v>78</v>
      </c>
      <c r="G15">
        <v>31</v>
      </c>
      <c r="H15">
        <v>47</v>
      </c>
      <c r="I15">
        <v>0</v>
      </c>
      <c r="J15">
        <v>0</v>
      </c>
      <c r="K15">
        <v>0</v>
      </c>
    </row>
    <row r="16" spans="2:12" x14ac:dyDescent="0.45">
      <c r="B16">
        <v>12</v>
      </c>
      <c r="C16" t="s">
        <v>47</v>
      </c>
      <c r="D16" t="s">
        <v>319</v>
      </c>
      <c r="E16" t="s">
        <v>28</v>
      </c>
      <c r="F16">
        <v>164</v>
      </c>
      <c r="G16">
        <v>90</v>
      </c>
      <c r="H16">
        <v>59</v>
      </c>
      <c r="I16">
        <v>0</v>
      </c>
      <c r="J16">
        <v>0</v>
      </c>
      <c r="K16">
        <v>15</v>
      </c>
      <c r="L16" t="s">
        <v>336</v>
      </c>
    </row>
    <row r="17" spans="2:18" x14ac:dyDescent="0.45">
      <c r="B17">
        <v>13</v>
      </c>
      <c r="C17" t="s">
        <v>47</v>
      </c>
      <c r="D17" t="s">
        <v>320</v>
      </c>
      <c r="E17" t="s">
        <v>25</v>
      </c>
      <c r="F17">
        <v>179</v>
      </c>
      <c r="G17">
        <v>98</v>
      </c>
      <c r="H17">
        <v>70</v>
      </c>
      <c r="I17">
        <v>0</v>
      </c>
      <c r="J17">
        <v>0</v>
      </c>
      <c r="K17">
        <v>11</v>
      </c>
      <c r="L17" t="s">
        <v>336</v>
      </c>
    </row>
    <row r="18" spans="2:18" x14ac:dyDescent="0.45">
      <c r="B18">
        <v>14</v>
      </c>
      <c r="C18" t="s">
        <v>47</v>
      </c>
      <c r="D18" t="s">
        <v>321</v>
      </c>
      <c r="E18" t="s">
        <v>25</v>
      </c>
      <c r="F18">
        <v>196</v>
      </c>
      <c r="G18">
        <v>116</v>
      </c>
      <c r="H18">
        <v>70</v>
      </c>
      <c r="I18">
        <v>3</v>
      </c>
      <c r="J18">
        <v>0</v>
      </c>
      <c r="K18">
        <v>7</v>
      </c>
    </row>
    <row r="19" spans="2:18" x14ac:dyDescent="0.45">
      <c r="B19">
        <v>15</v>
      </c>
      <c r="C19" t="s">
        <v>47</v>
      </c>
      <c r="D19" t="s">
        <v>330</v>
      </c>
      <c r="E19" t="s">
        <v>34</v>
      </c>
      <c r="F19">
        <v>120</v>
      </c>
      <c r="G19">
        <v>91</v>
      </c>
      <c r="H19">
        <v>17</v>
      </c>
      <c r="I19">
        <v>2</v>
      </c>
      <c r="J19">
        <v>0</v>
      </c>
      <c r="K19">
        <v>10</v>
      </c>
    </row>
    <row r="20" spans="2:18" x14ac:dyDescent="0.45">
      <c r="B20">
        <v>16</v>
      </c>
      <c r="C20" t="s">
        <v>47</v>
      </c>
      <c r="D20" t="s">
        <v>353</v>
      </c>
      <c r="E20" t="s">
        <v>43</v>
      </c>
      <c r="F20">
        <v>171</v>
      </c>
      <c r="G20">
        <v>112</v>
      </c>
      <c r="H20">
        <v>45</v>
      </c>
      <c r="I20">
        <v>3</v>
      </c>
      <c r="J20">
        <v>0</v>
      </c>
      <c r="K20">
        <v>11</v>
      </c>
      <c r="N20" t="s">
        <v>167</v>
      </c>
    </row>
    <row r="21" spans="2:18" x14ac:dyDescent="0.45">
      <c r="B21">
        <v>17</v>
      </c>
      <c r="C21" t="s">
        <v>47</v>
      </c>
      <c r="D21" t="s">
        <v>322</v>
      </c>
      <c r="E21" t="s">
        <v>35</v>
      </c>
      <c r="F21">
        <v>161</v>
      </c>
      <c r="G21">
        <v>95</v>
      </c>
      <c r="H21">
        <v>59</v>
      </c>
      <c r="I21">
        <v>1</v>
      </c>
      <c r="J21">
        <v>0</v>
      </c>
      <c r="K21">
        <v>6</v>
      </c>
      <c r="L21" t="s">
        <v>336</v>
      </c>
      <c r="N21">
        <v>1</v>
      </c>
      <c r="O21" t="s">
        <v>45</v>
      </c>
      <c r="P21" t="s">
        <v>315</v>
      </c>
      <c r="Q21" t="s">
        <v>35</v>
      </c>
      <c r="R21" t="s">
        <v>336</v>
      </c>
    </row>
    <row r="22" spans="2:18" x14ac:dyDescent="0.45">
      <c r="B22">
        <v>18</v>
      </c>
      <c r="C22" t="s">
        <v>47</v>
      </c>
      <c r="D22" t="s">
        <v>332</v>
      </c>
      <c r="E22" t="s">
        <v>28</v>
      </c>
      <c r="F22">
        <v>124</v>
      </c>
      <c r="G22">
        <v>64</v>
      </c>
      <c r="H22">
        <v>59</v>
      </c>
      <c r="I22">
        <v>0</v>
      </c>
      <c r="J22">
        <v>0</v>
      </c>
      <c r="K22">
        <v>1</v>
      </c>
      <c r="L22" t="s">
        <v>336</v>
      </c>
      <c r="N22">
        <v>2</v>
      </c>
      <c r="O22" t="s">
        <v>46</v>
      </c>
      <c r="P22" t="s">
        <v>333</v>
      </c>
      <c r="Q22" t="s">
        <v>44</v>
      </c>
      <c r="R22" t="s">
        <v>336</v>
      </c>
    </row>
    <row r="23" spans="2:18" x14ac:dyDescent="0.45">
      <c r="B23">
        <v>19</v>
      </c>
      <c r="C23" t="s">
        <v>47</v>
      </c>
      <c r="D23" t="s">
        <v>331</v>
      </c>
      <c r="E23" t="s">
        <v>25</v>
      </c>
      <c r="F23">
        <v>168</v>
      </c>
      <c r="G23">
        <v>95</v>
      </c>
      <c r="H23">
        <v>70</v>
      </c>
      <c r="I23">
        <v>0</v>
      </c>
      <c r="J23">
        <v>0</v>
      </c>
      <c r="K23">
        <v>3</v>
      </c>
      <c r="N23">
        <v>3</v>
      </c>
      <c r="O23" t="s">
        <v>46</v>
      </c>
      <c r="P23" t="s">
        <v>317</v>
      </c>
      <c r="Q23" t="s">
        <v>36</v>
      </c>
      <c r="R23" t="s">
        <v>336</v>
      </c>
    </row>
    <row r="24" spans="2:18" x14ac:dyDescent="0.45">
      <c r="B24">
        <v>20</v>
      </c>
      <c r="C24" t="s">
        <v>48</v>
      </c>
      <c r="D24" t="s">
        <v>323</v>
      </c>
      <c r="E24" t="s">
        <v>34</v>
      </c>
      <c r="F24">
        <v>154</v>
      </c>
      <c r="G24">
        <v>113</v>
      </c>
      <c r="H24">
        <v>3</v>
      </c>
      <c r="I24">
        <v>6</v>
      </c>
      <c r="J24">
        <v>20</v>
      </c>
      <c r="K24">
        <v>12</v>
      </c>
      <c r="N24">
        <v>4</v>
      </c>
      <c r="O24" t="s">
        <v>46</v>
      </c>
      <c r="P24" t="s">
        <v>318</v>
      </c>
      <c r="Q24" t="s">
        <v>44</v>
      </c>
      <c r="R24" t="s">
        <v>336</v>
      </c>
    </row>
    <row r="25" spans="2:18" x14ac:dyDescent="0.45">
      <c r="B25">
        <v>21</v>
      </c>
      <c r="C25" t="s">
        <v>48</v>
      </c>
      <c r="D25" t="s">
        <v>327</v>
      </c>
      <c r="E25" t="s">
        <v>30</v>
      </c>
      <c r="F25">
        <v>169</v>
      </c>
      <c r="G25">
        <v>87</v>
      </c>
      <c r="H25">
        <v>54</v>
      </c>
      <c r="I25">
        <v>0</v>
      </c>
      <c r="J25">
        <v>20</v>
      </c>
      <c r="K25">
        <v>8</v>
      </c>
      <c r="L25" t="s">
        <v>336</v>
      </c>
      <c r="N25">
        <v>5</v>
      </c>
      <c r="O25" t="s">
        <v>47</v>
      </c>
      <c r="P25" t="s">
        <v>320</v>
      </c>
      <c r="Q25" t="s">
        <v>25</v>
      </c>
      <c r="R25" t="s">
        <v>336</v>
      </c>
    </row>
    <row r="26" spans="2:18" x14ac:dyDescent="0.45">
      <c r="B26">
        <v>22</v>
      </c>
      <c r="C26" t="s">
        <v>48</v>
      </c>
      <c r="D26" t="s">
        <v>324</v>
      </c>
      <c r="E26" t="s">
        <v>25</v>
      </c>
      <c r="F26">
        <v>229</v>
      </c>
      <c r="G26">
        <v>120</v>
      </c>
      <c r="H26">
        <v>77</v>
      </c>
      <c r="I26">
        <v>4</v>
      </c>
      <c r="J26">
        <v>20</v>
      </c>
      <c r="K26">
        <v>8</v>
      </c>
      <c r="L26" t="s">
        <v>336</v>
      </c>
      <c r="N26">
        <v>6</v>
      </c>
      <c r="O26" t="s">
        <v>47</v>
      </c>
      <c r="P26" t="s">
        <v>321</v>
      </c>
      <c r="Q26" t="s">
        <v>25</v>
      </c>
      <c r="R26" t="s">
        <v>336</v>
      </c>
    </row>
    <row r="27" spans="2:18" x14ac:dyDescent="0.45">
      <c r="B27">
        <v>23</v>
      </c>
      <c r="C27" t="s">
        <v>48</v>
      </c>
      <c r="D27" t="s">
        <v>325</v>
      </c>
      <c r="E27" t="s">
        <v>37</v>
      </c>
      <c r="F27">
        <v>174</v>
      </c>
      <c r="G27">
        <v>107</v>
      </c>
      <c r="H27">
        <v>31</v>
      </c>
      <c r="I27">
        <v>2</v>
      </c>
      <c r="J27">
        <v>20</v>
      </c>
      <c r="K27">
        <v>14</v>
      </c>
      <c r="L27" t="s">
        <v>336</v>
      </c>
      <c r="N27">
        <v>7</v>
      </c>
      <c r="O27" t="s">
        <v>47</v>
      </c>
      <c r="P27" t="s">
        <v>353</v>
      </c>
      <c r="Q27" t="s">
        <v>43</v>
      </c>
    </row>
    <row r="28" spans="2:18" x14ac:dyDescent="0.45">
      <c r="B28">
        <v>24</v>
      </c>
      <c r="C28" t="s">
        <v>48</v>
      </c>
      <c r="D28" t="s">
        <v>329</v>
      </c>
      <c r="E28" t="s">
        <v>43</v>
      </c>
      <c r="F28">
        <v>183</v>
      </c>
      <c r="G28">
        <v>110</v>
      </c>
      <c r="H28">
        <v>38</v>
      </c>
      <c r="I28">
        <v>4</v>
      </c>
      <c r="J28">
        <v>20</v>
      </c>
      <c r="K28">
        <v>11</v>
      </c>
      <c r="N28">
        <v>8</v>
      </c>
      <c r="O28" t="s">
        <v>47</v>
      </c>
      <c r="P28" t="s">
        <v>331</v>
      </c>
      <c r="Q28" t="s">
        <v>25</v>
      </c>
    </row>
    <row r="29" spans="2:18" x14ac:dyDescent="0.45">
      <c r="B29">
        <v>25</v>
      </c>
      <c r="C29" t="s">
        <v>48</v>
      </c>
      <c r="D29" t="s">
        <v>328</v>
      </c>
      <c r="E29" t="s">
        <v>40</v>
      </c>
      <c r="F29">
        <v>132</v>
      </c>
      <c r="G29">
        <v>85</v>
      </c>
      <c r="H29">
        <v>17</v>
      </c>
      <c r="I29">
        <v>0</v>
      </c>
      <c r="J29">
        <v>20</v>
      </c>
      <c r="K29">
        <v>10</v>
      </c>
      <c r="N29">
        <v>9</v>
      </c>
      <c r="O29" t="s">
        <v>48</v>
      </c>
      <c r="P29" t="s">
        <v>324</v>
      </c>
      <c r="Q29" t="s">
        <v>25</v>
      </c>
      <c r="R29" t="s">
        <v>336</v>
      </c>
    </row>
    <row r="30" spans="2:18" x14ac:dyDescent="0.45">
      <c r="B30" t="s">
        <v>340</v>
      </c>
      <c r="N30">
        <v>10</v>
      </c>
      <c r="O30" t="s">
        <v>48</v>
      </c>
      <c r="P30" t="s">
        <v>325</v>
      </c>
      <c r="Q30" t="s">
        <v>37</v>
      </c>
    </row>
    <row r="31" spans="2:18" x14ac:dyDescent="0.45">
      <c r="B31" t="s">
        <v>341</v>
      </c>
      <c r="C31" t="s">
        <v>80</v>
      </c>
      <c r="D31" t="s">
        <v>342</v>
      </c>
      <c r="E31" t="s">
        <v>3</v>
      </c>
      <c r="F31" t="s">
        <v>343</v>
      </c>
      <c r="G31" t="s">
        <v>344</v>
      </c>
      <c r="H31" t="s">
        <v>345</v>
      </c>
      <c r="I31" t="s">
        <v>346</v>
      </c>
      <c r="J31" t="s">
        <v>347</v>
      </c>
      <c r="K31" t="s">
        <v>348</v>
      </c>
      <c r="L31" t="s">
        <v>349</v>
      </c>
      <c r="N31">
        <v>11</v>
      </c>
      <c r="O31" t="s">
        <v>48</v>
      </c>
      <c r="P31" t="s">
        <v>329</v>
      </c>
      <c r="Q31" t="s">
        <v>43</v>
      </c>
    </row>
    <row r="32" spans="2:18" x14ac:dyDescent="0.45">
      <c r="B32">
        <v>22</v>
      </c>
      <c r="C32" t="s">
        <v>48</v>
      </c>
      <c r="D32" t="s">
        <v>324</v>
      </c>
      <c r="E32" t="s">
        <v>25</v>
      </c>
      <c r="F32">
        <v>229</v>
      </c>
      <c r="G32">
        <v>120</v>
      </c>
      <c r="H32">
        <v>77</v>
      </c>
      <c r="I32">
        <v>4</v>
      </c>
      <c r="J32">
        <v>20</v>
      </c>
      <c r="K32">
        <v>8</v>
      </c>
      <c r="L32" t="s">
        <v>336</v>
      </c>
      <c r="N32" t="s">
        <v>166</v>
      </c>
    </row>
    <row r="33" spans="2:18" x14ac:dyDescent="0.45">
      <c r="B33">
        <v>14</v>
      </c>
      <c r="C33" t="s">
        <v>47</v>
      </c>
      <c r="D33" t="s">
        <v>321</v>
      </c>
      <c r="E33" t="s">
        <v>25</v>
      </c>
      <c r="F33">
        <v>196</v>
      </c>
      <c r="G33">
        <v>116</v>
      </c>
      <c r="H33">
        <v>70</v>
      </c>
      <c r="I33">
        <v>3</v>
      </c>
      <c r="J33">
        <v>0</v>
      </c>
      <c r="K33">
        <v>7</v>
      </c>
      <c r="N33">
        <v>12</v>
      </c>
      <c r="O33" t="s">
        <v>45</v>
      </c>
      <c r="P33" t="s">
        <v>326</v>
      </c>
      <c r="Q33" t="s">
        <v>35</v>
      </c>
    </row>
    <row r="34" spans="2:18" x14ac:dyDescent="0.45">
      <c r="B34">
        <v>24</v>
      </c>
      <c r="C34" t="s">
        <v>48</v>
      </c>
      <c r="D34" t="s">
        <v>329</v>
      </c>
      <c r="E34" t="s">
        <v>43</v>
      </c>
      <c r="F34">
        <v>183</v>
      </c>
      <c r="G34">
        <v>110</v>
      </c>
      <c r="H34">
        <v>38</v>
      </c>
      <c r="I34">
        <v>4</v>
      </c>
      <c r="J34">
        <v>20</v>
      </c>
      <c r="K34">
        <v>11</v>
      </c>
      <c r="N34">
        <v>13</v>
      </c>
      <c r="O34" t="s">
        <v>48</v>
      </c>
      <c r="P34" t="s">
        <v>327</v>
      </c>
      <c r="Q34" t="s">
        <v>30</v>
      </c>
      <c r="R34" t="s">
        <v>336</v>
      </c>
    </row>
    <row r="35" spans="2:18" x14ac:dyDescent="0.45">
      <c r="B35">
        <v>13</v>
      </c>
      <c r="C35" t="s">
        <v>47</v>
      </c>
      <c r="D35" t="s">
        <v>320</v>
      </c>
      <c r="E35" t="s">
        <v>25</v>
      </c>
      <c r="F35">
        <v>179</v>
      </c>
      <c r="G35">
        <v>98</v>
      </c>
      <c r="H35">
        <v>70</v>
      </c>
      <c r="I35">
        <v>0</v>
      </c>
      <c r="J35">
        <v>0</v>
      </c>
      <c r="K35">
        <v>11</v>
      </c>
      <c r="L35" t="s">
        <v>336</v>
      </c>
      <c r="N35">
        <v>14</v>
      </c>
      <c r="O35" t="s">
        <v>48</v>
      </c>
      <c r="P35" t="s">
        <v>323</v>
      </c>
      <c r="Q35" t="s">
        <v>34</v>
      </c>
      <c r="R35" t="s">
        <v>336</v>
      </c>
    </row>
    <row r="36" spans="2:18" x14ac:dyDescent="0.45">
      <c r="B36">
        <v>23</v>
      </c>
      <c r="C36" t="s">
        <v>48</v>
      </c>
      <c r="D36" t="s">
        <v>325</v>
      </c>
      <c r="E36" t="s">
        <v>37</v>
      </c>
      <c r="F36">
        <v>174</v>
      </c>
      <c r="G36">
        <v>107</v>
      </c>
      <c r="H36">
        <v>31</v>
      </c>
      <c r="I36">
        <v>2</v>
      </c>
      <c r="J36">
        <v>20</v>
      </c>
      <c r="K36">
        <v>14</v>
      </c>
      <c r="L36" t="s">
        <v>336</v>
      </c>
      <c r="N36">
        <v>15</v>
      </c>
      <c r="O36" t="s">
        <v>48</v>
      </c>
      <c r="P36" t="s">
        <v>328</v>
      </c>
      <c r="Q36" t="s">
        <v>40</v>
      </c>
    </row>
    <row r="37" spans="2:18" x14ac:dyDescent="0.45">
      <c r="B37">
        <v>1</v>
      </c>
      <c r="C37" t="s">
        <v>45</v>
      </c>
      <c r="D37" t="s">
        <v>315</v>
      </c>
      <c r="E37" t="s">
        <v>35</v>
      </c>
      <c r="F37">
        <v>171</v>
      </c>
      <c r="G37">
        <v>82</v>
      </c>
      <c r="H37">
        <v>73</v>
      </c>
      <c r="I37">
        <v>0</v>
      </c>
      <c r="J37">
        <v>0</v>
      </c>
      <c r="K37">
        <v>16</v>
      </c>
      <c r="L37" t="s">
        <v>336</v>
      </c>
      <c r="N37">
        <v>16</v>
      </c>
      <c r="O37" t="s">
        <v>47</v>
      </c>
      <c r="P37" t="s">
        <v>319</v>
      </c>
      <c r="Q37" t="s">
        <v>28</v>
      </c>
      <c r="R37" t="s">
        <v>336</v>
      </c>
    </row>
    <row r="38" spans="2:18" x14ac:dyDescent="0.45">
      <c r="B38">
        <v>16</v>
      </c>
      <c r="C38" t="s">
        <v>47</v>
      </c>
      <c r="D38" t="s">
        <v>353</v>
      </c>
      <c r="E38" t="s">
        <v>43</v>
      </c>
      <c r="F38">
        <v>171</v>
      </c>
      <c r="G38">
        <v>112</v>
      </c>
      <c r="H38">
        <v>45</v>
      </c>
      <c r="I38">
        <v>3</v>
      </c>
      <c r="J38">
        <v>0</v>
      </c>
      <c r="K38">
        <v>11</v>
      </c>
      <c r="N38">
        <v>17</v>
      </c>
      <c r="O38" t="s">
        <v>47</v>
      </c>
      <c r="P38" t="s">
        <v>322</v>
      </c>
      <c r="Q38" t="s">
        <v>35</v>
      </c>
    </row>
    <row r="39" spans="2:18" x14ac:dyDescent="0.45">
      <c r="B39">
        <v>10</v>
      </c>
      <c r="C39" t="s">
        <v>46</v>
      </c>
      <c r="D39" t="s">
        <v>318</v>
      </c>
      <c r="E39" t="s">
        <v>44</v>
      </c>
      <c r="F39">
        <v>170</v>
      </c>
      <c r="G39">
        <v>95</v>
      </c>
      <c r="H39">
        <v>59</v>
      </c>
      <c r="I39">
        <v>0</v>
      </c>
      <c r="J39">
        <v>0</v>
      </c>
      <c r="K39">
        <v>16</v>
      </c>
      <c r="N39">
        <v>18</v>
      </c>
      <c r="O39" t="s">
        <v>47</v>
      </c>
      <c r="P39" t="s">
        <v>332</v>
      </c>
      <c r="Q39" t="s">
        <v>28</v>
      </c>
      <c r="R39" t="s">
        <v>336</v>
      </c>
    </row>
    <row r="40" spans="2:18" x14ac:dyDescent="0.45">
      <c r="B40">
        <v>21</v>
      </c>
      <c r="C40" t="s">
        <v>48</v>
      </c>
      <c r="D40" t="s">
        <v>327</v>
      </c>
      <c r="E40" t="s">
        <v>30</v>
      </c>
      <c r="F40">
        <v>169</v>
      </c>
      <c r="G40">
        <v>87</v>
      </c>
      <c r="H40">
        <v>54</v>
      </c>
      <c r="I40">
        <v>0</v>
      </c>
      <c r="J40">
        <v>20</v>
      </c>
      <c r="K40">
        <v>8</v>
      </c>
      <c r="L40" t="s">
        <v>336</v>
      </c>
      <c r="N40">
        <v>19</v>
      </c>
      <c r="O40" t="s">
        <v>46</v>
      </c>
      <c r="P40" t="s">
        <v>316</v>
      </c>
      <c r="Q40" t="s">
        <v>44</v>
      </c>
    </row>
    <row r="41" spans="2:18" x14ac:dyDescent="0.45">
      <c r="B41">
        <v>19</v>
      </c>
      <c r="C41" t="s">
        <v>47</v>
      </c>
      <c r="D41" t="s">
        <v>331</v>
      </c>
      <c r="E41" t="s">
        <v>25</v>
      </c>
      <c r="F41">
        <v>168</v>
      </c>
      <c r="G41">
        <v>95</v>
      </c>
      <c r="H41">
        <v>70</v>
      </c>
      <c r="I41">
        <v>0</v>
      </c>
      <c r="J41">
        <v>0</v>
      </c>
      <c r="K41">
        <v>3</v>
      </c>
      <c r="N41">
        <v>20</v>
      </c>
      <c r="O41" t="s">
        <v>46</v>
      </c>
      <c r="P41" t="s">
        <v>334</v>
      </c>
      <c r="Q41" t="s">
        <v>38</v>
      </c>
    </row>
    <row r="42" spans="2:18" x14ac:dyDescent="0.45">
      <c r="B42">
        <v>6</v>
      </c>
      <c r="C42" t="s">
        <v>46</v>
      </c>
      <c r="D42" t="s">
        <v>333</v>
      </c>
      <c r="E42" t="s">
        <v>44</v>
      </c>
      <c r="F42">
        <v>164</v>
      </c>
      <c r="G42">
        <v>93</v>
      </c>
      <c r="H42">
        <v>59</v>
      </c>
      <c r="I42">
        <v>0</v>
      </c>
      <c r="J42">
        <v>0</v>
      </c>
      <c r="K42">
        <v>12</v>
      </c>
      <c r="N42">
        <v>21</v>
      </c>
      <c r="O42" t="s">
        <v>46</v>
      </c>
      <c r="P42" t="s">
        <v>352</v>
      </c>
      <c r="Q42" t="s">
        <v>28</v>
      </c>
    </row>
    <row r="43" spans="2:18" x14ac:dyDescent="0.45">
      <c r="B43">
        <v>12</v>
      </c>
      <c r="C43" t="s">
        <v>47</v>
      </c>
      <c r="D43" t="s">
        <v>319</v>
      </c>
      <c r="E43" t="s">
        <v>28</v>
      </c>
      <c r="F43">
        <v>164</v>
      </c>
      <c r="G43">
        <v>90</v>
      </c>
      <c r="H43">
        <v>59</v>
      </c>
      <c r="I43">
        <v>0</v>
      </c>
      <c r="J43">
        <v>0</v>
      </c>
      <c r="K43">
        <v>15</v>
      </c>
      <c r="L43" t="s">
        <v>336</v>
      </c>
    </row>
    <row r="44" spans="2:18" x14ac:dyDescent="0.45">
      <c r="B44">
        <v>7</v>
      </c>
      <c r="C44" t="s">
        <v>46</v>
      </c>
      <c r="D44" t="s">
        <v>317</v>
      </c>
      <c r="E44" t="s">
        <v>36</v>
      </c>
      <c r="F44">
        <v>162</v>
      </c>
      <c r="G44">
        <v>101</v>
      </c>
      <c r="H44">
        <v>45</v>
      </c>
      <c r="I44">
        <v>0</v>
      </c>
      <c r="J44">
        <v>0</v>
      </c>
      <c r="K44">
        <v>16</v>
      </c>
      <c r="L44" t="s">
        <v>336</v>
      </c>
    </row>
    <row r="45" spans="2:18" x14ac:dyDescent="0.45">
      <c r="B45">
        <v>17</v>
      </c>
      <c r="C45" t="s">
        <v>47</v>
      </c>
      <c r="D45" t="s">
        <v>322</v>
      </c>
      <c r="E45" t="s">
        <v>35</v>
      </c>
      <c r="F45">
        <v>161</v>
      </c>
      <c r="G45">
        <v>95</v>
      </c>
      <c r="H45">
        <v>59</v>
      </c>
      <c r="I45">
        <v>1</v>
      </c>
      <c r="J45">
        <v>0</v>
      </c>
      <c r="K45">
        <v>6</v>
      </c>
      <c r="L45" t="s">
        <v>336</v>
      </c>
    </row>
    <row r="46" spans="2:18" x14ac:dyDescent="0.45">
      <c r="B46">
        <v>5</v>
      </c>
      <c r="C46" t="s">
        <v>46</v>
      </c>
      <c r="D46" t="s">
        <v>316</v>
      </c>
      <c r="E46" t="s">
        <v>44</v>
      </c>
      <c r="F46">
        <v>159</v>
      </c>
      <c r="G46">
        <v>84</v>
      </c>
      <c r="H46">
        <v>59</v>
      </c>
      <c r="I46">
        <v>0</v>
      </c>
      <c r="J46">
        <v>0</v>
      </c>
      <c r="K46">
        <v>16</v>
      </c>
      <c r="L46" t="s">
        <v>336</v>
      </c>
    </row>
    <row r="47" spans="2:18" x14ac:dyDescent="0.45">
      <c r="B47">
        <v>20</v>
      </c>
      <c r="C47" t="s">
        <v>48</v>
      </c>
      <c r="D47" t="s">
        <v>323</v>
      </c>
      <c r="E47" t="s">
        <v>34</v>
      </c>
      <c r="F47">
        <v>154</v>
      </c>
      <c r="G47">
        <v>113</v>
      </c>
      <c r="H47">
        <v>3</v>
      </c>
      <c r="I47">
        <v>6</v>
      </c>
      <c r="J47">
        <v>20</v>
      </c>
      <c r="K47">
        <v>12</v>
      </c>
    </row>
    <row r="48" spans="2:18" x14ac:dyDescent="0.45">
      <c r="B48">
        <v>8</v>
      </c>
      <c r="C48" t="s">
        <v>46</v>
      </c>
      <c r="D48" t="s">
        <v>334</v>
      </c>
      <c r="E48" t="s">
        <v>38</v>
      </c>
      <c r="F48">
        <v>142</v>
      </c>
      <c r="G48">
        <v>90</v>
      </c>
      <c r="H48">
        <v>43</v>
      </c>
      <c r="I48">
        <v>0</v>
      </c>
      <c r="J48">
        <v>0</v>
      </c>
      <c r="K48">
        <v>9</v>
      </c>
      <c r="L48" t="s">
        <v>336</v>
      </c>
    </row>
    <row r="49" spans="2:12" x14ac:dyDescent="0.45">
      <c r="B49">
        <v>25</v>
      </c>
      <c r="C49" t="s">
        <v>48</v>
      </c>
      <c r="D49" t="s">
        <v>328</v>
      </c>
      <c r="E49" t="s">
        <v>40</v>
      </c>
      <c r="F49">
        <v>132</v>
      </c>
      <c r="G49">
        <v>85</v>
      </c>
      <c r="H49">
        <v>17</v>
      </c>
      <c r="I49">
        <v>0</v>
      </c>
      <c r="J49">
        <v>20</v>
      </c>
      <c r="K49">
        <v>10</v>
      </c>
    </row>
    <row r="50" spans="2:12" x14ac:dyDescent="0.45">
      <c r="B50">
        <v>18</v>
      </c>
      <c r="C50" t="s">
        <v>47</v>
      </c>
      <c r="D50" t="s">
        <v>332</v>
      </c>
      <c r="E50" t="s">
        <v>28</v>
      </c>
      <c r="F50">
        <v>124</v>
      </c>
      <c r="G50">
        <v>64</v>
      </c>
      <c r="H50">
        <v>59</v>
      </c>
      <c r="I50">
        <v>0</v>
      </c>
      <c r="J50">
        <v>0</v>
      </c>
      <c r="K50">
        <v>1</v>
      </c>
      <c r="L50" t="s">
        <v>336</v>
      </c>
    </row>
    <row r="51" spans="2:12" x14ac:dyDescent="0.45">
      <c r="B51">
        <v>15</v>
      </c>
      <c r="C51" t="s">
        <v>47</v>
      </c>
      <c r="D51" t="s">
        <v>330</v>
      </c>
      <c r="E51" t="s">
        <v>34</v>
      </c>
      <c r="F51">
        <v>120</v>
      </c>
      <c r="G51">
        <v>91</v>
      </c>
      <c r="H51">
        <v>17</v>
      </c>
      <c r="I51">
        <v>2</v>
      </c>
      <c r="J51">
        <v>0</v>
      </c>
      <c r="K51">
        <v>10</v>
      </c>
    </row>
    <row r="52" spans="2:12" x14ac:dyDescent="0.45">
      <c r="B52">
        <v>9</v>
      </c>
      <c r="C52" t="s">
        <v>46</v>
      </c>
      <c r="D52" t="s">
        <v>352</v>
      </c>
      <c r="E52" t="s">
        <v>28</v>
      </c>
      <c r="F52">
        <v>81</v>
      </c>
      <c r="G52">
        <v>31</v>
      </c>
      <c r="H52">
        <v>49</v>
      </c>
      <c r="I52">
        <v>0</v>
      </c>
      <c r="J52">
        <v>0</v>
      </c>
      <c r="K52">
        <v>1</v>
      </c>
    </row>
    <row r="53" spans="2:12" x14ac:dyDescent="0.45">
      <c r="B53">
        <v>11</v>
      </c>
      <c r="C53" t="s">
        <v>46</v>
      </c>
      <c r="D53" t="s">
        <v>335</v>
      </c>
      <c r="E53" t="s">
        <v>25</v>
      </c>
      <c r="F53">
        <v>78</v>
      </c>
      <c r="G53">
        <v>31</v>
      </c>
      <c r="H53">
        <v>47</v>
      </c>
      <c r="I53">
        <v>0</v>
      </c>
      <c r="J53">
        <v>0</v>
      </c>
      <c r="K53">
        <v>0</v>
      </c>
    </row>
    <row r="54" spans="2:12" x14ac:dyDescent="0.45">
      <c r="B54">
        <v>2</v>
      </c>
      <c r="C54" t="s">
        <v>45</v>
      </c>
      <c r="D54" t="s">
        <v>326</v>
      </c>
      <c r="E54" t="s">
        <v>35</v>
      </c>
      <c r="F54">
        <v>73</v>
      </c>
      <c r="G54">
        <v>0</v>
      </c>
      <c r="H54">
        <v>73</v>
      </c>
      <c r="I54">
        <v>0</v>
      </c>
      <c r="J54">
        <v>0</v>
      </c>
      <c r="K54">
        <v>0</v>
      </c>
    </row>
    <row r="55" spans="2:12" x14ac:dyDescent="0.45">
      <c r="B55">
        <v>3</v>
      </c>
      <c r="C55" t="s">
        <v>45</v>
      </c>
      <c r="D55" t="s">
        <v>350</v>
      </c>
      <c r="E55" t="s">
        <v>35</v>
      </c>
      <c r="F55">
        <v>73</v>
      </c>
      <c r="G55">
        <v>0</v>
      </c>
      <c r="H55">
        <v>73</v>
      </c>
      <c r="I55">
        <v>0</v>
      </c>
      <c r="J55">
        <v>0</v>
      </c>
      <c r="K55">
        <v>0</v>
      </c>
    </row>
    <row r="56" spans="2:12" x14ac:dyDescent="0.45">
      <c r="B56">
        <v>4</v>
      </c>
      <c r="C56" t="s">
        <v>46</v>
      </c>
      <c r="D56" t="s">
        <v>351</v>
      </c>
      <c r="E56" t="s">
        <v>28</v>
      </c>
      <c r="F56">
        <v>49</v>
      </c>
      <c r="G56">
        <v>0</v>
      </c>
      <c r="H56">
        <v>49</v>
      </c>
      <c r="I56">
        <v>0</v>
      </c>
      <c r="J56">
        <v>0</v>
      </c>
      <c r="K56">
        <v>0</v>
      </c>
    </row>
  </sheetData>
  <sortState xmlns:xlrd2="http://schemas.microsoft.com/office/spreadsheetml/2017/richdata2" ref="B32:L56">
    <sortCondition descending="1" ref="F32:F56"/>
  </sortState>
  <phoneticPr fontId="7" type="noConversion"/>
  <pageMargins left="0.7" right="0.7" top="0.75" bottom="0.75" header="0.3" footer="0.3"/>
  <headerFooter>
    <oddFooter>&amp;L_x000D_&amp;1#&amp;"Aptos"&amp;7&amp;K000000 C2 General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B1407-0E5B-4604-9F5C-B52E4FF790D4}">
  <sheetPr codeName="Sheet8"/>
  <dimension ref="B1:V92"/>
  <sheetViews>
    <sheetView topLeftCell="A63" workbookViewId="0">
      <selection activeCell="I71" sqref="I71:O81"/>
    </sheetView>
  </sheetViews>
  <sheetFormatPr defaultRowHeight="14.25" x14ac:dyDescent="0.45"/>
  <cols>
    <col min="2" max="2" width="2.73046875" bestFit="1" customWidth="1"/>
    <col min="3" max="3" width="1.9296875" bestFit="1" customWidth="1"/>
    <col min="4" max="4" width="13.1328125" bestFit="1" customWidth="1"/>
    <col min="5" max="5" width="11.73046875" customWidth="1"/>
    <col min="10" max="10" width="15.86328125" customWidth="1"/>
    <col min="11" max="11" width="11.73046875" customWidth="1"/>
    <col min="16" max="16" width="19" customWidth="1"/>
    <col min="17" max="17" width="10.73046875" customWidth="1"/>
  </cols>
  <sheetData>
    <row r="1" spans="2:22" x14ac:dyDescent="0.45">
      <c r="B1" s="11" t="s">
        <v>167</v>
      </c>
      <c r="C1" s="11"/>
      <c r="D1" s="11"/>
      <c r="E1" s="12"/>
      <c r="F1" s="12"/>
      <c r="G1" s="11"/>
      <c r="H1" s="12"/>
      <c r="I1" s="12"/>
      <c r="J1" s="13"/>
      <c r="K1" s="13"/>
      <c r="L1" s="13"/>
      <c r="M1" s="12"/>
      <c r="N1" s="12"/>
      <c r="O1" s="12"/>
      <c r="P1" s="12"/>
      <c r="Q1" s="12"/>
      <c r="R1" s="12"/>
      <c r="S1" s="12"/>
      <c r="T1" s="12"/>
      <c r="U1" s="12"/>
      <c r="V1" s="11"/>
    </row>
    <row r="2" spans="2:22" x14ac:dyDescent="0.45">
      <c r="B2" s="11">
        <v>1</v>
      </c>
      <c r="C2" s="11" t="s">
        <v>45</v>
      </c>
      <c r="D2" s="11" t="s">
        <v>249</v>
      </c>
      <c r="E2" s="11" t="s">
        <v>42</v>
      </c>
      <c r="F2" s="11">
        <v>6.5</v>
      </c>
      <c r="G2" s="11"/>
      <c r="H2" s="11">
        <v>1</v>
      </c>
      <c r="I2" s="11" t="s">
        <v>45</v>
      </c>
      <c r="J2" s="13" t="s">
        <v>270</v>
      </c>
      <c r="K2" s="13" t="s">
        <v>30</v>
      </c>
      <c r="L2" s="13">
        <v>7</v>
      </c>
      <c r="M2" s="11"/>
      <c r="N2" s="11">
        <v>1</v>
      </c>
      <c r="O2" s="11" t="s">
        <v>45</v>
      </c>
      <c r="P2" s="11" t="s">
        <v>291</v>
      </c>
      <c r="Q2" s="11" t="s">
        <v>27</v>
      </c>
      <c r="R2" s="11">
        <v>5.5</v>
      </c>
      <c r="S2" s="11"/>
      <c r="T2" s="11"/>
      <c r="U2" s="11"/>
      <c r="V2" s="11"/>
    </row>
    <row r="3" spans="2:22" x14ac:dyDescent="0.45">
      <c r="B3" s="11">
        <v>2</v>
      </c>
      <c r="C3" s="11" t="s">
        <v>46</v>
      </c>
      <c r="D3" s="11" t="s">
        <v>250</v>
      </c>
      <c r="E3" s="11" t="s">
        <v>32</v>
      </c>
      <c r="F3" s="11">
        <v>5.5</v>
      </c>
      <c r="G3" s="11"/>
      <c r="H3" s="11">
        <v>2</v>
      </c>
      <c r="I3" s="11" t="s">
        <v>46</v>
      </c>
      <c r="J3" s="13" t="s">
        <v>271</v>
      </c>
      <c r="K3" s="13" t="s">
        <v>39</v>
      </c>
      <c r="L3" s="13">
        <v>6</v>
      </c>
      <c r="M3" s="11"/>
      <c r="N3" s="11">
        <v>2</v>
      </c>
      <c r="O3" s="11" t="s">
        <v>46</v>
      </c>
      <c r="P3" s="11" t="s">
        <v>292</v>
      </c>
      <c r="Q3" s="11" t="s">
        <v>35</v>
      </c>
      <c r="R3" s="11">
        <v>6</v>
      </c>
      <c r="S3" s="11"/>
      <c r="T3" s="11"/>
      <c r="U3" s="11"/>
      <c r="V3" s="11"/>
    </row>
    <row r="4" spans="2:22" x14ac:dyDescent="0.45">
      <c r="B4" s="11">
        <v>3</v>
      </c>
      <c r="C4" s="11" t="s">
        <v>46</v>
      </c>
      <c r="D4" s="11" t="s">
        <v>251</v>
      </c>
      <c r="E4" s="11" t="s">
        <v>28</v>
      </c>
      <c r="F4" s="11">
        <v>6</v>
      </c>
      <c r="G4" s="11"/>
      <c r="H4" s="11">
        <v>3</v>
      </c>
      <c r="I4" s="11" t="s">
        <v>46</v>
      </c>
      <c r="J4" s="13" t="s">
        <v>272</v>
      </c>
      <c r="K4" s="13" t="s">
        <v>30</v>
      </c>
      <c r="L4" s="13"/>
      <c r="M4" s="11"/>
      <c r="N4" s="11">
        <v>3</v>
      </c>
      <c r="O4" s="11" t="s">
        <v>46</v>
      </c>
      <c r="P4" s="11" t="s">
        <v>293</v>
      </c>
      <c r="Q4" s="11" t="s">
        <v>25</v>
      </c>
      <c r="R4" s="11">
        <v>10</v>
      </c>
      <c r="S4" s="11"/>
      <c r="T4" s="11"/>
      <c r="U4" s="11"/>
      <c r="V4" s="11"/>
    </row>
    <row r="5" spans="2:22" x14ac:dyDescent="0.45">
      <c r="B5" s="11">
        <v>4</v>
      </c>
      <c r="C5" s="11" t="s">
        <v>46</v>
      </c>
      <c r="D5" s="11" t="s">
        <v>252</v>
      </c>
      <c r="E5" s="11" t="s">
        <v>26</v>
      </c>
      <c r="F5" s="11">
        <v>5.5</v>
      </c>
      <c r="G5" s="11"/>
      <c r="H5" s="11">
        <v>4</v>
      </c>
      <c r="I5" s="11" t="s">
        <v>46</v>
      </c>
      <c r="J5" s="13" t="s">
        <v>273</v>
      </c>
      <c r="K5" s="13" t="s">
        <v>37</v>
      </c>
      <c r="L5" s="13">
        <v>6</v>
      </c>
      <c r="M5" s="11"/>
      <c r="N5" s="11">
        <v>4</v>
      </c>
      <c r="O5" s="11" t="s">
        <v>46</v>
      </c>
      <c r="P5" s="11" t="s">
        <v>294</v>
      </c>
      <c r="Q5" s="11" t="s">
        <v>28</v>
      </c>
      <c r="R5" s="11">
        <v>9.5</v>
      </c>
      <c r="S5" s="11"/>
      <c r="T5" s="11"/>
      <c r="U5" s="11"/>
      <c r="V5" s="11"/>
    </row>
    <row r="6" spans="2:22" x14ac:dyDescent="0.45">
      <c r="B6" s="11">
        <v>5</v>
      </c>
      <c r="C6" s="11" t="s">
        <v>47</v>
      </c>
      <c r="D6" s="11" t="s">
        <v>253</v>
      </c>
      <c r="E6" s="11" t="s">
        <v>28</v>
      </c>
      <c r="F6" s="11">
        <v>6</v>
      </c>
      <c r="G6" s="11"/>
      <c r="H6" s="11">
        <v>5</v>
      </c>
      <c r="I6" s="11" t="s">
        <v>46</v>
      </c>
      <c r="J6" s="13" t="s">
        <v>274</v>
      </c>
      <c r="K6" s="13" t="s">
        <v>29</v>
      </c>
      <c r="L6" s="13">
        <v>4.5</v>
      </c>
      <c r="M6" s="11"/>
      <c r="N6" s="11">
        <v>5</v>
      </c>
      <c r="O6" s="11" t="s">
        <v>47</v>
      </c>
      <c r="P6" s="11" t="s">
        <v>295</v>
      </c>
      <c r="Q6" s="11" t="s">
        <v>28</v>
      </c>
      <c r="R6" s="11">
        <v>7</v>
      </c>
      <c r="S6" s="11"/>
      <c r="T6" s="11"/>
      <c r="U6" s="11"/>
      <c r="V6" s="11"/>
    </row>
    <row r="7" spans="2:22" x14ac:dyDescent="0.45">
      <c r="B7" s="11">
        <v>6</v>
      </c>
      <c r="C7" s="11" t="s">
        <v>47</v>
      </c>
      <c r="D7" s="11" t="s">
        <v>254</v>
      </c>
      <c r="E7" s="11" t="s">
        <v>31</v>
      </c>
      <c r="F7" s="11">
        <v>6.5</v>
      </c>
      <c r="G7" s="11"/>
      <c r="H7" s="11">
        <v>6</v>
      </c>
      <c r="I7" s="11" t="s">
        <v>47</v>
      </c>
      <c r="J7" s="13" t="s">
        <v>275</v>
      </c>
      <c r="K7" s="13" t="s">
        <v>26</v>
      </c>
      <c r="L7" s="13"/>
      <c r="M7" s="11"/>
      <c r="N7" s="11">
        <v>6</v>
      </c>
      <c r="O7" s="11" t="s">
        <v>47</v>
      </c>
      <c r="P7" s="11" t="s">
        <v>296</v>
      </c>
      <c r="Q7" s="11" t="s">
        <v>25</v>
      </c>
      <c r="R7" s="11"/>
      <c r="S7" s="11"/>
      <c r="T7" s="11"/>
      <c r="U7" s="11"/>
      <c r="V7" s="11"/>
    </row>
    <row r="8" spans="2:22" x14ac:dyDescent="0.45">
      <c r="B8" s="11">
        <v>7</v>
      </c>
      <c r="C8" s="11" t="s">
        <v>47</v>
      </c>
      <c r="D8" s="11" t="s">
        <v>255</v>
      </c>
      <c r="E8" s="11" t="s">
        <v>44</v>
      </c>
      <c r="F8" s="11">
        <v>6</v>
      </c>
      <c r="G8" s="11"/>
      <c r="H8" s="11">
        <v>7</v>
      </c>
      <c r="I8" s="11" t="s">
        <v>47</v>
      </c>
      <c r="J8" s="13" t="s">
        <v>276</v>
      </c>
      <c r="K8" s="13" t="s">
        <v>42</v>
      </c>
      <c r="L8" s="13">
        <v>5.5</v>
      </c>
      <c r="M8" s="11"/>
      <c r="N8" s="11">
        <v>7</v>
      </c>
      <c r="O8" s="11" t="s">
        <v>47</v>
      </c>
      <c r="P8" s="11" t="s">
        <v>297</v>
      </c>
      <c r="Q8" s="11" t="s">
        <v>31</v>
      </c>
      <c r="R8" s="11">
        <v>6</v>
      </c>
      <c r="S8" s="11"/>
      <c r="T8" s="11"/>
      <c r="U8" s="11"/>
      <c r="V8" s="11"/>
    </row>
    <row r="9" spans="2:22" x14ac:dyDescent="0.45">
      <c r="B9" s="11">
        <v>8</v>
      </c>
      <c r="C9" s="11" t="s">
        <v>47</v>
      </c>
      <c r="D9" s="11" t="s">
        <v>256</v>
      </c>
      <c r="E9" s="11" t="s">
        <v>26</v>
      </c>
      <c r="F9" s="11">
        <v>7.5</v>
      </c>
      <c r="G9" s="11"/>
      <c r="H9" s="11">
        <v>8</v>
      </c>
      <c r="I9" s="11" t="s">
        <v>47</v>
      </c>
      <c r="J9" s="13" t="s">
        <v>277</v>
      </c>
      <c r="K9" s="13" t="s">
        <v>41</v>
      </c>
      <c r="L9" s="13">
        <v>5.5</v>
      </c>
      <c r="M9" s="11"/>
      <c r="N9" s="11">
        <v>8</v>
      </c>
      <c r="O9" s="11" t="s">
        <v>47</v>
      </c>
      <c r="P9" s="11" t="s">
        <v>298</v>
      </c>
      <c r="Q9" s="11" t="s">
        <v>27</v>
      </c>
      <c r="R9" s="11">
        <v>6</v>
      </c>
      <c r="S9" s="11"/>
      <c r="T9" s="11"/>
      <c r="U9" s="11"/>
      <c r="V9" s="11"/>
    </row>
    <row r="10" spans="2:22" x14ac:dyDescent="0.45">
      <c r="B10" s="11">
        <v>9</v>
      </c>
      <c r="C10" s="11" t="s">
        <v>48</v>
      </c>
      <c r="D10" s="11" t="s">
        <v>257</v>
      </c>
      <c r="E10" s="11" t="s">
        <v>41</v>
      </c>
      <c r="F10" s="11">
        <v>10</v>
      </c>
      <c r="G10" s="11"/>
      <c r="H10" s="11">
        <v>9</v>
      </c>
      <c r="I10" s="11" t="s">
        <v>47</v>
      </c>
      <c r="J10" s="13" t="s">
        <v>278</v>
      </c>
      <c r="K10" s="13" t="s">
        <v>36</v>
      </c>
      <c r="L10" s="13">
        <v>5.5</v>
      </c>
      <c r="M10" s="11"/>
      <c r="N10" s="11">
        <v>9</v>
      </c>
      <c r="O10" s="11" t="s">
        <v>48</v>
      </c>
      <c r="P10" s="11" t="s">
        <v>299</v>
      </c>
      <c r="Q10" s="11" t="s">
        <v>28</v>
      </c>
      <c r="R10" s="11">
        <v>7</v>
      </c>
      <c r="S10" s="11"/>
      <c r="T10" s="11"/>
      <c r="U10" s="11"/>
      <c r="V10" s="11"/>
    </row>
    <row r="11" spans="2:22" x14ac:dyDescent="0.45">
      <c r="B11" s="11">
        <v>10</v>
      </c>
      <c r="C11" s="11" t="s">
        <v>48</v>
      </c>
      <c r="D11" s="11" t="s">
        <v>258</v>
      </c>
      <c r="E11" s="11" t="s">
        <v>30</v>
      </c>
      <c r="F11" s="11">
        <v>5.5</v>
      </c>
      <c r="G11" s="11"/>
      <c r="H11" s="11">
        <v>10</v>
      </c>
      <c r="I11" s="11" t="s">
        <v>48</v>
      </c>
      <c r="J11" s="13" t="s">
        <v>279</v>
      </c>
      <c r="K11" s="13" t="s">
        <v>35</v>
      </c>
      <c r="L11" s="13">
        <v>6.5</v>
      </c>
      <c r="M11" s="11"/>
      <c r="N11" s="11">
        <v>10</v>
      </c>
      <c r="O11" s="11" t="s">
        <v>48</v>
      </c>
      <c r="P11" s="11" t="s">
        <v>300</v>
      </c>
      <c r="Q11" s="11" t="s">
        <v>39</v>
      </c>
      <c r="R11" s="11">
        <v>5.5</v>
      </c>
      <c r="S11" s="11"/>
      <c r="T11" s="11"/>
      <c r="U11" s="11"/>
      <c r="V11" s="11"/>
    </row>
    <row r="12" spans="2:22" x14ac:dyDescent="0.45">
      <c r="B12" s="11">
        <v>11</v>
      </c>
      <c r="C12" s="11" t="s">
        <v>48</v>
      </c>
      <c r="D12" s="11" t="s">
        <v>259</v>
      </c>
      <c r="E12" s="11" t="s">
        <v>27</v>
      </c>
      <c r="F12" s="11">
        <v>5.5</v>
      </c>
      <c r="G12" s="11"/>
      <c r="H12" s="11">
        <v>11</v>
      </c>
      <c r="I12" s="11" t="s">
        <v>48</v>
      </c>
      <c r="J12" s="13" t="s">
        <v>280</v>
      </c>
      <c r="K12" s="13" t="s">
        <v>39</v>
      </c>
      <c r="L12" s="13">
        <v>10</v>
      </c>
      <c r="M12" s="11"/>
      <c r="N12" s="11">
        <v>11</v>
      </c>
      <c r="O12" s="11" t="s">
        <v>48</v>
      </c>
      <c r="P12" s="11" t="s">
        <v>301</v>
      </c>
      <c r="Q12" s="11" t="s">
        <v>31</v>
      </c>
      <c r="R12" s="11">
        <v>9.5</v>
      </c>
      <c r="S12" s="11"/>
      <c r="T12" s="11"/>
      <c r="U12" s="11"/>
      <c r="V12" s="11"/>
    </row>
    <row r="13" spans="2:22" x14ac:dyDescent="0.45">
      <c r="B13" s="11"/>
      <c r="C13" s="11"/>
      <c r="D13" s="11"/>
      <c r="E13" s="11"/>
      <c r="F13" s="11"/>
      <c r="G13" s="11"/>
      <c r="H13" s="11"/>
      <c r="I13" s="11"/>
      <c r="J13" s="13"/>
      <c r="K13" s="13"/>
      <c r="L13" s="13"/>
      <c r="M13" s="11"/>
      <c r="N13" s="11"/>
      <c r="O13" s="11"/>
      <c r="P13" s="11"/>
      <c r="Q13" s="11"/>
      <c r="R13" s="11"/>
      <c r="S13" s="11"/>
      <c r="T13" s="11"/>
      <c r="U13" s="11"/>
      <c r="V13" s="11"/>
    </row>
    <row r="14" spans="2:22" x14ac:dyDescent="0.45">
      <c r="B14" s="11">
        <v>12</v>
      </c>
      <c r="C14" s="11" t="s">
        <v>45</v>
      </c>
      <c r="D14" s="11" t="s">
        <v>260</v>
      </c>
      <c r="E14" s="11" t="s">
        <v>37</v>
      </c>
      <c r="F14" s="11"/>
      <c r="G14" s="11"/>
      <c r="H14" s="11">
        <v>12</v>
      </c>
      <c r="I14" s="11" t="s">
        <v>45</v>
      </c>
      <c r="J14" s="13" t="s">
        <v>281</v>
      </c>
      <c r="K14" s="13" t="s">
        <v>30</v>
      </c>
      <c r="L14" s="13"/>
      <c r="M14" s="11"/>
      <c r="N14" s="11">
        <v>12</v>
      </c>
      <c r="O14" s="11" t="s">
        <v>45</v>
      </c>
      <c r="P14" s="11" t="s">
        <v>302</v>
      </c>
      <c r="Q14" s="11" t="s">
        <v>39</v>
      </c>
      <c r="R14" s="11"/>
      <c r="S14" s="11"/>
      <c r="T14" s="11"/>
      <c r="U14" s="11"/>
      <c r="V14" s="11"/>
    </row>
    <row r="15" spans="2:22" x14ac:dyDescent="0.45">
      <c r="B15" s="11">
        <v>13</v>
      </c>
      <c r="C15" s="11" t="s">
        <v>48</v>
      </c>
      <c r="D15" s="11" t="s">
        <v>261</v>
      </c>
      <c r="E15" s="11" t="s">
        <v>25</v>
      </c>
      <c r="F15" s="11"/>
      <c r="G15" s="11"/>
      <c r="H15" s="11">
        <v>13</v>
      </c>
      <c r="I15" s="11" t="s">
        <v>48</v>
      </c>
      <c r="J15" s="13" t="s">
        <v>282</v>
      </c>
      <c r="K15" s="13" t="s">
        <v>44</v>
      </c>
      <c r="L15" s="13"/>
      <c r="M15" s="11"/>
      <c r="N15" s="11">
        <v>13</v>
      </c>
      <c r="O15" s="11" t="s">
        <v>48</v>
      </c>
      <c r="P15" s="11" t="s">
        <v>303</v>
      </c>
      <c r="Q15" s="11" t="s">
        <v>33</v>
      </c>
      <c r="R15" s="11"/>
      <c r="S15" s="11"/>
      <c r="T15" s="11"/>
      <c r="U15" s="11"/>
      <c r="V15" s="11"/>
    </row>
    <row r="16" spans="2:22" x14ac:dyDescent="0.45">
      <c r="B16">
        <v>14</v>
      </c>
      <c r="C16" t="s">
        <v>48</v>
      </c>
      <c r="D16" t="s">
        <v>262</v>
      </c>
      <c r="E16" t="s">
        <v>30</v>
      </c>
      <c r="H16">
        <v>14</v>
      </c>
      <c r="I16" t="s">
        <v>48</v>
      </c>
      <c r="J16" t="s">
        <v>283</v>
      </c>
      <c r="K16" t="s">
        <v>26</v>
      </c>
      <c r="N16">
        <v>14</v>
      </c>
      <c r="O16" t="s">
        <v>48</v>
      </c>
      <c r="P16" t="s">
        <v>304</v>
      </c>
      <c r="Q16" t="s">
        <v>33</v>
      </c>
    </row>
    <row r="17" spans="2:18" x14ac:dyDescent="0.45">
      <c r="B17">
        <v>15</v>
      </c>
      <c r="C17" t="s">
        <v>48</v>
      </c>
      <c r="D17" t="s">
        <v>263</v>
      </c>
      <c r="E17" t="s">
        <v>27</v>
      </c>
      <c r="H17">
        <v>15</v>
      </c>
      <c r="I17" t="s">
        <v>48</v>
      </c>
      <c r="J17" t="s">
        <v>284</v>
      </c>
      <c r="K17" t="s">
        <v>35</v>
      </c>
      <c r="N17">
        <v>15</v>
      </c>
      <c r="O17" t="s">
        <v>48</v>
      </c>
      <c r="P17" t="s">
        <v>305</v>
      </c>
      <c r="Q17" t="s">
        <v>44</v>
      </c>
    </row>
    <row r="18" spans="2:18" x14ac:dyDescent="0.45">
      <c r="B18">
        <v>16</v>
      </c>
      <c r="C18" t="s">
        <v>47</v>
      </c>
      <c r="D18" t="s">
        <v>264</v>
      </c>
      <c r="E18" t="s">
        <v>40</v>
      </c>
      <c r="H18">
        <v>16</v>
      </c>
      <c r="I18" t="s">
        <v>47</v>
      </c>
      <c r="J18" t="s">
        <v>285</v>
      </c>
      <c r="K18" t="s">
        <v>44</v>
      </c>
      <c r="N18">
        <v>16</v>
      </c>
      <c r="O18" t="s">
        <v>47</v>
      </c>
      <c r="P18" t="s">
        <v>306</v>
      </c>
      <c r="Q18" t="s">
        <v>42</v>
      </c>
    </row>
    <row r="19" spans="2:18" x14ac:dyDescent="0.45">
      <c r="B19">
        <v>17</v>
      </c>
      <c r="C19" t="s">
        <v>47</v>
      </c>
      <c r="D19" t="s">
        <v>265</v>
      </c>
      <c r="E19" t="s">
        <v>39</v>
      </c>
      <c r="H19">
        <v>17</v>
      </c>
      <c r="I19" t="s">
        <v>47</v>
      </c>
      <c r="J19" t="s">
        <v>286</v>
      </c>
      <c r="K19" t="s">
        <v>30</v>
      </c>
      <c r="N19">
        <v>17</v>
      </c>
      <c r="O19" t="s">
        <v>47</v>
      </c>
      <c r="P19" t="s">
        <v>307</v>
      </c>
      <c r="Q19" t="s">
        <v>39</v>
      </c>
      <c r="R19">
        <v>5</v>
      </c>
    </row>
    <row r="20" spans="2:18" x14ac:dyDescent="0.45">
      <c r="B20">
        <v>18</v>
      </c>
      <c r="C20" t="s">
        <v>47</v>
      </c>
      <c r="D20" t="s">
        <v>266</v>
      </c>
      <c r="E20" t="s">
        <v>35</v>
      </c>
      <c r="H20">
        <v>18</v>
      </c>
      <c r="I20" t="s">
        <v>47</v>
      </c>
      <c r="J20" t="s">
        <v>287</v>
      </c>
      <c r="K20" t="s">
        <v>37</v>
      </c>
      <c r="N20">
        <v>18</v>
      </c>
      <c r="O20" t="s">
        <v>47</v>
      </c>
      <c r="P20" t="s">
        <v>308</v>
      </c>
      <c r="Q20" t="s">
        <v>43</v>
      </c>
    </row>
    <row r="21" spans="2:18" x14ac:dyDescent="0.45">
      <c r="B21">
        <v>19</v>
      </c>
      <c r="C21" t="s">
        <v>46</v>
      </c>
      <c r="D21" t="s">
        <v>267</v>
      </c>
      <c r="E21" t="s">
        <v>31</v>
      </c>
      <c r="H21">
        <v>19</v>
      </c>
      <c r="I21" t="s">
        <v>46</v>
      </c>
      <c r="J21" t="s">
        <v>288</v>
      </c>
      <c r="K21" t="s">
        <v>27</v>
      </c>
      <c r="N21">
        <v>19</v>
      </c>
      <c r="O21" t="s">
        <v>46</v>
      </c>
      <c r="P21" t="s">
        <v>309</v>
      </c>
      <c r="Q21" t="s">
        <v>31</v>
      </c>
    </row>
    <row r="22" spans="2:18" x14ac:dyDescent="0.45">
      <c r="B22">
        <v>20</v>
      </c>
      <c r="C22" t="s">
        <v>46</v>
      </c>
      <c r="D22" t="s">
        <v>268</v>
      </c>
      <c r="E22" t="s">
        <v>41</v>
      </c>
      <c r="H22">
        <v>20</v>
      </c>
      <c r="I22" t="s">
        <v>46</v>
      </c>
      <c r="J22" t="s">
        <v>289</v>
      </c>
      <c r="K22" t="s">
        <v>42</v>
      </c>
      <c r="L22">
        <v>7</v>
      </c>
      <c r="N22">
        <v>20</v>
      </c>
      <c r="O22" t="s">
        <v>46</v>
      </c>
      <c r="P22" t="s">
        <v>310</v>
      </c>
      <c r="Q22" t="s">
        <v>40</v>
      </c>
    </row>
    <row r="23" spans="2:18" x14ac:dyDescent="0.45">
      <c r="B23">
        <v>21</v>
      </c>
      <c r="C23" t="s">
        <v>46</v>
      </c>
      <c r="D23" t="s">
        <v>269</v>
      </c>
      <c r="E23" t="s">
        <v>34</v>
      </c>
      <c r="H23">
        <v>21</v>
      </c>
      <c r="I23" t="s">
        <v>46</v>
      </c>
      <c r="J23" t="s">
        <v>290</v>
      </c>
      <c r="K23" t="s">
        <v>36</v>
      </c>
      <c r="N23">
        <v>21</v>
      </c>
      <c r="O23" t="s">
        <v>46</v>
      </c>
      <c r="P23" t="s">
        <v>311</v>
      </c>
      <c r="Q23" t="s">
        <v>39</v>
      </c>
    </row>
    <row r="25" spans="2:18" x14ac:dyDescent="0.45">
      <c r="B25">
        <v>1</v>
      </c>
      <c r="C25" t="s">
        <v>45</v>
      </c>
      <c r="D25" t="s">
        <v>215</v>
      </c>
      <c r="E25" t="s">
        <v>28</v>
      </c>
      <c r="F25">
        <v>6.5</v>
      </c>
      <c r="H25">
        <v>1</v>
      </c>
      <c r="I25" t="s">
        <v>45</v>
      </c>
      <c r="J25" t="s">
        <v>194</v>
      </c>
      <c r="K25" t="s">
        <v>43</v>
      </c>
      <c r="L25">
        <v>3.5</v>
      </c>
      <c r="N25">
        <v>1</v>
      </c>
      <c r="O25" t="s">
        <v>45</v>
      </c>
      <c r="P25" t="s">
        <v>49</v>
      </c>
      <c r="Q25" t="s">
        <v>29</v>
      </c>
      <c r="R25">
        <v>4</v>
      </c>
    </row>
    <row r="26" spans="2:18" x14ac:dyDescent="0.45">
      <c r="B26">
        <v>2</v>
      </c>
      <c r="C26" t="s">
        <v>46</v>
      </c>
      <c r="D26" t="s">
        <v>216</v>
      </c>
      <c r="E26" t="s">
        <v>39</v>
      </c>
      <c r="F26">
        <v>5</v>
      </c>
      <c r="H26">
        <v>2</v>
      </c>
      <c r="I26" t="s">
        <v>46</v>
      </c>
      <c r="J26" t="s">
        <v>196</v>
      </c>
      <c r="K26" t="s">
        <v>25</v>
      </c>
      <c r="L26">
        <v>5.5</v>
      </c>
      <c r="N26">
        <v>2</v>
      </c>
      <c r="O26" t="s">
        <v>46</v>
      </c>
      <c r="P26" t="s">
        <v>50</v>
      </c>
      <c r="Q26" t="s">
        <v>31</v>
      </c>
      <c r="R26">
        <v>6.5</v>
      </c>
    </row>
    <row r="27" spans="2:18" x14ac:dyDescent="0.45">
      <c r="B27">
        <v>3</v>
      </c>
      <c r="C27" t="s">
        <v>46</v>
      </c>
      <c r="D27" t="s">
        <v>217</v>
      </c>
      <c r="E27" t="s">
        <v>28</v>
      </c>
      <c r="F27">
        <v>8</v>
      </c>
      <c r="H27">
        <v>3</v>
      </c>
      <c r="I27" t="s">
        <v>46</v>
      </c>
      <c r="J27" t="s">
        <v>197</v>
      </c>
      <c r="K27" t="s">
        <v>34</v>
      </c>
      <c r="L27">
        <v>6</v>
      </c>
      <c r="N27">
        <v>3</v>
      </c>
      <c r="O27" t="s">
        <v>46</v>
      </c>
      <c r="P27" t="s">
        <v>51</v>
      </c>
      <c r="Q27" t="s">
        <v>29</v>
      </c>
      <c r="R27">
        <v>3</v>
      </c>
    </row>
    <row r="28" spans="2:18" x14ac:dyDescent="0.45">
      <c r="B28">
        <v>4</v>
      </c>
      <c r="C28" t="s">
        <v>46</v>
      </c>
      <c r="D28" t="s">
        <v>218</v>
      </c>
      <c r="E28" t="s">
        <v>43</v>
      </c>
      <c r="F28">
        <v>6</v>
      </c>
      <c r="H28">
        <v>4</v>
      </c>
      <c r="I28" t="s">
        <v>46</v>
      </c>
      <c r="J28" t="s">
        <v>212</v>
      </c>
      <c r="K28" t="s">
        <v>25</v>
      </c>
      <c r="N28">
        <v>4</v>
      </c>
      <c r="O28" t="s">
        <v>46</v>
      </c>
      <c r="P28" t="s">
        <v>59</v>
      </c>
      <c r="Q28" t="s">
        <v>33</v>
      </c>
      <c r="R28">
        <v>6</v>
      </c>
    </row>
    <row r="29" spans="2:18" x14ac:dyDescent="0.45">
      <c r="B29">
        <v>5</v>
      </c>
      <c r="C29" t="s">
        <v>47</v>
      </c>
      <c r="D29" t="s">
        <v>219</v>
      </c>
      <c r="E29" t="s">
        <v>33</v>
      </c>
      <c r="F29">
        <v>5.5</v>
      </c>
      <c r="H29">
        <v>5</v>
      </c>
      <c r="I29" t="s">
        <v>46</v>
      </c>
      <c r="J29" t="s">
        <v>198</v>
      </c>
      <c r="K29" t="s">
        <v>28</v>
      </c>
      <c r="L29">
        <v>7</v>
      </c>
      <c r="N29">
        <v>5</v>
      </c>
      <c r="O29" t="s">
        <v>46</v>
      </c>
      <c r="P29" t="s">
        <v>52</v>
      </c>
      <c r="Q29" t="s">
        <v>25</v>
      </c>
      <c r="R29">
        <v>5.5</v>
      </c>
    </row>
    <row r="30" spans="2:18" x14ac:dyDescent="0.45">
      <c r="B30">
        <v>6</v>
      </c>
      <c r="C30" t="s">
        <v>47</v>
      </c>
      <c r="D30" t="s">
        <v>162</v>
      </c>
      <c r="E30" t="s">
        <v>40</v>
      </c>
      <c r="F30">
        <v>5.5</v>
      </c>
      <c r="H30">
        <v>6</v>
      </c>
      <c r="I30" t="s">
        <v>47</v>
      </c>
      <c r="J30" t="s">
        <v>199</v>
      </c>
      <c r="K30" t="s">
        <v>35</v>
      </c>
      <c r="L30">
        <v>6.5</v>
      </c>
      <c r="N30">
        <v>6</v>
      </c>
      <c r="O30" t="s">
        <v>47</v>
      </c>
      <c r="P30" t="s">
        <v>53</v>
      </c>
      <c r="Q30" t="s">
        <v>34</v>
      </c>
      <c r="R30">
        <v>6.5</v>
      </c>
    </row>
    <row r="31" spans="2:18" x14ac:dyDescent="0.45">
      <c r="B31">
        <v>7</v>
      </c>
      <c r="C31" t="s">
        <v>47</v>
      </c>
      <c r="D31" t="s">
        <v>220</v>
      </c>
      <c r="E31" t="s">
        <v>27</v>
      </c>
      <c r="F31">
        <v>5</v>
      </c>
      <c r="H31">
        <v>7</v>
      </c>
      <c r="I31" t="s">
        <v>47</v>
      </c>
      <c r="J31" t="s">
        <v>200</v>
      </c>
      <c r="K31" t="s">
        <v>44</v>
      </c>
      <c r="N31">
        <v>7</v>
      </c>
      <c r="O31" t="s">
        <v>47</v>
      </c>
      <c r="P31" t="s">
        <v>60</v>
      </c>
      <c r="Q31" t="s">
        <v>39</v>
      </c>
      <c r="R31">
        <v>5</v>
      </c>
    </row>
    <row r="32" spans="2:18" x14ac:dyDescent="0.45">
      <c r="B32">
        <v>8</v>
      </c>
      <c r="C32" t="s">
        <v>47</v>
      </c>
      <c r="D32" t="s">
        <v>221</v>
      </c>
      <c r="E32" t="s">
        <v>37</v>
      </c>
      <c r="F32">
        <v>6.5</v>
      </c>
      <c r="H32">
        <v>8</v>
      </c>
      <c r="I32" t="s">
        <v>47</v>
      </c>
      <c r="J32" t="s">
        <v>201</v>
      </c>
      <c r="K32" t="s">
        <v>25</v>
      </c>
      <c r="L32">
        <v>6</v>
      </c>
      <c r="N32">
        <v>8</v>
      </c>
      <c r="O32" t="s">
        <v>47</v>
      </c>
      <c r="P32" t="s">
        <v>63</v>
      </c>
      <c r="Q32" t="s">
        <v>39</v>
      </c>
      <c r="R32">
        <v>5.5</v>
      </c>
    </row>
    <row r="33" spans="2:18" x14ac:dyDescent="0.45">
      <c r="B33">
        <v>9</v>
      </c>
      <c r="C33" t="s">
        <v>48</v>
      </c>
      <c r="D33" t="s">
        <v>222</v>
      </c>
      <c r="E33" t="s">
        <v>28</v>
      </c>
      <c r="F33">
        <v>10</v>
      </c>
      <c r="H33">
        <v>9</v>
      </c>
      <c r="I33" t="s">
        <v>48</v>
      </c>
      <c r="J33" t="s">
        <v>202</v>
      </c>
      <c r="K33" t="s">
        <v>25</v>
      </c>
      <c r="L33">
        <v>5.5</v>
      </c>
      <c r="N33">
        <v>9</v>
      </c>
      <c r="O33" t="s">
        <v>48</v>
      </c>
      <c r="P33" t="s">
        <v>57</v>
      </c>
      <c r="Q33" t="s">
        <v>37</v>
      </c>
      <c r="R33">
        <v>7</v>
      </c>
    </row>
    <row r="34" spans="2:18" x14ac:dyDescent="0.45">
      <c r="B34">
        <v>10</v>
      </c>
      <c r="C34" t="s">
        <v>48</v>
      </c>
      <c r="D34" t="s">
        <v>164</v>
      </c>
      <c r="E34" t="s">
        <v>26</v>
      </c>
      <c r="F34">
        <v>6.5</v>
      </c>
      <c r="H34">
        <v>10</v>
      </c>
      <c r="I34" t="s">
        <v>48</v>
      </c>
      <c r="J34" t="s">
        <v>203</v>
      </c>
      <c r="K34" t="s">
        <v>35</v>
      </c>
      <c r="L34">
        <v>10.5</v>
      </c>
      <c r="N34">
        <v>10</v>
      </c>
      <c r="O34" t="s">
        <v>48</v>
      </c>
      <c r="P34" t="s">
        <v>64</v>
      </c>
      <c r="Q34" t="s">
        <v>28</v>
      </c>
    </row>
    <row r="35" spans="2:18" x14ac:dyDescent="0.45">
      <c r="B35">
        <v>11</v>
      </c>
      <c r="C35" t="s">
        <v>48</v>
      </c>
      <c r="D35" t="s">
        <v>165</v>
      </c>
      <c r="E35" t="s">
        <v>27</v>
      </c>
      <c r="F35">
        <v>7.5</v>
      </c>
      <c r="H35">
        <v>11</v>
      </c>
      <c r="I35" t="s">
        <v>48</v>
      </c>
      <c r="J35" t="s">
        <v>204</v>
      </c>
      <c r="K35" t="s">
        <v>29</v>
      </c>
      <c r="L35">
        <v>5.5</v>
      </c>
      <c r="N35">
        <v>11</v>
      </c>
      <c r="O35" t="s">
        <v>48</v>
      </c>
      <c r="P35" t="s">
        <v>62</v>
      </c>
      <c r="Q35" t="s">
        <v>44</v>
      </c>
      <c r="R35">
        <v>6</v>
      </c>
    </row>
    <row r="36" spans="2:18" x14ac:dyDescent="0.45">
      <c r="B36" t="s">
        <v>166</v>
      </c>
      <c r="H36" t="s">
        <v>166</v>
      </c>
      <c r="N36" t="s">
        <v>166</v>
      </c>
    </row>
    <row r="37" spans="2:18" x14ac:dyDescent="0.45">
      <c r="B37">
        <v>12</v>
      </c>
      <c r="C37" t="s">
        <v>45</v>
      </c>
      <c r="D37" t="s">
        <v>312</v>
      </c>
      <c r="E37" t="s">
        <v>28</v>
      </c>
      <c r="H37">
        <v>12</v>
      </c>
      <c r="I37" t="s">
        <v>45</v>
      </c>
      <c r="J37" t="s">
        <v>205</v>
      </c>
      <c r="K37" t="s">
        <v>31</v>
      </c>
      <c r="N37">
        <v>12</v>
      </c>
      <c r="O37" t="s">
        <v>45</v>
      </c>
      <c r="P37" t="s">
        <v>58</v>
      </c>
      <c r="Q37" t="s">
        <v>36</v>
      </c>
    </row>
    <row r="38" spans="2:18" x14ac:dyDescent="0.45">
      <c r="B38">
        <v>13</v>
      </c>
      <c r="C38" t="s">
        <v>48</v>
      </c>
      <c r="D38" t="s">
        <v>223</v>
      </c>
      <c r="E38" t="s">
        <v>36</v>
      </c>
      <c r="H38">
        <v>13</v>
      </c>
      <c r="I38" t="s">
        <v>48</v>
      </c>
      <c r="J38" t="s">
        <v>206</v>
      </c>
      <c r="K38" t="s">
        <v>37</v>
      </c>
      <c r="N38">
        <v>13</v>
      </c>
      <c r="O38" t="s">
        <v>48</v>
      </c>
      <c r="P38" t="s">
        <v>55</v>
      </c>
      <c r="Q38" t="s">
        <v>30</v>
      </c>
      <c r="R38">
        <v>11.5</v>
      </c>
    </row>
    <row r="39" spans="2:18" x14ac:dyDescent="0.45">
      <c r="B39">
        <v>14</v>
      </c>
      <c r="C39" t="s">
        <v>48</v>
      </c>
      <c r="D39" t="s">
        <v>163</v>
      </c>
      <c r="E39" t="s">
        <v>38</v>
      </c>
      <c r="H39">
        <v>14</v>
      </c>
      <c r="I39" t="s">
        <v>48</v>
      </c>
      <c r="J39" t="s">
        <v>207</v>
      </c>
      <c r="K39" t="s">
        <v>41</v>
      </c>
      <c r="N39">
        <v>14</v>
      </c>
      <c r="O39" t="s">
        <v>48</v>
      </c>
      <c r="P39" t="s">
        <v>56</v>
      </c>
      <c r="Q39" t="s">
        <v>43</v>
      </c>
    </row>
    <row r="40" spans="2:18" x14ac:dyDescent="0.45">
      <c r="B40">
        <v>15</v>
      </c>
      <c r="C40" t="s">
        <v>48</v>
      </c>
      <c r="D40" t="s">
        <v>224</v>
      </c>
      <c r="E40" t="s">
        <v>32</v>
      </c>
      <c r="H40">
        <v>15</v>
      </c>
      <c r="I40" t="s">
        <v>48</v>
      </c>
      <c r="J40" t="s">
        <v>208</v>
      </c>
      <c r="K40" t="s">
        <v>27</v>
      </c>
      <c r="N40">
        <v>15</v>
      </c>
      <c r="O40" t="s">
        <v>48</v>
      </c>
      <c r="P40" t="s">
        <v>190</v>
      </c>
      <c r="Q40" t="s">
        <v>42</v>
      </c>
    </row>
    <row r="41" spans="2:18" x14ac:dyDescent="0.45">
      <c r="B41">
        <v>16</v>
      </c>
      <c r="C41" t="s">
        <v>47</v>
      </c>
      <c r="D41" t="s">
        <v>225</v>
      </c>
      <c r="E41" t="s">
        <v>41</v>
      </c>
      <c r="H41">
        <v>16</v>
      </c>
      <c r="I41" t="s">
        <v>47</v>
      </c>
      <c r="J41" t="s">
        <v>210</v>
      </c>
      <c r="K41" t="s">
        <v>28</v>
      </c>
      <c r="L41">
        <v>6</v>
      </c>
      <c r="N41">
        <v>16</v>
      </c>
      <c r="O41" t="s">
        <v>47</v>
      </c>
      <c r="P41" t="s">
        <v>65</v>
      </c>
      <c r="Q41" t="s">
        <v>34</v>
      </c>
    </row>
    <row r="42" spans="2:18" x14ac:dyDescent="0.45">
      <c r="B42">
        <v>17</v>
      </c>
      <c r="C42" t="s">
        <v>47</v>
      </c>
      <c r="D42" t="s">
        <v>226</v>
      </c>
      <c r="E42" t="s">
        <v>31</v>
      </c>
      <c r="H42">
        <v>17</v>
      </c>
      <c r="I42" t="s">
        <v>47</v>
      </c>
      <c r="J42" t="s">
        <v>209</v>
      </c>
      <c r="K42" t="s">
        <v>35</v>
      </c>
      <c r="N42">
        <v>17</v>
      </c>
      <c r="O42" t="s">
        <v>47</v>
      </c>
      <c r="P42" t="s">
        <v>54</v>
      </c>
      <c r="Q42" t="s">
        <v>43</v>
      </c>
    </row>
    <row r="43" spans="2:18" x14ac:dyDescent="0.45">
      <c r="B43">
        <v>18</v>
      </c>
      <c r="C43" t="s">
        <v>47</v>
      </c>
      <c r="D43" t="s">
        <v>313</v>
      </c>
      <c r="E43" t="s">
        <v>30</v>
      </c>
      <c r="H43">
        <v>18</v>
      </c>
      <c r="I43" t="s">
        <v>47</v>
      </c>
      <c r="J43" t="s">
        <v>211</v>
      </c>
      <c r="K43" t="s">
        <v>42</v>
      </c>
      <c r="N43">
        <v>18</v>
      </c>
      <c r="O43" t="s">
        <v>47</v>
      </c>
      <c r="P43" t="s">
        <v>191</v>
      </c>
      <c r="Q43" t="s">
        <v>44</v>
      </c>
    </row>
    <row r="44" spans="2:18" x14ac:dyDescent="0.45">
      <c r="B44">
        <v>19</v>
      </c>
      <c r="C44" t="s">
        <v>46</v>
      </c>
      <c r="D44" t="s">
        <v>160</v>
      </c>
      <c r="E44" t="s">
        <v>32</v>
      </c>
      <c r="H44">
        <v>19</v>
      </c>
      <c r="I44" t="s">
        <v>46</v>
      </c>
      <c r="J44" t="s">
        <v>195</v>
      </c>
      <c r="K44" t="s">
        <v>42</v>
      </c>
      <c r="L44">
        <v>6.5</v>
      </c>
      <c r="N44">
        <v>19</v>
      </c>
      <c r="O44" t="s">
        <v>46</v>
      </c>
      <c r="P44" t="s">
        <v>61</v>
      </c>
      <c r="Q44" t="s">
        <v>43</v>
      </c>
    </row>
    <row r="45" spans="2:18" x14ac:dyDescent="0.45">
      <c r="B45">
        <v>20</v>
      </c>
      <c r="C45" t="s">
        <v>46</v>
      </c>
      <c r="D45" t="s">
        <v>227</v>
      </c>
      <c r="E45" t="s">
        <v>41</v>
      </c>
      <c r="H45">
        <v>20</v>
      </c>
      <c r="I45" t="s">
        <v>46</v>
      </c>
      <c r="J45" t="s">
        <v>213</v>
      </c>
      <c r="K45" t="s">
        <v>42</v>
      </c>
      <c r="N45">
        <v>20</v>
      </c>
      <c r="O45" t="s">
        <v>46</v>
      </c>
      <c r="P45" t="s">
        <v>192</v>
      </c>
      <c r="Q45" t="s">
        <v>40</v>
      </c>
    </row>
    <row r="46" spans="2:18" x14ac:dyDescent="0.45">
      <c r="B46">
        <v>21</v>
      </c>
      <c r="C46" t="s">
        <v>46</v>
      </c>
      <c r="D46" t="s">
        <v>161</v>
      </c>
      <c r="E46" t="s">
        <v>27</v>
      </c>
      <c r="H46">
        <v>21</v>
      </c>
      <c r="I46" t="s">
        <v>46</v>
      </c>
      <c r="J46" t="s">
        <v>214</v>
      </c>
      <c r="K46" t="s">
        <v>25</v>
      </c>
      <c r="N46">
        <v>21</v>
      </c>
      <c r="O46" t="s">
        <v>46</v>
      </c>
      <c r="P46" t="s">
        <v>193</v>
      </c>
      <c r="Q46" t="s">
        <v>35</v>
      </c>
    </row>
    <row r="48" spans="2:18" x14ac:dyDescent="0.45">
      <c r="B48">
        <v>1</v>
      </c>
      <c r="C48" t="s">
        <v>45</v>
      </c>
      <c r="D48" t="s">
        <v>143</v>
      </c>
      <c r="E48" t="s">
        <v>26</v>
      </c>
      <c r="F48">
        <v>4</v>
      </c>
      <c r="H48">
        <v>1</v>
      </c>
      <c r="I48" t="s">
        <v>45</v>
      </c>
      <c r="J48" t="s">
        <v>168</v>
      </c>
      <c r="K48" t="s">
        <v>38</v>
      </c>
      <c r="L48">
        <v>4</v>
      </c>
      <c r="N48">
        <v>1</v>
      </c>
      <c r="O48" t="s">
        <v>45</v>
      </c>
      <c r="P48" t="s">
        <v>228</v>
      </c>
      <c r="Q48" t="s">
        <v>25</v>
      </c>
      <c r="R48">
        <v>4</v>
      </c>
    </row>
    <row r="49" spans="2:18" x14ac:dyDescent="0.45">
      <c r="B49">
        <v>2</v>
      </c>
      <c r="C49" t="s">
        <v>46</v>
      </c>
      <c r="D49" t="s">
        <v>144</v>
      </c>
      <c r="E49" t="s">
        <v>37</v>
      </c>
      <c r="F49">
        <v>7.5</v>
      </c>
      <c r="H49">
        <v>2</v>
      </c>
      <c r="I49" t="s">
        <v>46</v>
      </c>
      <c r="J49" t="s">
        <v>169</v>
      </c>
      <c r="K49" t="s">
        <v>42</v>
      </c>
      <c r="L49">
        <v>6.5</v>
      </c>
      <c r="N49">
        <v>2</v>
      </c>
      <c r="O49" t="s">
        <v>46</v>
      </c>
      <c r="P49" t="s">
        <v>229</v>
      </c>
      <c r="Q49" t="s">
        <v>25</v>
      </c>
      <c r="R49">
        <v>6</v>
      </c>
    </row>
    <row r="50" spans="2:18" x14ac:dyDescent="0.45">
      <c r="B50">
        <v>3</v>
      </c>
      <c r="C50" t="s">
        <v>46</v>
      </c>
      <c r="D50" t="s">
        <v>146</v>
      </c>
      <c r="E50" t="s">
        <v>29</v>
      </c>
      <c r="F50">
        <v>5</v>
      </c>
      <c r="H50">
        <v>3</v>
      </c>
      <c r="I50" t="s">
        <v>46</v>
      </c>
      <c r="J50" t="s">
        <v>170</v>
      </c>
      <c r="K50" t="s">
        <v>26</v>
      </c>
      <c r="L50">
        <v>5.5</v>
      </c>
      <c r="N50">
        <v>3</v>
      </c>
      <c r="O50" t="s">
        <v>46</v>
      </c>
      <c r="P50" t="s">
        <v>230</v>
      </c>
      <c r="Q50" t="s">
        <v>43</v>
      </c>
      <c r="R50">
        <v>5.5</v>
      </c>
    </row>
    <row r="51" spans="2:18" x14ac:dyDescent="0.45">
      <c r="B51">
        <v>4</v>
      </c>
      <c r="C51" t="s">
        <v>46</v>
      </c>
      <c r="D51" t="s">
        <v>148</v>
      </c>
      <c r="E51" t="s">
        <v>37</v>
      </c>
      <c r="F51">
        <v>5.5</v>
      </c>
      <c r="H51">
        <v>4</v>
      </c>
      <c r="I51" t="s">
        <v>46</v>
      </c>
      <c r="J51" t="s">
        <v>171</v>
      </c>
      <c r="K51" t="s">
        <v>35</v>
      </c>
      <c r="L51">
        <v>7</v>
      </c>
      <c r="N51">
        <v>4</v>
      </c>
      <c r="O51" t="s">
        <v>46</v>
      </c>
      <c r="P51" t="s">
        <v>231</v>
      </c>
      <c r="Q51" t="s">
        <v>36</v>
      </c>
      <c r="R51">
        <v>4.5</v>
      </c>
    </row>
    <row r="52" spans="2:18" x14ac:dyDescent="0.45">
      <c r="B52">
        <v>5</v>
      </c>
      <c r="C52" t="s">
        <v>47</v>
      </c>
      <c r="D52" t="s">
        <v>149</v>
      </c>
      <c r="E52" t="s">
        <v>39</v>
      </c>
      <c r="F52">
        <v>6.5</v>
      </c>
      <c r="H52">
        <v>5</v>
      </c>
      <c r="I52" t="s">
        <v>47</v>
      </c>
      <c r="J52" t="s">
        <v>172</v>
      </c>
      <c r="K52" t="s">
        <v>40</v>
      </c>
      <c r="L52">
        <v>6</v>
      </c>
      <c r="N52">
        <v>5</v>
      </c>
      <c r="O52" t="s">
        <v>47</v>
      </c>
      <c r="P52" t="s">
        <v>232</v>
      </c>
      <c r="Q52" t="s">
        <v>26</v>
      </c>
      <c r="R52">
        <v>14</v>
      </c>
    </row>
    <row r="53" spans="2:18" x14ac:dyDescent="0.45">
      <c r="B53">
        <v>6</v>
      </c>
      <c r="C53" t="s">
        <v>47</v>
      </c>
      <c r="D53" t="s">
        <v>150</v>
      </c>
      <c r="E53" t="s">
        <v>27</v>
      </c>
      <c r="F53">
        <v>5.5</v>
      </c>
      <c r="H53">
        <v>6</v>
      </c>
      <c r="I53" t="s">
        <v>47</v>
      </c>
      <c r="J53" t="s">
        <v>174</v>
      </c>
      <c r="K53" t="s">
        <v>26</v>
      </c>
      <c r="L53">
        <v>6.5</v>
      </c>
      <c r="N53">
        <v>6</v>
      </c>
      <c r="O53" t="s">
        <v>47</v>
      </c>
      <c r="P53" t="s">
        <v>233</v>
      </c>
      <c r="Q53" t="s">
        <v>37</v>
      </c>
      <c r="R53">
        <v>7.5</v>
      </c>
    </row>
    <row r="54" spans="2:18" x14ac:dyDescent="0.45">
      <c r="B54">
        <v>7</v>
      </c>
      <c r="C54" t="s">
        <v>47</v>
      </c>
      <c r="D54" t="s">
        <v>151</v>
      </c>
      <c r="E54" t="s">
        <v>37</v>
      </c>
      <c r="F54">
        <v>9.5</v>
      </c>
      <c r="H54">
        <v>7</v>
      </c>
      <c r="I54" t="s">
        <v>47</v>
      </c>
      <c r="J54" t="s">
        <v>175</v>
      </c>
      <c r="K54" t="s">
        <v>34</v>
      </c>
      <c r="L54">
        <v>6</v>
      </c>
      <c r="N54">
        <v>7</v>
      </c>
      <c r="O54" t="s">
        <v>47</v>
      </c>
      <c r="P54" t="s">
        <v>234</v>
      </c>
      <c r="Q54" t="s">
        <v>39</v>
      </c>
      <c r="R54">
        <v>5.5</v>
      </c>
    </row>
    <row r="55" spans="2:18" x14ac:dyDescent="0.45">
      <c r="B55">
        <v>8</v>
      </c>
      <c r="C55" t="s">
        <v>47</v>
      </c>
      <c r="D55" t="s">
        <v>156</v>
      </c>
      <c r="E55" t="s">
        <v>32</v>
      </c>
      <c r="F55">
        <v>10.5</v>
      </c>
      <c r="H55">
        <v>8</v>
      </c>
      <c r="I55" t="s">
        <v>47</v>
      </c>
      <c r="J55" t="s">
        <v>183</v>
      </c>
      <c r="K55" t="s">
        <v>40</v>
      </c>
      <c r="L55">
        <v>5.5</v>
      </c>
      <c r="N55">
        <v>8</v>
      </c>
      <c r="O55" t="s">
        <v>47</v>
      </c>
      <c r="P55" t="s">
        <v>235</v>
      </c>
      <c r="Q55" t="s">
        <v>35</v>
      </c>
      <c r="R55">
        <v>6.5</v>
      </c>
    </row>
    <row r="56" spans="2:18" x14ac:dyDescent="0.45">
      <c r="B56">
        <v>9</v>
      </c>
      <c r="C56" t="s">
        <v>48</v>
      </c>
      <c r="D56" t="s">
        <v>152</v>
      </c>
      <c r="E56" t="s">
        <v>44</v>
      </c>
      <c r="F56">
        <v>6</v>
      </c>
      <c r="H56">
        <v>9</v>
      </c>
      <c r="I56" t="s">
        <v>48</v>
      </c>
      <c r="J56" t="s">
        <v>176</v>
      </c>
      <c r="K56" t="s">
        <v>36</v>
      </c>
      <c r="L56">
        <v>6</v>
      </c>
      <c r="N56">
        <v>9</v>
      </c>
      <c r="O56" t="s">
        <v>48</v>
      </c>
      <c r="P56" t="s">
        <v>236</v>
      </c>
      <c r="Q56" t="s">
        <v>43</v>
      </c>
      <c r="R56">
        <v>5</v>
      </c>
    </row>
    <row r="57" spans="2:18" x14ac:dyDescent="0.45">
      <c r="B57">
        <v>10</v>
      </c>
      <c r="C57" t="s">
        <v>48</v>
      </c>
      <c r="D57" t="s">
        <v>155</v>
      </c>
      <c r="E57" t="s">
        <v>42</v>
      </c>
      <c r="F57">
        <v>5</v>
      </c>
      <c r="H57">
        <v>10</v>
      </c>
      <c r="I57" t="s">
        <v>48</v>
      </c>
      <c r="J57" t="s">
        <v>178</v>
      </c>
      <c r="K57" t="s">
        <v>35</v>
      </c>
      <c r="L57">
        <v>6</v>
      </c>
      <c r="N57">
        <v>10</v>
      </c>
      <c r="O57" t="s">
        <v>48</v>
      </c>
      <c r="P57" t="s">
        <v>237</v>
      </c>
      <c r="Q57" t="s">
        <v>44</v>
      </c>
      <c r="R57">
        <v>5</v>
      </c>
    </row>
    <row r="58" spans="2:18" x14ac:dyDescent="0.45">
      <c r="B58">
        <v>11</v>
      </c>
      <c r="C58" t="s">
        <v>48</v>
      </c>
      <c r="D58" t="s">
        <v>188</v>
      </c>
      <c r="E58" t="s">
        <v>29</v>
      </c>
      <c r="F58">
        <v>5</v>
      </c>
      <c r="H58">
        <v>11</v>
      </c>
      <c r="I58" t="s">
        <v>48</v>
      </c>
      <c r="J58" t="s">
        <v>180</v>
      </c>
      <c r="K58" t="s">
        <v>25</v>
      </c>
      <c r="N58">
        <v>11</v>
      </c>
      <c r="O58" t="s">
        <v>48</v>
      </c>
      <c r="P58" t="s">
        <v>238</v>
      </c>
      <c r="Q58" t="s">
        <v>29</v>
      </c>
      <c r="R58">
        <v>5</v>
      </c>
    </row>
    <row r="59" spans="2:18" x14ac:dyDescent="0.45">
      <c r="B59" t="s">
        <v>166</v>
      </c>
      <c r="H59" t="s">
        <v>166</v>
      </c>
      <c r="N59" t="s">
        <v>166</v>
      </c>
    </row>
    <row r="60" spans="2:18" x14ac:dyDescent="0.45">
      <c r="B60">
        <v>12</v>
      </c>
      <c r="C60" t="s">
        <v>45</v>
      </c>
      <c r="D60" t="s">
        <v>153</v>
      </c>
      <c r="E60" t="s">
        <v>26</v>
      </c>
      <c r="H60">
        <v>12</v>
      </c>
      <c r="I60" t="s">
        <v>45</v>
      </c>
      <c r="J60" t="s">
        <v>179</v>
      </c>
      <c r="K60" t="s">
        <v>34</v>
      </c>
      <c r="N60">
        <v>12</v>
      </c>
      <c r="O60" t="s">
        <v>45</v>
      </c>
      <c r="P60" t="s">
        <v>239</v>
      </c>
      <c r="Q60" t="s">
        <v>25</v>
      </c>
    </row>
    <row r="61" spans="2:18" x14ac:dyDescent="0.45">
      <c r="B61">
        <v>13</v>
      </c>
      <c r="C61" t="s">
        <v>48</v>
      </c>
      <c r="D61" t="s">
        <v>154</v>
      </c>
      <c r="E61" t="s">
        <v>34</v>
      </c>
      <c r="H61">
        <v>13</v>
      </c>
      <c r="I61" t="s">
        <v>48</v>
      </c>
      <c r="J61" t="s">
        <v>177</v>
      </c>
      <c r="K61" t="s">
        <v>40</v>
      </c>
      <c r="L61">
        <v>6</v>
      </c>
      <c r="N61">
        <v>13</v>
      </c>
      <c r="O61" t="s">
        <v>48</v>
      </c>
      <c r="P61" t="s">
        <v>240</v>
      </c>
      <c r="Q61" t="s">
        <v>26</v>
      </c>
    </row>
    <row r="62" spans="2:18" x14ac:dyDescent="0.45">
      <c r="B62">
        <v>14</v>
      </c>
      <c r="C62" t="s">
        <v>48</v>
      </c>
      <c r="D62" t="s">
        <v>141</v>
      </c>
      <c r="E62" t="s">
        <v>26</v>
      </c>
      <c r="H62">
        <v>14</v>
      </c>
      <c r="I62" t="s">
        <v>48</v>
      </c>
      <c r="J62" t="s">
        <v>181</v>
      </c>
      <c r="K62" t="s">
        <v>40</v>
      </c>
      <c r="N62">
        <v>14</v>
      </c>
      <c r="O62" t="s">
        <v>48</v>
      </c>
      <c r="P62" t="s">
        <v>241</v>
      </c>
      <c r="Q62" t="s">
        <v>40</v>
      </c>
    </row>
    <row r="63" spans="2:18" x14ac:dyDescent="0.45">
      <c r="B63">
        <v>15</v>
      </c>
      <c r="C63" t="s">
        <v>48</v>
      </c>
      <c r="D63" t="s">
        <v>142</v>
      </c>
      <c r="E63" t="s">
        <v>42</v>
      </c>
      <c r="H63">
        <v>15</v>
      </c>
      <c r="I63" t="s">
        <v>48</v>
      </c>
      <c r="J63" t="s">
        <v>182</v>
      </c>
      <c r="K63" t="s">
        <v>40</v>
      </c>
      <c r="N63">
        <v>15</v>
      </c>
      <c r="O63" t="s">
        <v>48</v>
      </c>
      <c r="P63" t="s">
        <v>242</v>
      </c>
      <c r="Q63" t="s">
        <v>43</v>
      </c>
    </row>
    <row r="64" spans="2:18" x14ac:dyDescent="0.45">
      <c r="B64">
        <v>16</v>
      </c>
      <c r="C64" t="s">
        <v>47</v>
      </c>
      <c r="D64" t="s">
        <v>157</v>
      </c>
      <c r="E64" t="s">
        <v>27</v>
      </c>
      <c r="H64">
        <v>16</v>
      </c>
      <c r="I64" t="s">
        <v>47</v>
      </c>
      <c r="J64" t="s">
        <v>173</v>
      </c>
      <c r="K64" t="s">
        <v>40</v>
      </c>
      <c r="N64">
        <v>16</v>
      </c>
      <c r="O64" t="s">
        <v>47</v>
      </c>
      <c r="P64" t="s">
        <v>243</v>
      </c>
      <c r="Q64" t="s">
        <v>39</v>
      </c>
    </row>
    <row r="65" spans="2:17" x14ac:dyDescent="0.45">
      <c r="B65">
        <v>17</v>
      </c>
      <c r="C65" t="s">
        <v>47</v>
      </c>
      <c r="D65" t="s">
        <v>189</v>
      </c>
      <c r="E65" t="s">
        <v>26</v>
      </c>
      <c r="H65">
        <v>17</v>
      </c>
      <c r="I65" t="s">
        <v>47</v>
      </c>
      <c r="J65" t="s">
        <v>184</v>
      </c>
      <c r="K65" t="s">
        <v>40</v>
      </c>
      <c r="N65">
        <v>17</v>
      </c>
      <c r="O65" t="s">
        <v>47</v>
      </c>
      <c r="P65" t="s">
        <v>244</v>
      </c>
      <c r="Q65" t="s">
        <v>29</v>
      </c>
    </row>
    <row r="66" spans="2:17" x14ac:dyDescent="0.45">
      <c r="B66">
        <v>18</v>
      </c>
      <c r="C66" t="s">
        <v>47</v>
      </c>
      <c r="D66" t="s">
        <v>158</v>
      </c>
      <c r="E66" t="s">
        <v>37</v>
      </c>
      <c r="H66">
        <v>18</v>
      </c>
      <c r="I66" t="s">
        <v>47</v>
      </c>
      <c r="J66" t="s">
        <v>185</v>
      </c>
      <c r="K66" t="s">
        <v>40</v>
      </c>
      <c r="N66">
        <v>18</v>
      </c>
      <c r="O66" t="s">
        <v>47</v>
      </c>
      <c r="P66" t="s">
        <v>245</v>
      </c>
      <c r="Q66" t="s">
        <v>26</v>
      </c>
    </row>
    <row r="67" spans="2:17" x14ac:dyDescent="0.45">
      <c r="B67">
        <v>19</v>
      </c>
      <c r="C67" t="s">
        <v>46</v>
      </c>
      <c r="D67" t="s">
        <v>145</v>
      </c>
      <c r="E67" t="s">
        <v>26</v>
      </c>
      <c r="H67">
        <v>19</v>
      </c>
      <c r="I67" t="s">
        <v>46</v>
      </c>
      <c r="J67" t="s">
        <v>186</v>
      </c>
      <c r="K67" t="s">
        <v>30</v>
      </c>
      <c r="N67">
        <v>19</v>
      </c>
      <c r="O67" t="s">
        <v>46</v>
      </c>
      <c r="P67" t="s">
        <v>246</v>
      </c>
      <c r="Q67" t="s">
        <v>27</v>
      </c>
    </row>
    <row r="68" spans="2:17" x14ac:dyDescent="0.45">
      <c r="B68">
        <v>20</v>
      </c>
      <c r="C68" t="s">
        <v>46</v>
      </c>
      <c r="D68" t="s">
        <v>147</v>
      </c>
      <c r="E68" t="s">
        <v>27</v>
      </c>
      <c r="H68">
        <v>20</v>
      </c>
      <c r="I68" t="s">
        <v>46</v>
      </c>
      <c r="J68" t="s">
        <v>187</v>
      </c>
      <c r="K68" t="s">
        <v>34</v>
      </c>
      <c r="N68">
        <v>20</v>
      </c>
      <c r="O68" t="s">
        <v>46</v>
      </c>
      <c r="P68" t="s">
        <v>247</v>
      </c>
      <c r="Q68" t="s">
        <v>26</v>
      </c>
    </row>
    <row r="69" spans="2:17" x14ac:dyDescent="0.45">
      <c r="B69">
        <v>21</v>
      </c>
      <c r="C69" t="s">
        <v>46</v>
      </c>
      <c r="D69" t="s">
        <v>159</v>
      </c>
      <c r="E69" t="s">
        <v>26</v>
      </c>
      <c r="H69">
        <v>21</v>
      </c>
      <c r="I69" t="s">
        <v>46</v>
      </c>
      <c r="J69" t="s">
        <v>314</v>
      </c>
      <c r="K69" t="s">
        <v>40</v>
      </c>
      <c r="N69">
        <v>21</v>
      </c>
      <c r="O69" t="s">
        <v>46</v>
      </c>
      <c r="P69" t="s">
        <v>248</v>
      </c>
      <c r="Q69" t="s">
        <v>41</v>
      </c>
    </row>
    <row r="70" spans="2:17" x14ac:dyDescent="0.45">
      <c r="B70" t="s">
        <v>167</v>
      </c>
    </row>
    <row r="71" spans="2:17" x14ac:dyDescent="0.45">
      <c r="B71">
        <v>1</v>
      </c>
      <c r="C71" t="s">
        <v>45</v>
      </c>
      <c r="D71" t="s">
        <v>315</v>
      </c>
      <c r="E71" t="s">
        <v>35</v>
      </c>
      <c r="F71">
        <v>7</v>
      </c>
    </row>
    <row r="72" spans="2:17" x14ac:dyDescent="0.45">
      <c r="B72">
        <v>2</v>
      </c>
      <c r="C72" t="s">
        <v>46</v>
      </c>
      <c r="D72" t="s">
        <v>316</v>
      </c>
      <c r="E72" t="s">
        <v>44</v>
      </c>
      <c r="F72">
        <v>5.5</v>
      </c>
    </row>
    <row r="73" spans="2:17" x14ac:dyDescent="0.45">
      <c r="B73">
        <v>3</v>
      </c>
      <c r="C73" t="s">
        <v>46</v>
      </c>
      <c r="D73" t="s">
        <v>333</v>
      </c>
      <c r="E73" t="s">
        <v>44</v>
      </c>
      <c r="F73">
        <v>6.5</v>
      </c>
    </row>
    <row r="74" spans="2:17" x14ac:dyDescent="0.45">
      <c r="B74">
        <v>4</v>
      </c>
      <c r="C74" t="s">
        <v>46</v>
      </c>
      <c r="D74" t="s">
        <v>318</v>
      </c>
      <c r="E74" t="s">
        <v>44</v>
      </c>
      <c r="F74">
        <v>5.5</v>
      </c>
    </row>
    <row r="75" spans="2:17" x14ac:dyDescent="0.45">
      <c r="B75">
        <v>5</v>
      </c>
      <c r="C75" t="s">
        <v>47</v>
      </c>
      <c r="D75" t="s">
        <v>319</v>
      </c>
      <c r="E75" t="s">
        <v>28</v>
      </c>
      <c r="F75">
        <v>8.5</v>
      </c>
    </row>
    <row r="76" spans="2:17" x14ac:dyDescent="0.45">
      <c r="B76">
        <v>6</v>
      </c>
      <c r="C76" t="s">
        <v>47</v>
      </c>
      <c r="D76" t="s">
        <v>320</v>
      </c>
      <c r="E76" t="s">
        <v>25</v>
      </c>
      <c r="F76">
        <v>6</v>
      </c>
    </row>
    <row r="77" spans="2:17" x14ac:dyDescent="0.45">
      <c r="B77">
        <v>7</v>
      </c>
      <c r="C77" t="s">
        <v>47</v>
      </c>
      <c r="D77" t="s">
        <v>321</v>
      </c>
      <c r="E77" t="s">
        <v>25</v>
      </c>
      <c r="F77">
        <v>9.5</v>
      </c>
    </row>
    <row r="78" spans="2:17" x14ac:dyDescent="0.45">
      <c r="B78">
        <v>8</v>
      </c>
      <c r="C78" t="s">
        <v>47</v>
      </c>
      <c r="D78" t="s">
        <v>322</v>
      </c>
      <c r="E78" t="s">
        <v>35</v>
      </c>
      <c r="F78">
        <v>7</v>
      </c>
    </row>
    <row r="79" spans="2:17" x14ac:dyDescent="0.45">
      <c r="B79">
        <v>9</v>
      </c>
      <c r="C79" t="s">
        <v>48</v>
      </c>
      <c r="D79" t="s">
        <v>323</v>
      </c>
      <c r="E79" t="s">
        <v>34</v>
      </c>
      <c r="F79">
        <v>5.5</v>
      </c>
    </row>
    <row r="80" spans="2:17" x14ac:dyDescent="0.45">
      <c r="B80">
        <v>10</v>
      </c>
      <c r="C80" t="s">
        <v>48</v>
      </c>
      <c r="D80" t="s">
        <v>327</v>
      </c>
      <c r="E80" t="s">
        <v>30</v>
      </c>
      <c r="F80">
        <v>6.5</v>
      </c>
    </row>
    <row r="81" spans="2:6" x14ac:dyDescent="0.45">
      <c r="B81">
        <v>11</v>
      </c>
      <c r="C81" t="s">
        <v>48</v>
      </c>
      <c r="D81" t="s">
        <v>324</v>
      </c>
      <c r="E81" t="s">
        <v>25</v>
      </c>
      <c r="F81">
        <v>7</v>
      </c>
    </row>
    <row r="82" spans="2:6" x14ac:dyDescent="0.45">
      <c r="B82" t="s">
        <v>166</v>
      </c>
    </row>
    <row r="83" spans="2:6" x14ac:dyDescent="0.45">
      <c r="B83">
        <v>12</v>
      </c>
      <c r="C83" t="s">
        <v>45</v>
      </c>
      <c r="D83" t="s">
        <v>326</v>
      </c>
      <c r="E83" t="s">
        <v>35</v>
      </c>
    </row>
    <row r="84" spans="2:6" x14ac:dyDescent="0.45">
      <c r="B84">
        <v>13</v>
      </c>
      <c r="C84" t="s">
        <v>48</v>
      </c>
      <c r="D84" t="s">
        <v>328</v>
      </c>
      <c r="E84" t="s">
        <v>40</v>
      </c>
    </row>
    <row r="85" spans="2:6" x14ac:dyDescent="0.45">
      <c r="B85">
        <v>14</v>
      </c>
      <c r="C85" t="s">
        <v>48</v>
      </c>
      <c r="D85" t="s">
        <v>325</v>
      </c>
      <c r="E85" t="s">
        <v>37</v>
      </c>
    </row>
    <row r="86" spans="2:6" x14ac:dyDescent="0.45">
      <c r="B86">
        <v>15</v>
      </c>
      <c r="C86" t="s">
        <v>48</v>
      </c>
      <c r="D86" t="s">
        <v>329</v>
      </c>
      <c r="E86" t="s">
        <v>43</v>
      </c>
    </row>
    <row r="87" spans="2:6" x14ac:dyDescent="0.45">
      <c r="B87">
        <v>16</v>
      </c>
      <c r="C87" t="s">
        <v>47</v>
      </c>
      <c r="D87" t="s">
        <v>332</v>
      </c>
      <c r="E87" t="s">
        <v>28</v>
      </c>
    </row>
    <row r="88" spans="2:6" x14ac:dyDescent="0.45">
      <c r="B88">
        <v>17</v>
      </c>
      <c r="C88" t="s">
        <v>47</v>
      </c>
      <c r="D88" t="s">
        <v>331</v>
      </c>
      <c r="E88" t="s">
        <v>25</v>
      </c>
    </row>
    <row r="89" spans="2:6" x14ac:dyDescent="0.45">
      <c r="B89">
        <v>18</v>
      </c>
      <c r="C89" t="s">
        <v>47</v>
      </c>
      <c r="D89" t="s">
        <v>330</v>
      </c>
      <c r="E89" t="s">
        <v>34</v>
      </c>
    </row>
    <row r="90" spans="2:6" x14ac:dyDescent="0.45">
      <c r="B90">
        <v>19</v>
      </c>
      <c r="C90" t="s">
        <v>46</v>
      </c>
      <c r="D90" t="s">
        <v>317</v>
      </c>
      <c r="E90" t="s">
        <v>36</v>
      </c>
    </row>
    <row r="91" spans="2:6" x14ac:dyDescent="0.45">
      <c r="B91">
        <v>20</v>
      </c>
      <c r="C91" t="s">
        <v>46</v>
      </c>
      <c r="D91" t="s">
        <v>334</v>
      </c>
      <c r="E91" t="s">
        <v>38</v>
      </c>
    </row>
    <row r="92" spans="2:6" x14ac:dyDescent="0.45">
      <c r="B92">
        <v>21</v>
      </c>
      <c r="C92" t="s">
        <v>46</v>
      </c>
      <c r="D92" t="s">
        <v>335</v>
      </c>
      <c r="E92" t="s">
        <v>25</v>
      </c>
    </row>
  </sheetData>
  <sortState xmlns:xlrd2="http://schemas.microsoft.com/office/spreadsheetml/2017/richdata2" ref="C2:E7">
    <sortCondition descending="1" ref="E1:E7"/>
  </sortState>
  <pageMargins left="0.7" right="0.7" top="0.75" bottom="0.75" header="0.3" footer="0.3"/>
  <headerFooter>
    <oddFooter>&amp;L_x000D_&amp;1#&amp;"Aptos"&amp;7&amp;K000000 C2 General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pt</vt:lpstr>
      <vt:lpstr>avgPt</vt:lpstr>
      <vt:lpstr>avgPt and Ruolo</vt:lpstr>
      <vt:lpstr>avgPt and PosRuolo and casa</vt:lpstr>
      <vt:lpstr>avgPt and PosRuoloCasa</vt:lpstr>
      <vt:lpstr>Sheet2</vt:lpstr>
      <vt:lpstr>Sheet3</vt:lpstr>
      <vt:lpstr>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Iurisci, Vodafone</cp:lastModifiedBy>
  <dcterms:created xsi:type="dcterms:W3CDTF">2026-01-08T20:25:08Z</dcterms:created>
  <dcterms:modified xsi:type="dcterms:W3CDTF">2026-01-14T14:06:17Z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