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A31668F7-63E2-4374-A1F3-22D4494B2948}" xr6:coauthVersionLast="36" xr6:coauthVersionMax="47" xr10:uidLastSave="{00000000-0000-0000-0000-000000000000}"/>
  <bookViews>
    <workbookView xWindow="-105" yWindow="-105" windowWidth="15465" windowHeight="7530" xr2:uid="{ACE3FCC3-DDF1-41BB-910E-56E1C89267D1}"/>
  </bookViews>
  <sheets>
    <sheet name="avgPt and PosRuoloCasa" sheetId="7" r:id="rId1"/>
    <sheet name="Sheet2" sheetId="2" r:id="rId2"/>
    <sheet name="Foglio2" sheetId="11" r:id="rId3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2" i="7" l="1"/>
  <c r="L5" i="11" l="1"/>
  <c r="L6" i="11" s="1"/>
  <c r="AG12" i="7" l="1"/>
  <c r="AG80" i="7"/>
  <c r="AG81" i="7"/>
  <c r="AG82" i="7"/>
  <c r="AG83" i="7"/>
  <c r="AG84" i="7"/>
  <c r="AG85" i="7"/>
  <c r="AG86" i="7"/>
  <c r="AG87" i="7"/>
  <c r="AG88" i="7"/>
  <c r="AG89" i="7"/>
  <c r="AG67" i="7"/>
  <c r="AG68" i="7"/>
  <c r="AG69" i="7"/>
  <c r="AG70" i="7"/>
  <c r="AG71" i="7"/>
  <c r="AG72" i="7"/>
  <c r="AG73" i="7"/>
  <c r="AG74" i="7"/>
  <c r="AG75" i="7"/>
  <c r="AG76" i="7"/>
  <c r="AG41" i="7"/>
  <c r="AG42" i="7"/>
  <c r="AG43" i="7"/>
  <c r="AG44" i="7"/>
  <c r="AG45" i="7"/>
  <c r="AG46" i="7"/>
  <c r="AG47" i="7"/>
  <c r="AG48" i="7"/>
  <c r="AG49" i="7"/>
  <c r="AG50" i="7"/>
  <c r="AG90" i="7" l="1"/>
  <c r="AG51" i="7"/>
  <c r="AG77" i="7"/>
  <c r="AF12" i="7"/>
  <c r="AF80" i="7" l="1"/>
  <c r="AF81" i="7"/>
  <c r="AF82" i="7"/>
  <c r="AF83" i="7"/>
  <c r="AF84" i="7"/>
  <c r="AF85" i="7"/>
  <c r="AF86" i="7"/>
  <c r="AF87" i="7"/>
  <c r="AF88" i="7"/>
  <c r="AF89" i="7"/>
  <c r="AF67" i="7"/>
  <c r="AF68" i="7"/>
  <c r="AF69" i="7"/>
  <c r="AF70" i="7"/>
  <c r="AF71" i="7"/>
  <c r="AF72" i="7"/>
  <c r="AF73" i="7"/>
  <c r="AF74" i="7"/>
  <c r="AF75" i="7"/>
  <c r="AF76" i="7"/>
  <c r="AF41" i="7"/>
  <c r="AF42" i="7"/>
  <c r="AF43" i="7"/>
  <c r="AF44" i="7"/>
  <c r="AF45" i="7"/>
  <c r="AF46" i="7"/>
  <c r="AF47" i="7"/>
  <c r="AF48" i="7"/>
  <c r="AF49" i="7"/>
  <c r="AF50" i="7"/>
  <c r="AF77" i="7" l="1"/>
  <c r="AF90" i="7"/>
  <c r="AF51" i="7"/>
  <c r="AE80" i="7"/>
  <c r="AE81" i="7"/>
  <c r="AE82" i="7"/>
  <c r="AE83" i="7"/>
  <c r="AE84" i="7"/>
  <c r="AE85" i="7"/>
  <c r="AE86" i="7"/>
  <c r="AE87" i="7"/>
  <c r="AE88" i="7"/>
  <c r="AE89" i="7"/>
  <c r="AE67" i="7"/>
  <c r="AE68" i="7"/>
  <c r="AE69" i="7"/>
  <c r="AE70" i="7"/>
  <c r="AE71" i="7"/>
  <c r="AE72" i="7"/>
  <c r="AE73" i="7"/>
  <c r="AE74" i="7"/>
  <c r="AE75" i="7"/>
  <c r="AE76" i="7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2" i="11"/>
  <c r="C55" i="7" l="1"/>
  <c r="C56" i="7"/>
  <c r="C57" i="7"/>
  <c r="C58" i="7"/>
  <c r="C59" i="7"/>
  <c r="C60" i="7"/>
  <c r="C61" i="7"/>
  <c r="C62" i="7"/>
  <c r="C63" i="7"/>
  <c r="C54" i="7"/>
  <c r="AD12" i="7" l="1"/>
  <c r="C28" i="7" l="1"/>
  <c r="AD80" i="7"/>
  <c r="AD81" i="7"/>
  <c r="AD82" i="7"/>
  <c r="AD83" i="7"/>
  <c r="AD84" i="7"/>
  <c r="AD85" i="7"/>
  <c r="AD86" i="7"/>
  <c r="AD87" i="7"/>
  <c r="AD88" i="7"/>
  <c r="AD89" i="7"/>
  <c r="AD67" i="7"/>
  <c r="AD68" i="7"/>
  <c r="AD69" i="7"/>
  <c r="AD70" i="7"/>
  <c r="AD71" i="7"/>
  <c r="AD72" i="7"/>
  <c r="AD73" i="7"/>
  <c r="AD74" i="7"/>
  <c r="AD75" i="7"/>
  <c r="AD76" i="7"/>
  <c r="AD41" i="7"/>
  <c r="AD42" i="7"/>
  <c r="AD43" i="7"/>
  <c r="AD44" i="7"/>
  <c r="AD45" i="7"/>
  <c r="AD46" i="7"/>
  <c r="AD47" i="7"/>
  <c r="AD48" i="7"/>
  <c r="AD49" i="7"/>
  <c r="AD50" i="7"/>
  <c r="AD90" i="7" l="1"/>
  <c r="AD51" i="7"/>
  <c r="AD77" i="7"/>
  <c r="AA47" i="7"/>
  <c r="AC67" i="7" l="1"/>
  <c r="AC68" i="7"/>
  <c r="AC69" i="7"/>
  <c r="AC70" i="7"/>
  <c r="AC71" i="7"/>
  <c r="AC72" i="7"/>
  <c r="AC73" i="7"/>
  <c r="AC74" i="7"/>
  <c r="AC75" i="7"/>
  <c r="AC76" i="7"/>
  <c r="AC80" i="7"/>
  <c r="AC81" i="7"/>
  <c r="AC82" i="7"/>
  <c r="AC83" i="7"/>
  <c r="AC84" i="7"/>
  <c r="AC85" i="7"/>
  <c r="AC86" i="7"/>
  <c r="AC87" i="7"/>
  <c r="AC88" i="7"/>
  <c r="AC89" i="7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H24" i="2" l="1"/>
  <c r="X18" i="2"/>
  <c r="X17" i="2"/>
  <c r="X19" i="2" s="1"/>
  <c r="P18" i="2"/>
  <c r="H18" i="2"/>
  <c r="H19" i="2" s="1"/>
  <c r="H17" i="2"/>
  <c r="C17" i="2"/>
  <c r="G23" i="2"/>
  <c r="F23" i="2"/>
  <c r="E23" i="2"/>
  <c r="D23" i="2"/>
  <c r="C23" i="2"/>
  <c r="B23" i="2"/>
  <c r="W17" i="2"/>
  <c r="V17" i="2"/>
  <c r="U17" i="2"/>
  <c r="T17" i="2"/>
  <c r="S17" i="2"/>
  <c r="R17" i="2"/>
  <c r="O17" i="2"/>
  <c r="N17" i="2"/>
  <c r="M17" i="2"/>
  <c r="L17" i="2"/>
  <c r="K17" i="2"/>
  <c r="J17" i="2"/>
  <c r="G17" i="2"/>
  <c r="F17" i="2"/>
  <c r="E17" i="2"/>
  <c r="D17" i="2"/>
  <c r="B17" i="2"/>
  <c r="X13" i="2"/>
  <c r="P13" i="2"/>
  <c r="H13" i="2"/>
  <c r="X7" i="2"/>
  <c r="P7" i="2"/>
  <c r="H7" i="2"/>
  <c r="C11" i="2"/>
  <c r="W11" i="2"/>
  <c r="V11" i="2"/>
  <c r="U11" i="2"/>
  <c r="T11" i="2"/>
  <c r="S11" i="2"/>
  <c r="R11" i="2"/>
  <c r="O11" i="2"/>
  <c r="N11" i="2"/>
  <c r="M11" i="2"/>
  <c r="L11" i="2"/>
  <c r="K11" i="2"/>
  <c r="J11" i="2"/>
  <c r="G11" i="2"/>
  <c r="F11" i="2"/>
  <c r="E11" i="2"/>
  <c r="D11" i="2"/>
  <c r="B11" i="2"/>
  <c r="N5" i="2"/>
  <c r="W5" i="2"/>
  <c r="V5" i="2"/>
  <c r="U5" i="2"/>
  <c r="T5" i="2"/>
  <c r="S5" i="2"/>
  <c r="R5" i="2"/>
  <c r="O5" i="2"/>
  <c r="M5" i="2"/>
  <c r="L5" i="2"/>
  <c r="K5" i="2"/>
  <c r="J5" i="2"/>
  <c r="H23" i="2" l="1"/>
  <c r="H25" i="2" s="1"/>
  <c r="P17" i="2"/>
  <c r="P19" i="2" s="1"/>
  <c r="C5" i="2"/>
  <c r="D5" i="2"/>
  <c r="E5" i="2"/>
  <c r="F5" i="2"/>
  <c r="G5" i="2"/>
  <c r="B5" i="2"/>
  <c r="AB80" i="7"/>
  <c r="AB81" i="7"/>
  <c r="AB82" i="7"/>
  <c r="AB83" i="7"/>
  <c r="AB84" i="7"/>
  <c r="AB85" i="7"/>
  <c r="AB86" i="7"/>
  <c r="AB87" i="7"/>
  <c r="AB88" i="7"/>
  <c r="AB89" i="7"/>
  <c r="AB67" i="7"/>
  <c r="AB68" i="7"/>
  <c r="AB69" i="7"/>
  <c r="AB70" i="7"/>
  <c r="AB71" i="7"/>
  <c r="AB72" i="7"/>
  <c r="AB73" i="7"/>
  <c r="AB74" i="7"/>
  <c r="AB75" i="7"/>
  <c r="AB76" i="7"/>
  <c r="AB41" i="7"/>
  <c r="AB42" i="7"/>
  <c r="AB43" i="7"/>
  <c r="AB44" i="7"/>
  <c r="AB45" i="7"/>
  <c r="AB46" i="7"/>
  <c r="AB47" i="7"/>
  <c r="AB48" i="7"/>
  <c r="AB49" i="7"/>
  <c r="AB50" i="7"/>
  <c r="AB12" i="7"/>
  <c r="AB77" i="7" l="1"/>
  <c r="AB90" i="7"/>
  <c r="AB51" i="7"/>
  <c r="D64" i="7"/>
  <c r="AA64" i="7" l="1"/>
  <c r="U80" i="7"/>
  <c r="V80" i="7"/>
  <c r="W80" i="7"/>
  <c r="X80" i="7"/>
  <c r="Y80" i="7"/>
  <c r="Z80" i="7"/>
  <c r="AA80" i="7"/>
  <c r="U81" i="7"/>
  <c r="V81" i="7"/>
  <c r="W81" i="7"/>
  <c r="X81" i="7"/>
  <c r="Y81" i="7"/>
  <c r="Z81" i="7"/>
  <c r="AA81" i="7"/>
  <c r="U82" i="7"/>
  <c r="V82" i="7"/>
  <c r="W82" i="7"/>
  <c r="X82" i="7"/>
  <c r="Y82" i="7"/>
  <c r="Z82" i="7"/>
  <c r="AA82" i="7"/>
  <c r="U83" i="7"/>
  <c r="V83" i="7"/>
  <c r="W83" i="7"/>
  <c r="X83" i="7"/>
  <c r="Y83" i="7"/>
  <c r="Z83" i="7"/>
  <c r="AA83" i="7"/>
  <c r="U84" i="7"/>
  <c r="V84" i="7"/>
  <c r="W84" i="7"/>
  <c r="X84" i="7"/>
  <c r="Y84" i="7"/>
  <c r="Z84" i="7"/>
  <c r="AA84" i="7"/>
  <c r="U85" i="7"/>
  <c r="V85" i="7"/>
  <c r="W85" i="7"/>
  <c r="X85" i="7"/>
  <c r="Y85" i="7"/>
  <c r="Z85" i="7"/>
  <c r="AA85" i="7"/>
  <c r="U86" i="7"/>
  <c r="V86" i="7"/>
  <c r="W86" i="7"/>
  <c r="X86" i="7"/>
  <c r="Y86" i="7"/>
  <c r="Z86" i="7"/>
  <c r="AA86" i="7"/>
  <c r="U87" i="7"/>
  <c r="V87" i="7"/>
  <c r="W87" i="7"/>
  <c r="X87" i="7"/>
  <c r="Y87" i="7"/>
  <c r="Z87" i="7"/>
  <c r="AA87" i="7"/>
  <c r="U88" i="7"/>
  <c r="V88" i="7"/>
  <c r="W88" i="7"/>
  <c r="X88" i="7"/>
  <c r="Y88" i="7"/>
  <c r="Z88" i="7"/>
  <c r="AA88" i="7"/>
  <c r="U89" i="7"/>
  <c r="V89" i="7"/>
  <c r="W89" i="7"/>
  <c r="X89" i="7"/>
  <c r="Y89" i="7"/>
  <c r="Z89" i="7"/>
  <c r="AA89" i="7"/>
  <c r="V67" i="7"/>
  <c r="W67" i="7"/>
  <c r="X67" i="7"/>
  <c r="Y67" i="7"/>
  <c r="Z67" i="7"/>
  <c r="AA67" i="7"/>
  <c r="V68" i="7"/>
  <c r="W68" i="7"/>
  <c r="X68" i="7"/>
  <c r="Y68" i="7"/>
  <c r="Z68" i="7"/>
  <c r="AA68" i="7"/>
  <c r="V69" i="7"/>
  <c r="W69" i="7"/>
  <c r="X69" i="7"/>
  <c r="Y69" i="7"/>
  <c r="Z69" i="7"/>
  <c r="AA69" i="7"/>
  <c r="V70" i="7"/>
  <c r="W70" i="7"/>
  <c r="X70" i="7"/>
  <c r="Y70" i="7"/>
  <c r="Z70" i="7"/>
  <c r="AA70" i="7"/>
  <c r="V71" i="7"/>
  <c r="W71" i="7"/>
  <c r="X71" i="7"/>
  <c r="Y71" i="7"/>
  <c r="Z71" i="7"/>
  <c r="AA71" i="7"/>
  <c r="V72" i="7"/>
  <c r="W72" i="7"/>
  <c r="X72" i="7"/>
  <c r="Y72" i="7"/>
  <c r="Z72" i="7"/>
  <c r="AA72" i="7"/>
  <c r="V73" i="7"/>
  <c r="W73" i="7"/>
  <c r="X73" i="7"/>
  <c r="Y73" i="7"/>
  <c r="Z73" i="7"/>
  <c r="AA73" i="7"/>
  <c r="V74" i="7"/>
  <c r="W74" i="7"/>
  <c r="X74" i="7"/>
  <c r="Y74" i="7"/>
  <c r="Z74" i="7"/>
  <c r="AA74" i="7"/>
  <c r="V75" i="7"/>
  <c r="W75" i="7"/>
  <c r="X75" i="7"/>
  <c r="Y75" i="7"/>
  <c r="Z75" i="7"/>
  <c r="AA75" i="7"/>
  <c r="V76" i="7"/>
  <c r="W76" i="7"/>
  <c r="X76" i="7"/>
  <c r="Y76" i="7"/>
  <c r="Z76" i="7"/>
  <c r="AA76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D81" i="7"/>
  <c r="D82" i="7"/>
  <c r="D83" i="7"/>
  <c r="D84" i="7"/>
  <c r="D85" i="7"/>
  <c r="D86" i="7"/>
  <c r="D87" i="7"/>
  <c r="D88" i="7"/>
  <c r="D80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D68" i="7"/>
  <c r="D69" i="7"/>
  <c r="D70" i="7"/>
  <c r="D71" i="7"/>
  <c r="D72" i="7"/>
  <c r="D73" i="7"/>
  <c r="D74" i="7"/>
  <c r="D75" i="7"/>
  <c r="D76" i="7"/>
  <c r="D67" i="7"/>
  <c r="AO90" i="7"/>
  <c r="AN90" i="7"/>
  <c r="AM90" i="7"/>
  <c r="AL90" i="7"/>
  <c r="AK90" i="7"/>
  <c r="AJ90" i="7"/>
  <c r="AI90" i="7"/>
  <c r="AH90" i="7"/>
  <c r="AE90" i="7"/>
  <c r="AO77" i="7"/>
  <c r="AN77" i="7"/>
  <c r="AM77" i="7"/>
  <c r="AL77" i="7"/>
  <c r="AK77" i="7"/>
  <c r="AJ77" i="7"/>
  <c r="AI77" i="7"/>
  <c r="AH77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L64" i="7"/>
  <c r="AK64" i="7"/>
  <c r="AJ64" i="7"/>
  <c r="AI64" i="7"/>
  <c r="AG64" i="7"/>
  <c r="AF64" i="7"/>
  <c r="AE64" i="7"/>
  <c r="AD64" i="7"/>
  <c r="AC64" i="7"/>
  <c r="AB64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C76" i="7" l="1"/>
  <c r="AP76" i="7" s="1"/>
  <c r="AQ41" i="7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AQ67" i="7"/>
  <c r="C41" i="7"/>
  <c r="C88" i="7"/>
  <c r="AP88" i="7" s="1"/>
  <c r="C81" i="7"/>
  <c r="AP81" i="7" s="1"/>
  <c r="C89" i="7"/>
  <c r="AP89" i="7" s="1"/>
  <c r="C75" i="7"/>
  <c r="AP75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AP67" i="7" s="1"/>
  <c r="C80" i="7"/>
  <c r="AP80" i="7" s="1"/>
  <c r="AR41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Q54" i="7"/>
  <c r="AS54" i="7"/>
  <c r="AR49" i="7"/>
  <c r="AQ49" i="7"/>
  <c r="AS49" i="7"/>
  <c r="AR48" i="7"/>
  <c r="AQ48" i="7"/>
  <c r="AS48" i="7"/>
  <c r="AR47" i="7"/>
  <c r="AQ47" i="7"/>
  <c r="AS47" i="7"/>
  <c r="AR46" i="7"/>
  <c r="AQ46" i="7"/>
  <c r="AS46" i="7"/>
  <c r="AR45" i="7"/>
  <c r="AQ45" i="7"/>
  <c r="AS45" i="7"/>
  <c r="AR44" i="7"/>
  <c r="AS44" i="7"/>
  <c r="AQ44" i="7"/>
  <c r="AR43" i="7"/>
  <c r="AS43" i="7"/>
  <c r="AQ43" i="7"/>
  <c r="AR42" i="7"/>
  <c r="AQ42" i="7"/>
  <c r="AS42" i="7"/>
  <c r="AS41" i="7"/>
  <c r="AP41" i="7"/>
  <c r="AA90" i="7"/>
  <c r="AA77" i="7"/>
  <c r="Z77" i="7"/>
  <c r="Z90" i="7"/>
  <c r="Y90" i="7"/>
  <c r="Y77" i="7"/>
  <c r="X90" i="7"/>
  <c r="X77" i="7"/>
  <c r="W90" i="7"/>
  <c r="W77" i="7"/>
  <c r="V90" i="7"/>
  <c r="V77" i="7"/>
  <c r="U77" i="7"/>
  <c r="U90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V51" i="7"/>
  <c r="AB38" i="7"/>
  <c r="AP90" i="7" l="1"/>
  <c r="AQ88" i="7"/>
  <c r="AQ89" i="7"/>
  <c r="AQ81" i="7"/>
  <c r="AQ87" i="7"/>
  <c r="AP68" i="7"/>
  <c r="AP77" i="7" s="1"/>
  <c r="AQ82" i="7"/>
  <c r="AQ80" i="7"/>
  <c r="AQ86" i="7"/>
  <c r="AQ85" i="7"/>
  <c r="AQ84" i="7"/>
  <c r="AQ83" i="7"/>
  <c r="C77" i="7"/>
  <c r="AR53" i="7"/>
  <c r="AR40" i="7"/>
  <c r="AQ90" i="7" l="1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C3" i="7" l="1"/>
  <c r="C4" i="7"/>
  <c r="C5" i="7"/>
  <c r="C6" i="7"/>
  <c r="C7" i="7"/>
  <c r="C8" i="7"/>
  <c r="C9" i="7"/>
  <c r="C10" i="7"/>
  <c r="C11" i="7"/>
  <c r="C2" i="7"/>
  <c r="C16" i="7"/>
  <c r="C17" i="7"/>
  <c r="C18" i="7"/>
  <c r="C19" i="7"/>
  <c r="C20" i="7"/>
  <c r="C21" i="7"/>
  <c r="C22" i="7"/>
  <c r="C23" i="7"/>
  <c r="C15" i="7"/>
  <c r="E38" i="7"/>
  <c r="F38" i="7"/>
  <c r="G38" i="7"/>
  <c r="H38" i="7"/>
  <c r="I38" i="7"/>
  <c r="J38" i="7"/>
  <c r="C29" i="7"/>
  <c r="C30" i="7"/>
  <c r="C31" i="7"/>
  <c r="C32" i="7"/>
  <c r="C33" i="7"/>
  <c r="C34" i="7"/>
  <c r="C35" i="7"/>
  <c r="C36" i="7"/>
  <c r="C37" i="7"/>
  <c r="D38" i="7"/>
  <c r="AQ2" i="7"/>
  <c r="AP15" i="7" l="1"/>
  <c r="AP49" i="7"/>
  <c r="AP48" i="7"/>
  <c r="AP47" i="7"/>
  <c r="AP46" i="7"/>
  <c r="AP45" i="7"/>
  <c r="AP44" i="7"/>
  <c r="AP43" i="7"/>
  <c r="AP42" i="7"/>
  <c r="C38" i="7"/>
  <c r="AP23" i="7"/>
  <c r="AP22" i="7"/>
  <c r="C12" i="7"/>
  <c r="AP16" i="7"/>
  <c r="AP17" i="7"/>
  <c r="AP18" i="7"/>
  <c r="AP19" i="7"/>
  <c r="AP20" i="7"/>
  <c r="AP21" i="7"/>
  <c r="AQ15" i="7" l="1"/>
  <c r="Q50" i="7"/>
  <c r="Q51" i="7" s="1"/>
  <c r="K50" i="7"/>
  <c r="K51" i="7" s="1"/>
  <c r="O50" i="7"/>
  <c r="O51" i="7" s="1"/>
  <c r="T89" i="7"/>
  <c r="T90" i="7" s="1"/>
  <c r="W50" i="7"/>
  <c r="H89" i="7"/>
  <c r="H90" i="7" s="1"/>
  <c r="U50" i="7"/>
  <c r="U51" i="7" s="1"/>
  <c r="G50" i="7"/>
  <c r="G51" i="7" s="1"/>
  <c r="N50" i="7"/>
  <c r="N51" i="7" s="1"/>
  <c r="M89" i="7"/>
  <c r="M90" i="7" s="1"/>
  <c r="T50" i="7"/>
  <c r="T51" i="7" s="1"/>
  <c r="L89" i="7"/>
  <c r="L90" i="7" s="1"/>
  <c r="M50" i="7"/>
  <c r="M51" i="7" s="1"/>
  <c r="E50" i="7"/>
  <c r="E51" i="7" s="1"/>
  <c r="P89" i="7"/>
  <c r="P90" i="7" s="1"/>
  <c r="AA50" i="7"/>
  <c r="AA51" i="7" s="1"/>
  <c r="I89" i="7"/>
  <c r="I90" i="7" s="1"/>
  <c r="D50" i="7"/>
  <c r="D51" i="7" s="1"/>
  <c r="H50" i="7"/>
  <c r="D89" i="7"/>
  <c r="D90" i="7" s="1"/>
  <c r="K89" i="7"/>
  <c r="K90" i="7" s="1"/>
  <c r="O89" i="7"/>
  <c r="O90" i="7" s="1"/>
  <c r="J89" i="7"/>
  <c r="J90" i="7" s="1"/>
  <c r="F89" i="7"/>
  <c r="F90" i="7" s="1"/>
  <c r="Z50" i="7"/>
  <c r="Z51" i="7" s="1"/>
  <c r="N89" i="7"/>
  <c r="N90" i="7" s="1"/>
  <c r="S89" i="7"/>
  <c r="S90" i="7" s="1"/>
  <c r="Q89" i="7"/>
  <c r="Q90" i="7" s="1"/>
  <c r="Y50" i="7"/>
  <c r="Y51" i="7" s="1"/>
  <c r="S50" i="7"/>
  <c r="S51" i="7" s="1"/>
  <c r="L50" i="7"/>
  <c r="L51" i="7" s="1"/>
  <c r="J50" i="7"/>
  <c r="J51" i="7" s="1"/>
  <c r="F50" i="7"/>
  <c r="F51" i="7" s="1"/>
  <c r="G89" i="7"/>
  <c r="G90" i="7" s="1"/>
  <c r="R89" i="7"/>
  <c r="R90" i="7" s="1"/>
  <c r="E89" i="7"/>
  <c r="E90" i="7" s="1"/>
  <c r="R50" i="7"/>
  <c r="R51" i="7" s="1"/>
  <c r="P50" i="7"/>
  <c r="P51" i="7" s="1"/>
  <c r="X50" i="7"/>
  <c r="X51" i="7" s="1"/>
  <c r="C24" i="7"/>
  <c r="C25" i="7" s="1"/>
  <c r="AP25" i="7" s="1"/>
  <c r="I50" i="7"/>
  <c r="I51" i="7" s="1"/>
  <c r="AR76" i="7" l="1"/>
  <c r="AS76" i="7"/>
  <c r="AQ76" i="7"/>
  <c r="AS78" i="7"/>
  <c r="AQ78" i="7"/>
  <c r="AR78" i="7"/>
  <c r="C50" i="7"/>
  <c r="C51" i="7" s="1"/>
  <c r="W51" i="7"/>
  <c r="AR63" i="7"/>
  <c r="AS63" i="7"/>
  <c r="AQ63" i="7"/>
  <c r="AQ65" i="7"/>
  <c r="AR65" i="7"/>
  <c r="AS65" i="7"/>
  <c r="H51" i="7"/>
  <c r="AR50" i="7"/>
  <c r="AR52" i="7" s="1"/>
  <c r="AQ50" i="7"/>
  <c r="AQ52" i="7" s="1"/>
  <c r="AS50" i="7"/>
  <c r="AS52" i="7" s="1"/>
  <c r="AQ28" i="7"/>
  <c r="AQ29" i="7"/>
  <c r="AQ30" i="7"/>
  <c r="AP24" i="7"/>
  <c r="C90" i="7"/>
  <c r="AP50" i="7"/>
  <c r="AS64" i="7" l="1"/>
  <c r="AR77" i="7"/>
  <c r="AQ77" i="7"/>
  <c r="AS77" i="7"/>
  <c r="AR64" i="7"/>
  <c r="AQ64" i="7"/>
  <c r="AQ51" i="7"/>
  <c r="AP51" i="7"/>
  <c r="AR51" i="7" s="1"/>
  <c r="AS51" i="7"/>
  <c r="AQ31" i="7"/>
  <c r="AQ32" i="7"/>
</calcChain>
</file>

<file path=xl/sharedStrings.xml><?xml version="1.0" encoding="utf-8"?>
<sst xmlns="http://schemas.openxmlformats.org/spreadsheetml/2006/main" count="119" uniqueCount="49">
  <si>
    <t>pos</t>
  </si>
  <si>
    <t>gf</t>
  </si>
  <si>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</si>
  <si>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</si>
  <si>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</si>
  <si>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</si>
  <si>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</si>
  <si>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</si>
  <si>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</si>
  <si>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</si>
  <si>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</si>
  <si>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</si>
  <si>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</si>
  <si>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</si>
  <si>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</si>
  <si>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</si>
  <si>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</si>
  <si>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</si>
  <si>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</si>
  <si>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</si>
  <si>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</si>
  <si>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</si>
  <si>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</si>
  <si>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</si>
  <si>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</si>
  <si>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</si>
  <si>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</si>
  <si>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</si>
  <si>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</si>
  <si>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</si>
  <si>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</si>
  <si>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avg</t>
  </si>
  <si>
    <t>ass</t>
  </si>
  <si>
    <t>min</t>
  </si>
  <si>
    <t>Punteggi giornata: 20</t>
  </si>
  <si>
    <t>prima</t>
  </si>
  <si>
    <t>dalla 10 in poi è stato testato</t>
  </si>
  <si>
    <t>&gt;0</t>
  </si>
  <si>
    <t>&lt;0</t>
  </si>
  <si>
    <t>Punteggi giornata: 21</t>
  </si>
  <si>
    <t>Punteggi giornata: 22</t>
  </si>
  <si>
    <t>Punteggi giornata: 23</t>
  </si>
  <si>
    <t>Punteggi giornata: 24</t>
  </si>
  <si>
    <t>Punteggi giornata: 25</t>
  </si>
  <si>
    <t>Punteggi giornata: 26</t>
  </si>
  <si>
    <t>Punteggi giornata: 27</t>
  </si>
  <si>
    <t>Punteggi giornata: 28</t>
  </si>
  <si>
    <t>Punteggi giornata: 29</t>
  </si>
  <si>
    <t>Punteggi giornata: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</si>
</sst>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Display"/>
      <scheme val="major"/>
    </font>
    <font>
      <sz val="11"/>
      <color rgb="FF000000"/>
      <name val="Aptos Narrow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18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0" fontId="5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0" borderId="0" xfId="1" applyNumberFormat="1" applyFont="1"/>
    <xf numFmtId="9" fontId="0" fillId="2" borderId="0" xfId="1" applyFont="1" applyFill="1"/>
    <xf numFmtId="9" fontId="0" fillId="3" borderId="0" xfId="1" applyFont="1" applyFill="1"/>
    <xf numFmtId="0" fontId="0" fillId="0" borderId="0" xfId="0" applyBorder="1"/>
    <xf numFmtId="0" fontId="0" fillId="2" borderId="1" xfId="0" applyFill="1" applyBorder="1"/>
    <xf numFmtId="0" fontId="7" fillId="0" borderId="1" xfId="0" applyFont="1" applyBorder="1"/>
    <xf numFmtId="0" fontId="8" fillId="0" borderId="1" xfId="0" applyFont="1" applyBorder="1"/>
    <xf numFmtId="0" fontId="4" fillId="0" borderId="1" xfId="0" applyFont="1" applyBorder="1"/>
  </cellXfs>
  <cellStyles count="3">
    <cellStyle name="Normal_Sheet2" xfId="2" xr:uid="{0B09AB02-F2DB-4048-8983-23AB7ADA937E}"/>
    <cellStyle name="Normale" xfId="0" builtinId="0"/>
    <cellStyle name="Percentuale" xfId="1" builtinId="5"/>
  </cellStyles>
  <dxfs count="2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331"/>
  <sheetViews>
    <sheetView tabSelected="1" topLeftCell="A16" zoomScale="70" zoomScaleNormal="70" workbookViewId="0">
      <selection activeCell="AL19" sqref="AL19"/>
    </sheetView>
  </sheetViews>
  <sheetFormatPr defaultRowHeight="14.25"/>
  <cols>
    <col min="1" max="1" width="4.875" customWidth="1"/>
    <col min="2" max="2" width="10.625" bestFit="1" customWidth="1"/>
    <col min="3" max="4" width="7.25" customWidth="1"/>
    <col min="5" max="5" width="6.75" bestFit="1" customWidth="1"/>
    <col min="6" max="41" width="7.25" customWidth="1"/>
    <col min="43" max="43" width="9.75" bestFit="1" customWidth="1"/>
    <col min="44" max="44" width="8.5" bestFit="1" customWidth="1"/>
    <col min="45" max="45" width="6.625" customWidth="1"/>
  </cols>
  <sheetData>
    <row r="1" spans="1:57">
      <c r="D1" s="14">
        <v>1</v>
      </c>
      <c r="E1" s="14">
        <v>2</v>
      </c>
      <c r="F1" s="14">
        <v>3</v>
      </c>
      <c r="G1" s="14">
        <v>4</v>
      </c>
      <c r="H1" s="14">
        <v>5</v>
      </c>
      <c r="I1" s="14">
        <v>6</v>
      </c>
      <c r="J1" s="14">
        <v>7</v>
      </c>
      <c r="K1" s="14">
        <v>8</v>
      </c>
      <c r="L1" s="14">
        <v>9</v>
      </c>
      <c r="M1" s="14">
        <v>10</v>
      </c>
      <c r="N1" s="14">
        <v>11</v>
      </c>
      <c r="O1" s="14">
        <v>12</v>
      </c>
      <c r="P1" s="14">
        <v>13</v>
      </c>
      <c r="Q1" s="14">
        <v>14</v>
      </c>
      <c r="R1" s="14">
        <v>15</v>
      </c>
      <c r="S1" s="14">
        <v>16</v>
      </c>
      <c r="T1" s="14">
        <v>17</v>
      </c>
      <c r="U1" s="14">
        <v>18</v>
      </c>
      <c r="V1" s="14">
        <v>19</v>
      </c>
      <c r="W1" s="14">
        <v>20</v>
      </c>
      <c r="X1" s="14">
        <v>21</v>
      </c>
      <c r="Y1" s="14">
        <v>22</v>
      </c>
      <c r="Z1" s="14">
        <v>23</v>
      </c>
      <c r="AA1" s="14">
        <v>24</v>
      </c>
      <c r="AB1" s="14">
        <v>25</v>
      </c>
      <c r="AC1" s="14">
        <v>26</v>
      </c>
      <c r="AD1" s="14">
        <v>27</v>
      </c>
      <c r="AE1" s="14">
        <v>28</v>
      </c>
      <c r="AF1" s="14">
        <v>29</v>
      </c>
      <c r="AG1" s="14">
        <v>30</v>
      </c>
      <c r="AH1" s="14">
        <v>31</v>
      </c>
      <c r="AI1" s="14">
        <v>32</v>
      </c>
      <c r="AJ1" s="14">
        <v>33</v>
      </c>
      <c r="AK1" s="14">
        <v>34</v>
      </c>
      <c r="AL1" s="14">
        <v>35</v>
      </c>
      <c r="AM1" s="14">
        <v>36</v>
      </c>
      <c r="AN1" s="14">
        <v>37</v>
      </c>
      <c r="AO1" s="14">
        <v>38</v>
      </c>
    </row>
    <row r="2" spans="1:57">
      <c r="A2">
        <v>0</v>
      </c>
      <c r="B2" s="3" t="s">
        <v>2</v>
      </c>
      <c r="C2" s="3">
        <f>SUM(H2:AA2)</f>
        <v>1408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/>
      <c r="AI2" s="3"/>
      <c r="AJ2" s="3"/>
      <c r="AK2" s="3"/>
      <c r="AL2" s="3"/>
      <c r="AM2" s="3"/>
      <c r="AN2" s="3"/>
      <c r="AO2" s="3"/>
      <c r="AQ2">
        <f>COUNTIF(D2:AA11,"&gt;70")</f>
        <v>102</v>
      </c>
      <c r="AT2" t="s">
        <v>13</v>
      </c>
    </row>
    <row r="3" spans="1:57">
      <c r="A3">
        <v>1</v>
      </c>
      <c r="B3" s="3" t="s">
        <v>3</v>
      </c>
      <c r="C3" s="3">
        <f t="shared" ref="C3:C11" si="0">SUM(H3:AA3)</f>
        <v>1382.5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/>
      <c r="AI3" s="3"/>
      <c r="AJ3" s="3"/>
      <c r="AK3" s="3"/>
      <c r="AL3" s="3"/>
      <c r="AM3" s="3"/>
      <c r="AN3" s="3"/>
      <c r="AO3" s="3"/>
      <c r="AT3">
        <v>63.5</v>
      </c>
      <c r="AU3">
        <v>67</v>
      </c>
      <c r="AV3">
        <v>80</v>
      </c>
      <c r="AW3">
        <v>11</v>
      </c>
      <c r="AY3" t="s">
        <v>0</v>
      </c>
      <c r="AZ3">
        <v>120</v>
      </c>
      <c r="BA3">
        <v>120</v>
      </c>
      <c r="BB3">
        <v>130</v>
      </c>
      <c r="BC3">
        <v>110</v>
      </c>
      <c r="BD3">
        <v>100</v>
      </c>
      <c r="BE3">
        <v>110</v>
      </c>
    </row>
    <row r="4" spans="1:57">
      <c r="A4">
        <v>2</v>
      </c>
      <c r="B4" s="3" t="s">
        <v>4</v>
      </c>
      <c r="C4" s="3">
        <f t="shared" si="0"/>
        <v>1475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/>
      <c r="AI4" s="3"/>
      <c r="AJ4" s="3"/>
      <c r="AK4" s="3"/>
      <c r="AL4" s="3"/>
      <c r="AM4" s="3"/>
      <c r="AN4" s="3"/>
      <c r="AO4" s="3"/>
      <c r="AT4">
        <v>68.5</v>
      </c>
      <c r="AU4">
        <v>67.5</v>
      </c>
      <c r="AV4">
        <v>76</v>
      </c>
      <c r="AW4">
        <v>11</v>
      </c>
      <c r="AY4" t="s">
        <v>31</v>
      </c>
      <c r="AZ4">
        <v>50</v>
      </c>
      <c r="BA4">
        <v>40</v>
      </c>
      <c r="BB4">
        <v>40</v>
      </c>
      <c r="BC4">
        <v>40</v>
      </c>
      <c r="BD4">
        <v>40</v>
      </c>
      <c r="BE4">
        <v>40</v>
      </c>
    </row>
    <row r="5" spans="1:57">
      <c r="A5">
        <v>3</v>
      </c>
      <c r="B5" s="3" t="s">
        <v>5</v>
      </c>
      <c r="C5" s="3">
        <f t="shared" si="0"/>
        <v>1398.5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/>
      <c r="AI5" s="3"/>
      <c r="AJ5" s="3"/>
      <c r="AK5" s="3"/>
      <c r="AL5" s="3"/>
      <c r="AM5" s="3"/>
      <c r="AN5" s="3"/>
      <c r="AO5" s="3"/>
      <c r="AT5">
        <v>76</v>
      </c>
      <c r="AU5">
        <v>72.5</v>
      </c>
      <c r="AV5">
        <v>79.5</v>
      </c>
      <c r="AW5">
        <v>11</v>
      </c>
      <c r="AY5" t="s">
        <v>1</v>
      </c>
      <c r="AZ5">
        <v>3</v>
      </c>
      <c r="BA5">
        <v>3</v>
      </c>
      <c r="BB5">
        <v>3</v>
      </c>
      <c r="BC5">
        <v>3</v>
      </c>
      <c r="BD5">
        <v>3</v>
      </c>
      <c r="BE5">
        <v>3</v>
      </c>
    </row>
    <row r="6" spans="1:57">
      <c r="A6">
        <v>4</v>
      </c>
      <c r="B6" s="3" t="s">
        <v>7</v>
      </c>
      <c r="C6" s="3">
        <f t="shared" si="0"/>
        <v>1380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/>
      <c r="AI6" s="3"/>
      <c r="AJ6" s="3"/>
      <c r="AK6" s="3"/>
      <c r="AL6" s="3"/>
      <c r="AM6" s="3"/>
      <c r="AN6" s="3"/>
      <c r="AO6" s="3"/>
      <c r="AT6">
        <v>66.5</v>
      </c>
      <c r="AU6">
        <v>70</v>
      </c>
      <c r="AV6">
        <v>78.5</v>
      </c>
      <c r="AW6">
        <v>11</v>
      </c>
      <c r="AY6" t="s">
        <v>32</v>
      </c>
      <c r="AZ6">
        <v>1</v>
      </c>
      <c r="BA6">
        <v>1</v>
      </c>
      <c r="BB6">
        <v>1</v>
      </c>
      <c r="BC6">
        <v>1</v>
      </c>
      <c r="BD6">
        <v>1</v>
      </c>
      <c r="BE6">
        <v>2</v>
      </c>
    </row>
    <row r="7" spans="1:57">
      <c r="A7">
        <v>5</v>
      </c>
      <c r="B7" s="3" t="s">
        <v>6</v>
      </c>
      <c r="C7" s="3">
        <f t="shared" si="0"/>
        <v>1384.5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/>
      <c r="AI7" s="3"/>
      <c r="AJ7" s="3"/>
      <c r="AK7" s="3"/>
      <c r="AL7" s="3"/>
      <c r="AM7" s="3"/>
      <c r="AN7" s="3"/>
      <c r="AO7" s="3"/>
      <c r="AQ7">
        <v>29122793</v>
      </c>
      <c r="AT7">
        <v>72</v>
      </c>
      <c r="AU7">
        <v>72</v>
      </c>
      <c r="AV7">
        <v>77</v>
      </c>
      <c r="AW7">
        <v>11</v>
      </c>
      <c r="AY7" t="s">
        <v>33</v>
      </c>
      <c r="AZ7">
        <v>30</v>
      </c>
      <c r="BA7">
        <v>30</v>
      </c>
      <c r="BB7">
        <v>30</v>
      </c>
      <c r="BC7">
        <v>30</v>
      </c>
      <c r="BD7">
        <v>30</v>
      </c>
      <c r="BE7">
        <v>30</v>
      </c>
    </row>
    <row r="8" spans="1:57">
      <c r="A8">
        <v>6</v>
      </c>
      <c r="B8" s="3" t="s">
        <v>8</v>
      </c>
      <c r="C8" s="3">
        <f t="shared" si="0"/>
        <v>1383.5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/>
      <c r="AI8" s="3"/>
      <c r="AJ8" s="3"/>
      <c r="AK8" s="3"/>
      <c r="AL8" s="3"/>
      <c r="AM8" s="3"/>
      <c r="AN8" s="3"/>
      <c r="AO8" s="3"/>
      <c r="AT8">
        <v>61.5</v>
      </c>
      <c r="AU8">
        <v>61.5</v>
      </c>
      <c r="AV8">
        <v>72.5</v>
      </c>
      <c r="AW8">
        <v>11</v>
      </c>
      <c r="AZ8">
        <v>-37</v>
      </c>
      <c r="BA8">
        <v>-29</v>
      </c>
      <c r="BB8">
        <v>-31.5</v>
      </c>
      <c r="BC8">
        <v>-24</v>
      </c>
      <c r="BD8">
        <v>-28</v>
      </c>
      <c r="BE8">
        <v>-17</v>
      </c>
    </row>
    <row r="9" spans="1:57">
      <c r="A9">
        <v>7</v>
      </c>
      <c r="B9" s="3" t="s">
        <v>11</v>
      </c>
      <c r="C9" s="3">
        <f t="shared" si="0"/>
        <v>1378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/>
      <c r="AI9" s="3"/>
      <c r="AJ9" s="3"/>
      <c r="AK9" s="3"/>
      <c r="AL9" s="3"/>
      <c r="AM9" s="3"/>
      <c r="AN9" s="3"/>
      <c r="AO9" s="3"/>
      <c r="AT9">
        <v>68</v>
      </c>
      <c r="AU9">
        <v>67.5</v>
      </c>
      <c r="AV9">
        <v>79.5</v>
      </c>
      <c r="AW9">
        <v>11</v>
      </c>
      <c r="AZ9">
        <v>6</v>
      </c>
      <c r="BA9">
        <v>6</v>
      </c>
      <c r="BB9">
        <v>5</v>
      </c>
      <c r="BC9">
        <v>4</v>
      </c>
      <c r="BD9">
        <v>4</v>
      </c>
      <c r="BE9">
        <v>4</v>
      </c>
    </row>
    <row r="10" spans="1:57">
      <c r="A10">
        <v>8</v>
      </c>
      <c r="B10" s="3" t="s">
        <v>9</v>
      </c>
      <c r="C10" s="3">
        <f t="shared" si="0"/>
        <v>1373.5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/>
      <c r="AI10" s="3"/>
      <c r="AJ10" s="3"/>
      <c r="AK10" s="3"/>
      <c r="AL10" s="3"/>
      <c r="AM10" s="3"/>
      <c r="AN10" s="3"/>
      <c r="AO10" s="3"/>
      <c r="AT10">
        <v>76</v>
      </c>
      <c r="AU10">
        <v>76</v>
      </c>
      <c r="AV10">
        <v>80.5</v>
      </c>
      <c r="AW10">
        <v>11</v>
      </c>
    </row>
    <row r="11" spans="1:57">
      <c r="A11">
        <v>9</v>
      </c>
      <c r="B11" s="3" t="s">
        <v>10</v>
      </c>
      <c r="C11" s="3">
        <f t="shared" si="0"/>
        <v>1431.5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/>
      <c r="AI11" s="3"/>
      <c r="AJ11" s="3"/>
      <c r="AK11" s="3"/>
      <c r="AL11" s="3"/>
      <c r="AM11" s="3"/>
      <c r="AN11" s="3"/>
      <c r="AO11" s="3"/>
      <c r="AT11">
        <v>72.5</v>
      </c>
      <c r="AU11">
        <v>73</v>
      </c>
      <c r="AV11">
        <v>83</v>
      </c>
      <c r="AW11">
        <v>11</v>
      </c>
    </row>
    <row r="12" spans="1:57" ht="15">
      <c r="C12" s="16">
        <f>SUM(C2:C11)</f>
        <v>13995</v>
      </c>
      <c r="D12" s="16">
        <f t="shared" ref="D12:AG12" si="1">SUM(D2:D11)</f>
        <v>701</v>
      </c>
      <c r="E12" s="16">
        <f t="shared" si="1"/>
        <v>722</v>
      </c>
      <c r="F12" s="16">
        <f t="shared" si="1"/>
        <v>693</v>
      </c>
      <c r="G12" s="16">
        <f t="shared" si="1"/>
        <v>696</v>
      </c>
      <c r="H12" s="16">
        <f t="shared" si="1"/>
        <v>720</v>
      </c>
      <c r="I12" s="16">
        <f t="shared" si="1"/>
        <v>692</v>
      </c>
      <c r="J12" s="16">
        <f t="shared" si="1"/>
        <v>671</v>
      </c>
      <c r="K12" s="16">
        <f t="shared" si="1"/>
        <v>677</v>
      </c>
      <c r="L12" s="16">
        <f t="shared" si="1"/>
        <v>711</v>
      </c>
      <c r="M12" s="16">
        <f t="shared" si="1"/>
        <v>668.5</v>
      </c>
      <c r="N12" s="16">
        <f t="shared" si="1"/>
        <v>670</v>
      </c>
      <c r="O12" s="16">
        <f t="shared" si="1"/>
        <v>722.5</v>
      </c>
      <c r="P12" s="16">
        <f t="shared" si="1"/>
        <v>710</v>
      </c>
      <c r="Q12" s="16">
        <f t="shared" si="1"/>
        <v>690</v>
      </c>
      <c r="R12" s="16">
        <f t="shared" si="1"/>
        <v>680.5</v>
      </c>
      <c r="S12" s="16">
        <f t="shared" si="1"/>
        <v>694.5</v>
      </c>
      <c r="T12" s="16">
        <f t="shared" si="1"/>
        <v>721.5</v>
      </c>
      <c r="U12" s="16">
        <f t="shared" si="1"/>
        <v>685.5</v>
      </c>
      <c r="V12" s="16">
        <f t="shared" si="1"/>
        <v>702.5</v>
      </c>
      <c r="W12" s="16">
        <f t="shared" si="1"/>
        <v>724.5</v>
      </c>
      <c r="X12" s="16">
        <f t="shared" si="1"/>
        <v>675.5</v>
      </c>
      <c r="Y12" s="16">
        <f t="shared" si="1"/>
        <v>746</v>
      </c>
      <c r="Z12" s="16">
        <f t="shared" si="1"/>
        <v>713</v>
      </c>
      <c r="AA12" s="16">
        <f t="shared" si="1"/>
        <v>719.5</v>
      </c>
      <c r="AB12" s="16">
        <f t="shared" si="1"/>
        <v>670</v>
      </c>
      <c r="AC12" s="16">
        <f t="shared" si="1"/>
        <v>684</v>
      </c>
      <c r="AD12" s="16">
        <f t="shared" si="1"/>
        <v>699.5</v>
      </c>
      <c r="AE12" s="16">
        <f t="shared" si="1"/>
        <v>698.5</v>
      </c>
      <c r="AF12" s="16">
        <f t="shared" si="1"/>
        <v>700</v>
      </c>
      <c r="AG12" s="16">
        <f t="shared" si="1"/>
        <v>708</v>
      </c>
      <c r="AH12" s="16"/>
      <c r="AI12" s="16"/>
      <c r="AJ12" s="16"/>
      <c r="AK12" s="16"/>
      <c r="AL12" s="16"/>
      <c r="AM12" s="16"/>
      <c r="AN12" s="16"/>
      <c r="AO12" s="16"/>
      <c r="AT12">
        <v>73</v>
      </c>
      <c r="AU12">
        <v>74</v>
      </c>
      <c r="AV12">
        <v>76.5</v>
      </c>
      <c r="AW12">
        <v>11</v>
      </c>
    </row>
    <row r="13" spans="1:57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T13" t="s">
        <v>14</v>
      </c>
    </row>
    <row r="14" spans="1:57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>
        <v>10</v>
      </c>
      <c r="N14" s="14">
        <v>11</v>
      </c>
      <c r="O14" s="14">
        <v>12</v>
      </c>
      <c r="P14" s="14">
        <v>13</v>
      </c>
      <c r="Q14" s="14">
        <v>14</v>
      </c>
      <c r="R14" s="14">
        <v>15</v>
      </c>
      <c r="S14" s="14">
        <v>16</v>
      </c>
      <c r="T14" s="14">
        <v>17</v>
      </c>
      <c r="U14" s="14">
        <v>18</v>
      </c>
      <c r="V14" s="14">
        <v>19</v>
      </c>
      <c r="W14" s="14">
        <v>20</v>
      </c>
      <c r="X14" s="14">
        <v>21</v>
      </c>
      <c r="Y14" s="14">
        <v>22</v>
      </c>
      <c r="Z14" s="14">
        <v>23</v>
      </c>
      <c r="AA14" s="14">
        <v>24</v>
      </c>
      <c r="AB14" s="14">
        <v>25</v>
      </c>
      <c r="AC14" s="14">
        <v>26</v>
      </c>
      <c r="AD14" s="14">
        <v>27</v>
      </c>
      <c r="AE14" s="14">
        <v>28</v>
      </c>
      <c r="AF14" s="14">
        <v>29</v>
      </c>
      <c r="AG14" s="14">
        <v>30</v>
      </c>
      <c r="AH14" s="14">
        <v>31</v>
      </c>
      <c r="AI14" s="14">
        <v>32</v>
      </c>
      <c r="AJ14" s="14">
        <v>33</v>
      </c>
      <c r="AK14" s="14">
        <v>34</v>
      </c>
      <c r="AL14" s="14">
        <v>35</v>
      </c>
      <c r="AM14" s="14">
        <v>36</v>
      </c>
      <c r="AN14" s="14">
        <v>37</v>
      </c>
      <c r="AO14" s="14">
        <v>38</v>
      </c>
      <c r="AT14">
        <v>70.5</v>
      </c>
      <c r="AU14">
        <v>72.5</v>
      </c>
      <c r="AV14">
        <v>75</v>
      </c>
      <c r="AW14">
        <v>11</v>
      </c>
    </row>
    <row r="15" spans="1:57">
      <c r="A15">
        <v>0</v>
      </c>
      <c r="B15" s="3" t="s">
        <v>2</v>
      </c>
      <c r="C15" s="3">
        <f>SUM(H15:AA15)</f>
        <v>1418.5</v>
      </c>
      <c r="D15" s="3">
        <v>63.5</v>
      </c>
      <c r="E15" s="3">
        <v>70.5</v>
      </c>
      <c r="F15" s="3">
        <v>62</v>
      </c>
      <c r="G15" s="3">
        <v>67.5</v>
      </c>
      <c r="H15" s="3">
        <v>77</v>
      </c>
      <c r="I15" s="3">
        <v>74.5</v>
      </c>
      <c r="J15" s="3">
        <v>69</v>
      </c>
      <c r="K15" s="3">
        <v>65</v>
      </c>
      <c r="L15" s="3">
        <v>70.5</v>
      </c>
      <c r="M15" s="3">
        <v>66</v>
      </c>
      <c r="N15" s="3">
        <v>63.5</v>
      </c>
      <c r="O15" s="3">
        <v>80</v>
      </c>
      <c r="P15" s="3">
        <v>67</v>
      </c>
      <c r="Q15" s="3">
        <v>64.5</v>
      </c>
      <c r="R15" s="3">
        <v>73.5</v>
      </c>
      <c r="S15" s="3">
        <v>72</v>
      </c>
      <c r="T15" s="3">
        <v>82.5</v>
      </c>
      <c r="U15" s="3">
        <v>65</v>
      </c>
      <c r="V15" s="3">
        <v>80.5</v>
      </c>
      <c r="W15" s="3">
        <v>73</v>
      </c>
      <c r="X15" s="3">
        <v>66.5</v>
      </c>
      <c r="Y15" s="3">
        <v>81</v>
      </c>
      <c r="Z15" s="3">
        <v>60</v>
      </c>
      <c r="AA15" s="3">
        <v>67.5</v>
      </c>
      <c r="AB15" s="3">
        <v>70</v>
      </c>
      <c r="AC15" s="3">
        <v>66.5</v>
      </c>
      <c r="AD15" s="3">
        <v>70</v>
      </c>
      <c r="AE15" s="3">
        <v>76.5</v>
      </c>
      <c r="AF15" s="3">
        <v>77.5</v>
      </c>
      <c r="AG15" s="3">
        <v>89.5</v>
      </c>
      <c r="AH15" s="3"/>
      <c r="AI15" s="3"/>
      <c r="AJ15" s="3"/>
      <c r="AK15" s="3"/>
      <c r="AL15" s="3"/>
      <c r="AM15" s="3"/>
      <c r="AN15" s="3"/>
      <c r="AO15" s="3"/>
      <c r="AP15" s="2">
        <f t="shared" ref="AP15:AP25" si="2">(C15-C2)/C15</f>
        <v>7.4021854071201973E-3</v>
      </c>
      <c r="AQ15">
        <f>COUNTIF(D15:AA24,"&gt;70")</f>
        <v>110</v>
      </c>
      <c r="AT15">
        <v>71</v>
      </c>
      <c r="AU15">
        <v>72</v>
      </c>
      <c r="AV15">
        <v>76.5</v>
      </c>
      <c r="AW15">
        <v>11</v>
      </c>
    </row>
    <row r="16" spans="1:57">
      <c r="A16">
        <v>1</v>
      </c>
      <c r="B16" s="3" t="s">
        <v>3</v>
      </c>
      <c r="C16" s="3">
        <f t="shared" ref="C16:C24" si="3">SUM(H16:AA16)</f>
        <v>1361.5</v>
      </c>
      <c r="D16" s="3">
        <v>68.5</v>
      </c>
      <c r="E16" s="3">
        <v>71</v>
      </c>
      <c r="F16" s="3">
        <v>68</v>
      </c>
      <c r="G16" s="3">
        <v>67</v>
      </c>
      <c r="H16" s="3">
        <v>80.5</v>
      </c>
      <c r="I16" s="3">
        <v>62</v>
      </c>
      <c r="J16" s="3">
        <v>64</v>
      </c>
      <c r="K16" s="3">
        <v>69</v>
      </c>
      <c r="L16" s="3">
        <v>67</v>
      </c>
      <c r="M16" s="3">
        <v>76</v>
      </c>
      <c r="N16" s="3">
        <v>59.5</v>
      </c>
      <c r="O16" s="3">
        <v>71.5</v>
      </c>
      <c r="P16" s="3">
        <v>71.5</v>
      </c>
      <c r="Q16" s="3">
        <v>68</v>
      </c>
      <c r="R16" s="3">
        <v>66.5</v>
      </c>
      <c r="S16" s="3">
        <v>57</v>
      </c>
      <c r="T16" s="3">
        <v>65</v>
      </c>
      <c r="U16" s="3">
        <v>51.5</v>
      </c>
      <c r="V16" s="3">
        <v>62.5</v>
      </c>
      <c r="W16" s="3">
        <v>69.5</v>
      </c>
      <c r="X16" s="3">
        <v>73</v>
      </c>
      <c r="Y16" s="3">
        <v>73</v>
      </c>
      <c r="Z16" s="3">
        <v>74</v>
      </c>
      <c r="AA16" s="3">
        <v>80.5</v>
      </c>
      <c r="AB16" s="3">
        <v>71.5</v>
      </c>
      <c r="AC16" s="3">
        <v>64</v>
      </c>
      <c r="AD16" s="3">
        <v>71.5</v>
      </c>
      <c r="AE16" s="3">
        <v>64</v>
      </c>
      <c r="AF16" s="3">
        <v>77</v>
      </c>
      <c r="AG16" s="3">
        <v>68</v>
      </c>
      <c r="AH16" s="3"/>
      <c r="AI16" s="3"/>
      <c r="AJ16" s="3"/>
      <c r="AK16" s="3"/>
      <c r="AL16" s="3"/>
      <c r="AM16" s="3"/>
      <c r="AN16" s="3"/>
      <c r="AO16" s="3"/>
      <c r="AP16" s="2">
        <f t="shared" si="2"/>
        <v>-1.5424164524421594E-2</v>
      </c>
      <c r="AT16">
        <v>63.5</v>
      </c>
      <c r="AU16">
        <v>69</v>
      </c>
      <c r="AV16">
        <v>75.5</v>
      </c>
      <c r="AW16">
        <v>11</v>
      </c>
    </row>
    <row r="17" spans="1:56">
      <c r="A17">
        <v>2</v>
      </c>
      <c r="B17" s="3" t="s">
        <v>4</v>
      </c>
      <c r="C17" s="3">
        <f t="shared" si="3"/>
        <v>1462</v>
      </c>
      <c r="D17" s="3">
        <v>76</v>
      </c>
      <c r="E17" s="3">
        <v>63.5</v>
      </c>
      <c r="F17" s="3">
        <v>80</v>
      </c>
      <c r="G17" s="3">
        <v>70.5</v>
      </c>
      <c r="H17" s="3">
        <v>77.5</v>
      </c>
      <c r="I17" s="3">
        <v>76.5</v>
      </c>
      <c r="J17" s="3">
        <v>72.5</v>
      </c>
      <c r="K17" s="3">
        <v>71.5</v>
      </c>
      <c r="L17" s="3">
        <v>72.5</v>
      </c>
      <c r="M17" s="3">
        <v>80</v>
      </c>
      <c r="N17" s="3">
        <v>67</v>
      </c>
      <c r="O17" s="3">
        <v>72</v>
      </c>
      <c r="P17" s="3">
        <v>74.5</v>
      </c>
      <c r="Q17" s="3">
        <v>63.5</v>
      </c>
      <c r="R17" s="3">
        <v>66.5</v>
      </c>
      <c r="S17" s="3">
        <v>66.5</v>
      </c>
      <c r="T17" s="3">
        <v>67.5</v>
      </c>
      <c r="U17" s="3">
        <v>70.5</v>
      </c>
      <c r="V17" s="3">
        <v>76.5</v>
      </c>
      <c r="W17" s="3">
        <v>79.5</v>
      </c>
      <c r="X17" s="3">
        <v>70</v>
      </c>
      <c r="Y17" s="3">
        <v>83.5</v>
      </c>
      <c r="Z17" s="3">
        <v>81</v>
      </c>
      <c r="AA17" s="3">
        <v>73</v>
      </c>
      <c r="AB17" s="3">
        <v>69</v>
      </c>
      <c r="AC17" s="3">
        <v>69</v>
      </c>
      <c r="AD17" s="3">
        <v>84.5</v>
      </c>
      <c r="AE17" s="3">
        <v>80</v>
      </c>
      <c r="AF17" s="3">
        <v>69</v>
      </c>
      <c r="AG17" s="3">
        <v>68</v>
      </c>
      <c r="AH17" s="3"/>
      <c r="AI17" s="3"/>
      <c r="AJ17" s="3"/>
      <c r="AK17" s="3"/>
      <c r="AL17" s="3"/>
      <c r="AM17" s="3"/>
      <c r="AN17" s="3"/>
      <c r="AO17" s="3"/>
      <c r="AP17" s="2">
        <f t="shared" si="2"/>
        <v>-8.8919288645690833E-3</v>
      </c>
      <c r="AT17">
        <v>66</v>
      </c>
      <c r="AU17">
        <v>65</v>
      </c>
      <c r="AV17">
        <v>77</v>
      </c>
      <c r="AW17">
        <v>11</v>
      </c>
      <c r="AY17" t="s">
        <v>35</v>
      </c>
    </row>
    <row r="18" spans="1:56">
      <c r="A18">
        <v>3</v>
      </c>
      <c r="B18" s="3" t="s">
        <v>5</v>
      </c>
      <c r="C18" s="3">
        <f t="shared" si="3"/>
        <v>1409</v>
      </c>
      <c r="D18" s="3">
        <v>66.5</v>
      </c>
      <c r="E18" s="3">
        <v>66</v>
      </c>
      <c r="F18" s="3">
        <v>64</v>
      </c>
      <c r="G18" s="3">
        <v>62.5</v>
      </c>
      <c r="H18" s="3">
        <v>55.5</v>
      </c>
      <c r="I18" s="3">
        <v>67.5</v>
      </c>
      <c r="J18" s="3">
        <v>66</v>
      </c>
      <c r="K18" s="3">
        <v>63</v>
      </c>
      <c r="L18" s="3">
        <v>70</v>
      </c>
      <c r="M18" s="3">
        <v>62.5</v>
      </c>
      <c r="N18" s="3">
        <v>66</v>
      </c>
      <c r="O18" s="3">
        <v>82.5</v>
      </c>
      <c r="P18" s="3">
        <v>69</v>
      </c>
      <c r="Q18" s="3">
        <v>69.5</v>
      </c>
      <c r="R18" s="3">
        <v>75</v>
      </c>
      <c r="S18" s="3">
        <v>66</v>
      </c>
      <c r="T18" s="3">
        <v>89</v>
      </c>
      <c r="U18" s="3">
        <v>62.5</v>
      </c>
      <c r="V18" s="3">
        <v>72.5</v>
      </c>
      <c r="W18" s="3">
        <v>75</v>
      </c>
      <c r="X18" s="3">
        <v>65.5</v>
      </c>
      <c r="Y18" s="3">
        <v>83.5</v>
      </c>
      <c r="Z18" s="3">
        <v>72.5</v>
      </c>
      <c r="AA18" s="3">
        <v>76</v>
      </c>
      <c r="AB18" s="3">
        <v>59.5</v>
      </c>
      <c r="AC18" s="3">
        <v>69.5</v>
      </c>
      <c r="AD18" s="3">
        <v>73</v>
      </c>
      <c r="AE18" s="3">
        <v>70</v>
      </c>
      <c r="AF18" s="3">
        <v>69.5</v>
      </c>
      <c r="AG18" s="3">
        <v>65.5</v>
      </c>
      <c r="AH18" s="3"/>
      <c r="AI18" s="3"/>
      <c r="AJ18" s="3"/>
      <c r="AK18" s="3"/>
      <c r="AL18" s="3"/>
      <c r="AM18" s="3"/>
      <c r="AN18" s="3"/>
      <c r="AO18" s="3"/>
      <c r="AP18" s="2">
        <f t="shared" si="2"/>
        <v>7.4520936834634489E-3</v>
      </c>
      <c r="AS18" s="6"/>
      <c r="AT18">
        <v>70</v>
      </c>
      <c r="AU18">
        <v>75</v>
      </c>
      <c r="AV18">
        <v>85</v>
      </c>
      <c r="AW18">
        <v>11</v>
      </c>
      <c r="AY18">
        <v>-12</v>
      </c>
    </row>
    <row r="19" spans="1:56">
      <c r="A19">
        <v>4</v>
      </c>
      <c r="B19" s="3" t="s">
        <v>7</v>
      </c>
      <c r="C19" s="3">
        <f t="shared" si="3"/>
        <v>1364.5</v>
      </c>
      <c r="D19" s="3">
        <v>72</v>
      </c>
      <c r="E19" s="3">
        <v>70</v>
      </c>
      <c r="F19" s="3">
        <v>71.5</v>
      </c>
      <c r="G19" s="3">
        <v>64</v>
      </c>
      <c r="H19" s="3">
        <v>70</v>
      </c>
      <c r="I19" s="3">
        <v>62</v>
      </c>
      <c r="J19" s="3">
        <v>62</v>
      </c>
      <c r="K19" s="3">
        <v>58.5</v>
      </c>
      <c r="L19" s="3">
        <v>69</v>
      </c>
      <c r="M19" s="3">
        <v>61</v>
      </c>
      <c r="N19" s="3">
        <v>67</v>
      </c>
      <c r="O19" s="3">
        <v>65</v>
      </c>
      <c r="P19" s="3">
        <v>70</v>
      </c>
      <c r="Q19" s="3">
        <v>71.5</v>
      </c>
      <c r="R19" s="3">
        <v>75</v>
      </c>
      <c r="S19" s="3">
        <v>70.5</v>
      </c>
      <c r="T19" s="3">
        <v>71</v>
      </c>
      <c r="U19" s="3">
        <v>71.5</v>
      </c>
      <c r="V19" s="3">
        <v>55.5</v>
      </c>
      <c r="W19" s="3">
        <v>73</v>
      </c>
      <c r="X19" s="3">
        <v>70</v>
      </c>
      <c r="Y19" s="3">
        <v>73.5</v>
      </c>
      <c r="Z19" s="3">
        <v>72.5</v>
      </c>
      <c r="AA19" s="3">
        <v>76</v>
      </c>
      <c r="AB19" s="3">
        <v>67</v>
      </c>
      <c r="AC19" s="3">
        <v>80</v>
      </c>
      <c r="AD19" s="3">
        <v>75.5</v>
      </c>
      <c r="AE19" s="3">
        <v>65.5</v>
      </c>
      <c r="AF19" s="3">
        <v>66.5</v>
      </c>
      <c r="AG19" s="3">
        <v>71.5</v>
      </c>
      <c r="AH19" s="3"/>
      <c r="AI19" s="3"/>
      <c r="AJ19" s="3"/>
      <c r="AK19" s="3"/>
      <c r="AL19" s="3"/>
      <c r="AM19" s="3"/>
      <c r="AN19" s="3"/>
      <c r="AO19" s="3"/>
      <c r="AP19" s="2">
        <f t="shared" si="2"/>
        <v>-1.1359472334188348E-2</v>
      </c>
      <c r="AT19">
        <v>75</v>
      </c>
      <c r="AU19">
        <v>85.5</v>
      </c>
      <c r="AV19">
        <v>91</v>
      </c>
      <c r="AW19">
        <v>11</v>
      </c>
    </row>
    <row r="20" spans="1:56">
      <c r="A20">
        <v>5</v>
      </c>
      <c r="B20" s="3" t="s">
        <v>6</v>
      </c>
      <c r="C20" s="3">
        <f t="shared" si="3"/>
        <v>1390.5</v>
      </c>
      <c r="D20" s="3">
        <v>61.5</v>
      </c>
      <c r="E20" s="3">
        <v>75</v>
      </c>
      <c r="F20" s="3">
        <v>72.5</v>
      </c>
      <c r="G20" s="3">
        <v>75.5</v>
      </c>
      <c r="H20" s="3">
        <v>76</v>
      </c>
      <c r="I20" s="3">
        <v>69</v>
      </c>
      <c r="J20" s="3">
        <v>63</v>
      </c>
      <c r="K20" s="3">
        <v>62.5</v>
      </c>
      <c r="L20" s="3">
        <v>67.5</v>
      </c>
      <c r="M20" s="3">
        <v>63</v>
      </c>
      <c r="N20" s="3">
        <v>69</v>
      </c>
      <c r="O20" s="3">
        <v>71.5</v>
      </c>
      <c r="P20" s="3">
        <v>59.5</v>
      </c>
      <c r="Q20" s="3">
        <v>73</v>
      </c>
      <c r="R20" s="3">
        <v>65.5</v>
      </c>
      <c r="S20" s="3">
        <v>69.5</v>
      </c>
      <c r="T20" s="3">
        <v>75</v>
      </c>
      <c r="U20" s="3">
        <v>74.5</v>
      </c>
      <c r="V20" s="3">
        <v>66.5</v>
      </c>
      <c r="W20" s="3">
        <v>75</v>
      </c>
      <c r="X20" s="3">
        <v>66.5</v>
      </c>
      <c r="Y20" s="3">
        <v>70</v>
      </c>
      <c r="Z20" s="3">
        <v>74</v>
      </c>
      <c r="AA20" s="3">
        <v>80</v>
      </c>
      <c r="AB20" s="3">
        <v>68.5</v>
      </c>
      <c r="AC20" s="3">
        <v>76.5</v>
      </c>
      <c r="AD20" s="3">
        <v>69</v>
      </c>
      <c r="AE20" s="3">
        <v>66.5</v>
      </c>
      <c r="AF20" s="3">
        <v>68.5</v>
      </c>
      <c r="AG20" s="3">
        <v>64</v>
      </c>
      <c r="AH20" s="3"/>
      <c r="AI20" s="3"/>
      <c r="AJ20" s="3"/>
      <c r="AK20" s="3"/>
      <c r="AL20" s="3"/>
      <c r="AM20" s="3"/>
      <c r="AN20" s="3"/>
      <c r="AO20" s="3"/>
      <c r="AP20" s="2">
        <f t="shared" si="2"/>
        <v>4.3149946062567418E-3</v>
      </c>
      <c r="AT20">
        <v>61.5</v>
      </c>
      <c r="AU20">
        <v>72.5</v>
      </c>
      <c r="AV20">
        <v>75.5</v>
      </c>
      <c r="AW20">
        <v>11</v>
      </c>
    </row>
    <row r="21" spans="1:56">
      <c r="A21">
        <v>6</v>
      </c>
      <c r="B21" s="3" t="s">
        <v>8</v>
      </c>
      <c r="C21" s="3">
        <f t="shared" si="3"/>
        <v>1388</v>
      </c>
      <c r="D21" s="3">
        <v>68</v>
      </c>
      <c r="E21" s="3">
        <v>61.5</v>
      </c>
      <c r="F21" s="3">
        <v>72</v>
      </c>
      <c r="G21" s="3">
        <v>78</v>
      </c>
      <c r="H21" s="3">
        <v>83.5</v>
      </c>
      <c r="I21" s="3">
        <v>61</v>
      </c>
      <c r="J21" s="3">
        <v>68.5</v>
      </c>
      <c r="K21" s="3">
        <v>71.5</v>
      </c>
      <c r="L21" s="3">
        <v>79</v>
      </c>
      <c r="M21" s="3">
        <v>70</v>
      </c>
      <c r="N21" s="3">
        <v>70</v>
      </c>
      <c r="O21" s="3">
        <v>75</v>
      </c>
      <c r="P21" s="3">
        <v>69</v>
      </c>
      <c r="Q21" s="3">
        <v>65.5</v>
      </c>
      <c r="R21" s="3">
        <v>59.5</v>
      </c>
      <c r="S21" s="3">
        <v>71</v>
      </c>
      <c r="T21" s="3">
        <v>69</v>
      </c>
      <c r="U21" s="3">
        <v>71.5</v>
      </c>
      <c r="V21" s="3">
        <v>62</v>
      </c>
      <c r="W21" s="3">
        <v>72</v>
      </c>
      <c r="X21" s="3">
        <v>76</v>
      </c>
      <c r="Y21" s="3">
        <v>62</v>
      </c>
      <c r="Z21" s="3">
        <v>69.5</v>
      </c>
      <c r="AA21" s="3">
        <v>62.5</v>
      </c>
      <c r="AB21" s="3">
        <v>67</v>
      </c>
      <c r="AC21" s="3">
        <v>67</v>
      </c>
      <c r="AD21" s="3">
        <v>63.5</v>
      </c>
      <c r="AE21" s="3">
        <v>71</v>
      </c>
      <c r="AF21" s="3">
        <v>74.5</v>
      </c>
      <c r="AG21" s="3">
        <v>81.5</v>
      </c>
      <c r="AH21" s="3"/>
      <c r="AI21" s="3"/>
      <c r="AJ21" s="3"/>
      <c r="AK21" s="3"/>
      <c r="AL21" s="3"/>
      <c r="AM21" s="3"/>
      <c r="AN21" s="3"/>
      <c r="AO21" s="3"/>
      <c r="AP21" s="2">
        <f t="shared" si="2"/>
        <v>3.2420749279538905E-3</v>
      </c>
      <c r="AT21">
        <v>71</v>
      </c>
      <c r="AU21">
        <v>70</v>
      </c>
      <c r="AV21">
        <v>80.5</v>
      </c>
      <c r="AW21">
        <v>11</v>
      </c>
      <c r="AY21" t="s">
        <v>36</v>
      </c>
    </row>
    <row r="22" spans="1:56">
      <c r="A22">
        <v>7</v>
      </c>
      <c r="B22" s="3" t="s">
        <v>11</v>
      </c>
      <c r="C22" s="3">
        <f t="shared" si="3"/>
        <v>1384.5</v>
      </c>
      <c r="D22" s="3">
        <v>76</v>
      </c>
      <c r="E22" s="3">
        <v>71</v>
      </c>
      <c r="F22" s="3">
        <v>60.5</v>
      </c>
      <c r="G22" s="3">
        <v>77.5</v>
      </c>
      <c r="H22" s="3">
        <v>70.5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69.5</v>
      </c>
      <c r="T22" s="3">
        <v>70</v>
      </c>
      <c r="U22" s="3">
        <v>70.5</v>
      </c>
      <c r="V22" s="3">
        <v>60.5</v>
      </c>
      <c r="W22" s="3">
        <v>69.5</v>
      </c>
      <c r="X22" s="3">
        <v>68.5</v>
      </c>
      <c r="Y22" s="3">
        <v>74.5</v>
      </c>
      <c r="Z22" s="3">
        <v>63</v>
      </c>
      <c r="AA22" s="3">
        <v>72.5</v>
      </c>
      <c r="AB22" s="3">
        <v>66</v>
      </c>
      <c r="AC22" s="3">
        <v>69</v>
      </c>
      <c r="AD22" s="3">
        <v>65</v>
      </c>
      <c r="AE22" s="3">
        <v>66</v>
      </c>
      <c r="AF22" s="3">
        <v>75.5</v>
      </c>
      <c r="AG22" s="3">
        <v>70</v>
      </c>
      <c r="AH22" s="3"/>
      <c r="AI22" s="3"/>
      <c r="AJ22" s="3"/>
      <c r="AK22" s="3"/>
      <c r="AL22" s="3"/>
      <c r="AM22" s="3"/>
      <c r="AN22" s="3"/>
      <c r="AO22" s="3"/>
      <c r="AP22" s="2">
        <f t="shared" si="2"/>
        <v>4.6948356807511738E-3</v>
      </c>
      <c r="AT22">
        <v>68</v>
      </c>
      <c r="AU22">
        <v>71.5</v>
      </c>
      <c r="AV22">
        <v>75</v>
      </c>
      <c r="AW22">
        <v>11</v>
      </c>
    </row>
    <row r="23" spans="1:56">
      <c r="A23">
        <v>8</v>
      </c>
      <c r="B23" s="3" t="s">
        <v>9</v>
      </c>
      <c r="C23" s="3">
        <f t="shared" si="3"/>
        <v>1391.5</v>
      </c>
      <c r="D23" s="3">
        <v>72.5</v>
      </c>
      <c r="E23" s="3">
        <v>68</v>
      </c>
      <c r="F23" s="3">
        <v>79</v>
      </c>
      <c r="G23" s="3">
        <v>73.5</v>
      </c>
      <c r="H23" s="3">
        <v>66.5</v>
      </c>
      <c r="I23" s="3">
        <v>67.5</v>
      </c>
      <c r="J23" s="3">
        <v>68.5</v>
      </c>
      <c r="K23" s="3">
        <v>59.5</v>
      </c>
      <c r="L23" s="3">
        <v>77.5</v>
      </c>
      <c r="M23" s="3">
        <v>54.5</v>
      </c>
      <c r="N23" s="3">
        <v>63.5</v>
      </c>
      <c r="O23" s="3">
        <v>67</v>
      </c>
      <c r="P23" s="3">
        <v>68</v>
      </c>
      <c r="Q23" s="3">
        <v>79</v>
      </c>
      <c r="R23" s="3">
        <v>64.5</v>
      </c>
      <c r="S23" s="3">
        <v>70</v>
      </c>
      <c r="T23" s="3">
        <v>76</v>
      </c>
      <c r="U23" s="3">
        <v>69</v>
      </c>
      <c r="V23" s="3">
        <v>68</v>
      </c>
      <c r="W23" s="3">
        <v>72.5</v>
      </c>
      <c r="X23" s="3">
        <v>69</v>
      </c>
      <c r="Y23" s="3">
        <v>69.5</v>
      </c>
      <c r="Z23" s="3">
        <v>80.5</v>
      </c>
      <c r="AA23" s="3">
        <v>81</v>
      </c>
      <c r="AB23" s="3">
        <v>67</v>
      </c>
      <c r="AC23" s="3">
        <v>67.5</v>
      </c>
      <c r="AD23" s="3">
        <v>75</v>
      </c>
      <c r="AE23" s="3">
        <v>70</v>
      </c>
      <c r="AF23" s="3">
        <v>69</v>
      </c>
      <c r="AG23" s="3">
        <v>77.5</v>
      </c>
      <c r="AH23" s="3"/>
      <c r="AI23" s="3"/>
      <c r="AJ23" s="3"/>
      <c r="AK23" s="3"/>
      <c r="AL23" s="3"/>
      <c r="AM23" s="3"/>
      <c r="AN23" s="3"/>
      <c r="AO23" s="3"/>
      <c r="AP23" s="2">
        <f t="shared" si="2"/>
        <v>1.2935680919870643E-2</v>
      </c>
      <c r="AT23">
        <v>70.5</v>
      </c>
      <c r="AU23">
        <v>69</v>
      </c>
      <c r="AV23">
        <v>74</v>
      </c>
      <c r="AW23">
        <v>11</v>
      </c>
    </row>
    <row r="24" spans="1:56">
      <c r="A24">
        <v>9</v>
      </c>
      <c r="B24" s="3" t="s">
        <v>10</v>
      </c>
      <c r="C24" s="3">
        <f t="shared" si="3"/>
        <v>1417</v>
      </c>
      <c r="D24" s="3">
        <v>73</v>
      </c>
      <c r="E24" s="3">
        <v>70.5</v>
      </c>
      <c r="F24" s="3">
        <v>79.5</v>
      </c>
      <c r="G24" s="3">
        <v>66.5</v>
      </c>
      <c r="H24" s="3">
        <v>66.5</v>
      </c>
      <c r="I24" s="3">
        <v>87.5</v>
      </c>
      <c r="J24" s="3">
        <v>66.5</v>
      </c>
      <c r="K24" s="3">
        <v>84.5</v>
      </c>
      <c r="L24" s="3">
        <v>88.5</v>
      </c>
      <c r="M24" s="3">
        <v>60</v>
      </c>
      <c r="N24" s="3">
        <v>65</v>
      </c>
      <c r="O24" s="3">
        <v>61</v>
      </c>
      <c r="P24" s="3">
        <v>66</v>
      </c>
      <c r="Q24" s="3">
        <v>66.5</v>
      </c>
      <c r="R24" s="3">
        <v>57.5</v>
      </c>
      <c r="S24" s="3">
        <v>74</v>
      </c>
      <c r="T24" s="3">
        <v>60.5</v>
      </c>
      <c r="U24" s="3">
        <v>70</v>
      </c>
      <c r="V24" s="3">
        <v>69.5</v>
      </c>
      <c r="W24" s="3">
        <v>76</v>
      </c>
      <c r="X24" s="3">
        <v>69.5</v>
      </c>
      <c r="Y24" s="3">
        <v>80.5</v>
      </c>
      <c r="Z24" s="3">
        <v>77</v>
      </c>
      <c r="AA24" s="3">
        <v>70.5</v>
      </c>
      <c r="AB24" s="3">
        <v>73.5</v>
      </c>
      <c r="AC24" s="3">
        <v>73</v>
      </c>
      <c r="AD24" s="3">
        <v>70.5</v>
      </c>
      <c r="AE24" s="3">
        <v>81.5</v>
      </c>
      <c r="AF24" s="3">
        <v>66.5</v>
      </c>
      <c r="AG24" s="3">
        <v>61</v>
      </c>
      <c r="AH24" s="3"/>
      <c r="AI24" s="3"/>
      <c r="AJ24" s="3"/>
      <c r="AK24" s="3"/>
      <c r="AL24" s="3"/>
      <c r="AM24" s="3"/>
      <c r="AN24" s="3"/>
      <c r="AO24" s="3"/>
      <c r="AP24" s="2">
        <f t="shared" si="2"/>
        <v>-1.0232886379675371E-2</v>
      </c>
      <c r="AT24" t="s">
        <v>15</v>
      </c>
    </row>
    <row r="25" spans="1:56" ht="15">
      <c r="C25" s="16">
        <f>SUM(C15:C24)</f>
        <v>13987</v>
      </c>
      <c r="D25" s="16">
        <f t="shared" ref="D25:AA25" si="4">SUM(D15:D24)</f>
        <v>697.5</v>
      </c>
      <c r="E25" s="16">
        <f t="shared" si="4"/>
        <v>687</v>
      </c>
      <c r="F25" s="16">
        <f t="shared" si="4"/>
        <v>709</v>
      </c>
      <c r="G25" s="16">
        <f t="shared" si="4"/>
        <v>702.5</v>
      </c>
      <c r="H25" s="16">
        <f t="shared" si="4"/>
        <v>723.5</v>
      </c>
      <c r="I25" s="16">
        <f t="shared" si="4"/>
        <v>698.5</v>
      </c>
      <c r="J25" s="16">
        <f t="shared" si="4"/>
        <v>671.5</v>
      </c>
      <c r="K25" s="16">
        <f t="shared" si="4"/>
        <v>670</v>
      </c>
      <c r="L25" s="16">
        <f t="shared" si="4"/>
        <v>727</v>
      </c>
      <c r="M25" s="16">
        <f t="shared" si="4"/>
        <v>664.5</v>
      </c>
      <c r="N25" s="16">
        <f t="shared" si="4"/>
        <v>658.5</v>
      </c>
      <c r="O25" s="16">
        <f t="shared" si="4"/>
        <v>720</v>
      </c>
      <c r="P25" s="16">
        <f t="shared" si="4"/>
        <v>685</v>
      </c>
      <c r="Q25" s="16">
        <f t="shared" si="4"/>
        <v>687</v>
      </c>
      <c r="R25" s="16">
        <f t="shared" si="4"/>
        <v>675.5</v>
      </c>
      <c r="S25" s="16">
        <f t="shared" si="4"/>
        <v>686</v>
      </c>
      <c r="T25" s="16">
        <f t="shared" si="4"/>
        <v>725.5</v>
      </c>
      <c r="U25" s="16">
        <f t="shared" si="4"/>
        <v>676.5</v>
      </c>
      <c r="V25" s="16">
        <f t="shared" si="4"/>
        <v>674</v>
      </c>
      <c r="W25" s="16">
        <f t="shared" si="4"/>
        <v>735</v>
      </c>
      <c r="X25" s="16">
        <f t="shared" si="4"/>
        <v>694.5</v>
      </c>
      <c r="Y25" s="16">
        <f t="shared" si="4"/>
        <v>751</v>
      </c>
      <c r="Z25" s="16">
        <f t="shared" si="4"/>
        <v>724</v>
      </c>
      <c r="AA25" s="16">
        <f t="shared" si="4"/>
        <v>739.5</v>
      </c>
      <c r="AB25" s="16">
        <f t="shared" ref="AB25:AO25" si="5">SUM(AB15:AB24)</f>
        <v>679</v>
      </c>
      <c r="AC25" s="16">
        <f t="shared" si="5"/>
        <v>702</v>
      </c>
      <c r="AD25" s="16">
        <f t="shared" si="5"/>
        <v>717.5</v>
      </c>
      <c r="AE25" s="16">
        <f t="shared" si="5"/>
        <v>711</v>
      </c>
      <c r="AF25" s="16">
        <f t="shared" si="5"/>
        <v>713.5</v>
      </c>
      <c r="AG25" s="16">
        <f t="shared" si="5"/>
        <v>716.5</v>
      </c>
      <c r="AH25" s="16">
        <f t="shared" si="5"/>
        <v>0</v>
      </c>
      <c r="AI25" s="16">
        <f t="shared" si="5"/>
        <v>0</v>
      </c>
      <c r="AJ25" s="16">
        <f t="shared" si="5"/>
        <v>0</v>
      </c>
      <c r="AK25" s="16">
        <f t="shared" si="5"/>
        <v>0</v>
      </c>
      <c r="AL25" s="16">
        <f t="shared" si="5"/>
        <v>0</v>
      </c>
      <c r="AM25" s="16">
        <f t="shared" si="5"/>
        <v>0</v>
      </c>
      <c r="AN25" s="16">
        <f t="shared" si="5"/>
        <v>0</v>
      </c>
      <c r="AO25" s="16">
        <f t="shared" si="5"/>
        <v>0</v>
      </c>
      <c r="AP25" s="2">
        <f t="shared" si="2"/>
        <v>-5.7195967684278259E-4</v>
      </c>
      <c r="AT25">
        <v>62</v>
      </c>
      <c r="AU25">
        <v>58</v>
      </c>
      <c r="AV25">
        <v>65.5</v>
      </c>
      <c r="AW25">
        <v>11</v>
      </c>
    </row>
    <row r="26" spans="1:56">
      <c r="C26" s="13"/>
      <c r="AP26" s="2"/>
      <c r="AT26">
        <v>68</v>
      </c>
      <c r="AU26">
        <v>69.5</v>
      </c>
      <c r="AV26">
        <v>74</v>
      </c>
      <c r="AW26">
        <v>11</v>
      </c>
    </row>
    <row r="27" spans="1:56">
      <c r="D27" s="14">
        <v>1</v>
      </c>
      <c r="E27" s="14">
        <v>2</v>
      </c>
      <c r="F27" s="14">
        <v>3</v>
      </c>
      <c r="G27" s="14">
        <v>4</v>
      </c>
      <c r="H27" s="14">
        <v>5</v>
      </c>
      <c r="I27" s="14">
        <v>6</v>
      </c>
      <c r="J27" s="14">
        <v>7</v>
      </c>
      <c r="K27" s="14">
        <v>8</v>
      </c>
      <c r="L27" s="14">
        <v>9</v>
      </c>
      <c r="M27" s="14">
        <v>10</v>
      </c>
      <c r="N27" s="14">
        <v>11</v>
      </c>
      <c r="O27" s="14">
        <v>12</v>
      </c>
      <c r="P27" s="14">
        <v>13</v>
      </c>
      <c r="Q27" s="14">
        <v>14</v>
      </c>
      <c r="R27" s="14">
        <v>15</v>
      </c>
      <c r="S27" s="14">
        <v>16</v>
      </c>
      <c r="T27" s="14">
        <v>17</v>
      </c>
      <c r="U27" s="14">
        <v>18</v>
      </c>
      <c r="V27" s="14">
        <v>19</v>
      </c>
      <c r="W27" s="14">
        <v>20</v>
      </c>
      <c r="X27" s="14">
        <v>21</v>
      </c>
      <c r="Y27" s="14">
        <v>22</v>
      </c>
      <c r="Z27" s="14">
        <v>23</v>
      </c>
      <c r="AA27" s="14">
        <v>24</v>
      </c>
      <c r="AB27" s="14">
        <v>25</v>
      </c>
      <c r="AC27" s="14">
        <v>26</v>
      </c>
      <c r="AD27" s="14">
        <v>27</v>
      </c>
      <c r="AE27" s="14">
        <v>28</v>
      </c>
      <c r="AF27" s="14">
        <v>29</v>
      </c>
      <c r="AG27" s="14">
        <v>30</v>
      </c>
      <c r="AH27" s="14">
        <v>31</v>
      </c>
      <c r="AI27" s="14">
        <v>32</v>
      </c>
      <c r="AJ27" s="14">
        <v>33</v>
      </c>
      <c r="AK27" s="14">
        <v>34</v>
      </c>
      <c r="AL27" s="14">
        <v>35</v>
      </c>
      <c r="AM27" s="14">
        <v>36</v>
      </c>
      <c r="AN27" s="14">
        <v>37</v>
      </c>
      <c r="AO27" s="14">
        <v>38</v>
      </c>
      <c r="AT27">
        <v>80</v>
      </c>
      <c r="AU27">
        <v>82</v>
      </c>
      <c r="AV27">
        <v>87.5</v>
      </c>
      <c r="AW27">
        <v>11</v>
      </c>
    </row>
    <row r="28" spans="1:56">
      <c r="A28">
        <v>0</v>
      </c>
      <c r="B28" s="3" t="s">
        <v>2</v>
      </c>
      <c r="C28" s="15">
        <f>COUNTIF(D28:AA28,"&lt;11")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/>
      <c r="AI28" s="3"/>
      <c r="AJ28" s="3"/>
      <c r="AK28" s="3"/>
      <c r="AL28" s="3"/>
      <c r="AM28" s="3"/>
      <c r="AN28" s="3"/>
      <c r="AO28" s="3"/>
      <c r="AQ28">
        <f>COUNTIF(H41:AA50,"&gt;0")</f>
        <v>95</v>
      </c>
      <c r="AT28">
        <v>64</v>
      </c>
      <c r="AU28">
        <v>63</v>
      </c>
      <c r="AV28">
        <v>74.5</v>
      </c>
      <c r="AW28">
        <v>11</v>
      </c>
    </row>
    <row r="29" spans="1:56">
      <c r="A29">
        <v>1</v>
      </c>
      <c r="B29" s="3" t="s">
        <v>3</v>
      </c>
      <c r="C29" s="15">
        <f t="shared" ref="C29:C37" si="6">COUNTIF(D29:AA29,"&lt;11")</f>
        <v>5</v>
      </c>
      <c r="D29" s="3">
        <v>11</v>
      </c>
      <c r="E29" s="3">
        <v>11</v>
      </c>
      <c r="F29" s="3">
        <v>11</v>
      </c>
      <c r="G29" s="3">
        <v>10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10</v>
      </c>
      <c r="T29" s="3">
        <v>10</v>
      </c>
      <c r="U29" s="3">
        <v>9</v>
      </c>
      <c r="V29" s="3">
        <v>10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/>
      <c r="AI29" s="3"/>
      <c r="AJ29" s="3"/>
      <c r="AK29" s="3"/>
      <c r="AL29" s="3"/>
      <c r="AM29" s="3"/>
      <c r="AN29" s="3"/>
      <c r="AO29" s="3"/>
      <c r="AQ29">
        <f>COUNTIF(H41:AA50,"&lt;0")</f>
        <v>75</v>
      </c>
      <c r="AT29">
        <v>71.5</v>
      </c>
      <c r="AU29">
        <v>71</v>
      </c>
      <c r="AV29">
        <v>76.5</v>
      </c>
      <c r="AW29">
        <v>11</v>
      </c>
    </row>
    <row r="30" spans="1:56">
      <c r="A30">
        <v>2</v>
      </c>
      <c r="B30" s="3" t="s">
        <v>4</v>
      </c>
      <c r="C30" s="15">
        <f t="shared" si="6"/>
        <v>0</v>
      </c>
      <c r="D30" s="3">
        <v>11</v>
      </c>
      <c r="E30" s="3">
        <v>11</v>
      </c>
      <c r="F30" s="3">
        <v>11</v>
      </c>
      <c r="G30" s="3">
        <v>11</v>
      </c>
      <c r="H30" s="3">
        <v>11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/>
      <c r="AI30" s="3"/>
      <c r="AJ30" s="3"/>
      <c r="AK30" s="3"/>
      <c r="AL30" s="3"/>
      <c r="AM30" s="3"/>
      <c r="AN30" s="3"/>
      <c r="AO30" s="3"/>
      <c r="AQ30">
        <f>COUNTIF(H41:AA50,"0")</f>
        <v>30</v>
      </c>
      <c r="AT30">
        <v>72.5</v>
      </c>
      <c r="AU30">
        <v>74</v>
      </c>
      <c r="AV30">
        <v>77</v>
      </c>
      <c r="AW30">
        <v>11</v>
      </c>
      <c r="AZ30">
        <v>35</v>
      </c>
      <c r="BA30">
        <v>50</v>
      </c>
      <c r="BB30">
        <v>65</v>
      </c>
      <c r="BC30">
        <v>80</v>
      </c>
      <c r="BD30">
        <v>95</v>
      </c>
    </row>
    <row r="31" spans="1:56">
      <c r="A31">
        <v>3</v>
      </c>
      <c r="B31" s="3" t="s">
        <v>5</v>
      </c>
      <c r="C31" s="15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/>
      <c r="AI31" s="3"/>
      <c r="AJ31" s="3"/>
      <c r="AK31" s="3"/>
      <c r="AL31" s="3"/>
      <c r="AM31" s="3"/>
      <c r="AN31" s="3"/>
      <c r="AO31" s="3"/>
      <c r="AQ31" s="1">
        <f>AQ28/SUM(AQ28:AQ30)</f>
        <v>0.47499999999999998</v>
      </c>
      <c r="AT31">
        <v>72</v>
      </c>
      <c r="AU31">
        <v>66.5</v>
      </c>
      <c r="AV31">
        <v>81</v>
      </c>
      <c r="AW31">
        <v>11</v>
      </c>
      <c r="AZ31">
        <v>120</v>
      </c>
      <c r="BA31">
        <v>110</v>
      </c>
      <c r="BB31">
        <v>100</v>
      </c>
      <c r="BC31">
        <v>90</v>
      </c>
      <c r="BD31">
        <v>80</v>
      </c>
    </row>
    <row r="32" spans="1:56">
      <c r="A32">
        <v>4</v>
      </c>
      <c r="B32" s="3" t="s">
        <v>7</v>
      </c>
      <c r="C32" s="15">
        <f t="shared" si="6"/>
        <v>3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10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10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9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/>
      <c r="AI32" s="3"/>
      <c r="AJ32" s="3"/>
      <c r="AK32" s="3"/>
      <c r="AL32" s="3"/>
      <c r="AM32" s="3"/>
      <c r="AN32" s="3"/>
      <c r="AO32" s="3"/>
      <c r="AQ32" s="1">
        <f>AQ29/SUM(AQ28:AQ30)</f>
        <v>0.375</v>
      </c>
      <c r="AT32">
        <v>60.5</v>
      </c>
      <c r="AU32">
        <v>61.5</v>
      </c>
      <c r="AV32">
        <v>66.5</v>
      </c>
      <c r="AW32">
        <v>11</v>
      </c>
      <c r="AZ32">
        <v>30</v>
      </c>
      <c r="BA32">
        <v>25</v>
      </c>
      <c r="BB32">
        <v>20</v>
      </c>
      <c r="BC32">
        <v>15</v>
      </c>
      <c r="BD32">
        <v>10</v>
      </c>
    </row>
    <row r="33" spans="1:58">
      <c r="A33">
        <v>5</v>
      </c>
      <c r="B33" s="3" t="s">
        <v>6</v>
      </c>
      <c r="C33" s="15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/>
      <c r="AI33" s="3"/>
      <c r="AJ33" s="3"/>
      <c r="AK33" s="3"/>
      <c r="AL33" s="3"/>
      <c r="AM33" s="3"/>
      <c r="AN33" s="3"/>
      <c r="AO33" s="3"/>
      <c r="AT33">
        <v>79</v>
      </c>
      <c r="AU33">
        <v>65.5</v>
      </c>
      <c r="AV33">
        <v>82</v>
      </c>
      <c r="AW33">
        <v>11</v>
      </c>
      <c r="AZ33">
        <v>40</v>
      </c>
      <c r="BA33">
        <v>49</v>
      </c>
      <c r="BB33">
        <v>58</v>
      </c>
      <c r="BC33">
        <v>67</v>
      </c>
      <c r="BD33">
        <v>76</v>
      </c>
      <c r="BE33">
        <v>85</v>
      </c>
      <c r="BF33">
        <v>94</v>
      </c>
    </row>
    <row r="34" spans="1:58">
      <c r="A34">
        <v>6</v>
      </c>
      <c r="B34" s="3" t="s">
        <v>8</v>
      </c>
      <c r="C34" s="15">
        <f t="shared" si="6"/>
        <v>0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11</v>
      </c>
      <c r="L34" s="3">
        <v>11</v>
      </c>
      <c r="M34" s="3">
        <v>11</v>
      </c>
      <c r="N34" s="3">
        <v>11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11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/>
      <c r="AI34" s="3"/>
      <c r="AJ34" s="3"/>
      <c r="AK34" s="3"/>
      <c r="AL34" s="3"/>
      <c r="AM34" s="3"/>
      <c r="AN34" s="3"/>
      <c r="AO34" s="3"/>
      <c r="AT34">
        <v>79.5</v>
      </c>
      <c r="AU34">
        <v>82</v>
      </c>
      <c r="AV34">
        <v>93</v>
      </c>
      <c r="AW34">
        <v>11</v>
      </c>
      <c r="AZ34">
        <v>120</v>
      </c>
      <c r="BA34">
        <v>114</v>
      </c>
      <c r="BB34">
        <v>108</v>
      </c>
      <c r="BC34">
        <v>102</v>
      </c>
      <c r="BD34">
        <v>96</v>
      </c>
      <c r="BE34">
        <v>90</v>
      </c>
      <c r="BF34">
        <v>84</v>
      </c>
    </row>
    <row r="35" spans="1:58">
      <c r="A35">
        <v>7</v>
      </c>
      <c r="B35" s="3" t="s">
        <v>11</v>
      </c>
      <c r="C35" s="15">
        <f t="shared" si="6"/>
        <v>1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/>
      <c r="AI35" s="3"/>
      <c r="AJ35" s="3"/>
      <c r="AK35" s="3"/>
      <c r="AL35" s="3"/>
      <c r="AM35" s="3"/>
      <c r="AN35" s="3"/>
      <c r="AO35" s="3"/>
      <c r="AT35" t="s">
        <v>16</v>
      </c>
      <c r="AZ35">
        <v>31</v>
      </c>
      <c r="BA35">
        <v>28</v>
      </c>
      <c r="BB35">
        <v>25</v>
      </c>
      <c r="BC35">
        <v>22</v>
      </c>
      <c r="BD35">
        <v>18</v>
      </c>
      <c r="BE35">
        <v>15</v>
      </c>
      <c r="BF35">
        <v>12</v>
      </c>
    </row>
    <row r="36" spans="1:58">
      <c r="A36">
        <v>8</v>
      </c>
      <c r="B36" s="3" t="s">
        <v>9</v>
      </c>
      <c r="C36" s="15">
        <f t="shared" si="6"/>
        <v>3</v>
      </c>
      <c r="D36" s="3">
        <v>11</v>
      </c>
      <c r="E36" s="3">
        <v>11</v>
      </c>
      <c r="F36" s="3">
        <v>11</v>
      </c>
      <c r="G36" s="3">
        <v>11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10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/>
      <c r="AI36" s="3"/>
      <c r="AJ36" s="3"/>
      <c r="AK36" s="3"/>
      <c r="AL36" s="3"/>
      <c r="AM36" s="3"/>
      <c r="AN36" s="3"/>
      <c r="AO36" s="3"/>
      <c r="AT36">
        <v>67.5</v>
      </c>
      <c r="AU36">
        <v>69</v>
      </c>
      <c r="AV36">
        <v>74.5</v>
      </c>
      <c r="AW36">
        <v>11</v>
      </c>
    </row>
    <row r="37" spans="1:58">
      <c r="A37">
        <v>9</v>
      </c>
      <c r="B37" s="3" t="s">
        <v>10</v>
      </c>
      <c r="C37" s="15">
        <f t="shared" si="6"/>
        <v>2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10</v>
      </c>
      <c r="S37" s="3">
        <v>11</v>
      </c>
      <c r="T37" s="3">
        <v>10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/>
      <c r="AI37" s="3"/>
      <c r="AJ37" s="3"/>
      <c r="AK37" s="3"/>
      <c r="AL37" s="3"/>
      <c r="AM37" s="3"/>
      <c r="AN37" s="3"/>
      <c r="AO37" s="3"/>
      <c r="AT37">
        <v>67</v>
      </c>
      <c r="AU37">
        <v>72.5</v>
      </c>
      <c r="AV37">
        <v>77.5</v>
      </c>
      <c r="AW37">
        <v>10</v>
      </c>
      <c r="BA37">
        <v>-10</v>
      </c>
    </row>
    <row r="38" spans="1:58" ht="15">
      <c r="C38" s="16">
        <f>SUM(C28:C37)</f>
        <v>16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1</v>
      </c>
      <c r="H38" s="4">
        <f t="shared" si="7"/>
        <v>1</v>
      </c>
      <c r="I38" s="4">
        <f t="shared" si="7"/>
        <v>1</v>
      </c>
      <c r="J38" s="4">
        <f t="shared" si="7"/>
        <v>0</v>
      </c>
      <c r="K38" s="4">
        <f t="shared" si="7"/>
        <v>1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1</v>
      </c>
      <c r="O38" s="4">
        <f t="shared" si="8"/>
        <v>0</v>
      </c>
      <c r="P38" s="4">
        <f t="shared" si="8"/>
        <v>2</v>
      </c>
      <c r="Q38" s="4">
        <f t="shared" si="8"/>
        <v>0</v>
      </c>
      <c r="R38" s="4">
        <f t="shared" si="8"/>
        <v>1</v>
      </c>
      <c r="S38" s="4">
        <f t="shared" si="8"/>
        <v>1</v>
      </c>
      <c r="T38" s="4">
        <f t="shared" si="8"/>
        <v>2</v>
      </c>
      <c r="U38" s="4">
        <f t="shared" si="8"/>
        <v>1</v>
      </c>
      <c r="V38" s="4">
        <f t="shared" si="8"/>
        <v>3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0</v>
      </c>
      <c r="AO38" s="4">
        <f t="shared" si="9"/>
        <v>0</v>
      </c>
      <c r="AT38">
        <v>70.5</v>
      </c>
      <c r="AU38">
        <v>68</v>
      </c>
      <c r="AV38">
        <v>74</v>
      </c>
      <c r="AW38">
        <v>11</v>
      </c>
      <c r="BA38">
        <v>-1</v>
      </c>
    </row>
    <row r="39" spans="1:58">
      <c r="AT39">
        <v>62.5</v>
      </c>
      <c r="AU39">
        <v>63.5</v>
      </c>
      <c r="AV39">
        <v>72</v>
      </c>
      <c r="AW39">
        <v>11</v>
      </c>
      <c r="BA39">
        <v>5</v>
      </c>
    </row>
    <row r="40" spans="1:58">
      <c r="D40" s="14">
        <v>1</v>
      </c>
      <c r="E40" s="14">
        <v>2</v>
      </c>
      <c r="F40" s="14">
        <v>3</v>
      </c>
      <c r="G40" s="14">
        <v>4</v>
      </c>
      <c r="H40" s="14">
        <v>5</v>
      </c>
      <c r="I40" s="14">
        <v>6</v>
      </c>
      <c r="J40" s="14">
        <v>7</v>
      </c>
      <c r="K40" s="14">
        <v>8</v>
      </c>
      <c r="L40" s="14">
        <v>9</v>
      </c>
      <c r="M40" s="14">
        <v>10</v>
      </c>
      <c r="N40" s="14">
        <v>11</v>
      </c>
      <c r="O40" s="14">
        <v>12</v>
      </c>
      <c r="P40" s="14">
        <v>13</v>
      </c>
      <c r="Q40" s="14">
        <v>14</v>
      </c>
      <c r="R40" s="14">
        <v>15</v>
      </c>
      <c r="S40" s="14">
        <v>16</v>
      </c>
      <c r="T40" s="14">
        <v>17</v>
      </c>
      <c r="U40" s="14">
        <v>18</v>
      </c>
      <c r="V40" s="14">
        <v>19</v>
      </c>
      <c r="W40" s="14">
        <v>20</v>
      </c>
      <c r="X40" s="14">
        <v>21</v>
      </c>
      <c r="Y40" s="14">
        <v>22</v>
      </c>
      <c r="Z40" s="14">
        <v>23</v>
      </c>
      <c r="AA40" s="14">
        <v>24</v>
      </c>
      <c r="AB40" s="14">
        <v>25</v>
      </c>
      <c r="AC40" s="14">
        <v>26</v>
      </c>
      <c r="AD40" s="14">
        <v>27</v>
      </c>
      <c r="AE40" s="14">
        <v>28</v>
      </c>
      <c r="AF40" s="14">
        <v>29</v>
      </c>
      <c r="AG40" s="14">
        <v>30</v>
      </c>
      <c r="AH40" s="14">
        <v>31</v>
      </c>
      <c r="AI40" s="14">
        <v>32</v>
      </c>
      <c r="AJ40" s="14">
        <v>33</v>
      </c>
      <c r="AK40" s="14">
        <v>34</v>
      </c>
      <c r="AL40" s="14">
        <v>35</v>
      </c>
      <c r="AM40" s="14">
        <v>36</v>
      </c>
      <c r="AN40" s="14">
        <v>37</v>
      </c>
      <c r="AO40" s="14">
        <v>38</v>
      </c>
      <c r="AQ40" t="s">
        <v>37</v>
      </c>
      <c r="AR40">
        <f>0</f>
        <v>0</v>
      </c>
      <c r="AS40" t="s">
        <v>38</v>
      </c>
      <c r="AT40">
        <v>64</v>
      </c>
      <c r="AU40">
        <v>62.5</v>
      </c>
      <c r="AV40">
        <v>68.5</v>
      </c>
      <c r="AW40">
        <v>11</v>
      </c>
    </row>
    <row r="41" spans="1:58">
      <c r="A41">
        <v>0</v>
      </c>
      <c r="B41" s="3" t="s">
        <v>2</v>
      </c>
      <c r="C41" s="3">
        <f>SUM(W41:AO41)</f>
        <v>25.5</v>
      </c>
      <c r="D41" s="3">
        <f t="shared" ref="D41:X41" si="10">D15-D2</f>
        <v>-3.5</v>
      </c>
      <c r="E41" s="3">
        <f t="shared" si="10"/>
        <v>-2</v>
      </c>
      <c r="F41" s="3">
        <f t="shared" si="10"/>
        <v>4</v>
      </c>
      <c r="G41" s="3">
        <f t="shared" si="10"/>
        <v>-1.5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2</v>
      </c>
      <c r="L41" s="3">
        <f t="shared" si="10"/>
        <v>3.5</v>
      </c>
      <c r="M41" s="3">
        <f t="shared" si="10"/>
        <v>-0.5</v>
      </c>
      <c r="N41" s="3">
        <f t="shared" si="10"/>
        <v>4.5</v>
      </c>
      <c r="O41" s="3">
        <f t="shared" si="10"/>
        <v>-7.5</v>
      </c>
      <c r="P41" s="3">
        <f t="shared" si="10"/>
        <v>0.5</v>
      </c>
      <c r="Q41" s="3">
        <f t="shared" si="10"/>
        <v>-7</v>
      </c>
      <c r="R41" s="3">
        <f t="shared" si="10"/>
        <v>4.5</v>
      </c>
      <c r="S41" s="3">
        <f t="shared" si="10"/>
        <v>0.5</v>
      </c>
      <c r="T41" s="3">
        <f t="shared" si="10"/>
        <v>0</v>
      </c>
      <c r="U41" s="3">
        <f t="shared" si="10"/>
        <v>-1</v>
      </c>
      <c r="V41" s="3">
        <f t="shared" ref="V41" si="11">V15-V2</f>
        <v>5</v>
      </c>
      <c r="W41" s="3">
        <f t="shared" si="10"/>
        <v>0</v>
      </c>
      <c r="X41" s="3">
        <f t="shared" si="10"/>
        <v>0</v>
      </c>
      <c r="Y41" s="3">
        <f t="shared" ref="Y41:AA41" si="12">Y15-Y2</f>
        <v>5.5</v>
      </c>
      <c r="Z41" s="3">
        <f t="shared" si="12"/>
        <v>0</v>
      </c>
      <c r="AA41" s="3">
        <f t="shared" si="12"/>
        <v>4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-1.5</v>
      </c>
      <c r="AE41" s="3">
        <f t="shared" si="14"/>
        <v>3.5</v>
      </c>
      <c r="AF41" s="3">
        <f t="shared" ref="AF41:AG41" si="15">AF15-AF2</f>
        <v>6</v>
      </c>
      <c r="AG41" s="3">
        <f t="shared" si="15"/>
        <v>3</v>
      </c>
      <c r="AH41" s="3"/>
      <c r="AI41" s="3"/>
      <c r="AJ41" s="3"/>
      <c r="AK41" s="3"/>
      <c r="AL41" s="3"/>
      <c r="AM41" s="3"/>
      <c r="AN41" s="3"/>
      <c r="AO41" s="3"/>
      <c r="AP41">
        <f>COUNTIF(H41:AA41,"&gt;0")</f>
        <v>10</v>
      </c>
      <c r="AQ41" s="5">
        <f>COUNTIF(H41:AO41,"&gt;0")/COUNT(H41:AO41)</f>
        <v>0.53846153846153844</v>
      </c>
      <c r="AR41" s="5">
        <f>COUNTIF(H41:AO41,"=0")/COUNT(H41:AO41)</f>
        <v>0.15384615384615385</v>
      </c>
      <c r="AS41" s="5">
        <f>COUNTIF(H41:AO41,"&lt;0")/COUNT(H41:AO41)</f>
        <v>0.30769230769230771</v>
      </c>
      <c r="AT41">
        <v>75.5</v>
      </c>
      <c r="AU41">
        <v>74</v>
      </c>
      <c r="AV41">
        <v>86</v>
      </c>
      <c r="AW41">
        <v>11</v>
      </c>
    </row>
    <row r="42" spans="1:58">
      <c r="A42">
        <v>1</v>
      </c>
      <c r="B42" s="3" t="s">
        <v>3</v>
      </c>
      <c r="C42" s="3">
        <f t="shared" ref="C42:C50" si="16">SUM(W42:AO42)</f>
        <v>5</v>
      </c>
      <c r="D42" s="3">
        <f t="shared" ref="D42:X42" si="17">D16-D3</f>
        <v>1</v>
      </c>
      <c r="E42" s="3">
        <f t="shared" si="17"/>
        <v>-1</v>
      </c>
      <c r="F42" s="3">
        <f t="shared" si="17"/>
        <v>-1.5</v>
      </c>
      <c r="G42" s="3">
        <f t="shared" si="17"/>
        <v>-5.5</v>
      </c>
      <c r="H42" s="3">
        <f t="shared" si="17"/>
        <v>-1.5</v>
      </c>
      <c r="I42" s="3">
        <f t="shared" si="17"/>
        <v>-2</v>
      </c>
      <c r="J42" s="3">
        <f t="shared" si="17"/>
        <v>-1.5</v>
      </c>
      <c r="K42" s="3">
        <f t="shared" si="17"/>
        <v>3.5</v>
      </c>
      <c r="L42" s="3">
        <f t="shared" si="17"/>
        <v>-3</v>
      </c>
      <c r="M42" s="3">
        <f t="shared" si="17"/>
        <v>-1.5</v>
      </c>
      <c r="N42" s="3">
        <f t="shared" si="17"/>
        <v>-1.5</v>
      </c>
      <c r="O42" s="3">
        <f t="shared" si="17"/>
        <v>1</v>
      </c>
      <c r="P42" s="3">
        <f t="shared" si="17"/>
        <v>0.5</v>
      </c>
      <c r="Q42" s="3">
        <f t="shared" si="17"/>
        <v>1</v>
      </c>
      <c r="R42" s="3">
        <f t="shared" si="17"/>
        <v>0</v>
      </c>
      <c r="S42" s="3">
        <f t="shared" si="17"/>
        <v>-6.5</v>
      </c>
      <c r="T42" s="3">
        <f t="shared" si="17"/>
        <v>2.5</v>
      </c>
      <c r="U42" s="3">
        <f t="shared" si="17"/>
        <v>-13.5</v>
      </c>
      <c r="V42" s="3">
        <f>V16-V3</f>
        <v>-4.5</v>
      </c>
      <c r="W42" s="3">
        <f t="shared" si="17"/>
        <v>0</v>
      </c>
      <c r="X42" s="3">
        <f t="shared" si="17"/>
        <v>6</v>
      </c>
      <c r="Y42" s="3">
        <f t="shared" ref="Y42:AA42" si="18">Y16-Y3</f>
        <v>0</v>
      </c>
      <c r="Z42" s="3">
        <f t="shared" si="18"/>
        <v>2</v>
      </c>
      <c r="AA42" s="3">
        <f t="shared" si="18"/>
        <v>-2</v>
      </c>
      <c r="AB42" s="3">
        <f t="shared" ref="AB42:AC42" si="19">AB16-AB3</f>
        <v>0</v>
      </c>
      <c r="AC42" s="3">
        <f t="shared" si="19"/>
        <v>0.5</v>
      </c>
      <c r="AD42" s="3">
        <f t="shared" ref="AD42:AE42" si="20">AD16-AD3</f>
        <v>-2</v>
      </c>
      <c r="AE42" s="3">
        <f t="shared" si="20"/>
        <v>1</v>
      </c>
      <c r="AF42" s="3">
        <f t="shared" ref="AF42:AG42" si="21">AF16-AF3</f>
        <v>-0.5</v>
      </c>
      <c r="AG42" s="3">
        <f t="shared" si="21"/>
        <v>0</v>
      </c>
      <c r="AH42" s="3"/>
      <c r="AI42" s="3"/>
      <c r="AJ42" s="3"/>
      <c r="AK42" s="3"/>
      <c r="AL42" s="3"/>
      <c r="AM42" s="3"/>
      <c r="AN42" s="3"/>
      <c r="AO42" s="3"/>
      <c r="AP42">
        <f t="shared" ref="AP42:AP51" si="22">COUNTIF(H42:AA42,"&gt;0")</f>
        <v>7</v>
      </c>
      <c r="AQ42" s="5">
        <f t="shared" ref="AQ42:AQ50" si="23">COUNTIF(H42:AO42,"&gt;0")/COUNT(H42:AO42)</f>
        <v>0.34615384615384615</v>
      </c>
      <c r="AR42" s="5">
        <f t="shared" ref="AR42:AR50" si="24">COUNTIF(H42:AO42,"=0")/COUNT(H42:AO42)</f>
        <v>0.19230769230769232</v>
      </c>
      <c r="AS42" s="5">
        <f t="shared" ref="AS42:AS50" si="25">COUNTIF(H42:AO42,"&lt;0")/COUNT(H42:AO42)</f>
        <v>0.46153846153846156</v>
      </c>
      <c r="AT42">
        <v>78</v>
      </c>
      <c r="AU42">
        <v>71</v>
      </c>
      <c r="AV42">
        <v>80.5</v>
      </c>
      <c r="AW42">
        <v>11</v>
      </c>
    </row>
    <row r="43" spans="1:58">
      <c r="A43">
        <v>2</v>
      </c>
      <c r="B43" s="3" t="s">
        <v>4</v>
      </c>
      <c r="C43" s="3">
        <f t="shared" si="16"/>
        <v>10</v>
      </c>
      <c r="D43" s="3">
        <f t="shared" ref="D43:X43" si="26">D17-D4</f>
        <v>3.5</v>
      </c>
      <c r="E43" s="3">
        <f t="shared" si="26"/>
        <v>-5.5</v>
      </c>
      <c r="F43" s="3">
        <f t="shared" si="26"/>
        <v>-2</v>
      </c>
      <c r="G43" s="3">
        <f t="shared" si="26"/>
        <v>2.5</v>
      </c>
      <c r="H43" s="3">
        <f t="shared" si="26"/>
        <v>3</v>
      </c>
      <c r="I43" s="3">
        <f t="shared" si="26"/>
        <v>2.5</v>
      </c>
      <c r="J43" s="3">
        <f t="shared" si="26"/>
        <v>0</v>
      </c>
      <c r="K43" s="3">
        <f t="shared" si="26"/>
        <v>-6</v>
      </c>
      <c r="L43" s="3">
        <f t="shared" si="26"/>
        <v>0.5</v>
      </c>
      <c r="M43" s="3">
        <f t="shared" si="26"/>
        <v>2</v>
      </c>
      <c r="N43" s="3">
        <f t="shared" si="26"/>
        <v>0</v>
      </c>
      <c r="O43" s="3">
        <f t="shared" si="26"/>
        <v>7</v>
      </c>
      <c r="P43" s="3">
        <f t="shared" si="26"/>
        <v>-11</v>
      </c>
      <c r="Q43" s="3">
        <f t="shared" si="26"/>
        <v>0</v>
      </c>
      <c r="R43" s="3">
        <f t="shared" si="26"/>
        <v>1.5</v>
      </c>
      <c r="S43" s="3">
        <f t="shared" si="26"/>
        <v>0</v>
      </c>
      <c r="T43" s="3">
        <f t="shared" si="26"/>
        <v>-7.5</v>
      </c>
      <c r="U43" s="3">
        <f t="shared" si="26"/>
        <v>0.5</v>
      </c>
      <c r="V43" s="3">
        <f t="shared" ref="V43" si="27">V17-V4</f>
        <v>-2</v>
      </c>
      <c r="W43" s="3">
        <f t="shared" si="26"/>
        <v>0</v>
      </c>
      <c r="X43" s="3">
        <f t="shared" si="26"/>
        <v>1</v>
      </c>
      <c r="Y43" s="3">
        <f t="shared" ref="Y43:AA43" si="28">Y17-Y4</f>
        <v>-3.5</v>
      </c>
      <c r="Z43" s="3">
        <f t="shared" si="28"/>
        <v>-0.5</v>
      </c>
      <c r="AA43" s="3">
        <f t="shared" si="28"/>
        <v>-0.5</v>
      </c>
      <c r="AB43" s="3">
        <f t="shared" ref="AB43:AC43" si="29">AB17-AB4</f>
        <v>-6.5</v>
      </c>
      <c r="AC43" s="3">
        <f t="shared" si="29"/>
        <v>6</v>
      </c>
      <c r="AD43" s="3">
        <f t="shared" ref="AD43:AE43" si="30">AD17-AD4</f>
        <v>2</v>
      </c>
      <c r="AE43" s="3">
        <f t="shared" si="30"/>
        <v>2.5</v>
      </c>
      <c r="AF43" s="3">
        <f t="shared" ref="AF43:AG43" si="31">AF17-AF4</f>
        <v>6</v>
      </c>
      <c r="AG43" s="3">
        <f t="shared" si="31"/>
        <v>3.5</v>
      </c>
      <c r="AH43" s="3"/>
      <c r="AI43" s="3"/>
      <c r="AJ43" s="3"/>
      <c r="AK43" s="3"/>
      <c r="AL43" s="3"/>
      <c r="AM43" s="3"/>
      <c r="AN43" s="3"/>
      <c r="AO43" s="3"/>
      <c r="AP43">
        <f t="shared" si="22"/>
        <v>8</v>
      </c>
      <c r="AQ43" s="5">
        <f t="shared" si="23"/>
        <v>0.5</v>
      </c>
      <c r="AR43" s="5">
        <f t="shared" si="24"/>
        <v>0.19230769230769232</v>
      </c>
      <c r="AS43" s="5">
        <f t="shared" si="25"/>
        <v>0.30769230769230771</v>
      </c>
      <c r="AT43">
        <v>77.5</v>
      </c>
      <c r="AU43">
        <v>80</v>
      </c>
      <c r="AV43">
        <v>85.5</v>
      </c>
      <c r="AW43">
        <v>11</v>
      </c>
    </row>
    <row r="44" spans="1:58">
      <c r="A44">
        <v>3</v>
      </c>
      <c r="B44" s="3" t="s">
        <v>5</v>
      </c>
      <c r="C44" s="3">
        <f t="shared" si="16"/>
        <v>7</v>
      </c>
      <c r="D44" s="3">
        <f t="shared" ref="D44:X44" si="32">D18-D5</f>
        <v>-3.5</v>
      </c>
      <c r="E44" s="3">
        <f t="shared" si="32"/>
        <v>1</v>
      </c>
      <c r="F44" s="3">
        <f t="shared" si="32"/>
        <v>1</v>
      </c>
      <c r="G44" s="3">
        <f t="shared" si="32"/>
        <v>-1</v>
      </c>
      <c r="H44" s="3">
        <f t="shared" si="32"/>
        <v>-7</v>
      </c>
      <c r="I44" s="3">
        <f t="shared" si="32"/>
        <v>3.5</v>
      </c>
      <c r="J44" s="3">
        <f t="shared" si="32"/>
        <v>-0.5</v>
      </c>
      <c r="K44" s="3">
        <f t="shared" si="32"/>
        <v>-1</v>
      </c>
      <c r="L44" s="3">
        <f t="shared" si="32"/>
        <v>0</v>
      </c>
      <c r="M44" s="3">
        <f t="shared" si="32"/>
        <v>-1</v>
      </c>
      <c r="N44" s="3">
        <f t="shared" si="32"/>
        <v>0</v>
      </c>
      <c r="O44" s="3">
        <f t="shared" si="32"/>
        <v>0.5</v>
      </c>
      <c r="P44" s="3">
        <f t="shared" si="32"/>
        <v>0.5</v>
      </c>
      <c r="Q44" s="3">
        <f t="shared" si="32"/>
        <v>0</v>
      </c>
      <c r="R44" s="3">
        <f t="shared" si="32"/>
        <v>0</v>
      </c>
      <c r="S44" s="3">
        <f t="shared" si="32"/>
        <v>0</v>
      </c>
      <c r="T44" s="3">
        <f t="shared" si="32"/>
        <v>3.5</v>
      </c>
      <c r="U44" s="3">
        <f t="shared" si="32"/>
        <v>1</v>
      </c>
      <c r="V44" s="3">
        <f t="shared" ref="V44" si="33">V18-V5</f>
        <v>1.5</v>
      </c>
      <c r="W44" s="3">
        <f t="shared" si="32"/>
        <v>-0.5</v>
      </c>
      <c r="X44" s="3">
        <f t="shared" si="32"/>
        <v>4</v>
      </c>
      <c r="Y44" s="3">
        <f t="shared" ref="Y44:AA44" si="34">Y18-Y5</f>
        <v>1.5</v>
      </c>
      <c r="Z44" s="3">
        <f t="shared" si="34"/>
        <v>0.5</v>
      </c>
      <c r="AA44" s="3">
        <f t="shared" si="34"/>
        <v>4</v>
      </c>
      <c r="AB44" s="3">
        <f t="shared" ref="AB44:AC44" si="35">AB18-AB5</f>
        <v>0</v>
      </c>
      <c r="AC44" s="3">
        <f t="shared" si="35"/>
        <v>2</v>
      </c>
      <c r="AD44" s="3">
        <f t="shared" ref="AD44:AE44" si="36">AD18-AD5</f>
        <v>-1.5</v>
      </c>
      <c r="AE44" s="3">
        <f t="shared" si="36"/>
        <v>-1.5</v>
      </c>
      <c r="AF44" s="3">
        <f t="shared" ref="AF44:AG44" si="37">AF18-AF5</f>
        <v>-1.5</v>
      </c>
      <c r="AG44" s="3">
        <f t="shared" si="37"/>
        <v>0</v>
      </c>
      <c r="AH44" s="3"/>
      <c r="AI44" s="3"/>
      <c r="AJ44" s="3"/>
      <c r="AK44" s="3"/>
      <c r="AL44" s="3"/>
      <c r="AM44" s="3"/>
      <c r="AN44" s="3"/>
      <c r="AO44" s="3"/>
      <c r="AP44">
        <f t="shared" si="22"/>
        <v>10</v>
      </c>
      <c r="AQ44" s="5">
        <f t="shared" si="23"/>
        <v>0.42307692307692307</v>
      </c>
      <c r="AR44" s="5">
        <f t="shared" si="24"/>
        <v>0.26923076923076922</v>
      </c>
      <c r="AS44" s="5">
        <f t="shared" si="25"/>
        <v>0.30769230769230771</v>
      </c>
      <c r="AT44">
        <v>73.5</v>
      </c>
      <c r="AU44">
        <v>68.5</v>
      </c>
      <c r="AV44">
        <v>78</v>
      </c>
      <c r="AW44">
        <v>11</v>
      </c>
    </row>
    <row r="45" spans="1:58">
      <c r="A45">
        <v>4</v>
      </c>
      <c r="B45" s="3" t="s">
        <v>7</v>
      </c>
      <c r="C45" s="3">
        <f t="shared" si="16"/>
        <v>15</v>
      </c>
      <c r="D45" s="3">
        <f t="shared" ref="D45:X45" si="38">D19-D6</f>
        <v>0</v>
      </c>
      <c r="E45" s="3">
        <f t="shared" si="38"/>
        <v>-5</v>
      </c>
      <c r="F45" s="3">
        <f t="shared" si="38"/>
        <v>0.5</v>
      </c>
      <c r="G45" s="3">
        <f t="shared" si="38"/>
        <v>1.5</v>
      </c>
      <c r="H45" s="3">
        <f t="shared" si="38"/>
        <v>2.5</v>
      </c>
      <c r="I45" s="3">
        <f t="shared" si="38"/>
        <v>-4.5</v>
      </c>
      <c r="J45" s="3">
        <f t="shared" si="38"/>
        <v>0</v>
      </c>
      <c r="K45" s="3">
        <f t="shared" si="38"/>
        <v>0</v>
      </c>
      <c r="L45" s="3">
        <f t="shared" si="38"/>
        <v>1</v>
      </c>
      <c r="M45" s="3">
        <f t="shared" si="38"/>
        <v>0.5</v>
      </c>
      <c r="N45" s="3">
        <f t="shared" si="38"/>
        <v>4</v>
      </c>
      <c r="O45" s="3">
        <f t="shared" si="38"/>
        <v>-1.5</v>
      </c>
      <c r="P45" s="3">
        <f t="shared" si="38"/>
        <v>-5.5</v>
      </c>
      <c r="Q45" s="3">
        <f t="shared" si="38"/>
        <v>1.5</v>
      </c>
      <c r="R45" s="3">
        <f t="shared" si="38"/>
        <v>-3</v>
      </c>
      <c r="S45" s="3">
        <f t="shared" si="38"/>
        <v>-0.5</v>
      </c>
      <c r="T45" s="3">
        <f t="shared" si="38"/>
        <v>1</v>
      </c>
      <c r="U45" s="3">
        <f t="shared" si="38"/>
        <v>-1.5</v>
      </c>
      <c r="V45" s="3">
        <f t="shared" ref="V45" si="39">V19-V6</f>
        <v>-11</v>
      </c>
      <c r="W45" s="3">
        <f t="shared" si="38"/>
        <v>0</v>
      </c>
      <c r="X45" s="3">
        <f t="shared" si="38"/>
        <v>2.5</v>
      </c>
      <c r="Y45" s="3">
        <f t="shared" ref="Y45:AA45" si="40">Y19-Y6</f>
        <v>0</v>
      </c>
      <c r="Z45" s="3">
        <f t="shared" si="40"/>
        <v>-2</v>
      </c>
      <c r="AA45" s="3">
        <f t="shared" si="40"/>
        <v>1</v>
      </c>
      <c r="AB45" s="3">
        <f t="shared" ref="AB45:AC45" si="41">AB19-AB6</f>
        <v>3</v>
      </c>
      <c r="AC45" s="3">
        <f t="shared" si="41"/>
        <v>9</v>
      </c>
      <c r="AD45" s="3">
        <f t="shared" ref="AD45:AE45" si="42">AD19-AD6</f>
        <v>6</v>
      </c>
      <c r="AE45" s="3">
        <f t="shared" si="42"/>
        <v>-1</v>
      </c>
      <c r="AF45" s="3">
        <f t="shared" ref="AF45:AG45" si="43">AF19-AF6</f>
        <v>-3.5</v>
      </c>
      <c r="AG45" s="3">
        <f t="shared" si="43"/>
        <v>0</v>
      </c>
      <c r="AH45" s="3"/>
      <c r="AI45" s="3"/>
      <c r="AJ45" s="17"/>
      <c r="AK45" s="3"/>
      <c r="AL45" s="3"/>
      <c r="AM45" s="3"/>
      <c r="AN45" s="3"/>
      <c r="AO45" s="3"/>
      <c r="AP45">
        <f t="shared" si="22"/>
        <v>8</v>
      </c>
      <c r="AQ45" s="5">
        <f t="shared" si="23"/>
        <v>0.42307692307692307</v>
      </c>
      <c r="AR45" s="5">
        <f t="shared" si="24"/>
        <v>0.19230769230769232</v>
      </c>
      <c r="AS45" s="5">
        <f t="shared" si="25"/>
        <v>0.38461538461538464</v>
      </c>
      <c r="AT45">
        <v>66.5</v>
      </c>
      <c r="AU45">
        <v>67</v>
      </c>
      <c r="AV45">
        <v>68</v>
      </c>
      <c r="AW45">
        <v>11</v>
      </c>
    </row>
    <row r="46" spans="1:58">
      <c r="A46">
        <v>5</v>
      </c>
      <c r="B46" s="3" t="s">
        <v>6</v>
      </c>
      <c r="C46" s="3">
        <f t="shared" si="16"/>
        <v>13.5</v>
      </c>
      <c r="D46" s="3">
        <f t="shared" ref="D46:X46" si="44">D20-D7</f>
        <v>0</v>
      </c>
      <c r="E46" s="3">
        <f t="shared" si="44"/>
        <v>-10.5</v>
      </c>
      <c r="F46" s="3">
        <f t="shared" si="44"/>
        <v>-1.5</v>
      </c>
      <c r="G46" s="3">
        <f t="shared" si="44"/>
        <v>1.5</v>
      </c>
      <c r="H46" s="3">
        <f t="shared" si="44"/>
        <v>2</v>
      </c>
      <c r="I46" s="3">
        <f t="shared" si="44"/>
        <v>2.5</v>
      </c>
      <c r="J46" s="3">
        <f t="shared" si="44"/>
        <v>2</v>
      </c>
      <c r="K46" s="3">
        <f t="shared" si="44"/>
        <v>-3</v>
      </c>
      <c r="L46" s="3">
        <f t="shared" si="44"/>
        <v>1.5</v>
      </c>
      <c r="M46" s="3">
        <f t="shared" si="44"/>
        <v>-3</v>
      </c>
      <c r="N46" s="3">
        <f t="shared" si="44"/>
        <v>-10</v>
      </c>
      <c r="O46" s="3">
        <f t="shared" si="44"/>
        <v>3</v>
      </c>
      <c r="P46" s="3">
        <f t="shared" si="44"/>
        <v>-3</v>
      </c>
      <c r="Q46" s="3">
        <f t="shared" si="44"/>
        <v>2.5</v>
      </c>
      <c r="R46" s="3">
        <f t="shared" si="44"/>
        <v>0</v>
      </c>
      <c r="S46" s="3">
        <f t="shared" si="44"/>
        <v>-6.5</v>
      </c>
      <c r="T46" s="3">
        <f t="shared" si="44"/>
        <v>4</v>
      </c>
      <c r="U46" s="3">
        <f t="shared" si="44"/>
        <v>8.5</v>
      </c>
      <c r="V46" s="3">
        <f t="shared" ref="V46" si="45">V20-V7</f>
        <v>-3.5</v>
      </c>
      <c r="W46" s="3">
        <f t="shared" si="44"/>
        <v>0</v>
      </c>
      <c r="X46" s="3">
        <f t="shared" si="44"/>
        <v>-1.5</v>
      </c>
      <c r="Y46" s="3">
        <f t="shared" ref="Y46:AA46" si="46">Y20-Y7</f>
        <v>0.5</v>
      </c>
      <c r="Z46" s="3">
        <f t="shared" si="46"/>
        <v>3</v>
      </c>
      <c r="AA46" s="3">
        <f t="shared" si="46"/>
        <v>7</v>
      </c>
      <c r="AB46" s="3">
        <f t="shared" ref="AB46:AC46" si="47">AB20-AB7</f>
        <v>-3.5</v>
      </c>
      <c r="AC46" s="3">
        <f t="shared" si="47"/>
        <v>0</v>
      </c>
      <c r="AD46" s="3">
        <f t="shared" ref="AD46:AE46" si="48">AD20-AD7</f>
        <v>4.5</v>
      </c>
      <c r="AE46" s="3">
        <f t="shared" si="48"/>
        <v>2.5</v>
      </c>
      <c r="AF46" s="3">
        <f t="shared" ref="AF46:AG46" si="49">AF20-AF7</f>
        <v>3</v>
      </c>
      <c r="AG46" s="3">
        <f t="shared" si="49"/>
        <v>-2</v>
      </c>
      <c r="AH46" s="3"/>
      <c r="AI46" s="3"/>
      <c r="AJ46" s="3"/>
      <c r="AK46" s="3"/>
      <c r="AL46" s="3"/>
      <c r="AM46" s="3"/>
      <c r="AN46" s="3"/>
      <c r="AO46" s="3"/>
      <c r="AP46">
        <f t="shared" si="22"/>
        <v>11</v>
      </c>
      <c r="AQ46" s="5">
        <f t="shared" si="23"/>
        <v>0.53846153846153844</v>
      </c>
      <c r="AR46" s="5">
        <f t="shared" si="24"/>
        <v>0.11538461538461539</v>
      </c>
      <c r="AS46" s="5">
        <f t="shared" si="25"/>
        <v>0.34615384615384615</v>
      </c>
      <c r="AT46" t="s">
        <v>17</v>
      </c>
    </row>
    <row r="47" spans="1:58">
      <c r="A47">
        <v>6</v>
      </c>
      <c r="B47" s="3" t="s">
        <v>8</v>
      </c>
      <c r="C47" s="3">
        <f t="shared" si="16"/>
        <v>4.5</v>
      </c>
      <c r="D47" s="3">
        <f t="shared" ref="D47:X47" si="50">D21-D8</f>
        <v>0.5</v>
      </c>
      <c r="E47" s="3">
        <f t="shared" si="50"/>
        <v>-11</v>
      </c>
      <c r="F47" s="3">
        <f t="shared" si="50"/>
        <v>5.5</v>
      </c>
      <c r="G47" s="3">
        <f t="shared" si="50"/>
        <v>7</v>
      </c>
      <c r="H47" s="3">
        <f t="shared" si="50"/>
        <v>6.5</v>
      </c>
      <c r="I47" s="3">
        <f t="shared" si="50"/>
        <v>0</v>
      </c>
      <c r="J47" s="3">
        <f t="shared" si="50"/>
        <v>0</v>
      </c>
      <c r="K47" s="3">
        <f t="shared" si="50"/>
        <v>-0.5</v>
      </c>
      <c r="L47" s="3">
        <f t="shared" si="50"/>
        <v>9.5</v>
      </c>
      <c r="M47" s="3">
        <f t="shared" si="50"/>
        <v>-1</v>
      </c>
      <c r="N47" s="3">
        <f t="shared" si="50"/>
        <v>-2</v>
      </c>
      <c r="O47" s="3">
        <f t="shared" si="50"/>
        <v>2</v>
      </c>
      <c r="P47" s="3">
        <f t="shared" si="50"/>
        <v>1</v>
      </c>
      <c r="Q47" s="3">
        <f t="shared" si="50"/>
        <v>-5.5</v>
      </c>
      <c r="R47" s="3">
        <f t="shared" si="50"/>
        <v>-2</v>
      </c>
      <c r="S47" s="3">
        <f t="shared" si="50"/>
        <v>0.5</v>
      </c>
      <c r="T47" s="3">
        <f t="shared" si="50"/>
        <v>0</v>
      </c>
      <c r="U47" s="3">
        <f t="shared" si="50"/>
        <v>-1</v>
      </c>
      <c r="V47" s="3">
        <f t="shared" ref="V47" si="51">V21-V8</f>
        <v>-5.5</v>
      </c>
      <c r="W47" s="3">
        <f t="shared" si="50"/>
        <v>5.5</v>
      </c>
      <c r="X47" s="3">
        <f t="shared" si="50"/>
        <v>-4</v>
      </c>
      <c r="Y47" s="3">
        <f t="shared" ref="Y47:Z47" si="52">Y21-Y8</f>
        <v>0.5</v>
      </c>
      <c r="Z47" s="3">
        <f t="shared" si="52"/>
        <v>0</v>
      </c>
      <c r="AA47" s="3">
        <f>AA21-AA8</f>
        <v>0.5</v>
      </c>
      <c r="AB47" s="3">
        <f t="shared" ref="AB47:AC47" si="53">AB21-AB8</f>
        <v>1.5</v>
      </c>
      <c r="AC47" s="3">
        <f t="shared" si="53"/>
        <v>0.5</v>
      </c>
      <c r="AD47" s="3">
        <f t="shared" ref="AD47:AE47" si="54">AD21-AD8</f>
        <v>-1</v>
      </c>
      <c r="AE47" s="3">
        <f t="shared" si="54"/>
        <v>2.5</v>
      </c>
      <c r="AF47" s="3">
        <f t="shared" ref="AF47:AG47" si="55">AF21-AF8</f>
        <v>0.5</v>
      </c>
      <c r="AG47" s="3">
        <f t="shared" si="55"/>
        <v>-2</v>
      </c>
      <c r="AH47" s="3"/>
      <c r="AI47" s="17"/>
      <c r="AJ47" s="3"/>
      <c r="AK47" s="3"/>
      <c r="AL47" s="3"/>
      <c r="AM47" s="3"/>
      <c r="AN47" s="3"/>
      <c r="AO47" s="3"/>
      <c r="AP47">
        <f t="shared" si="22"/>
        <v>8</v>
      </c>
      <c r="AQ47" s="5">
        <f t="shared" si="23"/>
        <v>0.46153846153846156</v>
      </c>
      <c r="AR47" s="5">
        <f t="shared" si="24"/>
        <v>0.15384615384615385</v>
      </c>
      <c r="AS47" s="5">
        <f t="shared" si="25"/>
        <v>0.38461538461538464</v>
      </c>
      <c r="AT47">
        <v>77</v>
      </c>
      <c r="AU47">
        <v>77.5</v>
      </c>
      <c r="AV47">
        <v>86</v>
      </c>
      <c r="AW47">
        <v>11</v>
      </c>
    </row>
    <row r="48" spans="1:58">
      <c r="A48">
        <v>7</v>
      </c>
      <c r="B48" s="3" t="s">
        <v>11</v>
      </c>
      <c r="C48" s="3">
        <f>SUM(W48:AO48)</f>
        <v>14</v>
      </c>
      <c r="D48" s="3">
        <f t="shared" ref="D48:Z48" si="56">D22-D9</f>
        <v>0</v>
      </c>
      <c r="E48" s="3">
        <f t="shared" si="56"/>
        <v>1</v>
      </c>
      <c r="F48" s="3">
        <f t="shared" si="56"/>
        <v>-1</v>
      </c>
      <c r="G48" s="3">
        <f t="shared" si="56"/>
        <v>-2.5</v>
      </c>
      <c r="H48" s="3">
        <f t="shared" si="56"/>
        <v>0</v>
      </c>
      <c r="I48" s="3">
        <f t="shared" si="56"/>
        <v>1.5</v>
      </c>
      <c r="J48" s="3">
        <f t="shared" si="56"/>
        <v>5</v>
      </c>
      <c r="K48" s="3">
        <f t="shared" si="56"/>
        <v>-1</v>
      </c>
      <c r="L48" s="3">
        <f t="shared" si="56"/>
        <v>0.5</v>
      </c>
      <c r="M48" s="3">
        <f t="shared" si="56"/>
        <v>3.5</v>
      </c>
      <c r="N48" s="3">
        <f t="shared" si="56"/>
        <v>-1</v>
      </c>
      <c r="O48" s="3">
        <f t="shared" si="56"/>
        <v>-11.5</v>
      </c>
      <c r="P48" s="3">
        <f t="shared" si="56"/>
        <v>-3</v>
      </c>
      <c r="Q48" s="3">
        <f t="shared" si="56"/>
        <v>-2</v>
      </c>
      <c r="R48" s="3">
        <f t="shared" si="56"/>
        <v>0</v>
      </c>
      <c r="S48" s="3">
        <f t="shared" si="56"/>
        <v>2.5</v>
      </c>
      <c r="T48" s="3">
        <f t="shared" si="56"/>
        <v>4.5</v>
      </c>
      <c r="U48" s="3">
        <f t="shared" si="56"/>
        <v>1.5</v>
      </c>
      <c r="V48" s="3">
        <f t="shared" si="56"/>
        <v>-6.5</v>
      </c>
      <c r="W48" s="3">
        <f t="shared" si="56"/>
        <v>2</v>
      </c>
      <c r="X48" s="3">
        <f t="shared" si="56"/>
        <v>4.5</v>
      </c>
      <c r="Y48" s="3">
        <f t="shared" si="56"/>
        <v>-0.5</v>
      </c>
      <c r="Z48" s="3">
        <f t="shared" si="56"/>
        <v>3.5</v>
      </c>
      <c r="AA48" s="3">
        <f>AA22-AA9</f>
        <v>3</v>
      </c>
      <c r="AB48" s="3">
        <f t="shared" ref="AB48:AG48" si="57">AB22-AB9</f>
        <v>0</v>
      </c>
      <c r="AC48" s="3">
        <f t="shared" si="57"/>
        <v>-0.5</v>
      </c>
      <c r="AD48" s="3">
        <f t="shared" si="57"/>
        <v>-0.5</v>
      </c>
      <c r="AE48" s="3">
        <f t="shared" si="57"/>
        <v>-2</v>
      </c>
      <c r="AF48" s="3">
        <f t="shared" si="57"/>
        <v>2</v>
      </c>
      <c r="AG48" s="3">
        <f t="shared" si="57"/>
        <v>2.5</v>
      </c>
      <c r="AH48" s="3"/>
      <c r="AI48" s="3"/>
      <c r="AJ48" s="3"/>
      <c r="AK48" s="3"/>
      <c r="AL48" s="3"/>
      <c r="AM48" s="3"/>
      <c r="AN48" s="3"/>
      <c r="AO48" s="3"/>
      <c r="AP48">
        <f>COUNTIF(H48:AA48,"&gt;0")</f>
        <v>11</v>
      </c>
      <c r="AQ48" s="5">
        <f>COUNTIF(H48:AO48,"&gt;0")/COUNT(H48:AO48)</f>
        <v>0.5</v>
      </c>
      <c r="AR48" s="5">
        <f>COUNTIF(H48:AO48,"=0")/COUNT(H48:AO48)</f>
        <v>0.11538461538461539</v>
      </c>
      <c r="AS48" s="5">
        <f>COUNTIF(H48:AO48,"&lt;0")/COUNT(H48:AO48)</f>
        <v>0.38461538461538464</v>
      </c>
      <c r="AT48">
        <v>80.5</v>
      </c>
      <c r="AU48">
        <v>82</v>
      </c>
      <c r="AV48">
        <v>85</v>
      </c>
      <c r="AW48">
        <v>11</v>
      </c>
    </row>
    <row r="49" spans="1:49">
      <c r="A49">
        <v>8</v>
      </c>
      <c r="B49" s="3" t="s">
        <v>9</v>
      </c>
      <c r="C49" s="3">
        <f>SUM(W49:AO49)</f>
        <v>43.5</v>
      </c>
      <c r="D49" s="3">
        <f t="shared" ref="D49:X49" si="58">D23-D10</f>
        <v>-0.5</v>
      </c>
      <c r="E49" s="3">
        <f t="shared" si="58"/>
        <v>-3.5</v>
      </c>
      <c r="F49" s="3">
        <f t="shared" si="58"/>
        <v>13.5</v>
      </c>
      <c r="G49" s="3">
        <f t="shared" si="58"/>
        <v>5</v>
      </c>
      <c r="H49" s="3">
        <f t="shared" si="58"/>
        <v>-2</v>
      </c>
      <c r="I49" s="3">
        <f t="shared" si="58"/>
        <v>1</v>
      </c>
      <c r="J49" s="3">
        <f t="shared" si="58"/>
        <v>0.5</v>
      </c>
      <c r="K49" s="3">
        <f t="shared" si="58"/>
        <v>-6.5</v>
      </c>
      <c r="L49" s="3">
        <f t="shared" si="58"/>
        <v>-0.5</v>
      </c>
      <c r="M49" s="3">
        <f t="shared" si="58"/>
        <v>-5.5</v>
      </c>
      <c r="N49" s="3">
        <f t="shared" si="58"/>
        <v>-5</v>
      </c>
      <c r="O49" s="3">
        <f t="shared" si="58"/>
        <v>3</v>
      </c>
      <c r="P49" s="3">
        <f t="shared" si="58"/>
        <v>-1</v>
      </c>
      <c r="Q49" s="3">
        <f t="shared" si="58"/>
        <v>8</v>
      </c>
      <c r="R49" s="3">
        <f t="shared" si="58"/>
        <v>1.5</v>
      </c>
      <c r="S49" s="3">
        <f t="shared" si="58"/>
        <v>2</v>
      </c>
      <c r="T49" s="3">
        <f t="shared" si="58"/>
        <v>1</v>
      </c>
      <c r="U49" s="3">
        <f t="shared" si="58"/>
        <v>2.5</v>
      </c>
      <c r="V49" s="3">
        <f t="shared" ref="V49" si="59">V23-V10</f>
        <v>3</v>
      </c>
      <c r="W49" s="3">
        <f t="shared" si="58"/>
        <v>3.5</v>
      </c>
      <c r="X49" s="3">
        <f t="shared" si="58"/>
        <v>5.5</v>
      </c>
      <c r="Y49" s="3">
        <f t="shared" ref="Y49:AA49" si="60">Y23-Y10</f>
        <v>1.5</v>
      </c>
      <c r="Z49" s="3">
        <f t="shared" si="60"/>
        <v>1.5</v>
      </c>
      <c r="AA49" s="3">
        <f t="shared" si="60"/>
        <v>4</v>
      </c>
      <c r="AB49" s="3">
        <f t="shared" ref="AB49:AC49" si="61">AB23-AB10</f>
        <v>11</v>
      </c>
      <c r="AC49" s="3">
        <f t="shared" si="61"/>
        <v>-1.5</v>
      </c>
      <c r="AD49" s="3">
        <f t="shared" ref="AD49:AE49" si="62">AD23-AD10</f>
        <v>8.5</v>
      </c>
      <c r="AE49" s="3">
        <f t="shared" si="62"/>
        <v>2</v>
      </c>
      <c r="AF49" s="3">
        <f t="shared" ref="AF49:AG49" si="63">AF23-AF10</f>
        <v>2.5</v>
      </c>
      <c r="AG49" s="3">
        <f t="shared" si="63"/>
        <v>5</v>
      </c>
      <c r="AH49" s="3"/>
      <c r="AI49" s="3"/>
      <c r="AJ49" s="3"/>
      <c r="AK49" s="3"/>
      <c r="AL49" s="3"/>
      <c r="AM49" s="3"/>
      <c r="AN49" s="3"/>
      <c r="AO49" s="3"/>
      <c r="AP49">
        <f t="shared" si="22"/>
        <v>14</v>
      </c>
      <c r="AQ49" s="5">
        <f t="shared" si="23"/>
        <v>0.73076923076923073</v>
      </c>
      <c r="AR49" s="5">
        <f t="shared" si="24"/>
        <v>0</v>
      </c>
      <c r="AS49" s="5">
        <f t="shared" si="25"/>
        <v>0.26923076923076922</v>
      </c>
      <c r="AT49">
        <v>77.5</v>
      </c>
      <c r="AU49">
        <v>74.5</v>
      </c>
      <c r="AV49">
        <v>83</v>
      </c>
      <c r="AW49">
        <v>11</v>
      </c>
    </row>
    <row r="50" spans="1:49">
      <c r="A50">
        <v>9</v>
      </c>
      <c r="B50" s="3" t="s">
        <v>10</v>
      </c>
      <c r="C50" s="3">
        <f t="shared" si="16"/>
        <v>7</v>
      </c>
      <c r="D50" s="3">
        <f t="shared" ref="D50:X50" si="64">D24-D11</f>
        <v>-1</v>
      </c>
      <c r="E50" s="3">
        <f t="shared" si="64"/>
        <v>1.5</v>
      </c>
      <c r="F50" s="3">
        <f t="shared" si="64"/>
        <v>-2.5</v>
      </c>
      <c r="G50" s="3">
        <f t="shared" si="64"/>
        <v>-0.5</v>
      </c>
      <c r="H50" s="3">
        <f t="shared" si="64"/>
        <v>0.5</v>
      </c>
      <c r="I50" s="3">
        <f t="shared" si="64"/>
        <v>1</v>
      </c>
      <c r="J50" s="3">
        <f t="shared" si="64"/>
        <v>-1</v>
      </c>
      <c r="K50" s="3">
        <f t="shared" si="64"/>
        <v>5.5</v>
      </c>
      <c r="L50" s="3">
        <f t="shared" si="64"/>
        <v>3</v>
      </c>
      <c r="M50" s="3">
        <f t="shared" si="64"/>
        <v>2.5</v>
      </c>
      <c r="N50" s="3">
        <f t="shared" si="64"/>
        <v>-0.5</v>
      </c>
      <c r="O50" s="3">
        <f t="shared" si="64"/>
        <v>1.5</v>
      </c>
      <c r="P50" s="3">
        <f t="shared" si="64"/>
        <v>-4</v>
      </c>
      <c r="Q50" s="3">
        <f t="shared" si="64"/>
        <v>-1.5</v>
      </c>
      <c r="R50" s="3">
        <f t="shared" si="64"/>
        <v>-7.5</v>
      </c>
      <c r="S50" s="3">
        <f t="shared" si="64"/>
        <v>-0.5</v>
      </c>
      <c r="T50" s="3">
        <f t="shared" si="64"/>
        <v>-5</v>
      </c>
      <c r="U50" s="3">
        <f t="shared" si="64"/>
        <v>-6</v>
      </c>
      <c r="V50" s="3">
        <f t="shared" ref="V50" si="65">V24-V11</f>
        <v>-5</v>
      </c>
      <c r="W50" s="3">
        <f t="shared" si="64"/>
        <v>0</v>
      </c>
      <c r="X50" s="3">
        <f t="shared" si="64"/>
        <v>1</v>
      </c>
      <c r="Y50" s="3">
        <f t="shared" ref="Y50" si="66">Y24-Y11</f>
        <v>-0.5</v>
      </c>
      <c r="Z50" s="3">
        <f t="shared" ref="Z50:AA50" si="67">Z24-Z11</f>
        <v>3</v>
      </c>
      <c r="AA50" s="3">
        <f t="shared" si="67"/>
        <v>-1</v>
      </c>
      <c r="AB50" s="3">
        <f t="shared" ref="AB50:AC50" si="68">AB24-AB11</f>
        <v>-2</v>
      </c>
      <c r="AC50" s="3">
        <f t="shared" si="68"/>
        <v>2.5</v>
      </c>
      <c r="AD50" s="3">
        <f t="shared" ref="AD50:AE50" si="69">AD24-AD11</f>
        <v>3.5</v>
      </c>
      <c r="AE50" s="3">
        <f t="shared" si="69"/>
        <v>3</v>
      </c>
      <c r="AF50" s="3">
        <f t="shared" ref="AF50:AG50" si="70">AF24-AF11</f>
        <v>-1</v>
      </c>
      <c r="AG50" s="3">
        <f t="shared" si="70"/>
        <v>-1.5</v>
      </c>
      <c r="AH50" s="3"/>
      <c r="AI50" s="3"/>
      <c r="AJ50" s="3"/>
      <c r="AK50" s="3"/>
      <c r="AL50" s="3"/>
      <c r="AM50" s="3"/>
      <c r="AN50" s="3"/>
      <c r="AO50" s="3"/>
      <c r="AP50">
        <f t="shared" si="22"/>
        <v>8</v>
      </c>
      <c r="AQ50" s="5">
        <f t="shared" si="23"/>
        <v>0.42307692307692307</v>
      </c>
      <c r="AR50" s="5">
        <f t="shared" si="24"/>
        <v>3.8461538461538464E-2</v>
      </c>
      <c r="AS50" s="5">
        <f t="shared" si="25"/>
        <v>0.53846153846153844</v>
      </c>
      <c r="AT50">
        <v>55.5</v>
      </c>
      <c r="AU50">
        <v>62.5</v>
      </c>
      <c r="AV50">
        <v>70.5</v>
      </c>
      <c r="AW50">
        <v>10</v>
      </c>
    </row>
    <row r="51" spans="1:49" ht="15">
      <c r="C51" s="4">
        <f>SUM(C41:C50)</f>
        <v>145</v>
      </c>
      <c r="D51" s="9">
        <f t="shared" ref="D51:Y51" si="71">SUM(D41:D50)</f>
        <v>-3.5</v>
      </c>
      <c r="E51" s="9">
        <f t="shared" si="71"/>
        <v>-35</v>
      </c>
      <c r="F51" s="9">
        <f t="shared" si="71"/>
        <v>16</v>
      </c>
      <c r="G51" s="9">
        <f t="shared" si="71"/>
        <v>6.5</v>
      </c>
      <c r="H51" s="9">
        <f t="shared" si="71"/>
        <v>3.5</v>
      </c>
      <c r="I51" s="9">
        <f t="shared" si="71"/>
        <v>6.5</v>
      </c>
      <c r="J51" s="9">
        <f t="shared" si="71"/>
        <v>0.5</v>
      </c>
      <c r="K51" s="9">
        <f t="shared" si="71"/>
        <v>-7</v>
      </c>
      <c r="L51" s="9">
        <f t="shared" si="71"/>
        <v>16</v>
      </c>
      <c r="M51" s="9">
        <f t="shared" si="71"/>
        <v>-4</v>
      </c>
      <c r="N51" s="9">
        <f t="shared" si="71"/>
        <v>-11.5</v>
      </c>
      <c r="O51" s="9">
        <f t="shared" si="71"/>
        <v>-2.5</v>
      </c>
      <c r="P51" s="9">
        <f t="shared" si="71"/>
        <v>-25</v>
      </c>
      <c r="Q51" s="9">
        <f t="shared" si="71"/>
        <v>-3</v>
      </c>
      <c r="R51" s="9">
        <f t="shared" si="71"/>
        <v>-5</v>
      </c>
      <c r="S51" s="9">
        <f t="shared" si="71"/>
        <v>-8.5</v>
      </c>
      <c r="T51" s="9">
        <f t="shared" si="71"/>
        <v>4</v>
      </c>
      <c r="U51" s="9">
        <f t="shared" si="71"/>
        <v>-9</v>
      </c>
      <c r="V51" s="9">
        <f t="shared" ref="V51" si="72">SUM(V41:V50)</f>
        <v>-28.5</v>
      </c>
      <c r="W51" s="9">
        <f t="shared" si="71"/>
        <v>10.5</v>
      </c>
      <c r="X51" s="9">
        <f t="shared" si="71"/>
        <v>19</v>
      </c>
      <c r="Y51" s="9">
        <f t="shared" si="71"/>
        <v>5</v>
      </c>
      <c r="Z51" s="9">
        <f t="shared" ref="Z51" si="73">SUM(Z41:Z50)</f>
        <v>11</v>
      </c>
      <c r="AA51" s="9">
        <f t="shared" ref="AA51:AF51" si="74">SUM(AA41:AA50)</f>
        <v>20</v>
      </c>
      <c r="AB51" s="9">
        <f t="shared" si="74"/>
        <v>9</v>
      </c>
      <c r="AC51" s="9">
        <f t="shared" si="74"/>
        <v>18</v>
      </c>
      <c r="AD51" s="9">
        <f t="shared" si="74"/>
        <v>18</v>
      </c>
      <c r="AE51" s="9">
        <f t="shared" si="74"/>
        <v>12.5</v>
      </c>
      <c r="AF51" s="9">
        <f t="shared" si="74"/>
        <v>13.5</v>
      </c>
      <c r="AG51" s="9">
        <f t="shared" ref="AG51" si="75">SUM(AG41:AG50)</f>
        <v>8.5</v>
      </c>
      <c r="AH51" s="9"/>
      <c r="AI51" s="9"/>
      <c r="AJ51" s="9"/>
      <c r="AK51" s="9"/>
      <c r="AL51" s="9"/>
      <c r="AM51" s="9"/>
      <c r="AN51" s="9"/>
      <c r="AO51" s="9"/>
      <c r="AP51">
        <f t="shared" si="22"/>
        <v>10</v>
      </c>
      <c r="AQ51" s="12">
        <f t="shared" ref="AQ51" si="76">COUNTIF(H51:AA51,"&gt;0")/COUNT(H51:AA51)</f>
        <v>0.5</v>
      </c>
      <c r="AR51" s="12">
        <f t="shared" ref="AR51" si="77">COUNTIF(I51:AP51,"=0")/COUNT(I51:AP51)</f>
        <v>0</v>
      </c>
      <c r="AS51" s="12">
        <f t="shared" ref="AS51" si="78">COUNTIF(H51:AA51,"&lt;0")/COUNT(H51:AA51)</f>
        <v>0.5</v>
      </c>
      <c r="AT51">
        <v>70</v>
      </c>
      <c r="AU51">
        <v>67.5</v>
      </c>
      <c r="AV51">
        <v>72</v>
      </c>
      <c r="AW51">
        <v>11</v>
      </c>
    </row>
    <row r="52" spans="1:49">
      <c r="AQ52" s="8">
        <f>AVERAGE(AQ41:AQ50)</f>
        <v>0.4884615384615385</v>
      </c>
      <c r="AR52" s="8">
        <f>AVERAGE(AR41:AR50)</f>
        <v>0.1423076923076923</v>
      </c>
      <c r="AS52" s="8">
        <f>AVERAGE(AS41:AS50)</f>
        <v>0.3692307692307692</v>
      </c>
      <c r="AT52">
        <v>76</v>
      </c>
      <c r="AU52">
        <v>74</v>
      </c>
      <c r="AV52">
        <v>80.5</v>
      </c>
      <c r="AW52">
        <v>11</v>
      </c>
    </row>
    <row r="53" spans="1:49">
      <c r="D53" s="14">
        <v>1</v>
      </c>
      <c r="E53" s="14">
        <v>2</v>
      </c>
      <c r="F53" s="14">
        <v>3</v>
      </c>
      <c r="G53" s="14">
        <v>4</v>
      </c>
      <c r="H53" s="14">
        <v>5</v>
      </c>
      <c r="I53" s="14">
        <v>6</v>
      </c>
      <c r="J53" s="14">
        <v>7</v>
      </c>
      <c r="K53" s="14">
        <v>8</v>
      </c>
      <c r="L53" s="14">
        <v>9</v>
      </c>
      <c r="M53" s="14">
        <v>10</v>
      </c>
      <c r="N53" s="14">
        <v>11</v>
      </c>
      <c r="O53" s="14">
        <v>12</v>
      </c>
      <c r="P53" s="14">
        <v>13</v>
      </c>
      <c r="Q53" s="14">
        <v>14</v>
      </c>
      <c r="R53" s="14">
        <v>15</v>
      </c>
      <c r="S53" s="14">
        <v>16</v>
      </c>
      <c r="T53" s="14">
        <v>17</v>
      </c>
      <c r="U53" s="14">
        <v>18</v>
      </c>
      <c r="V53" s="14">
        <v>19</v>
      </c>
      <c r="W53" s="14">
        <v>20</v>
      </c>
      <c r="X53" s="14">
        <v>21</v>
      </c>
      <c r="Y53" s="14">
        <v>22</v>
      </c>
      <c r="Z53" s="14">
        <v>23</v>
      </c>
      <c r="AA53" s="14">
        <v>24</v>
      </c>
      <c r="AB53" s="14">
        <v>25</v>
      </c>
      <c r="AC53" s="14">
        <v>26</v>
      </c>
      <c r="AD53" s="14">
        <v>27</v>
      </c>
      <c r="AE53" s="14">
        <v>28</v>
      </c>
      <c r="AF53" s="14">
        <v>29</v>
      </c>
      <c r="AG53" s="14">
        <v>30</v>
      </c>
      <c r="AH53" s="14">
        <v>31</v>
      </c>
      <c r="AI53" s="14">
        <v>32</v>
      </c>
      <c r="AJ53" s="14">
        <v>33</v>
      </c>
      <c r="AK53" s="14">
        <v>34</v>
      </c>
      <c r="AL53" s="14">
        <v>35</v>
      </c>
      <c r="AM53" s="14">
        <v>36</v>
      </c>
      <c r="AN53" s="14">
        <v>37</v>
      </c>
      <c r="AO53" s="14">
        <v>38</v>
      </c>
      <c r="AQ53" t="s">
        <v>37</v>
      </c>
      <c r="AR53">
        <f>0</f>
        <v>0</v>
      </c>
      <c r="AS53" t="s">
        <v>38</v>
      </c>
      <c r="AT53">
        <v>83.5</v>
      </c>
      <c r="AU53">
        <v>77</v>
      </c>
      <c r="AV53">
        <v>88</v>
      </c>
      <c r="AW53">
        <v>11</v>
      </c>
    </row>
    <row r="54" spans="1:49">
      <c r="A54">
        <v>0</v>
      </c>
      <c r="B54" s="3" t="s">
        <v>2</v>
      </c>
      <c r="C54" s="3">
        <f>SUM(W54:AO54)</f>
        <v>864.5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/>
      <c r="AI54" s="3"/>
      <c r="AJ54" s="3"/>
      <c r="AK54" s="3"/>
      <c r="AL54" s="3"/>
      <c r="AM54" s="3"/>
      <c r="AN54" s="3"/>
      <c r="AO54" s="3"/>
      <c r="AQ54" s="10">
        <f t="shared" ref="AQ54:AQ64" si="79">COUNTIF(W41:AO41,"&gt;0")/COUNT(W41:AO41)</f>
        <v>0.54545454545454541</v>
      </c>
      <c r="AR54" s="5">
        <f t="shared" ref="AR54:AR63" si="80">COUNTIF(W41:AO41,"0")/COUNT(W41:AO41)</f>
        <v>0.27272727272727271</v>
      </c>
      <c r="AS54" s="5">
        <f t="shared" ref="AS54:AS64" si="81">COUNTIF(W41:AO41,"&lt;0")/COUNT(W41:AO41)</f>
        <v>0.18181818181818182</v>
      </c>
      <c r="AT54">
        <v>70.5</v>
      </c>
      <c r="AU54">
        <v>70.5</v>
      </c>
      <c r="AV54">
        <v>74.5</v>
      </c>
      <c r="AW54">
        <v>11</v>
      </c>
    </row>
    <row r="55" spans="1:49">
      <c r="A55">
        <v>1</v>
      </c>
      <c r="B55" s="3" t="s">
        <v>3</v>
      </c>
      <c r="C55" s="3">
        <f t="shared" ref="C55:C63" si="82">SUM(W55:AO55)</f>
        <v>815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/>
      <c r="AI55" s="3"/>
      <c r="AJ55" s="3"/>
      <c r="AK55" s="3"/>
      <c r="AL55" s="3"/>
      <c r="AM55" s="3"/>
      <c r="AN55" s="3"/>
      <c r="AO55" s="3"/>
      <c r="AQ55" s="10">
        <f t="shared" si="79"/>
        <v>0.36363636363636365</v>
      </c>
      <c r="AR55" s="5">
        <f t="shared" si="80"/>
        <v>0.36363636363636365</v>
      </c>
      <c r="AS55" s="5">
        <f t="shared" si="81"/>
        <v>0.27272727272727271</v>
      </c>
      <c r="AT55">
        <v>66.5</v>
      </c>
      <c r="AU55">
        <v>68.5</v>
      </c>
      <c r="AV55">
        <v>73</v>
      </c>
      <c r="AW55">
        <v>11</v>
      </c>
    </row>
    <row r="56" spans="1:49">
      <c r="A56">
        <v>2</v>
      </c>
      <c r="B56" s="3" t="s">
        <v>4</v>
      </c>
      <c r="C56" s="3">
        <f t="shared" si="82"/>
        <v>900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/>
      <c r="AI56" s="3"/>
      <c r="AJ56" s="3"/>
      <c r="AK56" s="3"/>
      <c r="AL56" s="3"/>
      <c r="AM56" s="3"/>
      <c r="AN56" s="3"/>
      <c r="AO56" s="3"/>
      <c r="AQ56" s="10">
        <f t="shared" si="79"/>
        <v>0.54545454545454541</v>
      </c>
      <c r="AR56" s="5">
        <f t="shared" si="80"/>
        <v>9.0909090909090912E-2</v>
      </c>
      <c r="AS56" s="5">
        <f t="shared" si="81"/>
        <v>0.36363636363636365</v>
      </c>
      <c r="AT56">
        <v>66.5</v>
      </c>
      <c r="AU56">
        <v>66</v>
      </c>
      <c r="AV56">
        <v>68</v>
      </c>
      <c r="AW56">
        <v>11</v>
      </c>
    </row>
    <row r="57" spans="1:49">
      <c r="A57">
        <v>3</v>
      </c>
      <c r="B57" s="3" t="s">
        <v>5</v>
      </c>
      <c r="C57" s="3">
        <f t="shared" si="82"/>
        <v>832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/>
      <c r="AI57" s="3"/>
      <c r="AJ57" s="3"/>
      <c r="AK57" s="3"/>
      <c r="AL57" s="3"/>
      <c r="AM57" s="3"/>
      <c r="AN57" s="3"/>
      <c r="AO57" s="3"/>
      <c r="AQ57" s="10">
        <f t="shared" si="79"/>
        <v>0.45454545454545453</v>
      </c>
      <c r="AR57" s="5">
        <f t="shared" si="80"/>
        <v>0.18181818181818182</v>
      </c>
      <c r="AS57" s="5">
        <f t="shared" si="81"/>
        <v>0.36363636363636365</v>
      </c>
      <c r="AT57" t="s">
        <v>12</v>
      </c>
    </row>
    <row r="58" spans="1:49">
      <c r="A58">
        <v>4</v>
      </c>
      <c r="B58" s="3" t="s">
        <v>7</v>
      </c>
      <c r="C58" s="3">
        <f t="shared" si="82"/>
        <v>845.5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/>
      <c r="AI58" s="3"/>
      <c r="AJ58" s="3"/>
      <c r="AK58" s="3"/>
      <c r="AL58" s="3"/>
      <c r="AM58" s="3"/>
      <c r="AN58" s="3"/>
      <c r="AO58" s="3"/>
      <c r="AQ58" s="10">
        <f t="shared" si="79"/>
        <v>0.45454545454545453</v>
      </c>
      <c r="AR58" s="5">
        <f t="shared" si="80"/>
        <v>0.27272727272727271</v>
      </c>
      <c r="AS58" s="5">
        <f t="shared" si="81"/>
        <v>0.27272727272727271</v>
      </c>
      <c r="AT58">
        <v>74.5</v>
      </c>
      <c r="AU58">
        <v>73.5</v>
      </c>
      <c r="AV58">
        <v>75.5</v>
      </c>
      <c r="AW58">
        <v>11</v>
      </c>
    </row>
    <row r="59" spans="1:49">
      <c r="A59">
        <v>5</v>
      </c>
      <c r="B59" s="3" t="s">
        <v>6</v>
      </c>
      <c r="C59" s="3">
        <f t="shared" si="82"/>
        <v>841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/>
      <c r="AI59" s="3"/>
      <c r="AJ59" s="3"/>
      <c r="AK59" s="3"/>
      <c r="AL59" s="3"/>
      <c r="AM59" s="3"/>
      <c r="AN59" s="3"/>
      <c r="AO59" s="3"/>
      <c r="AQ59" s="10">
        <f>COUNTIF(W46:AO46,"&gt;0")/COUNT(W46:AO46)</f>
        <v>0.54545454545454541</v>
      </c>
      <c r="AR59" s="5">
        <f t="shared" si="80"/>
        <v>0.18181818181818182</v>
      </c>
      <c r="AS59" s="5">
        <f t="shared" si="81"/>
        <v>0.27272727272727271</v>
      </c>
      <c r="AT59">
        <v>62</v>
      </c>
      <c r="AU59">
        <v>64</v>
      </c>
      <c r="AV59">
        <v>67.5</v>
      </c>
      <c r="AW59">
        <v>11</v>
      </c>
    </row>
    <row r="60" spans="1:49">
      <c r="A60">
        <v>6</v>
      </c>
      <c r="B60" s="3" t="s">
        <v>8</v>
      </c>
      <c r="C60" s="3">
        <f t="shared" si="82"/>
        <v>815.5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/>
      <c r="AI60" s="3"/>
      <c r="AJ60" s="3"/>
      <c r="AK60" s="3"/>
      <c r="AL60" s="3"/>
      <c r="AM60" s="3"/>
      <c r="AN60" s="3"/>
      <c r="AO60" s="3"/>
      <c r="AQ60" s="10">
        <f t="shared" si="79"/>
        <v>0.63636363636363635</v>
      </c>
      <c r="AR60" s="5">
        <f t="shared" si="80"/>
        <v>9.0909090909090912E-2</v>
      </c>
      <c r="AS60" s="5">
        <f t="shared" si="81"/>
        <v>0.27272727272727271</v>
      </c>
      <c r="AT60">
        <v>76.5</v>
      </c>
      <c r="AU60">
        <v>74</v>
      </c>
      <c r="AV60">
        <v>82</v>
      </c>
      <c r="AW60">
        <v>11</v>
      </c>
    </row>
    <row r="61" spans="1:49">
      <c r="A61">
        <v>7</v>
      </c>
      <c r="B61" s="3" t="s">
        <v>11</v>
      </c>
      <c r="C61" s="3">
        <f t="shared" si="82"/>
        <v>803.5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/>
      <c r="AI61" s="3"/>
      <c r="AJ61" s="3"/>
      <c r="AK61" s="3"/>
      <c r="AL61" s="3"/>
      <c r="AM61" s="3"/>
      <c r="AN61" s="3"/>
      <c r="AO61" s="3"/>
      <c r="AQ61" s="10">
        <f>COUNTIF(W48:AO48,"&gt;0")/COUNT(W48:AO48)</f>
        <v>0.54545454545454541</v>
      </c>
      <c r="AR61" s="5">
        <f>COUNTIF(W48:AO48,"0")/COUNT(W48:AO48)</f>
        <v>9.0909090909090912E-2</v>
      </c>
      <c r="AS61" s="5">
        <f>COUNTIF(W48:AO48,"&lt;0")/COUNT(W48:AO48)</f>
        <v>0.36363636363636365</v>
      </c>
      <c r="AT61">
        <v>67.5</v>
      </c>
      <c r="AU61">
        <v>64</v>
      </c>
      <c r="AV61">
        <v>70</v>
      </c>
      <c r="AW61">
        <v>11</v>
      </c>
    </row>
    <row r="62" spans="1:49">
      <c r="A62">
        <v>8</v>
      </c>
      <c r="B62" s="3" t="s">
        <v>9</v>
      </c>
      <c r="C62" s="3">
        <f t="shared" si="82"/>
        <v>860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/>
      <c r="AI62" s="3"/>
      <c r="AJ62" s="3"/>
      <c r="AK62" s="3"/>
      <c r="AL62" s="3"/>
      <c r="AM62" s="3"/>
      <c r="AN62" s="3"/>
      <c r="AO62" s="3"/>
      <c r="AQ62" s="10">
        <f>COUNTIF(W49:AO49,"&gt;0")/COUNT(W49:AO49)</f>
        <v>0.90909090909090906</v>
      </c>
      <c r="AR62" s="5">
        <f t="shared" si="80"/>
        <v>0</v>
      </c>
      <c r="AS62" s="5">
        <f t="shared" si="81"/>
        <v>9.0909090909090912E-2</v>
      </c>
      <c r="AT62">
        <v>62</v>
      </c>
      <c r="AU62">
        <v>66.5</v>
      </c>
      <c r="AV62">
        <v>68</v>
      </c>
      <c r="AW62">
        <v>10</v>
      </c>
    </row>
    <row r="63" spans="1:49">
      <c r="A63">
        <v>9</v>
      </c>
      <c r="B63" s="3" t="s">
        <v>10</v>
      </c>
      <c r="C63" s="3">
        <f t="shared" si="82"/>
        <v>851.5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/>
      <c r="AI63" s="3"/>
      <c r="AJ63" s="3"/>
      <c r="AK63" s="3"/>
      <c r="AL63" s="3"/>
      <c r="AM63" s="3"/>
      <c r="AN63" s="3"/>
      <c r="AO63" s="3"/>
      <c r="AQ63" s="10">
        <f t="shared" si="79"/>
        <v>0.45454545454545453</v>
      </c>
      <c r="AR63" s="5">
        <f t="shared" si="80"/>
        <v>9.0909090909090912E-2</v>
      </c>
      <c r="AS63" s="5">
        <f t="shared" si="81"/>
        <v>0.45454545454545453</v>
      </c>
      <c r="AT63">
        <v>69</v>
      </c>
      <c r="AU63">
        <v>66.5</v>
      </c>
      <c r="AV63">
        <v>81.5</v>
      </c>
      <c r="AW63">
        <v>11</v>
      </c>
    </row>
    <row r="64" spans="1:49" ht="15">
      <c r="C64" s="16">
        <f>SUM(C54:C63)</f>
        <v>8428.5</v>
      </c>
      <c r="D64" s="16">
        <f>SUM(D54:D63)</f>
        <v>783</v>
      </c>
      <c r="E64" s="16">
        <f t="shared" ref="E64:Z64" si="83">SUM(E54:E63)</f>
        <v>785</v>
      </c>
      <c r="F64" s="16">
        <f t="shared" si="83"/>
        <v>777.5</v>
      </c>
      <c r="G64" s="16">
        <f t="shared" si="83"/>
        <v>764.5</v>
      </c>
      <c r="H64" s="16">
        <f t="shared" si="83"/>
        <v>780.5</v>
      </c>
      <c r="I64" s="16">
        <f t="shared" si="83"/>
        <v>761.5</v>
      </c>
      <c r="J64" s="16">
        <f t="shared" si="83"/>
        <v>736.5</v>
      </c>
      <c r="K64" s="16">
        <f t="shared" si="83"/>
        <v>732.5</v>
      </c>
      <c r="L64" s="16">
        <f t="shared" si="83"/>
        <v>772</v>
      </c>
      <c r="M64" s="16">
        <f t="shared" si="83"/>
        <v>737</v>
      </c>
      <c r="N64" s="16">
        <f t="shared" si="83"/>
        <v>747</v>
      </c>
      <c r="O64" s="16">
        <f t="shared" si="83"/>
        <v>788</v>
      </c>
      <c r="P64" s="16">
        <f t="shared" si="83"/>
        <v>759</v>
      </c>
      <c r="Q64" s="16">
        <f t="shared" si="83"/>
        <v>770.5</v>
      </c>
      <c r="R64" s="16">
        <f t="shared" si="83"/>
        <v>753</v>
      </c>
      <c r="S64" s="16">
        <f t="shared" si="83"/>
        <v>742</v>
      </c>
      <c r="T64" s="16">
        <f t="shared" si="83"/>
        <v>772.5</v>
      </c>
      <c r="U64" s="16">
        <f t="shared" si="83"/>
        <v>756.5</v>
      </c>
      <c r="V64" s="16">
        <f t="shared" si="83"/>
        <v>770</v>
      </c>
      <c r="W64" s="16">
        <f t="shared" si="83"/>
        <v>767.5</v>
      </c>
      <c r="X64" s="16">
        <f t="shared" si="83"/>
        <v>749</v>
      </c>
      <c r="Y64" s="16">
        <f t="shared" si="83"/>
        <v>788.5</v>
      </c>
      <c r="Z64" s="16">
        <f t="shared" si="83"/>
        <v>763</v>
      </c>
      <c r="AA64" s="16">
        <f>SUM(AA54:AA63)</f>
        <v>781</v>
      </c>
      <c r="AB64" s="16">
        <f t="shared" ref="AB64:AO64" si="84">SUM(AB54:AB63)</f>
        <v>752</v>
      </c>
      <c r="AC64" s="16">
        <f t="shared" si="84"/>
        <v>749</v>
      </c>
      <c r="AD64" s="16">
        <f t="shared" si="84"/>
        <v>760.5</v>
      </c>
      <c r="AE64" s="16">
        <f t="shared" si="84"/>
        <v>774</v>
      </c>
      <c r="AF64" s="16">
        <f t="shared" si="84"/>
        <v>768.5</v>
      </c>
      <c r="AG64" s="16">
        <f t="shared" si="84"/>
        <v>775.5</v>
      </c>
      <c r="AH64" s="16">
        <f t="shared" si="84"/>
        <v>0</v>
      </c>
      <c r="AI64" s="16">
        <f t="shared" si="84"/>
        <v>0</v>
      </c>
      <c r="AJ64" s="16">
        <f t="shared" si="84"/>
        <v>0</v>
      </c>
      <c r="AK64" s="16">
        <f t="shared" si="84"/>
        <v>0</v>
      </c>
      <c r="AL64" s="16">
        <f t="shared" si="84"/>
        <v>0</v>
      </c>
      <c r="AM64" s="16">
        <f t="shared" si="84"/>
        <v>0</v>
      </c>
      <c r="AN64" s="16">
        <f t="shared" si="84"/>
        <v>0</v>
      </c>
      <c r="AO64" s="16">
        <f t="shared" si="84"/>
        <v>0</v>
      </c>
      <c r="AQ64" s="12">
        <f t="shared" si="79"/>
        <v>1</v>
      </c>
      <c r="AR64" s="12">
        <f>COUNTIF(W51:AO51,"0")/COUNT(W51:AA51)</f>
        <v>0</v>
      </c>
      <c r="AS64" s="12">
        <f t="shared" si="81"/>
        <v>0</v>
      </c>
      <c r="AT64">
        <v>61</v>
      </c>
      <c r="AU64">
        <v>61</v>
      </c>
      <c r="AV64">
        <v>79</v>
      </c>
      <c r="AW64">
        <v>11</v>
      </c>
    </row>
    <row r="65" spans="1:49">
      <c r="AQ65" s="11">
        <f>COUNTIF(W41:AO50,"&gt;0")/COUNT(W41:AO50)</f>
        <v>0.54545454545454541</v>
      </c>
      <c r="AR65" s="11">
        <f>COUNTIF(W41:AO50,"0")/COUNT(W41:AO50)</f>
        <v>0.16363636363636364</v>
      </c>
      <c r="AS65" s="11">
        <f>COUNTIF(W41:AO50,"&lt;0")/COUNT(W41:AO50)</f>
        <v>0.29090909090909089</v>
      </c>
      <c r="AT65">
        <v>71</v>
      </c>
      <c r="AU65">
        <v>69.5</v>
      </c>
      <c r="AV65">
        <v>73.5</v>
      </c>
      <c r="AW65">
        <v>11</v>
      </c>
    </row>
    <row r="66" spans="1:49">
      <c r="D66" s="14">
        <v>1</v>
      </c>
      <c r="E66" s="14">
        <v>2</v>
      </c>
      <c r="F66" s="14">
        <v>3</v>
      </c>
      <c r="G66" s="14">
        <v>4</v>
      </c>
      <c r="H66" s="14">
        <v>5</v>
      </c>
      <c r="I66" s="14">
        <v>6</v>
      </c>
      <c r="J66" s="14">
        <v>7</v>
      </c>
      <c r="K66" s="14">
        <v>8</v>
      </c>
      <c r="L66" s="14">
        <v>9</v>
      </c>
      <c r="M66" s="14">
        <v>10</v>
      </c>
      <c r="N66" s="14">
        <v>11</v>
      </c>
      <c r="O66" s="14">
        <v>12</v>
      </c>
      <c r="P66" s="14">
        <v>13</v>
      </c>
      <c r="Q66" s="14">
        <v>14</v>
      </c>
      <c r="R66" s="14">
        <v>15</v>
      </c>
      <c r="S66" s="14">
        <v>16</v>
      </c>
      <c r="T66" s="14">
        <v>17</v>
      </c>
      <c r="U66" s="14">
        <v>18</v>
      </c>
      <c r="V66" s="14">
        <v>19</v>
      </c>
      <c r="W66" s="14">
        <v>20</v>
      </c>
      <c r="X66" s="14">
        <v>21</v>
      </c>
      <c r="Y66" s="14">
        <v>22</v>
      </c>
      <c r="Z66" s="14">
        <v>23</v>
      </c>
      <c r="AA66" s="14">
        <v>24</v>
      </c>
      <c r="AB66" s="14">
        <v>25</v>
      </c>
      <c r="AC66" s="14">
        <v>26</v>
      </c>
      <c r="AD66" s="14">
        <v>27</v>
      </c>
      <c r="AE66" s="14">
        <v>28</v>
      </c>
      <c r="AF66" s="14">
        <v>29</v>
      </c>
      <c r="AG66" s="14">
        <v>30</v>
      </c>
      <c r="AH66" s="14">
        <v>31</v>
      </c>
      <c r="AI66" s="14">
        <v>32</v>
      </c>
      <c r="AJ66" s="14">
        <v>33</v>
      </c>
      <c r="AK66" s="14">
        <v>34</v>
      </c>
      <c r="AL66" s="14">
        <v>35</v>
      </c>
      <c r="AM66" s="14">
        <v>36</v>
      </c>
      <c r="AN66" s="14">
        <v>37</v>
      </c>
      <c r="AO66" s="14">
        <v>38</v>
      </c>
      <c r="AT66">
        <v>67.5</v>
      </c>
      <c r="AU66">
        <v>66.5</v>
      </c>
      <c r="AV66">
        <v>73.5</v>
      </c>
      <c r="AW66">
        <v>11</v>
      </c>
    </row>
    <row r="67" spans="1:49">
      <c r="A67">
        <v>0</v>
      </c>
      <c r="B67" s="3" t="s">
        <v>2</v>
      </c>
      <c r="C67" s="3">
        <f>SUM(W67:AO67)</f>
        <v>92</v>
      </c>
      <c r="D67" s="3">
        <f t="shared" ref="D67:U67" si="85">D54-D2</f>
        <v>13</v>
      </c>
      <c r="E67" s="3">
        <f t="shared" si="85"/>
        <v>2.5</v>
      </c>
      <c r="F67" s="3">
        <f t="shared" si="85"/>
        <v>7.5</v>
      </c>
      <c r="G67" s="3">
        <f t="shared" si="85"/>
        <v>5.5</v>
      </c>
      <c r="H67" s="3">
        <f t="shared" si="85"/>
        <v>8.5</v>
      </c>
      <c r="I67" s="3">
        <f t="shared" si="85"/>
        <v>2</v>
      </c>
      <c r="J67" s="3">
        <f t="shared" si="85"/>
        <v>5</v>
      </c>
      <c r="K67" s="3">
        <f t="shared" si="85"/>
        <v>8.5</v>
      </c>
      <c r="L67" s="3">
        <f t="shared" si="85"/>
        <v>7</v>
      </c>
      <c r="M67" s="3">
        <f t="shared" si="85"/>
        <v>6.5</v>
      </c>
      <c r="N67" s="3">
        <f t="shared" si="85"/>
        <v>12.5</v>
      </c>
      <c r="O67" s="3">
        <f t="shared" si="85"/>
        <v>2.5</v>
      </c>
      <c r="P67" s="3">
        <f t="shared" si="85"/>
        <v>6</v>
      </c>
      <c r="Q67" s="3">
        <f t="shared" si="85"/>
        <v>4</v>
      </c>
      <c r="R67" s="3">
        <f t="shared" si="85"/>
        <v>10</v>
      </c>
      <c r="S67" s="3">
        <f t="shared" si="85"/>
        <v>6.5</v>
      </c>
      <c r="T67" s="3">
        <f t="shared" si="85"/>
        <v>1.5</v>
      </c>
      <c r="U67" s="3">
        <f t="shared" si="85"/>
        <v>9</v>
      </c>
      <c r="V67" s="3">
        <f t="shared" ref="V67:AA67" si="86">V54-V2</f>
        <v>13.5</v>
      </c>
      <c r="W67" s="3">
        <f t="shared" si="86"/>
        <v>6</v>
      </c>
      <c r="X67" s="3">
        <f t="shared" si="86"/>
        <v>5.5</v>
      </c>
      <c r="Y67" s="3">
        <f t="shared" si="86"/>
        <v>5.5</v>
      </c>
      <c r="Z67" s="3">
        <f t="shared" si="86"/>
        <v>4.5</v>
      </c>
      <c r="AA67" s="3">
        <f t="shared" si="86"/>
        <v>8</v>
      </c>
      <c r="AB67" s="3">
        <f t="shared" ref="AB67:AC67" si="87">AB54-AB2</f>
        <v>16</v>
      </c>
      <c r="AC67" s="3">
        <f t="shared" si="87"/>
        <v>5.5</v>
      </c>
      <c r="AD67" s="3">
        <f t="shared" ref="AD67:AE67" si="88">AD54-AD2</f>
        <v>8</v>
      </c>
      <c r="AE67" s="3">
        <f t="shared" si="88"/>
        <v>10</v>
      </c>
      <c r="AF67" s="3">
        <f t="shared" ref="AF67:AG67" si="89">AF54-AF2</f>
        <v>14</v>
      </c>
      <c r="AG67" s="3">
        <f t="shared" si="89"/>
        <v>9</v>
      </c>
      <c r="AH67" s="3"/>
      <c r="AI67" s="3"/>
      <c r="AJ67" s="3"/>
      <c r="AK67" s="3"/>
      <c r="AL67" s="3"/>
      <c r="AM67" s="3"/>
      <c r="AN67" s="3"/>
      <c r="AO67" s="3"/>
      <c r="AP67" s="5">
        <f>C67/C54</f>
        <v>0.1064198958935801</v>
      </c>
      <c r="AQ67" s="10">
        <f>COUNTIF(W41:AO41,"&gt;0,5")/COUNT(W54:AO54)</f>
        <v>0.54545454545454541</v>
      </c>
      <c r="AR67" s="5">
        <f>COUNTIFS(W41:AO41,"&gt;=-0,5",W41:AO41,"&lt;=0,5")/COUNT(W41:AO41)</f>
        <v>0.36363636363636365</v>
      </c>
      <c r="AS67" s="5">
        <f>COUNTIF(W41:AO41,"&lt;-0,5")/COUNT(W54:AO54)</f>
        <v>9.0909090909090912E-2</v>
      </c>
      <c r="AT67">
        <v>87.5</v>
      </c>
      <c r="AU67">
        <v>86.5</v>
      </c>
      <c r="AV67">
        <v>91</v>
      </c>
      <c r="AW67">
        <v>11</v>
      </c>
    </row>
    <row r="68" spans="1:49">
      <c r="A68">
        <v>1</v>
      </c>
      <c r="B68" s="3" t="s">
        <v>3</v>
      </c>
      <c r="C68" s="3">
        <f t="shared" ref="C68:C75" si="90">SUM(W68:AO68)</f>
        <v>34</v>
      </c>
      <c r="D68" s="3">
        <f t="shared" ref="D68:U68" si="91">D55-D3</f>
        <v>8.5</v>
      </c>
      <c r="E68" s="3">
        <f t="shared" si="91"/>
        <v>4.5</v>
      </c>
      <c r="F68" s="3">
        <f t="shared" si="91"/>
        <v>4.5</v>
      </c>
      <c r="G68" s="3">
        <f t="shared" si="91"/>
        <v>5</v>
      </c>
      <c r="H68" s="3">
        <f t="shared" si="91"/>
        <v>3</v>
      </c>
      <c r="I68" s="3">
        <f t="shared" si="91"/>
        <v>3.5</v>
      </c>
      <c r="J68" s="3">
        <f t="shared" si="91"/>
        <v>5.5</v>
      </c>
      <c r="K68" s="3">
        <f t="shared" si="91"/>
        <v>5.5</v>
      </c>
      <c r="L68" s="3">
        <f t="shared" si="91"/>
        <v>5</v>
      </c>
      <c r="M68" s="3">
        <f t="shared" si="91"/>
        <v>4.5</v>
      </c>
      <c r="N68" s="3">
        <f t="shared" si="91"/>
        <v>4</v>
      </c>
      <c r="O68" s="3">
        <f t="shared" si="91"/>
        <v>2.5</v>
      </c>
      <c r="P68" s="3">
        <f t="shared" si="91"/>
        <v>1</v>
      </c>
      <c r="Q68" s="3">
        <f t="shared" si="91"/>
        <v>3</v>
      </c>
      <c r="R68" s="3">
        <f t="shared" si="91"/>
        <v>4.5</v>
      </c>
      <c r="S68" s="3">
        <f t="shared" si="91"/>
        <v>3</v>
      </c>
      <c r="T68" s="3">
        <f t="shared" si="91"/>
        <v>7</v>
      </c>
      <c r="U68" s="3">
        <f t="shared" si="91"/>
        <v>0</v>
      </c>
      <c r="V68" s="3">
        <f t="shared" ref="V68:AA68" si="92">V55-V3</f>
        <v>4</v>
      </c>
      <c r="W68" s="3">
        <f t="shared" si="92"/>
        <v>0</v>
      </c>
      <c r="X68" s="3">
        <f t="shared" si="92"/>
        <v>10.5</v>
      </c>
      <c r="Y68" s="3">
        <f t="shared" si="92"/>
        <v>2</v>
      </c>
      <c r="Z68" s="3">
        <f t="shared" si="92"/>
        <v>3.5</v>
      </c>
      <c r="AA68" s="3">
        <f t="shared" si="92"/>
        <v>1</v>
      </c>
      <c r="AB68" s="3">
        <f t="shared" ref="AB68:AC68" si="93">AB55-AB3</f>
        <v>1</v>
      </c>
      <c r="AC68" s="3">
        <f t="shared" si="93"/>
        <v>3.5</v>
      </c>
      <c r="AD68" s="3">
        <f t="shared" ref="AD68:AE68" si="94">AD55-AD3</f>
        <v>2</v>
      </c>
      <c r="AE68" s="3">
        <f t="shared" si="94"/>
        <v>4</v>
      </c>
      <c r="AF68" s="3">
        <f t="shared" ref="AF68:AG68" si="95">AF55-AF3</f>
        <v>3.5</v>
      </c>
      <c r="AG68" s="3">
        <f t="shared" si="95"/>
        <v>3</v>
      </c>
      <c r="AH68" s="3"/>
      <c r="AI68" s="3"/>
      <c r="AJ68" s="3"/>
      <c r="AK68" s="3"/>
      <c r="AL68" s="3"/>
      <c r="AM68" s="3"/>
      <c r="AN68" s="3"/>
      <c r="AO68" s="3"/>
      <c r="AP68" s="5">
        <f t="shared" ref="AP68:AP76" si="96">C68/C55</f>
        <v>4.1717791411042947E-2</v>
      </c>
      <c r="AQ68" s="10">
        <f t="shared" ref="AQ68:AQ76" si="97">COUNTIF(W42:AO42,"&gt;0,5")/COUNT(W55:AO55)</f>
        <v>0.27272727272727271</v>
      </c>
      <c r="AR68" s="5">
        <f t="shared" ref="AR68:AR76" si="98">COUNTIFS(W42:AO42,"&gt;=-0,5",W42:AO42,"&lt;=0,5")/COUNT(W42:AO42)</f>
        <v>0.54545454545454541</v>
      </c>
      <c r="AS68" s="5">
        <f t="shared" ref="AS68:AS76" si="99">COUNTIF(W42:AO42,"&lt;-0,5")/COUNT(W55:AO55)</f>
        <v>0.18181818181818182</v>
      </c>
      <c r="AT68" t="s">
        <v>18</v>
      </c>
    </row>
    <row r="69" spans="1:49">
      <c r="A69">
        <v>2</v>
      </c>
      <c r="B69" s="3" t="s">
        <v>4</v>
      </c>
      <c r="C69" s="3">
        <f t="shared" si="90"/>
        <v>83.5</v>
      </c>
      <c r="D69" s="3">
        <f t="shared" ref="D69:U69" si="100">D56-D4</f>
        <v>7</v>
      </c>
      <c r="E69" s="3">
        <f t="shared" si="100"/>
        <v>6.5</v>
      </c>
      <c r="F69" s="3">
        <f t="shared" si="100"/>
        <v>5.5</v>
      </c>
      <c r="G69" s="3">
        <f t="shared" si="100"/>
        <v>6</v>
      </c>
      <c r="H69" s="3">
        <f t="shared" si="100"/>
        <v>8.5</v>
      </c>
      <c r="I69" s="3">
        <f t="shared" si="100"/>
        <v>8</v>
      </c>
      <c r="J69" s="3">
        <f t="shared" si="100"/>
        <v>5</v>
      </c>
      <c r="K69" s="3">
        <f t="shared" si="100"/>
        <v>8.5</v>
      </c>
      <c r="L69" s="3">
        <f t="shared" si="100"/>
        <v>5.5</v>
      </c>
      <c r="M69" s="3">
        <f t="shared" si="100"/>
        <v>8</v>
      </c>
      <c r="N69" s="3">
        <f t="shared" si="100"/>
        <v>12</v>
      </c>
      <c r="O69" s="3">
        <f t="shared" si="100"/>
        <v>16.5</v>
      </c>
      <c r="P69" s="3">
        <f t="shared" si="100"/>
        <v>5</v>
      </c>
      <c r="Q69" s="3">
        <f t="shared" si="100"/>
        <v>11.5</v>
      </c>
      <c r="R69" s="3">
        <f t="shared" si="100"/>
        <v>13</v>
      </c>
      <c r="S69" s="3">
        <f t="shared" si="100"/>
        <v>5</v>
      </c>
      <c r="T69" s="3">
        <f t="shared" si="100"/>
        <v>2</v>
      </c>
      <c r="U69" s="3">
        <f t="shared" si="100"/>
        <v>5</v>
      </c>
      <c r="V69" s="3">
        <f t="shared" ref="V69:AA69" si="101">V56-V4</f>
        <v>8</v>
      </c>
      <c r="W69" s="3">
        <f t="shared" si="101"/>
        <v>2.5</v>
      </c>
      <c r="X69" s="3">
        <f t="shared" si="101"/>
        <v>2</v>
      </c>
      <c r="Y69" s="3">
        <f t="shared" si="101"/>
        <v>2.5</v>
      </c>
      <c r="Z69" s="3">
        <f t="shared" si="101"/>
        <v>3.5</v>
      </c>
      <c r="AA69" s="3">
        <f t="shared" si="101"/>
        <v>6</v>
      </c>
      <c r="AB69" s="3">
        <f t="shared" ref="AB69:AC69" si="102">AB56-AB4</f>
        <v>5</v>
      </c>
      <c r="AC69" s="3">
        <f t="shared" si="102"/>
        <v>15</v>
      </c>
      <c r="AD69" s="3">
        <f t="shared" ref="AD69:AE69" si="103">AD56-AD4</f>
        <v>10</v>
      </c>
      <c r="AE69" s="3">
        <f t="shared" si="103"/>
        <v>11</v>
      </c>
      <c r="AF69" s="3">
        <f t="shared" ref="AF69:AG69" si="104">AF56-AF4</f>
        <v>14.5</v>
      </c>
      <c r="AG69" s="3">
        <f t="shared" si="104"/>
        <v>11.5</v>
      </c>
      <c r="AH69" s="3"/>
      <c r="AI69" s="3"/>
      <c r="AJ69" s="3"/>
      <c r="AK69" s="3"/>
      <c r="AL69" s="3"/>
      <c r="AM69" s="3"/>
      <c r="AN69" s="3"/>
      <c r="AO69" s="3"/>
      <c r="AP69" s="5">
        <f t="shared" si="96"/>
        <v>9.2777777777777778E-2</v>
      </c>
      <c r="AQ69" s="10">
        <f t="shared" si="97"/>
        <v>0.54545454545454541</v>
      </c>
      <c r="AR69" s="5">
        <f t="shared" si="98"/>
        <v>0.27272727272727271</v>
      </c>
      <c r="AS69" s="5">
        <f t="shared" si="99"/>
        <v>0.18181818181818182</v>
      </c>
      <c r="AT69">
        <v>69</v>
      </c>
      <c r="AU69">
        <v>73</v>
      </c>
      <c r="AV69">
        <v>78</v>
      </c>
      <c r="AW69">
        <v>11</v>
      </c>
    </row>
    <row r="70" spans="1:49">
      <c r="A70">
        <v>3</v>
      </c>
      <c r="B70" s="3" t="s">
        <v>5</v>
      </c>
      <c r="C70" s="3">
        <f t="shared" si="90"/>
        <v>59.5</v>
      </c>
      <c r="D70" s="3">
        <f t="shared" ref="D70:U70" si="105">D57-D5</f>
        <v>8.5</v>
      </c>
      <c r="E70" s="3">
        <f t="shared" si="105"/>
        <v>12</v>
      </c>
      <c r="F70" s="3">
        <f t="shared" si="105"/>
        <v>11.5</v>
      </c>
      <c r="G70" s="3">
        <f t="shared" si="105"/>
        <v>8.5</v>
      </c>
      <c r="H70" s="3">
        <f t="shared" si="105"/>
        <v>8</v>
      </c>
      <c r="I70" s="3">
        <f t="shared" si="105"/>
        <v>6</v>
      </c>
      <c r="J70" s="3">
        <f t="shared" si="105"/>
        <v>10.5</v>
      </c>
      <c r="K70" s="3">
        <f t="shared" si="105"/>
        <v>6</v>
      </c>
      <c r="L70" s="3">
        <f t="shared" si="105"/>
        <v>4</v>
      </c>
      <c r="M70" s="3">
        <f t="shared" si="105"/>
        <v>4.5</v>
      </c>
      <c r="N70" s="3">
        <f t="shared" si="105"/>
        <v>10</v>
      </c>
      <c r="O70" s="3">
        <f t="shared" si="105"/>
        <v>2</v>
      </c>
      <c r="P70" s="3">
        <f t="shared" si="105"/>
        <v>5.5</v>
      </c>
      <c r="Q70" s="3">
        <f t="shared" si="105"/>
        <v>12.5</v>
      </c>
      <c r="R70" s="3">
        <f t="shared" si="105"/>
        <v>7</v>
      </c>
      <c r="S70" s="3">
        <f t="shared" si="105"/>
        <v>2.5</v>
      </c>
      <c r="T70" s="3">
        <f t="shared" si="105"/>
        <v>5.5</v>
      </c>
      <c r="U70" s="3">
        <f t="shared" si="105"/>
        <v>12</v>
      </c>
      <c r="V70" s="3">
        <f t="shared" ref="V70:AA70" si="106">V57-V5</f>
        <v>5.5</v>
      </c>
      <c r="W70" s="3">
        <f t="shared" si="106"/>
        <v>3</v>
      </c>
      <c r="X70" s="3">
        <f t="shared" si="106"/>
        <v>12</v>
      </c>
      <c r="Y70" s="3">
        <f t="shared" si="106"/>
        <v>4.5</v>
      </c>
      <c r="Z70" s="3">
        <f t="shared" si="106"/>
        <v>3.5</v>
      </c>
      <c r="AA70" s="3">
        <f t="shared" si="106"/>
        <v>7</v>
      </c>
      <c r="AB70" s="3">
        <f t="shared" ref="AB70:AC70" si="107">AB57-AB5</f>
        <v>7</v>
      </c>
      <c r="AC70" s="3">
        <f t="shared" si="107"/>
        <v>9</v>
      </c>
      <c r="AD70" s="3">
        <f t="shared" ref="AD70:AE70" si="108">AD57-AD5</f>
        <v>3</v>
      </c>
      <c r="AE70" s="3">
        <f t="shared" si="108"/>
        <v>5</v>
      </c>
      <c r="AF70" s="3">
        <f t="shared" ref="AF70:AG70" si="109">AF57-AF5</f>
        <v>4</v>
      </c>
      <c r="AG70" s="3">
        <f t="shared" si="109"/>
        <v>1.5</v>
      </c>
      <c r="AH70" s="3"/>
      <c r="AI70" s="3"/>
      <c r="AJ70" s="3"/>
      <c r="AK70" s="3"/>
      <c r="AL70" s="3"/>
      <c r="AM70" s="3"/>
      <c r="AN70" s="3"/>
      <c r="AO70" s="3"/>
      <c r="AP70" s="5">
        <f t="shared" si="96"/>
        <v>7.1514423076923073E-2</v>
      </c>
      <c r="AQ70" s="10">
        <f t="shared" si="97"/>
        <v>0.36363636363636365</v>
      </c>
      <c r="AR70" s="5">
        <f t="shared" si="98"/>
        <v>0.36363636363636365</v>
      </c>
      <c r="AS70" s="5">
        <f t="shared" si="99"/>
        <v>0.27272727272727271</v>
      </c>
      <c r="AT70">
        <v>64</v>
      </c>
      <c r="AU70">
        <v>65.5</v>
      </c>
      <c r="AV70">
        <v>71</v>
      </c>
      <c r="AW70">
        <v>11</v>
      </c>
    </row>
    <row r="71" spans="1:49">
      <c r="A71">
        <v>4</v>
      </c>
      <c r="B71" s="3" t="s">
        <v>7</v>
      </c>
      <c r="C71" s="3">
        <f t="shared" si="90"/>
        <v>69.5</v>
      </c>
      <c r="D71" s="3">
        <f t="shared" ref="D71:U71" si="110">D58-D6</f>
        <v>5</v>
      </c>
      <c r="E71" s="3">
        <f t="shared" si="110"/>
        <v>10</v>
      </c>
      <c r="F71" s="3">
        <f t="shared" si="110"/>
        <v>5.5</v>
      </c>
      <c r="G71" s="3">
        <f t="shared" si="110"/>
        <v>6</v>
      </c>
      <c r="H71" s="3">
        <f t="shared" si="110"/>
        <v>4.5</v>
      </c>
      <c r="I71" s="3">
        <f t="shared" si="110"/>
        <v>1.5</v>
      </c>
      <c r="J71" s="3">
        <f t="shared" si="110"/>
        <v>4</v>
      </c>
      <c r="K71" s="3">
        <f t="shared" si="110"/>
        <v>5</v>
      </c>
      <c r="L71" s="3">
        <f t="shared" si="110"/>
        <v>2.5</v>
      </c>
      <c r="M71" s="3">
        <f t="shared" si="110"/>
        <v>4</v>
      </c>
      <c r="N71" s="3">
        <f t="shared" si="110"/>
        <v>8</v>
      </c>
      <c r="O71" s="3">
        <f t="shared" si="110"/>
        <v>4</v>
      </c>
      <c r="P71" s="3">
        <f t="shared" si="110"/>
        <v>2.5</v>
      </c>
      <c r="Q71" s="3">
        <f t="shared" si="110"/>
        <v>6</v>
      </c>
      <c r="R71" s="3">
        <f t="shared" si="110"/>
        <v>4</v>
      </c>
      <c r="S71" s="3">
        <f t="shared" si="110"/>
        <v>3</v>
      </c>
      <c r="T71" s="3">
        <f t="shared" si="110"/>
        <v>6.5</v>
      </c>
      <c r="U71" s="3">
        <f t="shared" si="110"/>
        <v>2</v>
      </c>
      <c r="V71" s="3">
        <f t="shared" ref="V71:AA71" si="111">V58-V6</f>
        <v>0.5</v>
      </c>
      <c r="W71" s="3">
        <f t="shared" si="111"/>
        <v>1.5</v>
      </c>
      <c r="X71" s="3">
        <f t="shared" si="111"/>
        <v>6.5</v>
      </c>
      <c r="Y71" s="3">
        <f t="shared" si="111"/>
        <v>2</v>
      </c>
      <c r="Z71" s="3">
        <f t="shared" si="111"/>
        <v>2.5</v>
      </c>
      <c r="AA71" s="3">
        <f t="shared" si="111"/>
        <v>6.5</v>
      </c>
      <c r="AB71" s="3">
        <f t="shared" ref="AB71:AC71" si="112">AB58-AB6</f>
        <v>9.5</v>
      </c>
      <c r="AC71" s="3">
        <f t="shared" si="112"/>
        <v>11</v>
      </c>
      <c r="AD71" s="3">
        <f t="shared" ref="AD71:AE71" si="113">AD58-AD6</f>
        <v>8.5</v>
      </c>
      <c r="AE71" s="3">
        <f t="shared" si="113"/>
        <v>9</v>
      </c>
      <c r="AF71" s="3">
        <f t="shared" ref="AF71:AG71" si="114">AF58-AF6</f>
        <v>4.5</v>
      </c>
      <c r="AG71" s="3">
        <f t="shared" si="114"/>
        <v>8</v>
      </c>
      <c r="AH71" s="3"/>
      <c r="AI71" s="3"/>
      <c r="AJ71" s="3"/>
      <c r="AK71" s="3"/>
      <c r="AL71" s="3"/>
      <c r="AM71" s="3"/>
      <c r="AN71" s="3"/>
      <c r="AO71" s="3"/>
      <c r="AP71" s="5">
        <f t="shared" si="96"/>
        <v>8.2199881726788881E-2</v>
      </c>
      <c r="AQ71" s="10">
        <f t="shared" si="97"/>
        <v>0.45454545454545453</v>
      </c>
      <c r="AR71" s="5">
        <f t="shared" si="98"/>
        <v>0.27272727272727271</v>
      </c>
      <c r="AS71" s="5">
        <f t="shared" si="99"/>
        <v>0.27272727272727271</v>
      </c>
      <c r="AT71">
        <v>72.5</v>
      </c>
      <c r="AU71">
        <v>72.5</v>
      </c>
      <c r="AV71">
        <v>77.5</v>
      </c>
      <c r="AW71">
        <v>11</v>
      </c>
    </row>
    <row r="72" spans="1:49">
      <c r="A72">
        <v>5</v>
      </c>
      <c r="B72" s="3" t="s">
        <v>6</v>
      </c>
      <c r="C72" s="3">
        <f t="shared" si="90"/>
        <v>76</v>
      </c>
      <c r="D72" s="3">
        <f t="shared" ref="D72:U72" si="115">D59-D7</f>
        <v>11</v>
      </c>
      <c r="E72" s="3">
        <f t="shared" si="115"/>
        <v>5.5</v>
      </c>
      <c r="F72" s="3">
        <f t="shared" si="115"/>
        <v>3</v>
      </c>
      <c r="G72" s="3">
        <f t="shared" si="115"/>
        <v>12</v>
      </c>
      <c r="H72" s="3">
        <f t="shared" si="115"/>
        <v>6.5</v>
      </c>
      <c r="I72" s="3">
        <f t="shared" si="115"/>
        <v>15</v>
      </c>
      <c r="J72" s="3">
        <f t="shared" si="115"/>
        <v>9.5</v>
      </c>
      <c r="K72" s="3">
        <f t="shared" si="115"/>
        <v>2</v>
      </c>
      <c r="L72" s="3">
        <f t="shared" si="115"/>
        <v>9</v>
      </c>
      <c r="M72" s="3">
        <f t="shared" si="115"/>
        <v>9.5</v>
      </c>
      <c r="N72" s="3">
        <f t="shared" si="115"/>
        <v>10.5</v>
      </c>
      <c r="O72" s="3">
        <f t="shared" si="115"/>
        <v>9.5</v>
      </c>
      <c r="P72" s="3">
        <f t="shared" si="115"/>
        <v>12</v>
      </c>
      <c r="Q72" s="3">
        <f t="shared" si="115"/>
        <v>5</v>
      </c>
      <c r="R72" s="3">
        <f t="shared" si="115"/>
        <v>5</v>
      </c>
      <c r="S72" s="3">
        <f t="shared" si="115"/>
        <v>5</v>
      </c>
      <c r="T72" s="3">
        <f t="shared" si="115"/>
        <v>6.5</v>
      </c>
      <c r="U72" s="3">
        <f t="shared" si="115"/>
        <v>20</v>
      </c>
      <c r="V72" s="3">
        <f t="shared" ref="V72:AA72" si="116">V59-V7</f>
        <v>16</v>
      </c>
      <c r="W72" s="3">
        <f t="shared" si="116"/>
        <v>6</v>
      </c>
      <c r="X72" s="3">
        <f t="shared" si="116"/>
        <v>4.5</v>
      </c>
      <c r="Y72" s="3">
        <f t="shared" si="116"/>
        <v>3.5</v>
      </c>
      <c r="Z72" s="3">
        <f t="shared" si="116"/>
        <v>12.5</v>
      </c>
      <c r="AA72" s="3">
        <f t="shared" si="116"/>
        <v>10.5</v>
      </c>
      <c r="AB72" s="3">
        <f t="shared" ref="AB72:AC72" si="117">AB59-AB7</f>
        <v>9</v>
      </c>
      <c r="AC72" s="3">
        <f t="shared" si="117"/>
        <v>1.5</v>
      </c>
      <c r="AD72" s="3">
        <f t="shared" ref="AD72:AE72" si="118">AD59-AD7</f>
        <v>6.5</v>
      </c>
      <c r="AE72" s="3">
        <f t="shared" si="118"/>
        <v>8.5</v>
      </c>
      <c r="AF72" s="3">
        <f t="shared" ref="AF72:AG72" si="119">AF59-AF7</f>
        <v>5.5</v>
      </c>
      <c r="AG72" s="3">
        <f t="shared" si="119"/>
        <v>8</v>
      </c>
      <c r="AH72" s="3"/>
      <c r="AI72" s="3"/>
      <c r="AJ72" s="3"/>
      <c r="AK72" s="3"/>
      <c r="AL72" s="3"/>
      <c r="AM72" s="3"/>
      <c r="AN72" s="3"/>
      <c r="AO72" s="3"/>
      <c r="AP72" s="5">
        <f t="shared" si="96"/>
        <v>9.0368608799048747E-2</v>
      </c>
      <c r="AQ72" s="10">
        <f t="shared" si="97"/>
        <v>0.45454545454545453</v>
      </c>
      <c r="AR72" s="5">
        <f t="shared" si="98"/>
        <v>0.27272727272727271</v>
      </c>
      <c r="AS72" s="5">
        <f t="shared" si="99"/>
        <v>0.27272727272727271</v>
      </c>
      <c r="AT72">
        <v>66</v>
      </c>
      <c r="AU72">
        <v>66.5</v>
      </c>
      <c r="AV72">
        <v>77</v>
      </c>
      <c r="AW72">
        <v>11</v>
      </c>
    </row>
    <row r="73" spans="1:49">
      <c r="A73">
        <v>6</v>
      </c>
      <c r="B73" s="3" t="s">
        <v>8</v>
      </c>
      <c r="C73" s="3">
        <f t="shared" si="90"/>
        <v>53.5</v>
      </c>
      <c r="D73" s="3">
        <f t="shared" ref="D73:U73" si="120">D60-D8</f>
        <v>12</v>
      </c>
      <c r="E73" s="3">
        <f t="shared" si="120"/>
        <v>3</v>
      </c>
      <c r="F73" s="3">
        <f t="shared" si="120"/>
        <v>14.5</v>
      </c>
      <c r="G73" s="3">
        <f t="shared" si="120"/>
        <v>9.5</v>
      </c>
      <c r="H73" s="3">
        <f t="shared" si="120"/>
        <v>11</v>
      </c>
      <c r="I73" s="3">
        <f t="shared" si="120"/>
        <v>18</v>
      </c>
      <c r="J73" s="3">
        <f t="shared" si="120"/>
        <v>7</v>
      </c>
      <c r="K73" s="3">
        <f t="shared" si="120"/>
        <v>0</v>
      </c>
      <c r="L73" s="3">
        <f t="shared" si="120"/>
        <v>9.5</v>
      </c>
      <c r="M73" s="3">
        <f t="shared" si="120"/>
        <v>6.5</v>
      </c>
      <c r="N73" s="3">
        <f t="shared" si="120"/>
        <v>3</v>
      </c>
      <c r="O73" s="3">
        <f t="shared" si="120"/>
        <v>4</v>
      </c>
      <c r="P73" s="3">
        <f t="shared" si="120"/>
        <v>3.5</v>
      </c>
      <c r="Q73" s="3">
        <f t="shared" si="120"/>
        <v>2.5</v>
      </c>
      <c r="R73" s="3">
        <f t="shared" si="120"/>
        <v>6</v>
      </c>
      <c r="S73" s="3">
        <f t="shared" si="120"/>
        <v>4</v>
      </c>
      <c r="T73" s="3">
        <f t="shared" si="120"/>
        <v>1.5</v>
      </c>
      <c r="U73" s="3">
        <f t="shared" si="120"/>
        <v>2.5</v>
      </c>
      <c r="V73" s="3">
        <f t="shared" ref="V73:AA73" si="121">V60-V8</f>
        <v>4.5</v>
      </c>
      <c r="W73" s="3">
        <f t="shared" si="121"/>
        <v>10.5</v>
      </c>
      <c r="X73" s="3">
        <f t="shared" si="121"/>
        <v>3.5</v>
      </c>
      <c r="Y73" s="3">
        <f t="shared" si="121"/>
        <v>4.5</v>
      </c>
      <c r="Z73" s="3">
        <f t="shared" si="121"/>
        <v>5</v>
      </c>
      <c r="AA73" s="3">
        <f t="shared" si="121"/>
        <v>4</v>
      </c>
      <c r="AB73" s="3">
        <f t="shared" ref="AB73:AC73" si="122">AB60-AB8</f>
        <v>6.5</v>
      </c>
      <c r="AC73" s="3">
        <f t="shared" si="122"/>
        <v>4.5</v>
      </c>
      <c r="AD73" s="3">
        <f t="shared" ref="AD73:AE73" si="123">AD60-AD8</f>
        <v>0</v>
      </c>
      <c r="AE73" s="3">
        <f t="shared" si="123"/>
        <v>7.5</v>
      </c>
      <c r="AF73" s="3">
        <f t="shared" ref="AF73:AG73" si="124">AF60-AF8</f>
        <v>5.5</v>
      </c>
      <c r="AG73" s="3">
        <f t="shared" si="124"/>
        <v>2</v>
      </c>
      <c r="AH73" s="3"/>
      <c r="AI73" s="3"/>
      <c r="AJ73" s="3"/>
      <c r="AK73" s="3"/>
      <c r="AL73" s="3"/>
      <c r="AM73" s="3"/>
      <c r="AN73" s="3"/>
      <c r="AO73" s="3"/>
      <c r="AP73" s="5">
        <f t="shared" si="96"/>
        <v>6.5603923973022685E-2</v>
      </c>
      <c r="AQ73" s="10">
        <f t="shared" si="97"/>
        <v>0.27272727272727271</v>
      </c>
      <c r="AR73" s="5">
        <f t="shared" si="98"/>
        <v>0.45454545454545453</v>
      </c>
      <c r="AS73" s="5">
        <f t="shared" si="99"/>
        <v>0.27272727272727271</v>
      </c>
      <c r="AT73">
        <v>62</v>
      </c>
      <c r="AU73">
        <v>62</v>
      </c>
      <c r="AV73">
        <v>66</v>
      </c>
      <c r="AW73">
        <v>11</v>
      </c>
    </row>
    <row r="74" spans="1:49">
      <c r="A74">
        <v>7</v>
      </c>
      <c r="B74" s="3" t="s">
        <v>11</v>
      </c>
      <c r="C74" s="3">
        <f t="shared" si="90"/>
        <v>58</v>
      </c>
      <c r="D74" s="3">
        <f t="shared" ref="D74:U74" si="125">D61-D9</f>
        <v>4.5</v>
      </c>
      <c r="E74" s="3">
        <f t="shared" si="125"/>
        <v>10.5</v>
      </c>
      <c r="F74" s="3">
        <f t="shared" si="125"/>
        <v>5</v>
      </c>
      <c r="G74" s="3">
        <f t="shared" si="125"/>
        <v>5.5</v>
      </c>
      <c r="H74" s="3">
        <f t="shared" si="125"/>
        <v>4</v>
      </c>
      <c r="I74" s="3">
        <f t="shared" si="125"/>
        <v>4</v>
      </c>
      <c r="J74" s="3">
        <f t="shared" si="125"/>
        <v>8</v>
      </c>
      <c r="K74" s="3">
        <f t="shared" si="125"/>
        <v>4.5</v>
      </c>
      <c r="L74" s="3">
        <f t="shared" si="125"/>
        <v>8.5</v>
      </c>
      <c r="M74" s="3">
        <f t="shared" si="125"/>
        <v>7.5</v>
      </c>
      <c r="N74" s="3">
        <f t="shared" si="125"/>
        <v>4.5</v>
      </c>
      <c r="O74" s="3">
        <f t="shared" si="125"/>
        <v>5.5</v>
      </c>
      <c r="P74" s="3">
        <f t="shared" si="125"/>
        <v>7.5</v>
      </c>
      <c r="Q74" s="3">
        <f t="shared" si="125"/>
        <v>8</v>
      </c>
      <c r="R74" s="3">
        <f t="shared" si="125"/>
        <v>5</v>
      </c>
      <c r="S74" s="3">
        <f t="shared" si="125"/>
        <v>6</v>
      </c>
      <c r="T74" s="3">
        <f t="shared" si="125"/>
        <v>9.5</v>
      </c>
      <c r="U74" s="3">
        <f t="shared" si="125"/>
        <v>8</v>
      </c>
      <c r="V74" s="3">
        <f t="shared" ref="V74:AA74" si="126">V61-V9</f>
        <v>3</v>
      </c>
      <c r="W74" s="3">
        <f t="shared" si="126"/>
        <v>4</v>
      </c>
      <c r="X74" s="3">
        <f t="shared" si="126"/>
        <v>14</v>
      </c>
      <c r="Y74" s="3">
        <f t="shared" si="126"/>
        <v>4.5</v>
      </c>
      <c r="Z74" s="3">
        <f t="shared" si="126"/>
        <v>5</v>
      </c>
      <c r="AA74" s="3">
        <f t="shared" si="126"/>
        <v>4.5</v>
      </c>
      <c r="AB74" s="3">
        <f t="shared" ref="AB74:AC74" si="127">AB61-AB9</f>
        <v>1.5</v>
      </c>
      <c r="AC74" s="3">
        <f t="shared" si="127"/>
        <v>2</v>
      </c>
      <c r="AD74" s="3">
        <f t="shared" ref="AD74:AE74" si="128">AD61-AD9</f>
        <v>3</v>
      </c>
      <c r="AE74" s="3">
        <f t="shared" si="128"/>
        <v>9.5</v>
      </c>
      <c r="AF74" s="3">
        <f t="shared" ref="AF74:AG74" si="129">AF61-AF9</f>
        <v>5.5</v>
      </c>
      <c r="AG74" s="3">
        <f t="shared" si="129"/>
        <v>4.5</v>
      </c>
      <c r="AH74" s="3"/>
      <c r="AI74" s="3"/>
      <c r="AJ74" s="3"/>
      <c r="AK74" s="3"/>
      <c r="AL74" s="3"/>
      <c r="AM74" s="3"/>
      <c r="AN74" s="3"/>
      <c r="AO74" s="3"/>
      <c r="AP74" s="5">
        <f t="shared" si="96"/>
        <v>7.2184194150591158E-2</v>
      </c>
      <c r="AQ74" s="10">
        <f>COUNTIF(W48:AO48,"&gt;0,5")/COUNT(W61:AO61)</f>
        <v>0.54545454545454541</v>
      </c>
      <c r="AR74" s="5">
        <f>COUNTIFS(W48:AO48,"&gt;=-0,5",W48:AO48,"&lt;=0,5")/COUNT(W48:AO48)</f>
        <v>0.36363636363636365</v>
      </c>
      <c r="AS74" s="5">
        <f>COUNTIF(W48:AO48,"&lt;-0,5")/COUNT(W61:AO61)</f>
        <v>9.0909090909090912E-2</v>
      </c>
      <c r="AT74">
        <v>63</v>
      </c>
      <c r="AU74">
        <v>61</v>
      </c>
      <c r="AV74">
        <v>70.5</v>
      </c>
      <c r="AW74">
        <v>11</v>
      </c>
    </row>
    <row r="75" spans="1:49">
      <c r="A75">
        <v>8</v>
      </c>
      <c r="B75" s="3" t="s">
        <v>9</v>
      </c>
      <c r="C75" s="3">
        <f t="shared" si="90"/>
        <v>105</v>
      </c>
      <c r="D75" s="3">
        <f t="shared" ref="D75:U75" si="130">D62-D10</f>
        <v>10</v>
      </c>
      <c r="E75" s="3">
        <f t="shared" si="130"/>
        <v>3.5</v>
      </c>
      <c r="F75" s="3">
        <f t="shared" si="130"/>
        <v>16.5</v>
      </c>
      <c r="G75" s="3">
        <f t="shared" si="130"/>
        <v>9.5</v>
      </c>
      <c r="H75" s="3">
        <f t="shared" si="130"/>
        <v>4.5</v>
      </c>
      <c r="I75" s="3">
        <f t="shared" si="130"/>
        <v>7</v>
      </c>
      <c r="J75" s="3">
        <f t="shared" si="130"/>
        <v>6</v>
      </c>
      <c r="K75" s="3">
        <f t="shared" si="130"/>
        <v>0.5</v>
      </c>
      <c r="L75" s="3">
        <f t="shared" si="130"/>
        <v>3.5</v>
      </c>
      <c r="M75" s="3">
        <f t="shared" si="130"/>
        <v>5.5</v>
      </c>
      <c r="N75" s="3">
        <f t="shared" si="130"/>
        <v>6.5</v>
      </c>
      <c r="O75" s="3">
        <f t="shared" si="130"/>
        <v>11</v>
      </c>
      <c r="P75" s="3">
        <f t="shared" si="130"/>
        <v>4.5</v>
      </c>
      <c r="Q75" s="3">
        <f t="shared" si="130"/>
        <v>22</v>
      </c>
      <c r="R75" s="3">
        <f t="shared" si="130"/>
        <v>6.5</v>
      </c>
      <c r="S75" s="3">
        <f t="shared" si="130"/>
        <v>4.5</v>
      </c>
      <c r="T75" s="3">
        <f t="shared" si="130"/>
        <v>8</v>
      </c>
      <c r="U75" s="3">
        <f t="shared" si="130"/>
        <v>7.5</v>
      </c>
      <c r="V75" s="3">
        <f t="shared" ref="V75:AA75" si="131">V62-V10</f>
        <v>8</v>
      </c>
      <c r="W75" s="3">
        <f t="shared" si="131"/>
        <v>6</v>
      </c>
      <c r="X75" s="3">
        <f t="shared" si="131"/>
        <v>11</v>
      </c>
      <c r="Y75" s="3">
        <f t="shared" si="131"/>
        <v>11.5</v>
      </c>
      <c r="Z75" s="3">
        <f t="shared" si="131"/>
        <v>3.5</v>
      </c>
      <c r="AA75" s="3">
        <f t="shared" si="131"/>
        <v>7</v>
      </c>
      <c r="AB75" s="3">
        <f t="shared" ref="AB75:AC75" si="132">AB62-AB10</f>
        <v>19.5</v>
      </c>
      <c r="AC75" s="3">
        <f t="shared" si="132"/>
        <v>8.5</v>
      </c>
      <c r="AD75" s="3">
        <f t="shared" ref="AD75:AE75" si="133">AD62-AD10</f>
        <v>13</v>
      </c>
      <c r="AE75" s="3">
        <f t="shared" si="133"/>
        <v>8</v>
      </c>
      <c r="AF75" s="3">
        <f t="shared" ref="AF75:AG75" si="134">AF62-AF10</f>
        <v>5</v>
      </c>
      <c r="AG75" s="3">
        <f t="shared" si="134"/>
        <v>12</v>
      </c>
      <c r="AH75" s="3"/>
      <c r="AI75" s="3"/>
      <c r="AJ75" s="3"/>
      <c r="AK75" s="3"/>
      <c r="AL75" s="3"/>
      <c r="AM75" s="3"/>
      <c r="AN75" s="3"/>
      <c r="AO75" s="3"/>
      <c r="AP75" s="5">
        <f t="shared" si="96"/>
        <v>0.12209302325581395</v>
      </c>
      <c r="AQ75" s="10">
        <f t="shared" si="97"/>
        <v>0.90909090909090906</v>
      </c>
      <c r="AR75" s="5">
        <f t="shared" si="98"/>
        <v>0</v>
      </c>
      <c r="AS75" s="5">
        <f t="shared" si="99"/>
        <v>9.0909090909090912E-2</v>
      </c>
      <c r="AT75">
        <v>68.5</v>
      </c>
      <c r="AU75">
        <v>68.5</v>
      </c>
      <c r="AV75">
        <v>75.5</v>
      </c>
      <c r="AW75">
        <v>11</v>
      </c>
    </row>
    <row r="76" spans="1:49">
      <c r="A76">
        <v>9</v>
      </c>
      <c r="B76" s="3" t="s">
        <v>10</v>
      </c>
      <c r="C76" s="3">
        <f>SUM(W76:AO76)</f>
        <v>59</v>
      </c>
      <c r="D76" s="3">
        <f t="shared" ref="D76:U76" si="135">D63-D11</f>
        <v>2.5</v>
      </c>
      <c r="E76" s="3">
        <f t="shared" si="135"/>
        <v>5</v>
      </c>
      <c r="F76" s="3">
        <f t="shared" si="135"/>
        <v>11</v>
      </c>
      <c r="G76" s="3">
        <f t="shared" si="135"/>
        <v>1</v>
      </c>
      <c r="H76" s="3">
        <f t="shared" si="135"/>
        <v>2</v>
      </c>
      <c r="I76" s="3">
        <f t="shared" si="135"/>
        <v>4.5</v>
      </c>
      <c r="J76" s="3">
        <f t="shared" si="135"/>
        <v>5</v>
      </c>
      <c r="K76" s="3">
        <f t="shared" si="135"/>
        <v>15</v>
      </c>
      <c r="L76" s="3">
        <f t="shared" si="135"/>
        <v>6.5</v>
      </c>
      <c r="M76" s="3">
        <f t="shared" si="135"/>
        <v>12</v>
      </c>
      <c r="N76" s="3">
        <f t="shared" si="135"/>
        <v>6</v>
      </c>
      <c r="O76" s="3">
        <f t="shared" si="135"/>
        <v>8</v>
      </c>
      <c r="P76" s="3">
        <f t="shared" si="135"/>
        <v>1.5</v>
      </c>
      <c r="Q76" s="3">
        <f t="shared" si="135"/>
        <v>6</v>
      </c>
      <c r="R76" s="3">
        <f t="shared" si="135"/>
        <v>11.5</v>
      </c>
      <c r="S76" s="3">
        <f t="shared" si="135"/>
        <v>8</v>
      </c>
      <c r="T76" s="3">
        <f t="shared" si="135"/>
        <v>3</v>
      </c>
      <c r="U76" s="3">
        <f t="shared" si="135"/>
        <v>5</v>
      </c>
      <c r="V76" s="3">
        <f t="shared" ref="V76:AA76" si="136">V63-V11</f>
        <v>4.5</v>
      </c>
      <c r="W76" s="3">
        <f t="shared" si="136"/>
        <v>3.5</v>
      </c>
      <c r="X76" s="3">
        <f t="shared" si="136"/>
        <v>4</v>
      </c>
      <c r="Y76" s="3">
        <f t="shared" si="136"/>
        <v>2</v>
      </c>
      <c r="Z76" s="3">
        <f t="shared" si="136"/>
        <v>6.5</v>
      </c>
      <c r="AA76" s="3">
        <f t="shared" si="136"/>
        <v>7</v>
      </c>
      <c r="AB76" s="3">
        <f t="shared" ref="AB76:AC76" si="137">AB63-AB11</f>
        <v>7</v>
      </c>
      <c r="AC76" s="3">
        <f t="shared" si="137"/>
        <v>4.5</v>
      </c>
      <c r="AD76" s="3">
        <f t="shared" ref="AD76:AE76" si="138">AD63-AD11</f>
        <v>7</v>
      </c>
      <c r="AE76" s="3">
        <f t="shared" si="138"/>
        <v>3</v>
      </c>
      <c r="AF76" s="3">
        <f t="shared" ref="AF76:AG76" si="139">AF63-AF11</f>
        <v>6.5</v>
      </c>
      <c r="AG76" s="3">
        <f t="shared" si="139"/>
        <v>8</v>
      </c>
      <c r="AH76" s="3"/>
      <c r="AI76" s="3"/>
      <c r="AJ76" s="3"/>
      <c r="AK76" s="3"/>
      <c r="AL76" s="3"/>
      <c r="AM76" s="3"/>
      <c r="AN76" s="3"/>
      <c r="AO76" s="3"/>
      <c r="AP76" s="5">
        <f t="shared" si="96"/>
        <v>6.9289489136817387E-2</v>
      </c>
      <c r="AQ76" s="10">
        <f t="shared" si="97"/>
        <v>0.45454545454545453</v>
      </c>
      <c r="AR76" s="5">
        <f t="shared" si="98"/>
        <v>0.18181818181818182</v>
      </c>
      <c r="AS76" s="5">
        <f t="shared" si="99"/>
        <v>0.36363636363636365</v>
      </c>
      <c r="AT76">
        <v>71.5</v>
      </c>
      <c r="AU76">
        <v>66.5</v>
      </c>
      <c r="AV76">
        <v>74.5</v>
      </c>
      <c r="AW76">
        <v>11</v>
      </c>
    </row>
    <row r="77" spans="1:49" ht="15">
      <c r="C77" s="16">
        <f>SUM(C67:C76)</f>
        <v>690</v>
      </c>
      <c r="D77" s="16">
        <f t="shared" ref="D77:U77" si="140">SUM(D67:D76)</f>
        <v>82</v>
      </c>
      <c r="E77" s="16">
        <f t="shared" si="140"/>
        <v>63</v>
      </c>
      <c r="F77" s="16">
        <f t="shared" si="140"/>
        <v>84.5</v>
      </c>
      <c r="G77" s="16">
        <f t="shared" si="140"/>
        <v>68.5</v>
      </c>
      <c r="H77" s="16">
        <f t="shared" si="140"/>
        <v>60.5</v>
      </c>
      <c r="I77" s="16">
        <f t="shared" si="140"/>
        <v>69.5</v>
      </c>
      <c r="J77" s="16">
        <f t="shared" si="140"/>
        <v>65.5</v>
      </c>
      <c r="K77" s="16">
        <f t="shared" si="140"/>
        <v>55.5</v>
      </c>
      <c r="L77" s="16">
        <f t="shared" si="140"/>
        <v>61</v>
      </c>
      <c r="M77" s="16">
        <f t="shared" si="140"/>
        <v>68.5</v>
      </c>
      <c r="N77" s="16">
        <f t="shared" si="140"/>
        <v>77</v>
      </c>
      <c r="O77" s="16">
        <f t="shared" si="140"/>
        <v>65.5</v>
      </c>
      <c r="P77" s="16">
        <f t="shared" si="140"/>
        <v>49</v>
      </c>
      <c r="Q77" s="16">
        <f t="shared" si="140"/>
        <v>80.5</v>
      </c>
      <c r="R77" s="16">
        <f t="shared" si="140"/>
        <v>72.5</v>
      </c>
      <c r="S77" s="16">
        <f t="shared" si="140"/>
        <v>47.5</v>
      </c>
      <c r="T77" s="16">
        <f t="shared" si="140"/>
        <v>51</v>
      </c>
      <c r="U77" s="16">
        <f t="shared" si="140"/>
        <v>71</v>
      </c>
      <c r="V77" s="16">
        <f t="shared" ref="V77" si="141">SUM(V67:V76)</f>
        <v>67.5</v>
      </c>
      <c r="W77" s="16">
        <f t="shared" ref="W77" si="142">SUM(W67:W76)</f>
        <v>43</v>
      </c>
      <c r="X77" s="16">
        <f t="shared" ref="X77" si="143">SUM(X67:X76)</f>
        <v>73.5</v>
      </c>
      <c r="Y77" s="16">
        <f t="shared" ref="Y77" si="144">SUM(Y67:Y76)</f>
        <v>42.5</v>
      </c>
      <c r="Z77" s="16">
        <f t="shared" ref="Z77" si="145">SUM(Z67:Z76)</f>
        <v>50</v>
      </c>
      <c r="AA77" s="16">
        <f t="shared" ref="AA77:AB77" si="146">SUM(AA67:AA76)</f>
        <v>61.5</v>
      </c>
      <c r="AB77" s="16">
        <f t="shared" si="146"/>
        <v>82</v>
      </c>
      <c r="AC77" s="16">
        <f t="shared" ref="AC77:AD77" si="147">SUM(AC67:AC76)</f>
        <v>65</v>
      </c>
      <c r="AD77" s="16">
        <f t="shared" si="147"/>
        <v>61</v>
      </c>
      <c r="AE77" s="16">
        <f t="shared" ref="AE77:AO77" si="148">SUM(AE67:AE76)</f>
        <v>75.5</v>
      </c>
      <c r="AF77" s="16">
        <f t="shared" ref="AF77:AG77" si="149">SUM(AF67:AF76)</f>
        <v>68.5</v>
      </c>
      <c r="AG77" s="16">
        <f t="shared" si="149"/>
        <v>67.5</v>
      </c>
      <c r="AH77" s="16">
        <f t="shared" si="148"/>
        <v>0</v>
      </c>
      <c r="AI77" s="16">
        <f t="shared" si="148"/>
        <v>0</v>
      </c>
      <c r="AJ77" s="16">
        <f t="shared" si="148"/>
        <v>0</v>
      </c>
      <c r="AK77" s="16">
        <f t="shared" si="148"/>
        <v>0</v>
      </c>
      <c r="AL77" s="16">
        <f t="shared" si="148"/>
        <v>0</v>
      </c>
      <c r="AM77" s="16">
        <f t="shared" si="148"/>
        <v>0</v>
      </c>
      <c r="AN77" s="16">
        <f t="shared" si="148"/>
        <v>0</v>
      </c>
      <c r="AO77" s="16">
        <f t="shared" si="148"/>
        <v>0</v>
      </c>
      <c r="AP77" s="1">
        <f>AVERAGE((AP67:AP76))</f>
        <v>8.1416900920140672E-2</v>
      </c>
      <c r="AQ77" s="12">
        <f>COUNTIF(W51:AO51,"&gt;0,5")/COUNT(W51:AO51)</f>
        <v>1</v>
      </c>
      <c r="AR77" s="12">
        <f>COUNTIFS(W51:AO51,"&gt;=-0,5",W51:AO51,"&lt;=0,5")/COUNT(W51:AO51)</f>
        <v>0</v>
      </c>
      <c r="AS77" s="12">
        <f>COUNTIF(W51:AO51,"&lt;0,5")/COUNT(W51:AO51)</f>
        <v>0</v>
      </c>
      <c r="AT77">
        <v>68.5</v>
      </c>
      <c r="AU77">
        <v>68</v>
      </c>
      <c r="AV77">
        <v>74</v>
      </c>
      <c r="AW77">
        <v>11</v>
      </c>
    </row>
    <row r="78" spans="1:49">
      <c r="AQ78" s="11">
        <f>COUNTIF(W41:AO50,"&gt;0,5")/COUNT(W41:AO50)</f>
        <v>0.48181818181818181</v>
      </c>
      <c r="AR78" s="11">
        <f>COUNTIFS(W41:AO50,"&gt;=-0,5",W41:AO50,"&lt;=0,5")/COUNT(W41:AO50)</f>
        <v>0.30909090909090908</v>
      </c>
      <c r="AS78" s="11">
        <f>COUNTIF(W41:AO50,"&lt;-0,5")/COUNT(W41:AO50)</f>
        <v>0.20909090909090908</v>
      </c>
      <c r="AT78">
        <v>66.5</v>
      </c>
      <c r="AU78">
        <v>67.5</v>
      </c>
      <c r="AV78">
        <v>72.5</v>
      </c>
      <c r="AW78">
        <v>11</v>
      </c>
    </row>
    <row r="79" spans="1:49">
      <c r="D79" s="14">
        <v>1</v>
      </c>
      <c r="E79" s="14">
        <v>2</v>
      </c>
      <c r="F79" s="14">
        <v>3</v>
      </c>
      <c r="G79" s="14">
        <v>4</v>
      </c>
      <c r="H79" s="14">
        <v>5</v>
      </c>
      <c r="I79" s="14">
        <v>6</v>
      </c>
      <c r="J79" s="14">
        <v>7</v>
      </c>
      <c r="K79" s="14">
        <v>8</v>
      </c>
      <c r="L79" s="14">
        <v>9</v>
      </c>
      <c r="M79" s="14">
        <v>10</v>
      </c>
      <c r="N79" s="14">
        <v>11</v>
      </c>
      <c r="O79" s="14">
        <v>12</v>
      </c>
      <c r="P79" s="14">
        <v>13</v>
      </c>
      <c r="Q79" s="14">
        <v>14</v>
      </c>
      <c r="R79" s="14">
        <v>15</v>
      </c>
      <c r="S79" s="14">
        <v>16</v>
      </c>
      <c r="T79" s="14">
        <v>17</v>
      </c>
      <c r="U79" s="14">
        <v>18</v>
      </c>
      <c r="V79" s="14">
        <v>19</v>
      </c>
      <c r="W79" s="14">
        <v>20</v>
      </c>
      <c r="X79" s="14">
        <v>21</v>
      </c>
      <c r="Y79" s="14">
        <v>22</v>
      </c>
      <c r="Z79" s="14">
        <v>23</v>
      </c>
      <c r="AA79" s="14">
        <v>24</v>
      </c>
      <c r="AB79" s="14">
        <v>25</v>
      </c>
      <c r="AC79" s="14">
        <v>26</v>
      </c>
      <c r="AD79" s="14">
        <v>27</v>
      </c>
      <c r="AE79" s="14">
        <v>28</v>
      </c>
      <c r="AF79" s="14">
        <v>29</v>
      </c>
      <c r="AG79" s="14">
        <v>30</v>
      </c>
      <c r="AH79" s="14">
        <v>31</v>
      </c>
      <c r="AI79" s="14">
        <v>32</v>
      </c>
      <c r="AJ79" s="14">
        <v>33</v>
      </c>
      <c r="AK79" s="14">
        <v>34</v>
      </c>
      <c r="AL79" s="14">
        <v>35</v>
      </c>
      <c r="AM79" s="14">
        <v>36</v>
      </c>
      <c r="AN79" s="14">
        <v>37</v>
      </c>
      <c r="AO79" s="14">
        <v>38</v>
      </c>
      <c r="AT79" t="s">
        <v>19</v>
      </c>
    </row>
    <row r="80" spans="1:49">
      <c r="A80">
        <v>0</v>
      </c>
      <c r="B80" s="3" t="s">
        <v>2</v>
      </c>
      <c r="C80" s="3">
        <f>SUM(W80:AO80)</f>
        <v>66.5</v>
      </c>
      <c r="D80" s="3">
        <f t="shared" ref="D80:T80" si="150">D54-D15</f>
        <v>16.5</v>
      </c>
      <c r="E80" s="3">
        <f t="shared" si="150"/>
        <v>4.5</v>
      </c>
      <c r="F80" s="3">
        <f t="shared" si="150"/>
        <v>3.5</v>
      </c>
      <c r="G80" s="3">
        <f t="shared" si="150"/>
        <v>7</v>
      </c>
      <c r="H80" s="3">
        <f t="shared" si="150"/>
        <v>9</v>
      </c>
      <c r="I80" s="3">
        <f t="shared" si="150"/>
        <v>1</v>
      </c>
      <c r="J80" s="3">
        <f t="shared" si="150"/>
        <v>9</v>
      </c>
      <c r="K80" s="3">
        <f t="shared" si="150"/>
        <v>6.5</v>
      </c>
      <c r="L80" s="3">
        <f t="shared" si="150"/>
        <v>3.5</v>
      </c>
      <c r="M80" s="3">
        <f t="shared" si="150"/>
        <v>7</v>
      </c>
      <c r="N80" s="3">
        <f t="shared" si="150"/>
        <v>8</v>
      </c>
      <c r="O80" s="3">
        <f t="shared" si="150"/>
        <v>10</v>
      </c>
      <c r="P80" s="3">
        <f t="shared" si="150"/>
        <v>5.5</v>
      </c>
      <c r="Q80" s="3">
        <f t="shared" si="150"/>
        <v>11</v>
      </c>
      <c r="R80" s="3">
        <f t="shared" si="150"/>
        <v>5.5</v>
      </c>
      <c r="S80" s="3">
        <f t="shared" si="150"/>
        <v>6</v>
      </c>
      <c r="T80" s="3">
        <f t="shared" si="150"/>
        <v>1.5</v>
      </c>
      <c r="U80" s="3">
        <f t="shared" ref="U80:AA80" si="151">U54-U15</f>
        <v>10</v>
      </c>
      <c r="V80" s="3">
        <f t="shared" si="151"/>
        <v>8.5</v>
      </c>
      <c r="W80" s="3">
        <f t="shared" si="151"/>
        <v>6</v>
      </c>
      <c r="X80" s="3">
        <f t="shared" si="151"/>
        <v>5.5</v>
      </c>
      <c r="Y80" s="3">
        <f t="shared" si="151"/>
        <v>0</v>
      </c>
      <c r="Z80" s="3">
        <f t="shared" si="151"/>
        <v>4.5</v>
      </c>
      <c r="AA80" s="3">
        <f t="shared" si="151"/>
        <v>4</v>
      </c>
      <c r="AB80" s="3">
        <f t="shared" ref="AB80:AC80" si="152">AB54-AB15</f>
        <v>10.5</v>
      </c>
      <c r="AC80" s="3">
        <f t="shared" si="152"/>
        <v>6</v>
      </c>
      <c r="AD80" s="3">
        <f t="shared" ref="AD80:AE80" si="153">AD54-AD15</f>
        <v>9.5</v>
      </c>
      <c r="AE80" s="3">
        <f t="shared" si="153"/>
        <v>6.5</v>
      </c>
      <c r="AF80" s="3">
        <f t="shared" ref="AF80:AG80" si="154">AF54-AF15</f>
        <v>8</v>
      </c>
      <c r="AG80" s="3">
        <f t="shared" si="154"/>
        <v>6</v>
      </c>
      <c r="AH80" s="3"/>
      <c r="AI80" s="3"/>
      <c r="AJ80" s="3"/>
      <c r="AK80" s="3"/>
      <c r="AL80" s="3"/>
      <c r="AM80" s="3"/>
      <c r="AN80" s="3"/>
      <c r="AO80" s="3"/>
      <c r="AP80" s="5">
        <f>C80/C54</f>
        <v>7.6923076923076927E-2</v>
      </c>
      <c r="AQ80" s="1">
        <f t="shared" ref="AQ80:AQ89" si="155">(C80-C67)/C67</f>
        <v>-0.27717391304347827</v>
      </c>
      <c r="AT80">
        <v>65</v>
      </c>
      <c r="AU80">
        <v>63</v>
      </c>
      <c r="AV80">
        <v>71.5</v>
      </c>
      <c r="AW80">
        <v>11</v>
      </c>
    </row>
    <row r="81" spans="1:49">
      <c r="A81">
        <v>1</v>
      </c>
      <c r="B81" s="3" t="s">
        <v>3</v>
      </c>
      <c r="C81" s="3">
        <f t="shared" ref="C81:C89" si="156">SUM(W81:AO81)</f>
        <v>29</v>
      </c>
      <c r="D81" s="3">
        <f t="shared" ref="D81:T81" si="157">D55-D16</f>
        <v>7.5</v>
      </c>
      <c r="E81" s="3">
        <f t="shared" si="157"/>
        <v>5.5</v>
      </c>
      <c r="F81" s="3">
        <f t="shared" si="157"/>
        <v>6</v>
      </c>
      <c r="G81" s="3">
        <f t="shared" si="157"/>
        <v>10.5</v>
      </c>
      <c r="H81" s="3">
        <f t="shared" si="157"/>
        <v>4.5</v>
      </c>
      <c r="I81" s="3">
        <f t="shared" si="157"/>
        <v>5.5</v>
      </c>
      <c r="J81" s="3">
        <f t="shared" si="157"/>
        <v>7</v>
      </c>
      <c r="K81" s="3">
        <f t="shared" si="157"/>
        <v>2</v>
      </c>
      <c r="L81" s="3">
        <f t="shared" si="157"/>
        <v>8</v>
      </c>
      <c r="M81" s="3">
        <f t="shared" si="157"/>
        <v>6</v>
      </c>
      <c r="N81" s="3">
        <f t="shared" si="157"/>
        <v>5.5</v>
      </c>
      <c r="O81" s="3">
        <f t="shared" si="157"/>
        <v>1.5</v>
      </c>
      <c r="P81" s="3">
        <f t="shared" si="157"/>
        <v>0.5</v>
      </c>
      <c r="Q81" s="3">
        <f t="shared" si="157"/>
        <v>2</v>
      </c>
      <c r="R81" s="3">
        <f t="shared" si="157"/>
        <v>4.5</v>
      </c>
      <c r="S81" s="3">
        <f t="shared" si="157"/>
        <v>9.5</v>
      </c>
      <c r="T81" s="3">
        <f t="shared" si="157"/>
        <v>4.5</v>
      </c>
      <c r="U81" s="3">
        <f t="shared" ref="U81:AA81" si="158">U55-U16</f>
        <v>13.5</v>
      </c>
      <c r="V81" s="3">
        <f t="shared" si="158"/>
        <v>8.5</v>
      </c>
      <c r="W81" s="3">
        <f t="shared" si="158"/>
        <v>0</v>
      </c>
      <c r="X81" s="3">
        <f t="shared" si="158"/>
        <v>4.5</v>
      </c>
      <c r="Y81" s="3">
        <f t="shared" si="158"/>
        <v>2</v>
      </c>
      <c r="Z81" s="3">
        <f t="shared" si="158"/>
        <v>1.5</v>
      </c>
      <c r="AA81" s="3">
        <f t="shared" si="158"/>
        <v>3</v>
      </c>
      <c r="AB81" s="3">
        <f t="shared" ref="AB81:AC81" si="159">AB55-AB16</f>
        <v>1</v>
      </c>
      <c r="AC81" s="3">
        <f t="shared" si="159"/>
        <v>3</v>
      </c>
      <c r="AD81" s="3">
        <f t="shared" ref="AD81:AE81" si="160">AD55-AD16</f>
        <v>4</v>
      </c>
      <c r="AE81" s="3">
        <f t="shared" si="160"/>
        <v>3</v>
      </c>
      <c r="AF81" s="3">
        <f t="shared" ref="AF81:AG81" si="161">AF55-AF16</f>
        <v>4</v>
      </c>
      <c r="AG81" s="3">
        <f t="shared" si="161"/>
        <v>3</v>
      </c>
      <c r="AH81" s="3"/>
      <c r="AI81" s="3"/>
      <c r="AJ81" s="3"/>
      <c r="AK81" s="3"/>
      <c r="AL81" s="3"/>
      <c r="AM81" s="3"/>
      <c r="AN81" s="3"/>
      <c r="AO81" s="3"/>
      <c r="AP81" s="5">
        <f t="shared" ref="AP81:AP89" si="162">C81/C55</f>
        <v>3.5582822085889573E-2</v>
      </c>
      <c r="AQ81" s="1">
        <f t="shared" si="155"/>
        <v>-0.14705882352941177</v>
      </c>
      <c r="AT81">
        <v>69</v>
      </c>
      <c r="AU81">
        <v>65.5</v>
      </c>
      <c r="AV81">
        <v>71</v>
      </c>
      <c r="AW81">
        <v>11</v>
      </c>
    </row>
    <row r="82" spans="1:49">
      <c r="A82">
        <v>2</v>
      </c>
      <c r="B82" s="3" t="s">
        <v>4</v>
      </c>
      <c r="C82" s="3">
        <f t="shared" si="156"/>
        <v>73.5</v>
      </c>
      <c r="D82" s="3">
        <f t="shared" ref="D82:T82" si="163">D56-D17</f>
        <v>3.5</v>
      </c>
      <c r="E82" s="3">
        <f t="shared" si="163"/>
        <v>12</v>
      </c>
      <c r="F82" s="3">
        <f t="shared" si="163"/>
        <v>7.5</v>
      </c>
      <c r="G82" s="3">
        <f t="shared" si="163"/>
        <v>3.5</v>
      </c>
      <c r="H82" s="3">
        <f t="shared" si="163"/>
        <v>5.5</v>
      </c>
      <c r="I82" s="3">
        <f t="shared" si="163"/>
        <v>5.5</v>
      </c>
      <c r="J82" s="3">
        <f t="shared" si="163"/>
        <v>5</v>
      </c>
      <c r="K82" s="3">
        <f t="shared" si="163"/>
        <v>14.5</v>
      </c>
      <c r="L82" s="3">
        <f t="shared" si="163"/>
        <v>5</v>
      </c>
      <c r="M82" s="3">
        <f t="shared" si="163"/>
        <v>6</v>
      </c>
      <c r="N82" s="3">
        <f t="shared" si="163"/>
        <v>12</v>
      </c>
      <c r="O82" s="3">
        <f t="shared" si="163"/>
        <v>9.5</v>
      </c>
      <c r="P82" s="3">
        <f t="shared" si="163"/>
        <v>16</v>
      </c>
      <c r="Q82" s="3">
        <f t="shared" si="163"/>
        <v>11.5</v>
      </c>
      <c r="R82" s="3">
        <f t="shared" si="163"/>
        <v>11.5</v>
      </c>
      <c r="S82" s="3">
        <f t="shared" si="163"/>
        <v>5</v>
      </c>
      <c r="T82" s="3">
        <f t="shared" si="163"/>
        <v>9.5</v>
      </c>
      <c r="U82" s="3">
        <f t="shared" ref="U82:AA82" si="164">U56-U17</f>
        <v>4.5</v>
      </c>
      <c r="V82" s="3">
        <f t="shared" si="164"/>
        <v>10</v>
      </c>
      <c r="W82" s="3">
        <f t="shared" si="164"/>
        <v>2.5</v>
      </c>
      <c r="X82" s="3">
        <f t="shared" si="164"/>
        <v>1</v>
      </c>
      <c r="Y82" s="3">
        <f t="shared" si="164"/>
        <v>6</v>
      </c>
      <c r="Z82" s="3">
        <f t="shared" si="164"/>
        <v>4</v>
      </c>
      <c r="AA82" s="3">
        <f t="shared" si="164"/>
        <v>6.5</v>
      </c>
      <c r="AB82" s="3">
        <f t="shared" ref="AB82:AC82" si="165">AB56-AB17</f>
        <v>11.5</v>
      </c>
      <c r="AC82" s="3">
        <f t="shared" si="165"/>
        <v>9</v>
      </c>
      <c r="AD82" s="3">
        <f t="shared" ref="AD82:AE82" si="166">AD56-AD17</f>
        <v>8</v>
      </c>
      <c r="AE82" s="3">
        <f t="shared" si="166"/>
        <v>8.5</v>
      </c>
      <c r="AF82" s="3">
        <f t="shared" ref="AF82:AG82" si="167">AF56-AF17</f>
        <v>8.5</v>
      </c>
      <c r="AG82" s="3">
        <f t="shared" si="167"/>
        <v>8</v>
      </c>
      <c r="AH82" s="3"/>
      <c r="AI82" s="3"/>
      <c r="AJ82" s="3"/>
      <c r="AK82" s="3"/>
      <c r="AL82" s="3"/>
      <c r="AM82" s="3"/>
      <c r="AN82" s="3"/>
      <c r="AO82" s="3"/>
      <c r="AP82" s="5">
        <f t="shared" si="162"/>
        <v>8.1666666666666665E-2</v>
      </c>
      <c r="AQ82" s="1">
        <f t="shared" si="155"/>
        <v>-0.11976047904191617</v>
      </c>
      <c r="AT82">
        <v>71.5</v>
      </c>
      <c r="AU82">
        <v>77.5</v>
      </c>
      <c r="AV82">
        <v>86</v>
      </c>
      <c r="AW82">
        <v>11</v>
      </c>
    </row>
    <row r="83" spans="1:49">
      <c r="A83">
        <v>3</v>
      </c>
      <c r="B83" s="3" t="s">
        <v>5</v>
      </c>
      <c r="C83" s="3">
        <f t="shared" si="156"/>
        <v>52.5</v>
      </c>
      <c r="D83" s="3">
        <f t="shared" ref="D83:T83" si="168">D57-D18</f>
        <v>12</v>
      </c>
      <c r="E83" s="3">
        <f t="shared" si="168"/>
        <v>11</v>
      </c>
      <c r="F83" s="3">
        <f t="shared" si="168"/>
        <v>10.5</v>
      </c>
      <c r="G83" s="3">
        <f t="shared" si="168"/>
        <v>9.5</v>
      </c>
      <c r="H83" s="3">
        <f t="shared" si="168"/>
        <v>15</v>
      </c>
      <c r="I83" s="3">
        <f t="shared" si="168"/>
        <v>2.5</v>
      </c>
      <c r="J83" s="3">
        <f t="shared" si="168"/>
        <v>11</v>
      </c>
      <c r="K83" s="3">
        <f t="shared" si="168"/>
        <v>7</v>
      </c>
      <c r="L83" s="3">
        <f t="shared" si="168"/>
        <v>4</v>
      </c>
      <c r="M83" s="3">
        <f t="shared" si="168"/>
        <v>5.5</v>
      </c>
      <c r="N83" s="3">
        <f t="shared" si="168"/>
        <v>10</v>
      </c>
      <c r="O83" s="3">
        <f t="shared" si="168"/>
        <v>1.5</v>
      </c>
      <c r="P83" s="3">
        <f t="shared" si="168"/>
        <v>5</v>
      </c>
      <c r="Q83" s="3">
        <f t="shared" si="168"/>
        <v>12.5</v>
      </c>
      <c r="R83" s="3">
        <f t="shared" si="168"/>
        <v>7</v>
      </c>
      <c r="S83" s="3">
        <f t="shared" si="168"/>
        <v>2.5</v>
      </c>
      <c r="T83" s="3">
        <f t="shared" si="168"/>
        <v>2</v>
      </c>
      <c r="U83" s="3">
        <f t="shared" ref="U83:AA83" si="169">U57-U18</f>
        <v>11</v>
      </c>
      <c r="V83" s="3">
        <f t="shared" si="169"/>
        <v>4</v>
      </c>
      <c r="W83" s="3">
        <f t="shared" si="169"/>
        <v>3.5</v>
      </c>
      <c r="X83" s="3">
        <f t="shared" si="169"/>
        <v>8</v>
      </c>
      <c r="Y83" s="3">
        <f t="shared" si="169"/>
        <v>3</v>
      </c>
      <c r="Z83" s="3">
        <f t="shared" si="169"/>
        <v>3</v>
      </c>
      <c r="AA83" s="3">
        <f t="shared" si="169"/>
        <v>3</v>
      </c>
      <c r="AB83" s="3">
        <f t="shared" ref="AB83:AC83" si="170">AB57-AB18</f>
        <v>7</v>
      </c>
      <c r="AC83" s="3">
        <f t="shared" si="170"/>
        <v>7</v>
      </c>
      <c r="AD83" s="3">
        <f t="shared" ref="AD83:AE83" si="171">AD57-AD18</f>
        <v>4.5</v>
      </c>
      <c r="AE83" s="3">
        <f t="shared" si="171"/>
        <v>6.5</v>
      </c>
      <c r="AF83" s="3">
        <f t="shared" ref="AF83:AG83" si="172">AF57-AF18</f>
        <v>5.5</v>
      </c>
      <c r="AG83" s="3">
        <f t="shared" si="172"/>
        <v>1.5</v>
      </c>
      <c r="AH83" s="3"/>
      <c r="AI83" s="3"/>
      <c r="AJ83" s="3"/>
      <c r="AK83" s="3"/>
      <c r="AL83" s="3"/>
      <c r="AM83" s="3"/>
      <c r="AN83" s="3"/>
      <c r="AO83" s="3"/>
      <c r="AP83" s="5">
        <f t="shared" si="162"/>
        <v>6.3100961538461536E-2</v>
      </c>
      <c r="AQ83" s="1">
        <f t="shared" si="155"/>
        <v>-0.11764705882352941</v>
      </c>
      <c r="AT83">
        <v>63</v>
      </c>
      <c r="AU83">
        <v>64</v>
      </c>
      <c r="AV83">
        <v>70</v>
      </c>
      <c r="AW83">
        <v>11</v>
      </c>
    </row>
    <row r="84" spans="1:49">
      <c r="A84">
        <v>4</v>
      </c>
      <c r="B84" s="3" t="s">
        <v>7</v>
      </c>
      <c r="C84" s="3">
        <f t="shared" si="156"/>
        <v>54.5</v>
      </c>
      <c r="D84" s="3">
        <f t="shared" ref="D84:T84" si="173">D58-D19</f>
        <v>5</v>
      </c>
      <c r="E84" s="3">
        <f t="shared" si="173"/>
        <v>15</v>
      </c>
      <c r="F84" s="3">
        <f t="shared" si="173"/>
        <v>5</v>
      </c>
      <c r="G84" s="3">
        <f t="shared" si="173"/>
        <v>4.5</v>
      </c>
      <c r="H84" s="3">
        <f t="shared" si="173"/>
        <v>2</v>
      </c>
      <c r="I84" s="3">
        <f t="shared" si="173"/>
        <v>6</v>
      </c>
      <c r="J84" s="3">
        <f t="shared" si="173"/>
        <v>4</v>
      </c>
      <c r="K84" s="3">
        <f t="shared" si="173"/>
        <v>5</v>
      </c>
      <c r="L84" s="3">
        <f t="shared" si="173"/>
        <v>1.5</v>
      </c>
      <c r="M84" s="3">
        <f t="shared" si="173"/>
        <v>3.5</v>
      </c>
      <c r="N84" s="3">
        <f t="shared" si="173"/>
        <v>4</v>
      </c>
      <c r="O84" s="3">
        <f t="shared" si="173"/>
        <v>5.5</v>
      </c>
      <c r="P84" s="3">
        <f t="shared" si="173"/>
        <v>8</v>
      </c>
      <c r="Q84" s="3">
        <f t="shared" si="173"/>
        <v>4.5</v>
      </c>
      <c r="R84" s="3">
        <f t="shared" si="173"/>
        <v>7</v>
      </c>
      <c r="S84" s="3">
        <f t="shared" si="173"/>
        <v>3.5</v>
      </c>
      <c r="T84" s="3">
        <f t="shared" si="173"/>
        <v>5.5</v>
      </c>
      <c r="U84" s="3">
        <f t="shared" ref="U84:AA84" si="174">U58-U19</f>
        <v>3.5</v>
      </c>
      <c r="V84" s="3">
        <f t="shared" si="174"/>
        <v>11.5</v>
      </c>
      <c r="W84" s="3">
        <f t="shared" si="174"/>
        <v>1.5</v>
      </c>
      <c r="X84" s="3">
        <f t="shared" si="174"/>
        <v>4</v>
      </c>
      <c r="Y84" s="3">
        <f t="shared" si="174"/>
        <v>2</v>
      </c>
      <c r="Z84" s="3">
        <f t="shared" si="174"/>
        <v>4.5</v>
      </c>
      <c r="AA84" s="3">
        <f t="shared" si="174"/>
        <v>5.5</v>
      </c>
      <c r="AB84" s="3">
        <f t="shared" ref="AB84:AC84" si="175">AB58-AB19</f>
        <v>6.5</v>
      </c>
      <c r="AC84" s="3">
        <f t="shared" si="175"/>
        <v>2</v>
      </c>
      <c r="AD84" s="3">
        <f t="shared" ref="AD84:AE84" si="176">AD58-AD19</f>
        <v>2.5</v>
      </c>
      <c r="AE84" s="3">
        <f t="shared" si="176"/>
        <v>10</v>
      </c>
      <c r="AF84" s="3">
        <f t="shared" ref="AF84:AG84" si="177">AF58-AF19</f>
        <v>8</v>
      </c>
      <c r="AG84" s="3">
        <f t="shared" si="177"/>
        <v>8</v>
      </c>
      <c r="AH84" s="3"/>
      <c r="AI84" s="3"/>
      <c r="AJ84" s="3"/>
      <c r="AK84" s="3"/>
      <c r="AL84" s="3"/>
      <c r="AM84" s="3"/>
      <c r="AN84" s="3"/>
      <c r="AO84" s="3"/>
      <c r="AP84" s="5">
        <f t="shared" si="162"/>
        <v>6.4458900059136612E-2</v>
      </c>
      <c r="AQ84" s="1">
        <f t="shared" si="155"/>
        <v>-0.21582733812949639</v>
      </c>
      <c r="AT84">
        <v>58.5</v>
      </c>
      <c r="AU84">
        <v>58.5</v>
      </c>
      <c r="AV84">
        <v>63.5</v>
      </c>
      <c r="AW84">
        <v>11</v>
      </c>
    </row>
    <row r="85" spans="1:49">
      <c r="A85">
        <v>5</v>
      </c>
      <c r="B85" s="3" t="s">
        <v>6</v>
      </c>
      <c r="C85" s="3">
        <f t="shared" si="156"/>
        <v>62.5</v>
      </c>
      <c r="D85" s="3">
        <f t="shared" ref="D85:T85" si="178">D59-D20</f>
        <v>11</v>
      </c>
      <c r="E85" s="3">
        <f t="shared" si="178"/>
        <v>16</v>
      </c>
      <c r="F85" s="3">
        <f t="shared" si="178"/>
        <v>4.5</v>
      </c>
      <c r="G85" s="3">
        <f t="shared" si="178"/>
        <v>10.5</v>
      </c>
      <c r="H85" s="3">
        <f t="shared" si="178"/>
        <v>4.5</v>
      </c>
      <c r="I85" s="3">
        <f t="shared" si="178"/>
        <v>12.5</v>
      </c>
      <c r="J85" s="3">
        <f t="shared" si="178"/>
        <v>7.5</v>
      </c>
      <c r="K85" s="3">
        <f t="shared" si="178"/>
        <v>5</v>
      </c>
      <c r="L85" s="3">
        <f t="shared" si="178"/>
        <v>7.5</v>
      </c>
      <c r="M85" s="3">
        <f t="shared" si="178"/>
        <v>12.5</v>
      </c>
      <c r="N85" s="3">
        <f t="shared" si="178"/>
        <v>20.5</v>
      </c>
      <c r="O85" s="3">
        <f t="shared" si="178"/>
        <v>6.5</v>
      </c>
      <c r="P85" s="3">
        <f t="shared" si="178"/>
        <v>15</v>
      </c>
      <c r="Q85" s="3">
        <f t="shared" si="178"/>
        <v>2.5</v>
      </c>
      <c r="R85" s="3">
        <f t="shared" si="178"/>
        <v>5</v>
      </c>
      <c r="S85" s="3">
        <f t="shared" si="178"/>
        <v>11.5</v>
      </c>
      <c r="T85" s="3">
        <f t="shared" si="178"/>
        <v>2.5</v>
      </c>
      <c r="U85" s="3">
        <f t="shared" ref="U85:AA85" si="179">U59-U20</f>
        <v>11.5</v>
      </c>
      <c r="V85" s="3">
        <f t="shared" si="179"/>
        <v>19.5</v>
      </c>
      <c r="W85" s="3">
        <f t="shared" si="179"/>
        <v>6</v>
      </c>
      <c r="X85" s="3">
        <f t="shared" si="179"/>
        <v>6</v>
      </c>
      <c r="Y85" s="3">
        <f t="shared" si="179"/>
        <v>3</v>
      </c>
      <c r="Z85" s="3">
        <f t="shared" si="179"/>
        <v>9.5</v>
      </c>
      <c r="AA85" s="3">
        <f t="shared" si="179"/>
        <v>3.5</v>
      </c>
      <c r="AB85" s="3">
        <f t="shared" ref="AB85:AC85" si="180">AB59-AB20</f>
        <v>12.5</v>
      </c>
      <c r="AC85" s="3">
        <f t="shared" si="180"/>
        <v>1.5</v>
      </c>
      <c r="AD85" s="3">
        <f t="shared" ref="AD85:AE85" si="181">AD59-AD20</f>
        <v>2</v>
      </c>
      <c r="AE85" s="3">
        <f t="shared" si="181"/>
        <v>6</v>
      </c>
      <c r="AF85" s="3">
        <f t="shared" ref="AF85:AG85" si="182">AF59-AF20</f>
        <v>2.5</v>
      </c>
      <c r="AG85" s="3">
        <f t="shared" si="182"/>
        <v>10</v>
      </c>
      <c r="AH85" s="3"/>
      <c r="AI85" s="3"/>
      <c r="AJ85" s="3"/>
      <c r="AK85" s="3"/>
      <c r="AL85" s="3"/>
      <c r="AM85" s="3"/>
      <c r="AN85" s="3"/>
      <c r="AO85" s="3"/>
      <c r="AP85" s="5">
        <f t="shared" si="162"/>
        <v>7.4316290130796672E-2</v>
      </c>
      <c r="AQ85" s="1">
        <f t="shared" si="155"/>
        <v>-0.17763157894736842</v>
      </c>
      <c r="AT85">
        <v>62.5</v>
      </c>
      <c r="AU85">
        <v>65.5</v>
      </c>
      <c r="AV85">
        <v>67.5</v>
      </c>
      <c r="AW85">
        <v>11</v>
      </c>
    </row>
    <row r="86" spans="1:49">
      <c r="A86">
        <v>6</v>
      </c>
      <c r="B86" s="3" t="s">
        <v>8</v>
      </c>
      <c r="C86" s="3">
        <f t="shared" si="156"/>
        <v>49</v>
      </c>
      <c r="D86" s="3">
        <f t="shared" ref="D86:T86" si="183">D60-D21</f>
        <v>11.5</v>
      </c>
      <c r="E86" s="3">
        <f t="shared" si="183"/>
        <v>14</v>
      </c>
      <c r="F86" s="3">
        <f t="shared" si="183"/>
        <v>9</v>
      </c>
      <c r="G86" s="3">
        <f t="shared" si="183"/>
        <v>2.5</v>
      </c>
      <c r="H86" s="3">
        <f t="shared" si="183"/>
        <v>4.5</v>
      </c>
      <c r="I86" s="3">
        <f t="shared" si="183"/>
        <v>18</v>
      </c>
      <c r="J86" s="3">
        <f t="shared" si="183"/>
        <v>7</v>
      </c>
      <c r="K86" s="3">
        <f t="shared" si="183"/>
        <v>0.5</v>
      </c>
      <c r="L86" s="3">
        <f t="shared" si="183"/>
        <v>0</v>
      </c>
      <c r="M86" s="3">
        <f t="shared" si="183"/>
        <v>7.5</v>
      </c>
      <c r="N86" s="3">
        <f t="shared" si="183"/>
        <v>5</v>
      </c>
      <c r="O86" s="3">
        <f t="shared" si="183"/>
        <v>2</v>
      </c>
      <c r="P86" s="3">
        <f t="shared" si="183"/>
        <v>2.5</v>
      </c>
      <c r="Q86" s="3">
        <f t="shared" si="183"/>
        <v>8</v>
      </c>
      <c r="R86" s="3">
        <f t="shared" si="183"/>
        <v>8</v>
      </c>
      <c r="S86" s="3">
        <f t="shared" si="183"/>
        <v>3.5</v>
      </c>
      <c r="T86" s="3">
        <f t="shared" si="183"/>
        <v>1.5</v>
      </c>
      <c r="U86" s="3">
        <f t="shared" ref="U86:AA86" si="184">U60-U21</f>
        <v>3.5</v>
      </c>
      <c r="V86" s="3">
        <f t="shared" si="184"/>
        <v>10</v>
      </c>
      <c r="W86" s="3">
        <f t="shared" si="184"/>
        <v>5</v>
      </c>
      <c r="X86" s="3">
        <f t="shared" si="184"/>
        <v>7.5</v>
      </c>
      <c r="Y86" s="3">
        <f t="shared" si="184"/>
        <v>4</v>
      </c>
      <c r="Z86" s="3">
        <f t="shared" si="184"/>
        <v>5</v>
      </c>
      <c r="AA86" s="3">
        <f t="shared" si="184"/>
        <v>3.5</v>
      </c>
      <c r="AB86" s="3">
        <f t="shared" ref="AB86:AC86" si="185">AB60-AB21</f>
        <v>5</v>
      </c>
      <c r="AC86" s="3">
        <f t="shared" si="185"/>
        <v>4</v>
      </c>
      <c r="AD86" s="3">
        <f t="shared" ref="AD86:AE86" si="186">AD60-AD21</f>
        <v>1</v>
      </c>
      <c r="AE86" s="3">
        <f t="shared" si="186"/>
        <v>5</v>
      </c>
      <c r="AF86" s="3">
        <f t="shared" ref="AF86:AG86" si="187">AF60-AF21</f>
        <v>5</v>
      </c>
      <c r="AG86" s="3">
        <f t="shared" si="187"/>
        <v>4</v>
      </c>
      <c r="AH86" s="3"/>
      <c r="AI86" s="3"/>
      <c r="AJ86" s="3"/>
      <c r="AK86" s="3"/>
      <c r="AL86" s="3"/>
      <c r="AM86" s="3"/>
      <c r="AN86" s="3"/>
      <c r="AO86" s="3"/>
      <c r="AP86" s="5">
        <f t="shared" si="162"/>
        <v>6.0085836909871244E-2</v>
      </c>
      <c r="AQ86" s="1">
        <f t="shared" si="155"/>
        <v>-8.4112149532710276E-2</v>
      </c>
      <c r="AT86">
        <v>71.5</v>
      </c>
      <c r="AU86">
        <v>72</v>
      </c>
      <c r="AV86">
        <v>72</v>
      </c>
      <c r="AW86">
        <v>11</v>
      </c>
    </row>
    <row r="87" spans="1:49">
      <c r="A87">
        <v>7</v>
      </c>
      <c r="B87" s="3" t="s">
        <v>11</v>
      </c>
      <c r="C87" s="3">
        <f t="shared" si="156"/>
        <v>44</v>
      </c>
      <c r="D87" s="3">
        <f t="shared" ref="D87:T87" si="188">D61-D22</f>
        <v>4.5</v>
      </c>
      <c r="E87" s="3">
        <f t="shared" si="188"/>
        <v>9.5</v>
      </c>
      <c r="F87" s="3">
        <f t="shared" si="188"/>
        <v>6</v>
      </c>
      <c r="G87" s="3">
        <f t="shared" si="188"/>
        <v>8</v>
      </c>
      <c r="H87" s="3">
        <f t="shared" si="188"/>
        <v>4</v>
      </c>
      <c r="I87" s="3">
        <f t="shared" si="188"/>
        <v>2.5</v>
      </c>
      <c r="J87" s="3">
        <f t="shared" si="188"/>
        <v>3</v>
      </c>
      <c r="K87" s="3">
        <f t="shared" si="188"/>
        <v>5.5</v>
      </c>
      <c r="L87" s="3">
        <f t="shared" si="188"/>
        <v>8</v>
      </c>
      <c r="M87" s="3">
        <f t="shared" si="188"/>
        <v>4</v>
      </c>
      <c r="N87" s="3">
        <f t="shared" si="188"/>
        <v>5.5</v>
      </c>
      <c r="O87" s="3">
        <f t="shared" si="188"/>
        <v>17</v>
      </c>
      <c r="P87" s="3">
        <f t="shared" si="188"/>
        <v>10.5</v>
      </c>
      <c r="Q87" s="3">
        <f t="shared" si="188"/>
        <v>10</v>
      </c>
      <c r="R87" s="3">
        <f t="shared" si="188"/>
        <v>5</v>
      </c>
      <c r="S87" s="3">
        <f t="shared" si="188"/>
        <v>3.5</v>
      </c>
      <c r="T87" s="3">
        <f t="shared" si="188"/>
        <v>5</v>
      </c>
      <c r="U87" s="3">
        <f t="shared" ref="U87:AA87" si="189">U61-U22</f>
        <v>6.5</v>
      </c>
      <c r="V87" s="3">
        <f t="shared" si="189"/>
        <v>9.5</v>
      </c>
      <c r="W87" s="3">
        <f t="shared" si="189"/>
        <v>2</v>
      </c>
      <c r="X87" s="3">
        <f t="shared" si="189"/>
        <v>9.5</v>
      </c>
      <c r="Y87" s="3">
        <f t="shared" si="189"/>
        <v>5</v>
      </c>
      <c r="Z87" s="3">
        <f t="shared" si="189"/>
        <v>1.5</v>
      </c>
      <c r="AA87" s="3">
        <f t="shared" si="189"/>
        <v>1.5</v>
      </c>
      <c r="AB87" s="3">
        <f t="shared" ref="AB87:AC87" si="190">AB61-AB22</f>
        <v>1.5</v>
      </c>
      <c r="AC87" s="3">
        <f t="shared" si="190"/>
        <v>2.5</v>
      </c>
      <c r="AD87" s="3">
        <f t="shared" ref="AD87:AE87" si="191">AD61-AD22</f>
        <v>3.5</v>
      </c>
      <c r="AE87" s="3">
        <f t="shared" si="191"/>
        <v>11.5</v>
      </c>
      <c r="AF87" s="3">
        <f t="shared" ref="AF87:AG87" si="192">AF61-AF22</f>
        <v>3.5</v>
      </c>
      <c r="AG87" s="3">
        <f t="shared" si="192"/>
        <v>2</v>
      </c>
      <c r="AH87" s="3"/>
      <c r="AI87" s="3"/>
      <c r="AJ87" s="3"/>
      <c r="AK87" s="3"/>
      <c r="AL87" s="3"/>
      <c r="AM87" s="3"/>
      <c r="AN87" s="3"/>
      <c r="AO87" s="3"/>
      <c r="AP87" s="5">
        <f t="shared" si="162"/>
        <v>5.4760423148724334E-2</v>
      </c>
      <c r="AQ87" s="1">
        <f t="shared" si="155"/>
        <v>-0.2413793103448276</v>
      </c>
      <c r="AT87">
        <v>65</v>
      </c>
      <c r="AU87">
        <v>66</v>
      </c>
      <c r="AV87">
        <v>70.5</v>
      </c>
      <c r="AW87">
        <v>11</v>
      </c>
    </row>
    <row r="88" spans="1:49">
      <c r="A88">
        <v>8</v>
      </c>
      <c r="B88" s="3" t="s">
        <v>9</v>
      </c>
      <c r="C88" s="3">
        <f t="shared" si="156"/>
        <v>61.5</v>
      </c>
      <c r="D88" s="3">
        <f t="shared" ref="D88:T88" si="193">D62-D23</f>
        <v>10.5</v>
      </c>
      <c r="E88" s="3">
        <f t="shared" si="193"/>
        <v>7</v>
      </c>
      <c r="F88" s="3">
        <f t="shared" si="193"/>
        <v>3</v>
      </c>
      <c r="G88" s="3">
        <f t="shared" si="193"/>
        <v>4.5</v>
      </c>
      <c r="H88" s="3">
        <f t="shared" si="193"/>
        <v>6.5</v>
      </c>
      <c r="I88" s="3">
        <f t="shared" si="193"/>
        <v>6</v>
      </c>
      <c r="J88" s="3">
        <f t="shared" si="193"/>
        <v>5.5</v>
      </c>
      <c r="K88" s="3">
        <f t="shared" si="193"/>
        <v>7</v>
      </c>
      <c r="L88" s="3">
        <f t="shared" si="193"/>
        <v>4</v>
      </c>
      <c r="M88" s="3">
        <f t="shared" si="193"/>
        <v>11</v>
      </c>
      <c r="N88" s="3">
        <f t="shared" si="193"/>
        <v>11.5</v>
      </c>
      <c r="O88" s="3">
        <f t="shared" si="193"/>
        <v>8</v>
      </c>
      <c r="P88" s="3">
        <f t="shared" si="193"/>
        <v>5.5</v>
      </c>
      <c r="Q88" s="3">
        <f t="shared" si="193"/>
        <v>14</v>
      </c>
      <c r="R88" s="3">
        <f t="shared" si="193"/>
        <v>5</v>
      </c>
      <c r="S88" s="3">
        <f t="shared" si="193"/>
        <v>2.5</v>
      </c>
      <c r="T88" s="3">
        <f t="shared" si="193"/>
        <v>7</v>
      </c>
      <c r="U88" s="3">
        <f t="shared" ref="U88:AA88" si="194">U62-U23</f>
        <v>5</v>
      </c>
      <c r="V88" s="3">
        <f t="shared" si="194"/>
        <v>5</v>
      </c>
      <c r="W88" s="3">
        <f t="shared" si="194"/>
        <v>2.5</v>
      </c>
      <c r="X88" s="3">
        <f t="shared" si="194"/>
        <v>5.5</v>
      </c>
      <c r="Y88" s="3">
        <f t="shared" si="194"/>
        <v>10</v>
      </c>
      <c r="Z88" s="3">
        <f t="shared" si="194"/>
        <v>2</v>
      </c>
      <c r="AA88" s="3">
        <f t="shared" si="194"/>
        <v>3</v>
      </c>
      <c r="AB88" s="3">
        <f t="shared" ref="AB88:AC88" si="195">AB62-AB23</f>
        <v>8.5</v>
      </c>
      <c r="AC88" s="3">
        <f t="shared" si="195"/>
        <v>10</v>
      </c>
      <c r="AD88" s="3">
        <f t="shared" ref="AD88:AE88" si="196">AD62-AD23</f>
        <v>4.5</v>
      </c>
      <c r="AE88" s="3">
        <f t="shared" si="196"/>
        <v>6</v>
      </c>
      <c r="AF88" s="3">
        <f t="shared" ref="AF88:AG88" si="197">AF62-AF23</f>
        <v>2.5</v>
      </c>
      <c r="AG88" s="3">
        <f t="shared" si="197"/>
        <v>7</v>
      </c>
      <c r="AH88" s="3"/>
      <c r="AI88" s="3"/>
      <c r="AJ88" s="3"/>
      <c r="AK88" s="3"/>
      <c r="AL88" s="3"/>
      <c r="AM88" s="3"/>
      <c r="AN88" s="3"/>
      <c r="AO88" s="3"/>
      <c r="AP88" s="5">
        <f t="shared" si="162"/>
        <v>7.1511627906976738E-2</v>
      </c>
      <c r="AQ88" s="1">
        <f t="shared" si="155"/>
        <v>-0.41428571428571431</v>
      </c>
      <c r="AT88">
        <v>59.5</v>
      </c>
      <c r="AU88">
        <v>66</v>
      </c>
      <c r="AV88">
        <v>66.5</v>
      </c>
      <c r="AW88">
        <v>10</v>
      </c>
    </row>
    <row r="89" spans="1:49">
      <c r="A89">
        <v>9</v>
      </c>
      <c r="B89" s="3" t="s">
        <v>10</v>
      </c>
      <c r="C89" s="3">
        <f t="shared" si="156"/>
        <v>52</v>
      </c>
      <c r="D89" s="3">
        <f t="shared" ref="D89:T89" si="198">D63-D24</f>
        <v>3.5</v>
      </c>
      <c r="E89" s="3">
        <f t="shared" si="198"/>
        <v>3.5</v>
      </c>
      <c r="F89" s="3">
        <f t="shared" si="198"/>
        <v>13.5</v>
      </c>
      <c r="G89" s="3">
        <f t="shared" si="198"/>
        <v>1.5</v>
      </c>
      <c r="H89" s="3">
        <f t="shared" si="198"/>
        <v>1.5</v>
      </c>
      <c r="I89" s="3">
        <f t="shared" si="198"/>
        <v>3.5</v>
      </c>
      <c r="J89" s="3">
        <f t="shared" si="198"/>
        <v>6</v>
      </c>
      <c r="K89" s="3">
        <f t="shared" si="198"/>
        <v>9.5</v>
      </c>
      <c r="L89" s="3">
        <f t="shared" si="198"/>
        <v>3.5</v>
      </c>
      <c r="M89" s="3">
        <f t="shared" si="198"/>
        <v>9.5</v>
      </c>
      <c r="N89" s="3">
        <f t="shared" si="198"/>
        <v>6.5</v>
      </c>
      <c r="O89" s="3">
        <f t="shared" si="198"/>
        <v>6.5</v>
      </c>
      <c r="P89" s="3">
        <f t="shared" si="198"/>
        <v>5.5</v>
      </c>
      <c r="Q89" s="3">
        <f t="shared" si="198"/>
        <v>7.5</v>
      </c>
      <c r="R89" s="3">
        <f t="shared" si="198"/>
        <v>19</v>
      </c>
      <c r="S89" s="3">
        <f t="shared" si="198"/>
        <v>8.5</v>
      </c>
      <c r="T89" s="3">
        <f t="shared" si="198"/>
        <v>8</v>
      </c>
      <c r="U89" s="3">
        <f t="shared" ref="U89:AA89" si="199">U63-U24</f>
        <v>11</v>
      </c>
      <c r="V89" s="3">
        <f t="shared" si="199"/>
        <v>9.5</v>
      </c>
      <c r="W89" s="3">
        <f t="shared" si="199"/>
        <v>3.5</v>
      </c>
      <c r="X89" s="3">
        <f t="shared" si="199"/>
        <v>3</v>
      </c>
      <c r="Y89" s="3">
        <f t="shared" si="199"/>
        <v>2.5</v>
      </c>
      <c r="Z89" s="3">
        <f t="shared" si="199"/>
        <v>3.5</v>
      </c>
      <c r="AA89" s="3">
        <f t="shared" si="199"/>
        <v>8</v>
      </c>
      <c r="AB89" s="3">
        <f t="shared" ref="AB89:AC89" si="200">AB63-AB24</f>
        <v>9</v>
      </c>
      <c r="AC89" s="3">
        <f t="shared" si="200"/>
        <v>2</v>
      </c>
      <c r="AD89" s="3">
        <f t="shared" ref="AD89:AE89" si="201">AD63-AD24</f>
        <v>3.5</v>
      </c>
      <c r="AE89" s="3">
        <f t="shared" si="201"/>
        <v>0</v>
      </c>
      <c r="AF89" s="3">
        <f t="shared" ref="AF89:AG89" si="202">AF63-AF24</f>
        <v>7.5</v>
      </c>
      <c r="AG89" s="3">
        <f t="shared" si="202"/>
        <v>9.5</v>
      </c>
      <c r="AH89" s="3"/>
      <c r="AI89" s="3"/>
      <c r="AJ89" s="3"/>
      <c r="AK89" s="3"/>
      <c r="AL89" s="3"/>
      <c r="AM89" s="3"/>
      <c r="AN89" s="3"/>
      <c r="AO89" s="3"/>
      <c r="AP89" s="5">
        <f t="shared" si="162"/>
        <v>6.1068702290076333E-2</v>
      </c>
      <c r="AQ89" s="1">
        <f t="shared" si="155"/>
        <v>-0.11864406779661017</v>
      </c>
      <c r="AT89">
        <v>84.5</v>
      </c>
      <c r="AU89">
        <v>79</v>
      </c>
      <c r="AV89">
        <v>94</v>
      </c>
      <c r="AW89">
        <v>11</v>
      </c>
    </row>
    <row r="90" spans="1:49" ht="15">
      <c r="C90" s="16">
        <f>SUM(C80:C89)</f>
        <v>545</v>
      </c>
      <c r="D90" s="16">
        <f t="shared" ref="D90:T90" si="203">SUM(D80:D89)</f>
        <v>85.5</v>
      </c>
      <c r="E90" s="16">
        <f t="shared" si="203"/>
        <v>98</v>
      </c>
      <c r="F90" s="16">
        <f t="shared" si="203"/>
        <v>68.5</v>
      </c>
      <c r="G90" s="16">
        <f t="shared" si="203"/>
        <v>62</v>
      </c>
      <c r="H90" s="16">
        <f t="shared" si="203"/>
        <v>57</v>
      </c>
      <c r="I90" s="16">
        <f t="shared" si="203"/>
        <v>63</v>
      </c>
      <c r="J90" s="16">
        <f t="shared" si="203"/>
        <v>65</v>
      </c>
      <c r="K90" s="16">
        <f t="shared" si="203"/>
        <v>62.5</v>
      </c>
      <c r="L90" s="16">
        <f t="shared" si="203"/>
        <v>45</v>
      </c>
      <c r="M90" s="16">
        <f t="shared" si="203"/>
        <v>72.5</v>
      </c>
      <c r="N90" s="16">
        <f t="shared" si="203"/>
        <v>88.5</v>
      </c>
      <c r="O90" s="16">
        <f t="shared" si="203"/>
        <v>68</v>
      </c>
      <c r="P90" s="16">
        <f t="shared" si="203"/>
        <v>74</v>
      </c>
      <c r="Q90" s="16">
        <f t="shared" si="203"/>
        <v>83.5</v>
      </c>
      <c r="R90" s="16">
        <f t="shared" si="203"/>
        <v>77.5</v>
      </c>
      <c r="S90" s="16">
        <f t="shared" si="203"/>
        <v>56</v>
      </c>
      <c r="T90" s="16">
        <f t="shared" si="203"/>
        <v>47</v>
      </c>
      <c r="U90" s="16">
        <f t="shared" ref="U90:AA90" si="204">SUM(U80:U89)</f>
        <v>80</v>
      </c>
      <c r="V90" s="16">
        <f t="shared" si="204"/>
        <v>96</v>
      </c>
      <c r="W90" s="16">
        <f t="shared" si="204"/>
        <v>32.5</v>
      </c>
      <c r="X90" s="16">
        <f t="shared" si="204"/>
        <v>54.5</v>
      </c>
      <c r="Y90" s="16">
        <f t="shared" si="204"/>
        <v>37.5</v>
      </c>
      <c r="Z90" s="16">
        <f t="shared" si="204"/>
        <v>39</v>
      </c>
      <c r="AA90" s="16">
        <f t="shared" si="204"/>
        <v>41.5</v>
      </c>
      <c r="AB90" s="16">
        <f t="shared" ref="AB90:AC90" si="205">SUM(AB80:AB89)</f>
        <v>73</v>
      </c>
      <c r="AC90" s="16">
        <f t="shared" si="205"/>
        <v>47</v>
      </c>
      <c r="AD90" s="16">
        <f t="shared" ref="AD90" si="206">SUM(AD80:AD89)</f>
        <v>43</v>
      </c>
      <c r="AE90" s="16">
        <f t="shared" ref="AE90:AO90" si="207">SUM(AE80:AE89)</f>
        <v>63</v>
      </c>
      <c r="AF90" s="16">
        <f t="shared" ref="AF90:AG90" si="208">SUM(AF80:AF89)</f>
        <v>55</v>
      </c>
      <c r="AG90" s="16">
        <f t="shared" si="208"/>
        <v>59</v>
      </c>
      <c r="AH90" s="16">
        <f t="shared" si="207"/>
        <v>0</v>
      </c>
      <c r="AI90" s="16">
        <f t="shared" si="207"/>
        <v>0</v>
      </c>
      <c r="AJ90" s="16">
        <f t="shared" si="207"/>
        <v>0</v>
      </c>
      <c r="AK90" s="16">
        <f t="shared" si="207"/>
        <v>0</v>
      </c>
      <c r="AL90" s="16">
        <f t="shared" si="207"/>
        <v>0</v>
      </c>
      <c r="AM90" s="16">
        <f t="shared" si="207"/>
        <v>0</v>
      </c>
      <c r="AN90" s="16">
        <f t="shared" si="207"/>
        <v>0</v>
      </c>
      <c r="AO90" s="16">
        <f t="shared" si="207"/>
        <v>0</v>
      </c>
      <c r="AP90" s="1">
        <f>AVERAGE((AP80:AP89))</f>
        <v>6.4347530765967664E-2</v>
      </c>
      <c r="AQ90" s="1">
        <f>AVERAGE((AQ80:AQ89))</f>
        <v>-0.19135204334750627</v>
      </c>
      <c r="AT90" t="s">
        <v>20</v>
      </c>
    </row>
    <row r="91" spans="1:49">
      <c r="AT91">
        <v>70.5</v>
      </c>
      <c r="AU91">
        <v>67</v>
      </c>
      <c r="AV91">
        <v>74</v>
      </c>
      <c r="AW91">
        <v>11</v>
      </c>
    </row>
    <row r="92" spans="1:49">
      <c r="AT92">
        <v>67</v>
      </c>
      <c r="AU92">
        <v>70</v>
      </c>
      <c r="AV92">
        <v>75</v>
      </c>
      <c r="AW92">
        <v>11</v>
      </c>
    </row>
    <row r="93" spans="1:49">
      <c r="AT93">
        <v>72.5</v>
      </c>
      <c r="AU93">
        <v>72</v>
      </c>
      <c r="AV93">
        <v>77.5</v>
      </c>
      <c r="AW93">
        <v>11</v>
      </c>
    </row>
    <row r="94" spans="1:49">
      <c r="AT94">
        <v>70</v>
      </c>
      <c r="AU94">
        <v>70</v>
      </c>
      <c r="AV94">
        <v>74</v>
      </c>
      <c r="AW94">
        <v>11</v>
      </c>
    </row>
    <row r="95" spans="1:49">
      <c r="AT95">
        <v>69</v>
      </c>
      <c r="AU95">
        <v>68</v>
      </c>
      <c r="AV95">
        <v>70.5</v>
      </c>
      <c r="AW95">
        <v>11</v>
      </c>
    </row>
    <row r="96" spans="1:49">
      <c r="AT96">
        <v>67.5</v>
      </c>
      <c r="AU96">
        <v>66</v>
      </c>
      <c r="AV96">
        <v>75</v>
      </c>
      <c r="AW96">
        <v>11</v>
      </c>
    </row>
    <row r="97" spans="46:49">
      <c r="AT97">
        <v>79</v>
      </c>
      <c r="AU97">
        <v>69.5</v>
      </c>
      <c r="AV97">
        <v>79</v>
      </c>
      <c r="AW97">
        <v>11</v>
      </c>
    </row>
    <row r="98" spans="46:49">
      <c r="AT98">
        <v>65.5</v>
      </c>
      <c r="AU98">
        <v>65</v>
      </c>
      <c r="AV98">
        <v>73.5</v>
      </c>
      <c r="AW98">
        <v>11</v>
      </c>
    </row>
    <row r="99" spans="46:49">
      <c r="AT99">
        <v>77.5</v>
      </c>
      <c r="AU99">
        <v>78</v>
      </c>
      <c r="AV99">
        <v>81.5</v>
      </c>
      <c r="AW99">
        <v>11</v>
      </c>
    </row>
    <row r="100" spans="46:49">
      <c r="AT100">
        <v>88.5</v>
      </c>
      <c r="AU100">
        <v>85.5</v>
      </c>
      <c r="AV100">
        <v>92</v>
      </c>
      <c r="AW100">
        <v>11</v>
      </c>
    </row>
    <row r="101" spans="46:49">
      <c r="AT101" t="s">
        <v>21</v>
      </c>
    </row>
    <row r="102" spans="46:49">
      <c r="AT102">
        <v>66</v>
      </c>
      <c r="AU102">
        <v>66.5</v>
      </c>
      <c r="AV102">
        <v>73</v>
      </c>
      <c r="AW102">
        <v>11</v>
      </c>
    </row>
    <row r="103" spans="46:49">
      <c r="AT103">
        <v>76</v>
      </c>
      <c r="AU103">
        <v>77.5</v>
      </c>
      <c r="AV103">
        <v>82</v>
      </c>
      <c r="AW103">
        <v>11</v>
      </c>
    </row>
    <row r="104" spans="46:49">
      <c r="AT104">
        <v>80</v>
      </c>
      <c r="AU104">
        <v>78</v>
      </c>
      <c r="AV104">
        <v>86</v>
      </c>
      <c r="AW104">
        <v>11</v>
      </c>
    </row>
    <row r="105" spans="46:49">
      <c r="AT105">
        <v>62.5</v>
      </c>
      <c r="AU105">
        <v>63.5</v>
      </c>
      <c r="AV105">
        <v>68</v>
      </c>
      <c r="AW105">
        <v>11</v>
      </c>
    </row>
    <row r="106" spans="46:49">
      <c r="AT106">
        <v>61</v>
      </c>
      <c r="AU106">
        <v>60.5</v>
      </c>
      <c r="AV106">
        <v>64.5</v>
      </c>
      <c r="AW106">
        <v>11</v>
      </c>
    </row>
    <row r="107" spans="46:49">
      <c r="AT107">
        <v>63</v>
      </c>
      <c r="AU107">
        <v>66</v>
      </c>
      <c r="AV107">
        <v>75.5</v>
      </c>
      <c r="AW107">
        <v>11</v>
      </c>
    </row>
    <row r="108" spans="46:49">
      <c r="AT108">
        <v>70</v>
      </c>
      <c r="AU108">
        <v>71</v>
      </c>
      <c r="AV108">
        <v>77.5</v>
      </c>
      <c r="AW108">
        <v>11</v>
      </c>
    </row>
    <row r="109" spans="46:49">
      <c r="AT109">
        <v>71.5</v>
      </c>
      <c r="AU109">
        <v>68</v>
      </c>
      <c r="AV109">
        <v>75.5</v>
      </c>
      <c r="AW109">
        <v>11</v>
      </c>
    </row>
    <row r="110" spans="46:49">
      <c r="AT110">
        <v>54.5</v>
      </c>
      <c r="AU110">
        <v>60</v>
      </c>
      <c r="AV110">
        <v>65.5</v>
      </c>
      <c r="AW110">
        <v>10</v>
      </c>
    </row>
    <row r="111" spans="46:49">
      <c r="AT111">
        <v>60</v>
      </c>
      <c r="AU111">
        <v>57.5</v>
      </c>
      <c r="AV111">
        <v>69.5</v>
      </c>
      <c r="AW111">
        <v>11</v>
      </c>
    </row>
    <row r="112" spans="46:49">
      <c r="AT112" t="s">
        <v>22</v>
      </c>
    </row>
    <row r="113" spans="46:49">
      <c r="AT113">
        <v>63.5</v>
      </c>
      <c r="AU113">
        <v>59</v>
      </c>
      <c r="AV113">
        <v>71.5</v>
      </c>
      <c r="AW113">
        <v>11</v>
      </c>
    </row>
    <row r="114" spans="46:49">
      <c r="AT114">
        <v>59.5</v>
      </c>
      <c r="AU114">
        <v>61</v>
      </c>
      <c r="AV114">
        <v>65</v>
      </c>
      <c r="AW114">
        <v>11</v>
      </c>
    </row>
    <row r="115" spans="46:49">
      <c r="AT115">
        <v>67</v>
      </c>
      <c r="AU115">
        <v>67</v>
      </c>
      <c r="AV115">
        <v>79</v>
      </c>
      <c r="AW115">
        <v>11</v>
      </c>
    </row>
    <row r="116" spans="46:49">
      <c r="AT116">
        <v>66</v>
      </c>
      <c r="AU116">
        <v>66</v>
      </c>
      <c r="AV116">
        <v>76</v>
      </c>
      <c r="AW116">
        <v>11</v>
      </c>
    </row>
    <row r="117" spans="46:49">
      <c r="AT117">
        <v>67</v>
      </c>
      <c r="AU117">
        <v>63</v>
      </c>
      <c r="AV117">
        <v>71</v>
      </c>
      <c r="AW117">
        <v>11</v>
      </c>
    </row>
    <row r="118" spans="46:49">
      <c r="AT118">
        <v>69</v>
      </c>
      <c r="AU118">
        <v>79</v>
      </c>
      <c r="AV118">
        <v>89.5</v>
      </c>
      <c r="AW118">
        <v>11</v>
      </c>
    </row>
    <row r="119" spans="46:49">
      <c r="AT119">
        <v>70</v>
      </c>
      <c r="AU119">
        <v>72</v>
      </c>
      <c r="AV119">
        <v>75</v>
      </c>
      <c r="AW119">
        <v>11</v>
      </c>
    </row>
    <row r="120" spans="46:49">
      <c r="AT120">
        <v>68</v>
      </c>
      <c r="AU120">
        <v>69</v>
      </c>
      <c r="AV120">
        <v>73.5</v>
      </c>
      <c r="AW120">
        <v>11</v>
      </c>
    </row>
    <row r="121" spans="46:49">
      <c r="AT121">
        <v>63.5</v>
      </c>
      <c r="AU121">
        <v>68.5</v>
      </c>
      <c r="AV121">
        <v>75</v>
      </c>
      <c r="AW121">
        <v>10</v>
      </c>
    </row>
    <row r="122" spans="46:49">
      <c r="AT122">
        <v>65</v>
      </c>
      <c r="AU122">
        <v>65.5</v>
      </c>
      <c r="AV122">
        <v>71.5</v>
      </c>
      <c r="AW122">
        <v>11</v>
      </c>
    </row>
    <row r="123" spans="46:49">
      <c r="AT123" t="s">
        <v>23</v>
      </c>
    </row>
    <row r="124" spans="46:49">
      <c r="AT124">
        <v>80</v>
      </c>
      <c r="AU124">
        <v>87.5</v>
      </c>
      <c r="AV124">
        <v>90</v>
      </c>
      <c r="AW124">
        <v>11</v>
      </c>
    </row>
    <row r="125" spans="46:49">
      <c r="AT125">
        <v>71.5</v>
      </c>
      <c r="AU125">
        <v>70.5</v>
      </c>
      <c r="AV125">
        <v>73</v>
      </c>
      <c r="AW125">
        <v>11</v>
      </c>
    </row>
    <row r="126" spans="46:49">
      <c r="AT126">
        <v>72</v>
      </c>
      <c r="AU126">
        <v>65</v>
      </c>
      <c r="AV126">
        <v>81.5</v>
      </c>
      <c r="AW126">
        <v>11</v>
      </c>
    </row>
    <row r="127" spans="46:49">
      <c r="AT127">
        <v>82.5</v>
      </c>
      <c r="AU127">
        <v>82</v>
      </c>
      <c r="AV127">
        <v>84</v>
      </c>
      <c r="AW127">
        <v>11</v>
      </c>
    </row>
    <row r="128" spans="46:49">
      <c r="AT128">
        <v>65</v>
      </c>
      <c r="AU128">
        <v>66.5</v>
      </c>
      <c r="AV128">
        <v>70.5</v>
      </c>
      <c r="AW128">
        <v>11</v>
      </c>
    </row>
    <row r="129" spans="46:49">
      <c r="AT129">
        <v>71.5</v>
      </c>
      <c r="AU129">
        <v>68.5</v>
      </c>
      <c r="AV129">
        <v>78</v>
      </c>
      <c r="AW129">
        <v>11</v>
      </c>
    </row>
    <row r="130" spans="46:49">
      <c r="AT130">
        <v>75</v>
      </c>
      <c r="AU130">
        <v>73</v>
      </c>
      <c r="AV130">
        <v>77</v>
      </c>
      <c r="AW130">
        <v>11</v>
      </c>
    </row>
    <row r="131" spans="46:49">
      <c r="AT131">
        <v>74.5</v>
      </c>
      <c r="AU131">
        <v>86</v>
      </c>
      <c r="AV131">
        <v>91.5</v>
      </c>
      <c r="AW131">
        <v>11</v>
      </c>
    </row>
    <row r="132" spans="46:49">
      <c r="AT132">
        <v>67</v>
      </c>
      <c r="AU132">
        <v>64</v>
      </c>
      <c r="AV132">
        <v>75</v>
      </c>
      <c r="AW132">
        <v>11</v>
      </c>
    </row>
    <row r="133" spans="46:49">
      <c r="AT133">
        <v>61</v>
      </c>
      <c r="AU133">
        <v>59.5</v>
      </c>
      <c r="AV133">
        <v>67.5</v>
      </c>
      <c r="AW133">
        <v>11</v>
      </c>
    </row>
    <row r="134" spans="46:49">
      <c r="AT134" t="s">
        <v>24</v>
      </c>
    </row>
    <row r="135" spans="46:49">
      <c r="AT135">
        <v>67</v>
      </c>
      <c r="AU135">
        <v>66.5</v>
      </c>
      <c r="AV135">
        <v>72.5</v>
      </c>
      <c r="AW135">
        <v>11</v>
      </c>
    </row>
    <row r="136" spans="46:49">
      <c r="AT136">
        <v>71.5</v>
      </c>
      <c r="AU136">
        <v>71</v>
      </c>
      <c r="AV136">
        <v>72</v>
      </c>
      <c r="AW136">
        <v>11</v>
      </c>
    </row>
    <row r="137" spans="46:49">
      <c r="AT137">
        <v>74.5</v>
      </c>
      <c r="AU137">
        <v>85.5</v>
      </c>
      <c r="AV137">
        <v>90.5</v>
      </c>
      <c r="AW137">
        <v>11</v>
      </c>
    </row>
    <row r="138" spans="46:49">
      <c r="AT138">
        <v>69</v>
      </c>
      <c r="AU138">
        <v>68.5</v>
      </c>
      <c r="AV138">
        <v>74</v>
      </c>
      <c r="AW138">
        <v>11</v>
      </c>
    </row>
    <row r="139" spans="46:49">
      <c r="AT139">
        <v>70</v>
      </c>
      <c r="AU139">
        <v>75.5</v>
      </c>
      <c r="AV139">
        <v>78</v>
      </c>
      <c r="AW139">
        <v>10</v>
      </c>
    </row>
    <row r="140" spans="46:49">
      <c r="AT140">
        <v>59.5</v>
      </c>
      <c r="AU140">
        <v>62.5</v>
      </c>
      <c r="AV140">
        <v>74.5</v>
      </c>
      <c r="AW140">
        <v>10</v>
      </c>
    </row>
    <row r="141" spans="46:49">
      <c r="AT141">
        <v>69</v>
      </c>
      <c r="AU141">
        <v>68</v>
      </c>
      <c r="AV141">
        <v>71.5</v>
      </c>
      <c r="AW141">
        <v>11</v>
      </c>
    </row>
    <row r="142" spans="46:49">
      <c r="AT142">
        <v>70.5</v>
      </c>
      <c r="AU142">
        <v>73.5</v>
      </c>
      <c r="AV142">
        <v>81</v>
      </c>
      <c r="AW142">
        <v>11</v>
      </c>
    </row>
    <row r="143" spans="46:49">
      <c r="AT143">
        <v>68</v>
      </c>
      <c r="AU143">
        <v>69</v>
      </c>
      <c r="AV143">
        <v>73.5</v>
      </c>
      <c r="AW143">
        <v>11</v>
      </c>
    </row>
    <row r="144" spans="46:49">
      <c r="AT144">
        <v>66</v>
      </c>
      <c r="AU144">
        <v>70</v>
      </c>
      <c r="AV144">
        <v>71.5</v>
      </c>
      <c r="AW144">
        <v>11</v>
      </c>
    </row>
    <row r="145" spans="46:49">
      <c r="AT145" t="s">
        <v>25</v>
      </c>
    </row>
    <row r="146" spans="46:49">
      <c r="AT146">
        <v>64.5</v>
      </c>
      <c r="AU146">
        <v>71.5</v>
      </c>
      <c r="AV146">
        <v>75.5</v>
      </c>
      <c r="AW146">
        <v>11</v>
      </c>
    </row>
    <row r="147" spans="46:49">
      <c r="AT147">
        <v>68</v>
      </c>
      <c r="AU147">
        <v>67</v>
      </c>
      <c r="AV147">
        <v>70</v>
      </c>
      <c r="AW147">
        <v>11</v>
      </c>
    </row>
    <row r="148" spans="46:49">
      <c r="AT148">
        <v>63.5</v>
      </c>
      <c r="AU148">
        <v>63.5</v>
      </c>
      <c r="AV148">
        <v>75</v>
      </c>
      <c r="AW148">
        <v>11</v>
      </c>
    </row>
    <row r="149" spans="46:49">
      <c r="AT149">
        <v>69.5</v>
      </c>
      <c r="AU149">
        <v>69.5</v>
      </c>
      <c r="AV149">
        <v>82</v>
      </c>
      <c r="AW149">
        <v>11</v>
      </c>
    </row>
    <row r="150" spans="46:49">
      <c r="AT150">
        <v>71.5</v>
      </c>
      <c r="AU150">
        <v>70</v>
      </c>
      <c r="AV150">
        <v>76</v>
      </c>
      <c r="AW150">
        <v>11</v>
      </c>
    </row>
    <row r="151" spans="46:49">
      <c r="AT151">
        <v>73</v>
      </c>
      <c r="AU151">
        <v>70.5</v>
      </c>
      <c r="AV151">
        <v>75.5</v>
      </c>
      <c r="AW151">
        <v>11</v>
      </c>
    </row>
    <row r="152" spans="46:49">
      <c r="AT152">
        <v>65.5</v>
      </c>
      <c r="AU152">
        <v>71</v>
      </c>
      <c r="AV152">
        <v>73.5</v>
      </c>
      <c r="AW152">
        <v>11</v>
      </c>
    </row>
    <row r="153" spans="46:49">
      <c r="AT153">
        <v>66</v>
      </c>
      <c r="AU153">
        <v>68</v>
      </c>
      <c r="AV153">
        <v>76</v>
      </c>
      <c r="AW153">
        <v>11</v>
      </c>
    </row>
    <row r="154" spans="46:49">
      <c r="AT154">
        <v>79</v>
      </c>
      <c r="AU154">
        <v>71</v>
      </c>
      <c r="AV154">
        <v>93</v>
      </c>
      <c r="AW154">
        <v>11</v>
      </c>
    </row>
    <row r="155" spans="46:49">
      <c r="AT155">
        <v>66.5</v>
      </c>
      <c r="AU155">
        <v>68</v>
      </c>
      <c r="AV155">
        <v>74</v>
      </c>
      <c r="AW155">
        <v>11</v>
      </c>
    </row>
    <row r="156" spans="46:49">
      <c r="AT156" t="s">
        <v>26</v>
      </c>
    </row>
    <row r="157" spans="46:49">
      <c r="AT157">
        <v>73.5</v>
      </c>
      <c r="AU157">
        <v>69</v>
      </c>
      <c r="AV157">
        <v>79</v>
      </c>
      <c r="AW157">
        <v>11</v>
      </c>
    </row>
    <row r="158" spans="46:49">
      <c r="AT158">
        <v>66.5</v>
      </c>
      <c r="AU158">
        <v>66.5</v>
      </c>
      <c r="AV158">
        <v>71</v>
      </c>
      <c r="AW158">
        <v>11</v>
      </c>
    </row>
    <row r="159" spans="46:49">
      <c r="AT159">
        <v>66.5</v>
      </c>
      <c r="AU159">
        <v>65</v>
      </c>
      <c r="AV159">
        <v>78</v>
      </c>
      <c r="AW159">
        <v>11</v>
      </c>
    </row>
    <row r="160" spans="46:49">
      <c r="AT160">
        <v>75</v>
      </c>
      <c r="AU160">
        <v>75</v>
      </c>
      <c r="AV160">
        <v>82</v>
      </c>
      <c r="AW160">
        <v>11</v>
      </c>
    </row>
    <row r="161" spans="46:49">
      <c r="AT161">
        <v>75</v>
      </c>
      <c r="AU161">
        <v>78</v>
      </c>
      <c r="AV161">
        <v>82</v>
      </c>
      <c r="AW161">
        <v>11</v>
      </c>
    </row>
    <row r="162" spans="46:49">
      <c r="AT162">
        <v>65.5</v>
      </c>
      <c r="AU162">
        <v>65.5</v>
      </c>
      <c r="AV162">
        <v>70.5</v>
      </c>
      <c r="AW162">
        <v>11</v>
      </c>
    </row>
    <row r="163" spans="46:49">
      <c r="AT163">
        <v>59.5</v>
      </c>
      <c r="AU163">
        <v>61.5</v>
      </c>
      <c r="AV163">
        <v>67.5</v>
      </c>
      <c r="AW163">
        <v>11</v>
      </c>
    </row>
    <row r="164" spans="46:49">
      <c r="AT164">
        <v>72</v>
      </c>
      <c r="AU164">
        <v>72</v>
      </c>
      <c r="AV164">
        <v>77</v>
      </c>
      <c r="AW164">
        <v>11</v>
      </c>
    </row>
    <row r="165" spans="46:49">
      <c r="AT165">
        <v>64.5</v>
      </c>
      <c r="AU165">
        <v>63</v>
      </c>
      <c r="AV165">
        <v>69.5</v>
      </c>
      <c r="AW165">
        <v>11</v>
      </c>
    </row>
    <row r="166" spans="46:49">
      <c r="AT166">
        <v>57.5</v>
      </c>
      <c r="AU166">
        <v>65</v>
      </c>
      <c r="AV166">
        <v>76.5</v>
      </c>
      <c r="AW166">
        <v>10</v>
      </c>
    </row>
    <row r="167" spans="46:49">
      <c r="AT167" t="s">
        <v>27</v>
      </c>
    </row>
    <row r="168" spans="46:49">
      <c r="AT168">
        <v>72</v>
      </c>
      <c r="AU168">
        <v>71.5</v>
      </c>
      <c r="AV168">
        <v>78</v>
      </c>
      <c r="AW168">
        <v>11</v>
      </c>
    </row>
    <row r="169" spans="46:49">
      <c r="AT169">
        <v>57</v>
      </c>
      <c r="AU169">
        <v>63.5</v>
      </c>
      <c r="AV169">
        <v>66.5</v>
      </c>
      <c r="AW169">
        <v>10</v>
      </c>
    </row>
    <row r="170" spans="46:49">
      <c r="AT170">
        <v>66.5</v>
      </c>
      <c r="AU170">
        <v>66.5</v>
      </c>
      <c r="AV170">
        <v>71.5</v>
      </c>
      <c r="AW170">
        <v>11</v>
      </c>
    </row>
    <row r="171" spans="46:49">
      <c r="AT171">
        <v>66</v>
      </c>
      <c r="AU171">
        <v>66</v>
      </c>
      <c r="AV171">
        <v>68.5</v>
      </c>
      <c r="AW171">
        <v>11</v>
      </c>
    </row>
    <row r="172" spans="46:49">
      <c r="AT172">
        <v>70.5</v>
      </c>
      <c r="AU172">
        <v>71</v>
      </c>
      <c r="AV172">
        <v>74</v>
      </c>
      <c r="AW172">
        <v>11</v>
      </c>
    </row>
    <row r="173" spans="46:49">
      <c r="AT173">
        <v>69.5</v>
      </c>
      <c r="AU173">
        <v>76</v>
      </c>
      <c r="AV173">
        <v>81</v>
      </c>
      <c r="AW173">
        <v>11</v>
      </c>
    </row>
    <row r="174" spans="46:49">
      <c r="AT174">
        <v>71</v>
      </c>
      <c r="AU174">
        <v>70.5</v>
      </c>
      <c r="AV174">
        <v>74.5</v>
      </c>
      <c r="AW174">
        <v>11</v>
      </c>
    </row>
    <row r="175" spans="46:49">
      <c r="AT175">
        <v>69.5</v>
      </c>
      <c r="AU175">
        <v>67</v>
      </c>
      <c r="AV175">
        <v>73</v>
      </c>
      <c r="AW175">
        <v>11</v>
      </c>
    </row>
    <row r="176" spans="46:49">
      <c r="AT176">
        <v>70</v>
      </c>
      <c r="AU176">
        <v>68</v>
      </c>
      <c r="AV176">
        <v>72.5</v>
      </c>
      <c r="AW176">
        <v>11</v>
      </c>
    </row>
    <row r="177" spans="46:49">
      <c r="AT177">
        <v>74</v>
      </c>
      <c r="AU177">
        <v>74.5</v>
      </c>
      <c r="AV177">
        <v>82.5</v>
      </c>
      <c r="AW177">
        <v>11</v>
      </c>
    </row>
    <row r="178" spans="46:49">
      <c r="AT178" t="s">
        <v>28</v>
      </c>
    </row>
    <row r="179" spans="46:49">
      <c r="AT179">
        <v>82.5</v>
      </c>
      <c r="AU179">
        <v>82.5</v>
      </c>
      <c r="AV179">
        <v>84</v>
      </c>
      <c r="AW179">
        <v>11</v>
      </c>
    </row>
    <row r="180" spans="46:49">
      <c r="AT180">
        <v>65</v>
      </c>
      <c r="AU180">
        <v>62.5</v>
      </c>
      <c r="AV180">
        <v>69.5</v>
      </c>
      <c r="AW180">
        <v>10</v>
      </c>
    </row>
    <row r="181" spans="46:49">
      <c r="AT181">
        <v>67.5</v>
      </c>
      <c r="AU181">
        <v>75</v>
      </c>
      <c r="AV181">
        <v>77</v>
      </c>
      <c r="AW181">
        <v>11</v>
      </c>
    </row>
    <row r="182" spans="46:49">
      <c r="AT182">
        <v>89</v>
      </c>
      <c r="AU182">
        <v>85.5</v>
      </c>
      <c r="AV182">
        <v>91</v>
      </c>
      <c r="AW182">
        <v>11</v>
      </c>
    </row>
    <row r="183" spans="46:49">
      <c r="AT183">
        <v>71</v>
      </c>
      <c r="AU183">
        <v>70</v>
      </c>
      <c r="AV183">
        <v>76.5</v>
      </c>
      <c r="AW183">
        <v>11</v>
      </c>
    </row>
    <row r="184" spans="46:49">
      <c r="AT184">
        <v>75</v>
      </c>
      <c r="AU184">
        <v>71</v>
      </c>
      <c r="AV184">
        <v>77.5</v>
      </c>
      <c r="AW184">
        <v>11</v>
      </c>
    </row>
    <row r="185" spans="46:49">
      <c r="AT185">
        <v>69</v>
      </c>
      <c r="AU185">
        <v>69</v>
      </c>
      <c r="AV185">
        <v>70.5</v>
      </c>
      <c r="AW185">
        <v>11</v>
      </c>
    </row>
    <row r="186" spans="46:49">
      <c r="AT186">
        <v>70</v>
      </c>
      <c r="AU186">
        <v>65.5</v>
      </c>
      <c r="AV186">
        <v>75</v>
      </c>
      <c r="AW186">
        <v>11</v>
      </c>
    </row>
    <row r="187" spans="46:49">
      <c r="AT187">
        <v>76</v>
      </c>
      <c r="AU187">
        <v>75</v>
      </c>
      <c r="AV187">
        <v>83</v>
      </c>
      <c r="AW187">
        <v>11</v>
      </c>
    </row>
    <row r="188" spans="46:49">
      <c r="AT188">
        <v>60.5</v>
      </c>
      <c r="AU188">
        <v>65.5</v>
      </c>
      <c r="AV188">
        <v>68.5</v>
      </c>
      <c r="AW188">
        <v>10</v>
      </c>
    </row>
    <row r="189" spans="46:49">
      <c r="AT189" t="s">
        <v>29</v>
      </c>
    </row>
    <row r="190" spans="46:49">
      <c r="AT190">
        <v>65</v>
      </c>
      <c r="AU190">
        <v>66</v>
      </c>
      <c r="AV190">
        <v>75</v>
      </c>
      <c r="AW190">
        <v>11</v>
      </c>
    </row>
    <row r="191" spans="46:49">
      <c r="AT191">
        <v>51.5</v>
      </c>
      <c r="AU191">
        <v>65</v>
      </c>
      <c r="AV191">
        <v>65</v>
      </c>
      <c r="AW191">
        <v>9</v>
      </c>
    </row>
    <row r="192" spans="46:49">
      <c r="AT192">
        <v>70.5</v>
      </c>
      <c r="AU192">
        <v>70</v>
      </c>
      <c r="AV192">
        <v>75</v>
      </c>
      <c r="AW192">
        <v>11</v>
      </c>
    </row>
    <row r="193" spans="46:49">
      <c r="AT193">
        <v>62.5</v>
      </c>
      <c r="AU193">
        <v>61.5</v>
      </c>
      <c r="AV193">
        <v>73.5</v>
      </c>
      <c r="AW193">
        <v>11</v>
      </c>
    </row>
    <row r="194" spans="46:49">
      <c r="AT194">
        <v>71.5</v>
      </c>
      <c r="AU194">
        <v>73</v>
      </c>
      <c r="AV194">
        <v>75</v>
      </c>
      <c r="AW194">
        <v>11</v>
      </c>
    </row>
    <row r="195" spans="46:49">
      <c r="AT195">
        <v>74.5</v>
      </c>
      <c r="AU195">
        <v>66</v>
      </c>
      <c r="AV195">
        <v>86</v>
      </c>
      <c r="AW195">
        <v>11</v>
      </c>
    </row>
    <row r="196" spans="46:49">
      <c r="AT196">
        <v>71.5</v>
      </c>
      <c r="AU196">
        <v>72.5</v>
      </c>
      <c r="AV196">
        <v>75</v>
      </c>
      <c r="AW196">
        <v>11</v>
      </c>
    </row>
    <row r="197" spans="46:49">
      <c r="AT197">
        <v>70.5</v>
      </c>
      <c r="AU197">
        <v>69</v>
      </c>
      <c r="AV197">
        <v>77</v>
      </c>
      <c r="AW197">
        <v>11</v>
      </c>
    </row>
    <row r="198" spans="46:49">
      <c r="AT198">
        <v>69</v>
      </c>
      <c r="AU198">
        <v>66.5</v>
      </c>
      <c r="AV198">
        <v>74</v>
      </c>
      <c r="AW198">
        <v>11</v>
      </c>
    </row>
    <row r="199" spans="46:49">
      <c r="AT199">
        <v>70</v>
      </c>
      <c r="AU199">
        <v>76</v>
      </c>
      <c r="AV199">
        <v>81</v>
      </c>
      <c r="AW199">
        <v>11</v>
      </c>
    </row>
    <row r="200" spans="46:49">
      <c r="AT200" t="s">
        <v>30</v>
      </c>
    </row>
    <row r="201" spans="46:49">
      <c r="AT201">
        <v>80.5</v>
      </c>
      <c r="AU201">
        <v>75.5</v>
      </c>
      <c r="AV201">
        <v>89</v>
      </c>
      <c r="AW201">
        <v>11</v>
      </c>
    </row>
    <row r="202" spans="46:49">
      <c r="AT202">
        <v>62.5</v>
      </c>
      <c r="AU202">
        <v>67</v>
      </c>
      <c r="AV202">
        <v>71</v>
      </c>
      <c r="AW202">
        <v>10</v>
      </c>
    </row>
    <row r="203" spans="46:49">
      <c r="AT203">
        <v>76.5</v>
      </c>
      <c r="AU203">
        <v>78.5</v>
      </c>
      <c r="AV203">
        <v>86.5</v>
      </c>
      <c r="AW203">
        <v>11</v>
      </c>
    </row>
    <row r="204" spans="46:49">
      <c r="AT204">
        <v>72.5</v>
      </c>
      <c r="AU204">
        <v>71</v>
      </c>
      <c r="AV204">
        <v>76.5</v>
      </c>
      <c r="AW204">
        <v>11</v>
      </c>
    </row>
    <row r="205" spans="46:49">
      <c r="AT205">
        <v>55.5</v>
      </c>
      <c r="AU205">
        <v>66.5</v>
      </c>
      <c r="AV205">
        <v>67</v>
      </c>
      <c r="AW205">
        <v>9</v>
      </c>
    </row>
    <row r="206" spans="46:49">
      <c r="AT206">
        <v>66.5</v>
      </c>
      <c r="AU206">
        <v>70</v>
      </c>
      <c r="AV206">
        <v>86</v>
      </c>
      <c r="AW206">
        <v>11</v>
      </c>
    </row>
    <row r="207" spans="46:49">
      <c r="AT207">
        <v>62</v>
      </c>
      <c r="AU207">
        <v>67.5</v>
      </c>
      <c r="AV207">
        <v>72</v>
      </c>
      <c r="AW207">
        <v>11</v>
      </c>
    </row>
    <row r="208" spans="46:49">
      <c r="AT208">
        <v>60.5</v>
      </c>
      <c r="AU208">
        <v>67</v>
      </c>
      <c r="AV208">
        <v>70</v>
      </c>
      <c r="AW208">
        <v>10</v>
      </c>
    </row>
    <row r="209" spans="46:49">
      <c r="AT209">
        <v>68</v>
      </c>
      <c r="AU209">
        <v>65</v>
      </c>
      <c r="AV209">
        <v>73</v>
      </c>
      <c r="AW209">
        <v>11</v>
      </c>
    </row>
    <row r="210" spans="46:49">
      <c r="AT210">
        <v>69.5</v>
      </c>
      <c r="AU210">
        <v>74.5</v>
      </c>
      <c r="AV210">
        <v>79</v>
      </c>
      <c r="AW210">
        <v>11</v>
      </c>
    </row>
    <row r="211" spans="46:49">
      <c r="AT211" t="s">
        <v>34</v>
      </c>
    </row>
    <row r="212" spans="46:49">
      <c r="AT212">
        <v>73</v>
      </c>
      <c r="AU212">
        <v>73</v>
      </c>
      <c r="AV212">
        <v>79</v>
      </c>
      <c r="AW212">
        <v>11</v>
      </c>
    </row>
    <row r="213" spans="46:49">
      <c r="AT213">
        <v>69.5</v>
      </c>
      <c r="AU213">
        <v>69.5</v>
      </c>
      <c r="AV213">
        <v>69.5</v>
      </c>
      <c r="AW213">
        <v>11</v>
      </c>
    </row>
    <row r="214" spans="46:49">
      <c r="AT214">
        <v>79.5</v>
      </c>
      <c r="AU214">
        <v>79.5</v>
      </c>
      <c r="AV214">
        <v>82</v>
      </c>
      <c r="AW214">
        <v>11</v>
      </c>
    </row>
    <row r="215" spans="46:49">
      <c r="AT215">
        <v>75</v>
      </c>
      <c r="AU215">
        <v>75.5</v>
      </c>
      <c r="AV215">
        <v>78.5</v>
      </c>
      <c r="AW215">
        <v>11</v>
      </c>
    </row>
    <row r="216" spans="46:49">
      <c r="AT216">
        <v>73</v>
      </c>
      <c r="AU216">
        <v>73</v>
      </c>
      <c r="AV216">
        <v>74.5</v>
      </c>
      <c r="AW216">
        <v>11</v>
      </c>
    </row>
    <row r="217" spans="46:49">
      <c r="AT217">
        <v>75</v>
      </c>
      <c r="AU217">
        <v>75</v>
      </c>
      <c r="AV217">
        <v>81</v>
      </c>
      <c r="AW217">
        <v>11</v>
      </c>
    </row>
    <row r="218" spans="46:49">
      <c r="AT218">
        <v>72</v>
      </c>
      <c r="AU218">
        <v>66.5</v>
      </c>
      <c r="AV218">
        <v>77</v>
      </c>
      <c r="AW218">
        <v>11</v>
      </c>
    </row>
    <row r="219" spans="46:49">
      <c r="AT219">
        <v>69.5</v>
      </c>
      <c r="AU219">
        <v>67.5</v>
      </c>
      <c r="AV219">
        <v>71.5</v>
      </c>
      <c r="AW219">
        <v>11</v>
      </c>
    </row>
    <row r="220" spans="46:49">
      <c r="AT220">
        <v>72.5</v>
      </c>
      <c r="AU220">
        <v>69</v>
      </c>
      <c r="AV220">
        <v>75</v>
      </c>
      <c r="AW220">
        <v>11</v>
      </c>
    </row>
    <row r="221" spans="46:49">
      <c r="AT221">
        <v>76</v>
      </c>
      <c r="AU221">
        <v>76</v>
      </c>
      <c r="AV221">
        <v>79.5</v>
      </c>
      <c r="AW221">
        <v>11</v>
      </c>
    </row>
    <row r="222" spans="46:49">
      <c r="AT222" t="s">
        <v>39</v>
      </c>
    </row>
    <row r="223" spans="46:49">
      <c r="AT223">
        <v>66.5</v>
      </c>
      <c r="AU223">
        <v>66.5</v>
      </c>
      <c r="AV223">
        <v>72</v>
      </c>
      <c r="AW223">
        <v>11</v>
      </c>
    </row>
    <row r="224" spans="46:49">
      <c r="AT224">
        <v>73</v>
      </c>
      <c r="AU224">
        <v>67</v>
      </c>
      <c r="AV224">
        <v>77.5</v>
      </c>
      <c r="AW224">
        <v>11</v>
      </c>
    </row>
    <row r="225" spans="46:49">
      <c r="AT225">
        <v>70</v>
      </c>
      <c r="AU225">
        <v>69</v>
      </c>
      <c r="AV225">
        <v>71</v>
      </c>
      <c r="AW225">
        <v>11</v>
      </c>
    </row>
    <row r="226" spans="46:49">
      <c r="AT226">
        <v>65.5</v>
      </c>
      <c r="AU226">
        <v>61.5</v>
      </c>
      <c r="AV226">
        <v>73.5</v>
      </c>
      <c r="AW226">
        <v>11</v>
      </c>
    </row>
    <row r="227" spans="46:49">
      <c r="AT227">
        <v>70</v>
      </c>
      <c r="AU227">
        <v>67.5</v>
      </c>
      <c r="AV227">
        <v>74</v>
      </c>
      <c r="AW227">
        <v>11</v>
      </c>
    </row>
    <row r="228" spans="46:49">
      <c r="AT228">
        <v>66.5</v>
      </c>
      <c r="AU228">
        <v>68</v>
      </c>
      <c r="AV228">
        <v>72.5</v>
      </c>
      <c r="AW228">
        <v>11</v>
      </c>
    </row>
    <row r="229" spans="46:49">
      <c r="AT229">
        <v>76</v>
      </c>
      <c r="AU229">
        <v>80</v>
      </c>
      <c r="AV229">
        <v>83.5</v>
      </c>
      <c r="AW229">
        <v>11</v>
      </c>
    </row>
    <row r="230" spans="46:49">
      <c r="AT230">
        <v>68.5</v>
      </c>
      <c r="AU230">
        <v>64</v>
      </c>
      <c r="AV230">
        <v>78</v>
      </c>
      <c r="AW230">
        <v>11</v>
      </c>
    </row>
    <row r="231" spans="46:49">
      <c r="AT231">
        <v>69</v>
      </c>
      <c r="AU231">
        <v>63.5</v>
      </c>
      <c r="AV231">
        <v>74.5</v>
      </c>
      <c r="AW231">
        <v>11</v>
      </c>
    </row>
    <row r="232" spans="46:49">
      <c r="AT232">
        <v>69.5</v>
      </c>
      <c r="AU232">
        <v>68.5</v>
      </c>
      <c r="AV232">
        <v>72.5</v>
      </c>
      <c r="AW232">
        <v>11</v>
      </c>
    </row>
    <row r="233" spans="46:49">
      <c r="AT233" t="s">
        <v>40</v>
      </c>
    </row>
    <row r="234" spans="46:49">
      <c r="AT234">
        <v>81</v>
      </c>
      <c r="AU234">
        <v>75.5</v>
      </c>
      <c r="AV234">
        <v>81</v>
      </c>
      <c r="AW234">
        <v>11</v>
      </c>
    </row>
    <row r="235" spans="46:49">
      <c r="AT235">
        <v>73</v>
      </c>
      <c r="AU235">
        <v>73</v>
      </c>
      <c r="AV235">
        <v>75</v>
      </c>
      <c r="AW235">
        <v>11</v>
      </c>
    </row>
    <row r="236" spans="46:49">
      <c r="AT236">
        <v>83.5</v>
      </c>
      <c r="AU236">
        <v>87</v>
      </c>
      <c r="AV236">
        <v>89.5</v>
      </c>
      <c r="AW236">
        <v>11</v>
      </c>
    </row>
    <row r="237" spans="46:49">
      <c r="AT237">
        <v>83.5</v>
      </c>
      <c r="AU237">
        <v>82</v>
      </c>
      <c r="AV237">
        <v>86.5</v>
      </c>
      <c r="AW237">
        <v>11</v>
      </c>
    </row>
    <row r="238" spans="46:49">
      <c r="AT238">
        <v>73.5</v>
      </c>
      <c r="AU238">
        <v>73.5</v>
      </c>
      <c r="AV238">
        <v>75.5</v>
      </c>
      <c r="AW238">
        <v>11</v>
      </c>
    </row>
    <row r="239" spans="46:49">
      <c r="AT239">
        <v>70</v>
      </c>
      <c r="AU239">
        <v>69.5</v>
      </c>
      <c r="AV239">
        <v>73</v>
      </c>
      <c r="AW239">
        <v>11</v>
      </c>
    </row>
    <row r="240" spans="46:49">
      <c r="AT240">
        <v>62</v>
      </c>
      <c r="AU240">
        <v>61.5</v>
      </c>
      <c r="AV240">
        <v>66</v>
      </c>
      <c r="AW240">
        <v>11</v>
      </c>
    </row>
    <row r="241" spans="46:49">
      <c r="AT241">
        <v>74.5</v>
      </c>
      <c r="AU241">
        <v>75</v>
      </c>
      <c r="AV241">
        <v>79.5</v>
      </c>
      <c r="AW241">
        <v>11</v>
      </c>
    </row>
    <row r="242" spans="46:49">
      <c r="AT242">
        <v>69.5</v>
      </c>
      <c r="AU242">
        <v>68</v>
      </c>
      <c r="AV242">
        <v>79.5</v>
      </c>
      <c r="AW242">
        <v>11</v>
      </c>
    </row>
    <row r="243" spans="46:49">
      <c r="AT243">
        <v>80.5</v>
      </c>
      <c r="AU243">
        <v>81</v>
      </c>
      <c r="AV243">
        <v>83</v>
      </c>
      <c r="AW243">
        <v>11</v>
      </c>
    </row>
    <row r="244" spans="46:49">
      <c r="AT244" t="s">
        <v>41</v>
      </c>
    </row>
    <row r="245" spans="46:49">
      <c r="AT245">
        <v>60</v>
      </c>
      <c r="AU245">
        <v>60</v>
      </c>
      <c r="AV245">
        <v>64.5</v>
      </c>
      <c r="AW245">
        <v>11</v>
      </c>
    </row>
    <row r="246" spans="46:49">
      <c r="AT246">
        <v>74</v>
      </c>
      <c r="AU246">
        <v>72</v>
      </c>
      <c r="AV246">
        <v>75.5</v>
      </c>
      <c r="AW246">
        <v>11</v>
      </c>
    </row>
    <row r="247" spans="46:49">
      <c r="AT247">
        <v>81</v>
      </c>
      <c r="AU247">
        <v>81.5</v>
      </c>
      <c r="AV247">
        <v>85</v>
      </c>
      <c r="AW247">
        <v>11</v>
      </c>
    </row>
    <row r="248" spans="46:49">
      <c r="AT248">
        <v>72.5</v>
      </c>
      <c r="AU248">
        <v>72</v>
      </c>
      <c r="AV248">
        <v>75.5</v>
      </c>
      <c r="AW248">
        <v>11</v>
      </c>
    </row>
    <row r="249" spans="46:49">
      <c r="AT249">
        <v>72.5</v>
      </c>
      <c r="AU249">
        <v>74.5</v>
      </c>
      <c r="AV249">
        <v>77</v>
      </c>
      <c r="AW249">
        <v>11</v>
      </c>
    </row>
    <row r="250" spans="46:49">
      <c r="AT250">
        <v>74</v>
      </c>
      <c r="AU250">
        <v>71</v>
      </c>
      <c r="AV250">
        <v>83.5</v>
      </c>
      <c r="AW250">
        <v>11</v>
      </c>
    </row>
    <row r="251" spans="46:49">
      <c r="AT251">
        <v>69.5</v>
      </c>
      <c r="AU251">
        <v>69.5</v>
      </c>
      <c r="AV251">
        <v>74.5</v>
      </c>
      <c r="AW251">
        <v>11</v>
      </c>
    </row>
    <row r="252" spans="46:49">
      <c r="AT252">
        <v>63</v>
      </c>
      <c r="AU252">
        <v>59.5</v>
      </c>
      <c r="AV252">
        <v>64.5</v>
      </c>
      <c r="AW252">
        <v>11</v>
      </c>
    </row>
    <row r="253" spans="46:49">
      <c r="AT253">
        <v>80.5</v>
      </c>
      <c r="AU253">
        <v>79</v>
      </c>
      <c r="AV253">
        <v>82.5</v>
      </c>
      <c r="AW253">
        <v>11</v>
      </c>
    </row>
    <row r="254" spans="46:49">
      <c r="AT254">
        <v>77</v>
      </c>
      <c r="AU254">
        <v>74</v>
      </c>
      <c r="AV254">
        <v>80.5</v>
      </c>
      <c r="AW254">
        <v>11</v>
      </c>
    </row>
    <row r="255" spans="46:49">
      <c r="AT255" t="s">
        <v>42</v>
      </c>
    </row>
    <row r="256" spans="46:49">
      <c r="AT256">
        <v>67.5</v>
      </c>
      <c r="AU256">
        <v>63.5</v>
      </c>
      <c r="AV256">
        <v>71.5</v>
      </c>
      <c r="AW256">
        <v>11</v>
      </c>
    </row>
    <row r="257" spans="46:49">
      <c r="AT257">
        <v>80.5</v>
      </c>
      <c r="AU257">
        <v>82.5</v>
      </c>
      <c r="AV257">
        <v>83.5</v>
      </c>
      <c r="AW257">
        <v>11</v>
      </c>
    </row>
    <row r="258" spans="46:49">
      <c r="AT258">
        <v>73</v>
      </c>
      <c r="AU258">
        <v>73.5</v>
      </c>
      <c r="AV258">
        <v>79.5</v>
      </c>
      <c r="AW258">
        <v>11</v>
      </c>
    </row>
    <row r="259" spans="46:49">
      <c r="AT259">
        <v>76</v>
      </c>
      <c r="AU259">
        <v>72</v>
      </c>
      <c r="AV259">
        <v>79</v>
      </c>
      <c r="AW259">
        <v>11</v>
      </c>
    </row>
    <row r="260" spans="46:49">
      <c r="AT260">
        <v>76</v>
      </c>
      <c r="AU260">
        <v>75</v>
      </c>
      <c r="AV260">
        <v>81.5</v>
      </c>
      <c r="AW260">
        <v>11</v>
      </c>
    </row>
    <row r="261" spans="46:49">
      <c r="AT261">
        <v>80</v>
      </c>
      <c r="AU261">
        <v>73</v>
      </c>
      <c r="AV261">
        <v>83.5</v>
      </c>
      <c r="AW261">
        <v>11</v>
      </c>
    </row>
    <row r="262" spans="46:49">
      <c r="AT262">
        <v>62.5</v>
      </c>
      <c r="AU262">
        <v>62</v>
      </c>
      <c r="AV262">
        <v>66</v>
      </c>
      <c r="AW262">
        <v>11</v>
      </c>
    </row>
    <row r="263" spans="46:49">
      <c r="AT263">
        <v>72.5</v>
      </c>
      <c r="AU263">
        <v>69.5</v>
      </c>
      <c r="AV263">
        <v>74</v>
      </c>
      <c r="AW263">
        <v>11</v>
      </c>
    </row>
    <row r="264" spans="46:49">
      <c r="AT264">
        <v>81</v>
      </c>
      <c r="AU264">
        <v>77</v>
      </c>
      <c r="AV264">
        <v>84</v>
      </c>
      <c r="AW264">
        <v>11</v>
      </c>
    </row>
    <row r="265" spans="46:49">
      <c r="AT265">
        <v>70.5</v>
      </c>
      <c r="AU265">
        <v>71.5</v>
      </c>
      <c r="AV265">
        <v>78.5</v>
      </c>
      <c r="AW265">
        <v>11</v>
      </c>
    </row>
    <row r="266" spans="46:49">
      <c r="AT266" t="s">
        <v>43</v>
      </c>
    </row>
    <row r="267" spans="46:49">
      <c r="AT267">
        <v>70</v>
      </c>
      <c r="AU267">
        <v>64.5</v>
      </c>
      <c r="AV267">
        <v>80.5</v>
      </c>
      <c r="AW267">
        <v>11</v>
      </c>
    </row>
    <row r="268" spans="46:49">
      <c r="AT268">
        <v>71.5</v>
      </c>
      <c r="AU268">
        <v>71.5</v>
      </c>
      <c r="AV268">
        <v>72.5</v>
      </c>
      <c r="AW268">
        <v>11</v>
      </c>
    </row>
    <row r="269" spans="46:49">
      <c r="AT269">
        <v>69</v>
      </c>
      <c r="AU269">
        <v>75.5</v>
      </c>
      <c r="AV269">
        <v>80.5</v>
      </c>
      <c r="AW269">
        <v>11</v>
      </c>
    </row>
    <row r="270" spans="46:49">
      <c r="AT270">
        <v>59.5</v>
      </c>
      <c r="AU270">
        <v>59.5</v>
      </c>
      <c r="AV270">
        <v>66.5</v>
      </c>
      <c r="AW270">
        <v>11</v>
      </c>
    </row>
    <row r="271" spans="46:49">
      <c r="AT271">
        <v>67</v>
      </c>
      <c r="AU271">
        <v>64</v>
      </c>
      <c r="AV271">
        <v>73.5</v>
      </c>
      <c r="AW271">
        <v>11</v>
      </c>
    </row>
    <row r="272" spans="46:49">
      <c r="AT272">
        <v>68.5</v>
      </c>
      <c r="AU272">
        <v>72</v>
      </c>
      <c r="AV272">
        <v>81</v>
      </c>
      <c r="AW272">
        <v>11</v>
      </c>
    </row>
    <row r="273" spans="46:49">
      <c r="AT273">
        <v>67</v>
      </c>
      <c r="AU273">
        <v>65.5</v>
      </c>
      <c r="AV273">
        <v>72</v>
      </c>
      <c r="AW273">
        <v>11</v>
      </c>
    </row>
    <row r="274" spans="46:49">
      <c r="AT274">
        <v>66</v>
      </c>
      <c r="AU274">
        <v>66</v>
      </c>
      <c r="AV274">
        <v>67.5</v>
      </c>
      <c r="AW274">
        <v>10</v>
      </c>
    </row>
    <row r="275" spans="46:49">
      <c r="AT275">
        <v>67</v>
      </c>
      <c r="AU275">
        <v>56</v>
      </c>
      <c r="AV275">
        <v>75.5</v>
      </c>
      <c r="AW275">
        <v>11</v>
      </c>
    </row>
    <row r="276" spans="46:49">
      <c r="AT276">
        <v>73.5</v>
      </c>
      <c r="AU276">
        <v>75.5</v>
      </c>
      <c r="AV276">
        <v>82.5</v>
      </c>
      <c r="AW276">
        <v>11</v>
      </c>
    </row>
    <row r="277" spans="46:49">
      <c r="AT277" t="s">
        <v>44</v>
      </c>
    </row>
    <row r="278" spans="46:49">
      <c r="AT278">
        <v>66.5</v>
      </c>
      <c r="AU278">
        <v>67</v>
      </c>
      <c r="AV278">
        <v>72.5</v>
      </c>
      <c r="AW278">
        <v>11</v>
      </c>
    </row>
    <row r="279" spans="46:49">
      <c r="AT279">
        <v>64</v>
      </c>
      <c r="AU279">
        <v>63.5</v>
      </c>
      <c r="AV279">
        <v>67</v>
      </c>
      <c r="AW279">
        <v>11</v>
      </c>
    </row>
    <row r="280" spans="46:49">
      <c r="AT280">
        <v>69</v>
      </c>
      <c r="AU280">
        <v>63</v>
      </c>
      <c r="AV280">
        <v>78</v>
      </c>
      <c r="AW280">
        <v>11</v>
      </c>
    </row>
    <row r="281" spans="46:49">
      <c r="AT281">
        <v>69.5</v>
      </c>
      <c r="AU281">
        <v>67.5</v>
      </c>
      <c r="AV281">
        <v>76.5</v>
      </c>
      <c r="AW281">
        <v>11</v>
      </c>
    </row>
    <row r="282" spans="46:49">
      <c r="AT282">
        <v>80</v>
      </c>
      <c r="AU282">
        <v>71</v>
      </c>
      <c r="AV282">
        <v>82</v>
      </c>
      <c r="AW282">
        <v>11</v>
      </c>
    </row>
    <row r="283" spans="46:49">
      <c r="AT283">
        <v>76.5</v>
      </c>
      <c r="AU283">
        <v>76.5</v>
      </c>
      <c r="AV283">
        <v>78</v>
      </c>
      <c r="AW283">
        <v>11</v>
      </c>
    </row>
    <row r="284" spans="46:49">
      <c r="AT284">
        <v>67</v>
      </c>
      <c r="AU284">
        <v>66.5</v>
      </c>
      <c r="AV284">
        <v>71</v>
      </c>
      <c r="AW284">
        <v>11</v>
      </c>
    </row>
    <row r="285" spans="46:49">
      <c r="AT285">
        <v>69</v>
      </c>
      <c r="AU285">
        <v>69.5</v>
      </c>
      <c r="AV285">
        <v>71.5</v>
      </c>
      <c r="AW285">
        <v>11</v>
      </c>
    </row>
    <row r="286" spans="46:49">
      <c r="AT286">
        <v>67.5</v>
      </c>
      <c r="AU286">
        <v>69</v>
      </c>
      <c r="AV286">
        <v>77.5</v>
      </c>
      <c r="AW286">
        <v>11</v>
      </c>
    </row>
    <row r="287" spans="46:49">
      <c r="AT287">
        <v>73</v>
      </c>
      <c r="AU287">
        <v>70.5</v>
      </c>
      <c r="AV287">
        <v>75</v>
      </c>
      <c r="AW287">
        <v>11</v>
      </c>
    </row>
    <row r="288" spans="46:49">
      <c r="AT288" t="s">
        <v>45</v>
      </c>
    </row>
    <row r="289" spans="46:49">
      <c r="AT289">
        <v>70</v>
      </c>
      <c r="AU289">
        <v>71.5</v>
      </c>
      <c r="AV289">
        <v>79.5</v>
      </c>
      <c r="AW289">
        <v>11</v>
      </c>
    </row>
    <row r="290" spans="46:49">
      <c r="AT290">
        <v>71.5</v>
      </c>
      <c r="AU290">
        <v>73.5</v>
      </c>
      <c r="AV290">
        <v>75.5</v>
      </c>
      <c r="AW290">
        <v>11</v>
      </c>
    </row>
    <row r="291" spans="46:49">
      <c r="AT291">
        <v>84.5</v>
      </c>
      <c r="AU291">
        <v>82.5</v>
      </c>
      <c r="AV291">
        <v>92.5</v>
      </c>
      <c r="AW291">
        <v>11</v>
      </c>
    </row>
    <row r="292" spans="46:49">
      <c r="AT292">
        <v>73</v>
      </c>
      <c r="AU292">
        <v>74.5</v>
      </c>
      <c r="AV292">
        <v>77.5</v>
      </c>
      <c r="AW292">
        <v>11</v>
      </c>
    </row>
    <row r="293" spans="46:49">
      <c r="AT293">
        <v>75.5</v>
      </c>
      <c r="AU293">
        <v>69.5</v>
      </c>
      <c r="AV293">
        <v>78</v>
      </c>
      <c r="AW293">
        <v>11</v>
      </c>
    </row>
    <row r="294" spans="46:49">
      <c r="AT294">
        <v>69</v>
      </c>
      <c r="AU294">
        <v>64.5</v>
      </c>
      <c r="AV294">
        <v>71</v>
      </c>
      <c r="AW294">
        <v>11</v>
      </c>
    </row>
    <row r="295" spans="46:49">
      <c r="AT295">
        <v>63.5</v>
      </c>
      <c r="AU295">
        <v>64.5</v>
      </c>
      <c r="AV295">
        <v>64.5</v>
      </c>
      <c r="AW295">
        <v>11</v>
      </c>
    </row>
    <row r="296" spans="46:49">
      <c r="AT296">
        <v>65</v>
      </c>
      <c r="AU296">
        <v>65.5</v>
      </c>
      <c r="AV296">
        <v>68.5</v>
      </c>
      <c r="AW296">
        <v>11</v>
      </c>
    </row>
    <row r="297" spans="46:49">
      <c r="AT297">
        <v>75</v>
      </c>
      <c r="AU297">
        <v>66.5</v>
      </c>
      <c r="AV297">
        <v>79.5</v>
      </c>
      <c r="AW297">
        <v>11</v>
      </c>
    </row>
    <row r="298" spans="46:49">
      <c r="AT298">
        <v>70.5</v>
      </c>
      <c r="AU298">
        <v>67</v>
      </c>
      <c r="AV298">
        <v>74</v>
      </c>
      <c r="AW298">
        <v>11</v>
      </c>
    </row>
    <row r="299" spans="46:49">
      <c r="AT299" t="s">
        <v>46</v>
      </c>
    </row>
    <row r="300" spans="46:49">
      <c r="AT300">
        <v>76.5</v>
      </c>
      <c r="AU300">
        <v>73</v>
      </c>
      <c r="AV300">
        <v>83</v>
      </c>
      <c r="AW300">
        <v>11</v>
      </c>
    </row>
    <row r="301" spans="46:49">
      <c r="AT301">
        <v>64</v>
      </c>
      <c r="AU301">
        <v>63</v>
      </c>
      <c r="AV301">
        <v>67</v>
      </c>
      <c r="AW301">
        <v>11</v>
      </c>
    </row>
    <row r="302" spans="46:49">
      <c r="AT302">
        <v>80</v>
      </c>
      <c r="AU302">
        <v>77.5</v>
      </c>
      <c r="AV302">
        <v>88.5</v>
      </c>
      <c r="AW302">
        <v>11</v>
      </c>
    </row>
    <row r="303" spans="46:49">
      <c r="AT303">
        <v>70</v>
      </c>
      <c r="AU303">
        <v>71.5</v>
      </c>
      <c r="AV303">
        <v>76.5</v>
      </c>
      <c r="AW303">
        <v>11</v>
      </c>
    </row>
    <row r="304" spans="46:49">
      <c r="AT304">
        <v>65.5</v>
      </c>
      <c r="AU304">
        <v>66.5</v>
      </c>
      <c r="AV304">
        <v>75.5</v>
      </c>
      <c r="AW304">
        <v>11</v>
      </c>
    </row>
    <row r="305" spans="46:49">
      <c r="AT305">
        <v>66.5</v>
      </c>
      <c r="AU305">
        <v>64</v>
      </c>
      <c r="AV305">
        <v>72.5</v>
      </c>
      <c r="AW305">
        <v>11</v>
      </c>
    </row>
    <row r="306" spans="46:49">
      <c r="AT306">
        <v>71</v>
      </c>
      <c r="AU306">
        <v>68.5</v>
      </c>
      <c r="AV306">
        <v>76</v>
      </c>
      <c r="AW306">
        <v>11</v>
      </c>
    </row>
    <row r="307" spans="46:49">
      <c r="AT307">
        <v>66</v>
      </c>
      <c r="AU307">
        <v>68</v>
      </c>
      <c r="AV307">
        <v>77.5</v>
      </c>
      <c r="AW307">
        <v>11</v>
      </c>
    </row>
    <row r="308" spans="46:49">
      <c r="AT308">
        <v>70</v>
      </c>
      <c r="AU308">
        <v>68</v>
      </c>
      <c r="AV308">
        <v>76</v>
      </c>
      <c r="AW308">
        <v>11</v>
      </c>
    </row>
    <row r="309" spans="46:49">
      <c r="AT309">
        <v>81.5</v>
      </c>
      <c r="AU309">
        <v>78.5</v>
      </c>
      <c r="AV309">
        <v>81.5</v>
      </c>
      <c r="AW309">
        <v>11</v>
      </c>
    </row>
    <row r="310" spans="46:49">
      <c r="AT310" t="s">
        <v>47</v>
      </c>
    </row>
    <row r="311" spans="46:49">
      <c r="AT311">
        <v>77.5</v>
      </c>
      <c r="AU311">
        <v>71.5</v>
      </c>
      <c r="AV311">
        <v>85.5</v>
      </c>
      <c r="AW311">
        <v>11</v>
      </c>
    </row>
    <row r="312" spans="46:49">
      <c r="AT312">
        <v>77</v>
      </c>
      <c r="AU312">
        <v>77.5</v>
      </c>
      <c r="AV312">
        <v>81</v>
      </c>
      <c r="AW312">
        <v>11</v>
      </c>
    </row>
    <row r="313" spans="46:49">
      <c r="AT313">
        <v>69</v>
      </c>
      <c r="AU313">
        <v>63</v>
      </c>
      <c r="AV313">
        <v>77.5</v>
      </c>
      <c r="AW313">
        <v>11</v>
      </c>
    </row>
    <row r="314" spans="46:49">
      <c r="AT314">
        <v>69.5</v>
      </c>
      <c r="AU314">
        <v>71</v>
      </c>
      <c r="AV314">
        <v>75</v>
      </c>
      <c r="AW314">
        <v>11</v>
      </c>
    </row>
    <row r="315" spans="46:49">
      <c r="AT315">
        <v>66.5</v>
      </c>
      <c r="AU315">
        <v>70</v>
      </c>
      <c r="AV315">
        <v>74.5</v>
      </c>
      <c r="AW315">
        <v>11</v>
      </c>
    </row>
    <row r="316" spans="46:49">
      <c r="AT316">
        <v>68.5</v>
      </c>
      <c r="AU316">
        <v>65.5</v>
      </c>
      <c r="AV316">
        <v>71</v>
      </c>
      <c r="AW316">
        <v>11</v>
      </c>
    </row>
    <row r="317" spans="46:49">
      <c r="AT317">
        <v>74.5</v>
      </c>
      <c r="AU317">
        <v>74</v>
      </c>
      <c r="AV317">
        <v>79.5</v>
      </c>
      <c r="AW317">
        <v>11</v>
      </c>
    </row>
    <row r="318" spans="46:49">
      <c r="AT318">
        <v>75.5</v>
      </c>
      <c r="AU318">
        <v>73.5</v>
      </c>
      <c r="AV318">
        <v>79</v>
      </c>
      <c r="AW318">
        <v>11</v>
      </c>
    </row>
    <row r="319" spans="46:49">
      <c r="AT319">
        <v>69</v>
      </c>
      <c r="AU319">
        <v>66.5</v>
      </c>
      <c r="AV319">
        <v>71.5</v>
      </c>
      <c r="AW319">
        <v>11</v>
      </c>
    </row>
    <row r="320" spans="46:49">
      <c r="AT320">
        <v>66.5</v>
      </c>
      <c r="AU320">
        <v>67.5</v>
      </c>
      <c r="AV320">
        <v>74</v>
      </c>
      <c r="AW320">
        <v>11</v>
      </c>
    </row>
    <row r="321" spans="46:49">
      <c r="AT321" t="s">
        <v>48</v>
      </c>
    </row>
    <row r="322" spans="46:49">
      <c r="AT322">
        <v>89.5</v>
      </c>
      <c r="AU322">
        <v>86.5</v>
      </c>
      <c r="AV322">
        <v>95.5</v>
      </c>
      <c r="AW322">
        <v>11</v>
      </c>
    </row>
    <row r="323" spans="46:49">
      <c r="AT323">
        <v>68</v>
      </c>
      <c r="AU323">
        <v>68</v>
      </c>
      <c r="AV323">
        <v>71</v>
      </c>
      <c r="AW323">
        <v>11</v>
      </c>
    </row>
    <row r="324" spans="46:49">
      <c r="AT324">
        <v>68</v>
      </c>
      <c r="AU324">
        <v>64.5</v>
      </c>
      <c r="AV324">
        <v>76</v>
      </c>
      <c r="AW324">
        <v>11</v>
      </c>
    </row>
    <row r="325" spans="46:49">
      <c r="AT325">
        <v>65.5</v>
      </c>
      <c r="AU325">
        <v>65.5</v>
      </c>
      <c r="AV325">
        <v>67</v>
      </c>
      <c r="AW325">
        <v>11</v>
      </c>
    </row>
    <row r="326" spans="46:49">
      <c r="AT326">
        <v>71.5</v>
      </c>
      <c r="AU326">
        <v>71.5</v>
      </c>
      <c r="AV326">
        <v>79.5</v>
      </c>
      <c r="AW326">
        <v>11</v>
      </c>
    </row>
    <row r="327" spans="46:49">
      <c r="AT327">
        <v>64</v>
      </c>
      <c r="AU327">
        <v>66</v>
      </c>
      <c r="AV327">
        <v>74</v>
      </c>
      <c r="AW327">
        <v>11</v>
      </c>
    </row>
    <row r="328" spans="46:49">
      <c r="AT328">
        <v>81.5</v>
      </c>
      <c r="AU328">
        <v>83.5</v>
      </c>
      <c r="AV328">
        <v>85.5</v>
      </c>
      <c r="AW328">
        <v>11</v>
      </c>
    </row>
    <row r="329" spans="46:49">
      <c r="AT329">
        <v>70</v>
      </c>
      <c r="AU329">
        <v>67.5</v>
      </c>
      <c r="AV329">
        <v>72</v>
      </c>
      <c r="AW329">
        <v>11</v>
      </c>
    </row>
    <row r="330" spans="46:49">
      <c r="AT330">
        <v>77.5</v>
      </c>
      <c r="AU330">
        <v>72.5</v>
      </c>
      <c r="AV330">
        <v>84.5</v>
      </c>
      <c r="AW330">
        <v>11</v>
      </c>
    </row>
    <row r="331" spans="46:49">
      <c r="AT331">
        <v>61</v>
      </c>
      <c r="AU331">
        <v>62.5</v>
      </c>
      <c r="AV331">
        <v>70.5</v>
      </c>
      <c r="AW331">
        <v>11</v>
      </c>
    </row>
  </sheetData>
  <conditionalFormatting sqref="D28:AB37">
    <cfRule type="cellIs" dxfId="27" priority="21" operator="lessThan">
      <formula>11</formula>
    </cfRule>
  </conditionalFormatting>
  <conditionalFormatting sqref="C41:AG51">
    <cfRule type="cellIs" dxfId="26" priority="19" operator="lessThan">
      <formula>0</formula>
    </cfRule>
  </conditionalFormatting>
  <conditionalFormatting sqref="D38:AB38">
    <cfRule type="cellIs" dxfId="25" priority="18" operator="greaterThan">
      <formula>0</formula>
    </cfRule>
  </conditionalFormatting>
  <conditionalFormatting sqref="C28:C37">
    <cfRule type="cellIs" dxfId="24" priority="17" operator="greaterThan">
      <formula>0</formula>
    </cfRule>
  </conditionalFormatting>
  <conditionalFormatting sqref="AC28:AO37">
    <cfRule type="cellIs" dxfId="23" priority="16" operator="lessThan">
      <formula>11</formula>
    </cfRule>
  </conditionalFormatting>
  <conditionalFormatting sqref="AH41:AO51">
    <cfRule type="cellIs" dxfId="22" priority="14" operator="lessThan">
      <formula>0</formula>
    </cfRule>
  </conditionalFormatting>
  <conditionalFormatting sqref="AC38:AO38">
    <cfRule type="cellIs" dxfId="21" priority="13" operator="greaterThan">
      <formula>0</formula>
    </cfRule>
  </conditionalFormatting>
  <conditionalFormatting sqref="C54:AB63">
    <cfRule type="cellIs" dxfId="20" priority="12" operator="lessThan">
      <formula>0</formula>
    </cfRule>
  </conditionalFormatting>
  <conditionalFormatting sqref="AC54:AO63">
    <cfRule type="cellIs" dxfId="19" priority="11" operator="lessThan">
      <formula>0</formula>
    </cfRule>
  </conditionalFormatting>
  <conditionalFormatting sqref="D67:AG76">
    <cfRule type="cellIs" dxfId="18" priority="10" operator="lessThan">
      <formula>0</formula>
    </cfRule>
  </conditionalFormatting>
  <conditionalFormatting sqref="AH67:AO76">
    <cfRule type="cellIs" dxfId="17" priority="9" operator="lessThan">
      <formula>0</formula>
    </cfRule>
  </conditionalFormatting>
  <conditionalFormatting sqref="C80:AG89">
    <cfRule type="cellIs" dxfId="16" priority="8" operator="lessThan">
      <formula>0</formula>
    </cfRule>
  </conditionalFormatting>
  <conditionalFormatting sqref="AH80:AO89">
    <cfRule type="cellIs" dxfId="15" priority="7" operator="lessThan">
      <formula>0</formula>
    </cfRule>
  </conditionalFormatting>
  <conditionalFormatting sqref="D15:AO24">
    <cfRule type="cellIs" dxfId="14" priority="6" operator="greaterThanOrEqual">
      <formula>80</formula>
    </cfRule>
  </conditionalFormatting>
  <conditionalFormatting sqref="W15:AO24">
    <cfRule type="cellIs" dxfId="13" priority="4" operator="lessThanOrEqual">
      <formula>65</formula>
    </cfRule>
  </conditionalFormatting>
  <conditionalFormatting sqref="C67:C76">
    <cfRule type="cellIs" dxfId="12" priority="1" operator="lessThan">
      <formula>0</formula>
    </cfRule>
  </conditionalFormatting>
  <conditionalFormatting sqref="D2:AO11">
    <cfRule type="cellIs" dxfId="11" priority="2" operator="lessThanOrEqual">
      <formula>65</formula>
    </cfRule>
    <cfRule type="cellIs" dxfId="10" priority="3" operator="greaterThanOrEqual">
      <formula>80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/>
  <dimension ref="B3:X25"/>
  <sheetViews>
    <sheetView workbookViewId="0">
      <selection activeCell="O11" sqref="O11"/>
    </sheetView>
  </sheetViews>
  <sheetFormatPr defaultColWidth="9" defaultRowHeight="14.25"/>
  <cols>
    <col min="1" max="16384" width="9" style="7"/>
  </cols>
  <sheetData>
    <row r="3" spans="2:24">
      <c r="B3" s="3">
        <v>73</v>
      </c>
      <c r="C3" s="3">
        <v>66.5</v>
      </c>
      <c r="D3" s="3">
        <v>75.5</v>
      </c>
      <c r="E3" s="3">
        <v>60</v>
      </c>
      <c r="F3" s="3">
        <v>63.5</v>
      </c>
      <c r="G3" s="3">
        <v>64.5</v>
      </c>
      <c r="J3" s="3">
        <v>69.5</v>
      </c>
      <c r="K3" s="3">
        <v>67</v>
      </c>
      <c r="L3" s="3">
        <v>73</v>
      </c>
      <c r="M3" s="3">
        <v>72</v>
      </c>
      <c r="N3" s="3">
        <v>82.5</v>
      </c>
      <c r="O3" s="3">
        <v>71.5</v>
      </c>
      <c r="R3" s="3">
        <v>79.5</v>
      </c>
      <c r="S3" s="3">
        <v>69</v>
      </c>
      <c r="T3" s="3">
        <v>87</v>
      </c>
      <c r="U3" s="3">
        <v>81.5</v>
      </c>
      <c r="V3" s="3">
        <v>73.5</v>
      </c>
      <c r="W3" s="3">
        <v>75.5</v>
      </c>
    </row>
    <row r="4" spans="2:24">
      <c r="B4" s="7">
        <v>71</v>
      </c>
      <c r="C4" s="7">
        <v>67.5</v>
      </c>
      <c r="D4" s="7">
        <v>81</v>
      </c>
      <c r="E4" s="7">
        <v>61</v>
      </c>
      <c r="F4" s="7">
        <v>68</v>
      </c>
      <c r="G4" s="7">
        <v>69.5</v>
      </c>
      <c r="J4" s="7">
        <v>69.5</v>
      </c>
      <c r="K4" s="7">
        <v>67.5</v>
      </c>
      <c r="L4" s="7">
        <v>71</v>
      </c>
      <c r="M4" s="7">
        <v>72</v>
      </c>
      <c r="N4" s="7">
        <v>82.5</v>
      </c>
      <c r="O4" s="7">
        <v>71.5</v>
      </c>
      <c r="R4" s="7">
        <v>79</v>
      </c>
      <c r="S4" s="7">
        <v>69.5</v>
      </c>
      <c r="T4" s="7">
        <v>88</v>
      </c>
      <c r="U4" s="7">
        <v>78</v>
      </c>
      <c r="V4" s="7">
        <v>73</v>
      </c>
      <c r="W4" s="7">
        <v>73.5</v>
      </c>
    </row>
    <row r="5" spans="2:24">
      <c r="B5" s="7">
        <f>B4-B3</f>
        <v>-2</v>
      </c>
      <c r="C5" s="7">
        <f t="shared" ref="C5:G5" si="0">C4-C3</f>
        <v>1</v>
      </c>
      <c r="D5" s="7">
        <f t="shared" si="0"/>
        <v>5.5</v>
      </c>
      <c r="E5" s="7">
        <f t="shared" si="0"/>
        <v>1</v>
      </c>
      <c r="F5" s="7">
        <f t="shared" si="0"/>
        <v>4.5</v>
      </c>
      <c r="G5" s="7">
        <f t="shared" si="0"/>
        <v>5</v>
      </c>
      <c r="H5" s="7">
        <v>15</v>
      </c>
      <c r="J5" s="7">
        <f>J4-J3</f>
        <v>0</v>
      </c>
      <c r="K5" s="7">
        <f t="shared" ref="K5:O5" si="1">K4-K3</f>
        <v>0.5</v>
      </c>
      <c r="L5" s="7">
        <f t="shared" si="1"/>
        <v>-2</v>
      </c>
      <c r="M5" s="7">
        <f t="shared" si="1"/>
        <v>0</v>
      </c>
      <c r="N5" s="7">
        <f t="shared" si="1"/>
        <v>0</v>
      </c>
      <c r="O5" s="7">
        <f t="shared" si="1"/>
        <v>0</v>
      </c>
      <c r="P5" s="7">
        <v>1.5</v>
      </c>
      <c r="R5" s="7">
        <f>R4-R3</f>
        <v>-0.5</v>
      </c>
      <c r="S5" s="7">
        <f t="shared" ref="S5:W5" si="2">S4-S3</f>
        <v>0.5</v>
      </c>
      <c r="T5" s="7">
        <f t="shared" si="2"/>
        <v>1</v>
      </c>
      <c r="U5" s="7">
        <f t="shared" si="2"/>
        <v>-3.5</v>
      </c>
      <c r="V5" s="7">
        <f t="shared" si="2"/>
        <v>-0.5</v>
      </c>
      <c r="W5" s="7">
        <f t="shared" si="2"/>
        <v>-2</v>
      </c>
      <c r="X5" s="7">
        <v>-5</v>
      </c>
    </row>
    <row r="6" spans="2:24">
      <c r="B6" s="7">
        <v>-2</v>
      </c>
      <c r="C6" s="7">
        <v>-0.5</v>
      </c>
      <c r="D6" s="7">
        <v>4</v>
      </c>
      <c r="E6" s="7">
        <v>1</v>
      </c>
      <c r="F6" s="7">
        <v>2</v>
      </c>
      <c r="G6" s="7">
        <v>5</v>
      </c>
      <c r="H6" s="7">
        <v>9.5</v>
      </c>
      <c r="J6" s="7">
        <v>0</v>
      </c>
      <c r="K6" s="7">
        <v>0.5</v>
      </c>
      <c r="L6" s="7">
        <v>-2</v>
      </c>
      <c r="M6" s="7">
        <v>-1</v>
      </c>
      <c r="N6" s="7">
        <v>0</v>
      </c>
      <c r="O6" s="7">
        <v>0</v>
      </c>
      <c r="P6" s="7">
        <v>-2.5</v>
      </c>
      <c r="R6" s="7">
        <v>-0.5</v>
      </c>
      <c r="S6" s="7">
        <v>-2.5</v>
      </c>
      <c r="T6" s="7">
        <v>-0.5</v>
      </c>
      <c r="U6" s="7">
        <v>-4.5</v>
      </c>
      <c r="V6" s="7">
        <v>-0.5</v>
      </c>
      <c r="W6" s="7">
        <v>-3.5</v>
      </c>
      <c r="X6" s="7">
        <v>-12</v>
      </c>
    </row>
    <row r="7" spans="2:24">
      <c r="H7" s="7">
        <f>H5-H6</f>
        <v>5.5</v>
      </c>
      <c r="P7" s="7">
        <f>P5-P6</f>
        <v>4</v>
      </c>
      <c r="X7" s="7">
        <f>X5-X6</f>
        <v>7</v>
      </c>
    </row>
    <row r="9" spans="2:24">
      <c r="B9" s="3">
        <v>75.5</v>
      </c>
      <c r="C9" s="3">
        <v>61.5</v>
      </c>
      <c r="D9" s="3">
        <v>82</v>
      </c>
      <c r="E9" s="3">
        <v>72</v>
      </c>
      <c r="F9" s="3">
        <v>72</v>
      </c>
      <c r="G9" s="3">
        <v>59.5</v>
      </c>
      <c r="J9" s="3">
        <v>73</v>
      </c>
      <c r="K9" s="3">
        <v>67.5</v>
      </c>
      <c r="L9" s="3">
        <v>73.5</v>
      </c>
      <c r="M9" s="3">
        <v>74.5</v>
      </c>
      <c r="N9" s="3">
        <v>75</v>
      </c>
      <c r="O9" s="3">
        <v>64</v>
      </c>
      <c r="R9" s="3">
        <v>75</v>
      </c>
      <c r="S9" s="3">
        <v>68</v>
      </c>
      <c r="T9" s="3">
        <v>69.5</v>
      </c>
      <c r="U9" s="3">
        <v>71</v>
      </c>
      <c r="V9" s="3">
        <v>73</v>
      </c>
      <c r="W9" s="3">
        <v>72</v>
      </c>
    </row>
    <row r="10" spans="2:24">
      <c r="B10" s="7">
        <v>74.5</v>
      </c>
      <c r="C10" s="7">
        <v>64.5</v>
      </c>
      <c r="D10" s="7">
        <v>86.5</v>
      </c>
      <c r="E10" s="7">
        <v>74</v>
      </c>
      <c r="F10" s="7">
        <v>76</v>
      </c>
      <c r="G10" s="7">
        <v>61</v>
      </c>
      <c r="J10" s="7">
        <v>73</v>
      </c>
      <c r="K10" s="7">
        <v>68.5</v>
      </c>
      <c r="L10" s="7">
        <v>75.5</v>
      </c>
      <c r="M10" s="7">
        <v>74.5</v>
      </c>
      <c r="N10" s="7">
        <v>75</v>
      </c>
      <c r="O10" s="7">
        <v>68.5</v>
      </c>
      <c r="R10" s="7">
        <v>75</v>
      </c>
      <c r="S10" s="7">
        <v>69</v>
      </c>
      <c r="T10" s="7">
        <v>69.5</v>
      </c>
      <c r="U10" s="7">
        <v>73</v>
      </c>
      <c r="V10" s="7">
        <v>81.5</v>
      </c>
      <c r="W10" s="7">
        <v>76</v>
      </c>
    </row>
    <row r="11" spans="2:24">
      <c r="B11" s="7">
        <f>B10-B9</f>
        <v>-1</v>
      </c>
      <c r="C11" s="7">
        <f t="shared" ref="C11:G11" si="3">C10-C9</f>
        <v>3</v>
      </c>
      <c r="D11" s="7">
        <f t="shared" si="3"/>
        <v>4.5</v>
      </c>
      <c r="E11" s="7">
        <f t="shared" si="3"/>
        <v>2</v>
      </c>
      <c r="F11" s="7">
        <f t="shared" si="3"/>
        <v>4</v>
      </c>
      <c r="G11" s="7">
        <f t="shared" si="3"/>
        <v>1.5</v>
      </c>
      <c r="H11" s="7">
        <v>14</v>
      </c>
      <c r="J11" s="7">
        <f>J10-J9</f>
        <v>0</v>
      </c>
      <c r="K11" s="7">
        <f t="shared" ref="K11:O11" si="4">K10-K9</f>
        <v>1</v>
      </c>
      <c r="L11" s="7">
        <f t="shared" si="4"/>
        <v>2</v>
      </c>
      <c r="M11" s="7">
        <f t="shared" si="4"/>
        <v>0</v>
      </c>
      <c r="N11" s="7">
        <f t="shared" si="4"/>
        <v>0</v>
      </c>
      <c r="O11" s="7">
        <f t="shared" si="4"/>
        <v>4.5</v>
      </c>
      <c r="P11" s="7">
        <v>7.5</v>
      </c>
      <c r="R11" s="7">
        <f>R10-R9</f>
        <v>0</v>
      </c>
      <c r="S11" s="7">
        <f t="shared" ref="S11:W11" si="5">S10-S9</f>
        <v>1</v>
      </c>
      <c r="T11" s="7">
        <f t="shared" si="5"/>
        <v>0</v>
      </c>
      <c r="U11" s="7">
        <f t="shared" si="5"/>
        <v>2</v>
      </c>
      <c r="V11" s="7">
        <f t="shared" si="5"/>
        <v>8.5</v>
      </c>
      <c r="W11" s="7">
        <f t="shared" si="5"/>
        <v>4</v>
      </c>
      <c r="X11" s="7">
        <v>15.5</v>
      </c>
    </row>
    <row r="12" spans="2:24">
      <c r="B12" s="7">
        <v>-1.5</v>
      </c>
      <c r="C12" s="7">
        <v>2.5</v>
      </c>
      <c r="D12" s="7">
        <v>4</v>
      </c>
      <c r="E12" s="7">
        <v>1.5</v>
      </c>
      <c r="F12" s="7">
        <v>4</v>
      </c>
      <c r="G12" s="7">
        <v>1</v>
      </c>
      <c r="H12" s="7">
        <v>11.5</v>
      </c>
      <c r="J12" s="7">
        <v>0</v>
      </c>
      <c r="K12" s="7">
        <v>1</v>
      </c>
      <c r="L12" s="7">
        <v>2</v>
      </c>
      <c r="M12" s="7">
        <v>0</v>
      </c>
      <c r="N12" s="7">
        <v>0</v>
      </c>
      <c r="O12" s="7">
        <v>1</v>
      </c>
      <c r="P12" s="7">
        <v>4</v>
      </c>
      <c r="R12" s="7">
        <v>0</v>
      </c>
      <c r="S12" s="7">
        <v>-1.5</v>
      </c>
      <c r="T12" s="7">
        <v>0</v>
      </c>
      <c r="U12" s="7">
        <v>-2.5</v>
      </c>
      <c r="V12" s="7">
        <v>8.5</v>
      </c>
      <c r="W12" s="7">
        <v>2</v>
      </c>
      <c r="X12" s="7">
        <v>6.5</v>
      </c>
    </row>
    <row r="13" spans="2:24">
      <c r="H13" s="7">
        <f>H11-H12</f>
        <v>2.5</v>
      </c>
      <c r="P13" s="7">
        <f>P11-P12</f>
        <v>3.5</v>
      </c>
      <c r="X13" s="7">
        <f>X11-X12</f>
        <v>9</v>
      </c>
    </row>
    <row r="15" spans="2:24">
      <c r="B15" s="3">
        <v>66.5</v>
      </c>
      <c r="C15" s="3">
        <v>80</v>
      </c>
      <c r="D15" s="3">
        <v>61.5</v>
      </c>
      <c r="E15" s="3">
        <v>69.5</v>
      </c>
      <c r="F15" s="3">
        <v>62</v>
      </c>
      <c r="G15" s="3">
        <v>65.5</v>
      </c>
      <c r="J15" s="3">
        <v>69</v>
      </c>
      <c r="K15" s="3">
        <v>63.5</v>
      </c>
      <c r="L15" s="3">
        <v>68</v>
      </c>
      <c r="M15" s="3">
        <v>79</v>
      </c>
      <c r="N15" s="3">
        <v>77</v>
      </c>
      <c r="O15" s="3">
        <v>56</v>
      </c>
      <c r="R15" s="3">
        <v>75.5</v>
      </c>
      <c r="S15" s="3">
        <v>61.5</v>
      </c>
      <c r="T15" s="3">
        <v>82</v>
      </c>
      <c r="U15" s="3">
        <v>72</v>
      </c>
      <c r="V15" s="3">
        <v>72</v>
      </c>
      <c r="W15" s="3">
        <v>59.5</v>
      </c>
    </row>
    <row r="16" spans="2:24">
      <c r="B16" s="7">
        <v>72</v>
      </c>
      <c r="C16" s="7">
        <v>81.5</v>
      </c>
      <c r="D16" s="7">
        <v>64.5</v>
      </c>
      <c r="E16" s="7">
        <v>70.5</v>
      </c>
      <c r="F16" s="7">
        <v>62</v>
      </c>
      <c r="G16" s="7">
        <v>64.5</v>
      </c>
      <c r="J16" s="7">
        <v>71.5</v>
      </c>
      <c r="K16" s="7">
        <v>71.5</v>
      </c>
      <c r="L16" s="7">
        <v>73.5</v>
      </c>
      <c r="M16" s="7">
        <v>81</v>
      </c>
      <c r="N16" s="7">
        <v>78</v>
      </c>
      <c r="O16" s="7">
        <v>58</v>
      </c>
      <c r="R16" s="7">
        <v>74.5</v>
      </c>
      <c r="S16" s="7">
        <v>64.5</v>
      </c>
      <c r="T16" s="7">
        <v>86.5</v>
      </c>
      <c r="U16" s="7">
        <v>74</v>
      </c>
      <c r="V16" s="7">
        <v>76</v>
      </c>
      <c r="W16" s="7">
        <v>61</v>
      </c>
    </row>
    <row r="17" spans="2:24">
      <c r="B17" s="7">
        <f>B16-B15</f>
        <v>5.5</v>
      </c>
      <c r="C17" s="7">
        <f t="shared" ref="C17:G17" si="6">C16-C15</f>
        <v>1.5</v>
      </c>
      <c r="D17" s="7">
        <f t="shared" si="6"/>
        <v>3</v>
      </c>
      <c r="E17" s="7">
        <f t="shared" si="6"/>
        <v>1</v>
      </c>
      <c r="F17" s="7">
        <f t="shared" si="6"/>
        <v>0</v>
      </c>
      <c r="G17" s="7">
        <f t="shared" si="6"/>
        <v>-1</v>
      </c>
      <c r="H17" s="7">
        <f>SUM(B17:G17)</f>
        <v>10</v>
      </c>
      <c r="J17" s="7">
        <f>J16-J15</f>
        <v>2.5</v>
      </c>
      <c r="K17" s="7">
        <f t="shared" ref="K17:O17" si="7">K16-K15</f>
        <v>8</v>
      </c>
      <c r="L17" s="7">
        <f t="shared" si="7"/>
        <v>5.5</v>
      </c>
      <c r="M17" s="7">
        <f t="shared" si="7"/>
        <v>2</v>
      </c>
      <c r="N17" s="7">
        <f t="shared" si="7"/>
        <v>1</v>
      </c>
      <c r="O17" s="7">
        <f t="shared" si="7"/>
        <v>2</v>
      </c>
      <c r="P17" s="7">
        <f>SUM(J17:O17)</f>
        <v>21</v>
      </c>
      <c r="R17" s="7">
        <f>R16-R15</f>
        <v>-1</v>
      </c>
      <c r="S17" s="7">
        <f t="shared" ref="S17:W17" si="8">S16-S15</f>
        <v>3</v>
      </c>
      <c r="T17" s="7">
        <f t="shared" si="8"/>
        <v>4.5</v>
      </c>
      <c r="U17" s="7">
        <f t="shared" si="8"/>
        <v>2</v>
      </c>
      <c r="V17" s="7">
        <f t="shared" si="8"/>
        <v>4</v>
      </c>
      <c r="W17" s="7">
        <f t="shared" si="8"/>
        <v>1.5</v>
      </c>
      <c r="X17" s="7">
        <f>SUM(R17:W17)</f>
        <v>14</v>
      </c>
    </row>
    <row r="18" spans="2:24">
      <c r="B18" s="7">
        <v>4.5</v>
      </c>
      <c r="C18" s="7">
        <v>1.5</v>
      </c>
      <c r="D18" s="7">
        <v>2</v>
      </c>
      <c r="E18" s="7">
        <v>-0.5</v>
      </c>
      <c r="F18" s="7">
        <v>0</v>
      </c>
      <c r="G18" s="7">
        <v>-1</v>
      </c>
      <c r="H18" s="7">
        <f>SUM(B18:G18)</f>
        <v>6.5</v>
      </c>
      <c r="J18" s="7">
        <v>1</v>
      </c>
      <c r="K18" s="7">
        <v>5.5</v>
      </c>
      <c r="L18" s="7">
        <v>4.5</v>
      </c>
      <c r="M18" s="7">
        <v>1.5</v>
      </c>
      <c r="N18" s="7">
        <v>0.5</v>
      </c>
      <c r="O18" s="7">
        <v>0</v>
      </c>
      <c r="P18" s="7">
        <f>SUM(J18:O18)</f>
        <v>13</v>
      </c>
      <c r="R18" s="7">
        <v>-1.5</v>
      </c>
      <c r="S18" s="7">
        <v>2.5</v>
      </c>
      <c r="T18" s="7">
        <v>4</v>
      </c>
      <c r="U18" s="7">
        <v>1.5</v>
      </c>
      <c r="V18" s="7">
        <v>4</v>
      </c>
      <c r="W18" s="7">
        <v>1</v>
      </c>
      <c r="X18" s="7">
        <f>SUM(R18:W18)</f>
        <v>11.5</v>
      </c>
    </row>
    <row r="19" spans="2:24">
      <c r="H19" s="7">
        <f>H17-H18</f>
        <v>3.5</v>
      </c>
      <c r="P19" s="7">
        <f>P17-P18</f>
        <v>8</v>
      </c>
      <c r="X19" s="7">
        <f>X17-X18</f>
        <v>2.5</v>
      </c>
    </row>
    <row r="21" spans="2:24">
      <c r="B21" s="3">
        <v>76</v>
      </c>
      <c r="C21" s="3">
        <v>68.5</v>
      </c>
      <c r="D21" s="3">
        <v>81</v>
      </c>
      <c r="E21" s="3">
        <v>74</v>
      </c>
      <c r="F21" s="3">
        <v>71.5</v>
      </c>
      <c r="G21" s="3">
        <v>75.5</v>
      </c>
    </row>
    <row r="22" spans="2:24">
      <c r="B22" s="7">
        <v>78</v>
      </c>
      <c r="C22" s="7">
        <v>69.5</v>
      </c>
      <c r="D22" s="7">
        <v>80</v>
      </c>
      <c r="E22" s="7">
        <v>77.5</v>
      </c>
      <c r="F22" s="7">
        <v>72.5</v>
      </c>
      <c r="G22" s="7">
        <v>78</v>
      </c>
    </row>
    <row r="23" spans="2:24">
      <c r="B23" s="7">
        <f>B22-B21</f>
        <v>2</v>
      </c>
      <c r="C23" s="7">
        <f t="shared" ref="C23:G23" si="9">C22-C21</f>
        <v>1</v>
      </c>
      <c r="D23" s="7">
        <f t="shared" si="9"/>
        <v>-1</v>
      </c>
      <c r="E23" s="7">
        <f t="shared" si="9"/>
        <v>3.5</v>
      </c>
      <c r="F23" s="7">
        <f t="shared" si="9"/>
        <v>1</v>
      </c>
      <c r="G23" s="7">
        <f t="shared" si="9"/>
        <v>2.5</v>
      </c>
      <c r="H23" s="7">
        <f>SUM(B23:G23)</f>
        <v>9</v>
      </c>
    </row>
    <row r="24" spans="2:24">
      <c r="B24" s="7">
        <v>1.5</v>
      </c>
      <c r="C24" s="7">
        <v>0.5</v>
      </c>
      <c r="D24" s="7">
        <v>-1.5</v>
      </c>
      <c r="E24" s="7">
        <v>3.5</v>
      </c>
      <c r="F24" s="7">
        <v>-3</v>
      </c>
      <c r="G24" s="7">
        <v>2.5</v>
      </c>
      <c r="H24" s="7">
        <f>SUM(B24:G24)</f>
        <v>3.5</v>
      </c>
    </row>
    <row r="25" spans="2:24">
      <c r="H25" s="7">
        <f>H23-H24</f>
        <v>5.5</v>
      </c>
    </row>
  </sheetData>
  <conditionalFormatting sqref="R3:W3">
    <cfRule type="cellIs" dxfId="9" priority="17" operator="greaterThan">
      <formula>80</formula>
    </cfRule>
  </conditionalFormatting>
  <conditionalFormatting sqref="B3:G3">
    <cfRule type="cellIs" dxfId="8" priority="16" operator="greaterThan">
      <formula>80</formula>
    </cfRule>
  </conditionalFormatting>
  <conditionalFormatting sqref="J3:O3">
    <cfRule type="cellIs" dxfId="7" priority="15" operator="greaterThan">
      <formula>80</formula>
    </cfRule>
  </conditionalFormatting>
  <conditionalFormatting sqref="B9:G9">
    <cfRule type="cellIs" dxfId="6" priority="11" operator="greaterThan">
      <formula>80</formula>
    </cfRule>
  </conditionalFormatting>
  <conditionalFormatting sqref="J9:O9">
    <cfRule type="cellIs" dxfId="5" priority="10" operator="greaterThan">
      <formula>80</formula>
    </cfRule>
  </conditionalFormatting>
  <conditionalFormatting sqref="R9:W9">
    <cfRule type="cellIs" dxfId="4" priority="9" operator="greaterThan">
      <formula>80</formula>
    </cfRule>
  </conditionalFormatting>
  <conditionalFormatting sqref="R15:W15">
    <cfRule type="cellIs" dxfId="3" priority="6" operator="greaterThan">
      <formula>80</formula>
    </cfRule>
  </conditionalFormatting>
  <conditionalFormatting sqref="B15:G15">
    <cfRule type="cellIs" dxfId="2" priority="4" operator="greaterThan">
      <formula>80</formula>
    </cfRule>
  </conditionalFormatting>
  <conditionalFormatting sqref="J15:O15">
    <cfRule type="cellIs" dxfId="1" priority="2" operator="greaterThan">
      <formula>80</formula>
    </cfRule>
  </conditionalFormatting>
  <conditionalFormatting sqref="B21:G21">
    <cfRule type="cellIs" dxfId="0" priority="1" operator="greaterThan">
      <formula>80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B1:L88"/>
  <sheetViews>
    <sheetView topLeftCell="B1" workbookViewId="0">
      <selection activeCell="I2" sqref="I2"/>
    </sheetView>
  </sheetViews>
  <sheetFormatPr defaultRowHeight="14.25"/>
  <sheetData>
    <row r="1" spans="2:12">
      <c r="B1" t="s">
        <v>34</v>
      </c>
    </row>
    <row r="2" spans="2:12">
      <c r="B2">
        <v>73</v>
      </c>
      <c r="C2">
        <v>73</v>
      </c>
      <c r="D2">
        <v>79</v>
      </c>
      <c r="E2">
        <v>11</v>
      </c>
      <c r="F2">
        <v>81.8</v>
      </c>
      <c r="G2">
        <v>81.8</v>
      </c>
      <c r="H2">
        <f>F2-G2</f>
        <v>0</v>
      </c>
    </row>
    <row r="3" spans="2:12">
      <c r="B3">
        <v>69.5</v>
      </c>
      <c r="C3">
        <v>69.5</v>
      </c>
      <c r="D3">
        <v>69.5</v>
      </c>
      <c r="E3">
        <v>11</v>
      </c>
      <c r="F3">
        <v>100</v>
      </c>
      <c r="G3">
        <v>100</v>
      </c>
      <c r="H3">
        <f t="shared" ref="H3:H66" si="0">F3-G3</f>
        <v>0</v>
      </c>
    </row>
    <row r="4" spans="2:12">
      <c r="B4">
        <v>79.5</v>
      </c>
      <c r="C4">
        <v>79.5</v>
      </c>
      <c r="D4">
        <v>82</v>
      </c>
      <c r="E4">
        <v>11</v>
      </c>
      <c r="F4">
        <v>90.9</v>
      </c>
      <c r="G4">
        <v>90.9</v>
      </c>
      <c r="H4">
        <f t="shared" si="0"/>
        <v>0</v>
      </c>
      <c r="K4">
        <v>100</v>
      </c>
      <c r="L4">
        <v>150</v>
      </c>
    </row>
    <row r="5" spans="2:12">
      <c r="B5">
        <v>75.5</v>
      </c>
      <c r="C5">
        <v>75.5</v>
      </c>
      <c r="D5">
        <v>78.5</v>
      </c>
      <c r="E5">
        <v>11</v>
      </c>
      <c r="F5">
        <v>81.8</v>
      </c>
      <c r="G5">
        <v>81.8</v>
      </c>
      <c r="H5">
        <f t="shared" si="0"/>
        <v>0</v>
      </c>
      <c r="K5">
        <v>100</v>
      </c>
      <c r="L5">
        <f>L4*2</f>
        <v>300</v>
      </c>
    </row>
    <row r="6" spans="2:12">
      <c r="B6">
        <v>73</v>
      </c>
      <c r="C6">
        <v>73</v>
      </c>
      <c r="D6">
        <v>74.5</v>
      </c>
      <c r="E6">
        <v>11</v>
      </c>
      <c r="F6">
        <v>90.9</v>
      </c>
      <c r="G6">
        <v>90.9</v>
      </c>
      <c r="H6">
        <f t="shared" si="0"/>
        <v>0</v>
      </c>
      <c r="L6">
        <f>SUM(K5:L5)/3</f>
        <v>133.33333333333334</v>
      </c>
    </row>
    <row r="7" spans="2:12">
      <c r="B7">
        <v>75</v>
      </c>
      <c r="C7">
        <v>75</v>
      </c>
      <c r="D7">
        <v>81</v>
      </c>
      <c r="E7">
        <v>11</v>
      </c>
      <c r="F7">
        <v>81.8</v>
      </c>
      <c r="G7">
        <v>81.8</v>
      </c>
      <c r="H7">
        <f t="shared" si="0"/>
        <v>0</v>
      </c>
    </row>
    <row r="8" spans="2:12">
      <c r="B8">
        <v>72</v>
      </c>
      <c r="C8">
        <v>66.5</v>
      </c>
      <c r="D8">
        <v>77</v>
      </c>
      <c r="E8">
        <v>11</v>
      </c>
      <c r="F8">
        <v>90.9</v>
      </c>
      <c r="G8">
        <v>90.9</v>
      </c>
      <c r="H8">
        <f t="shared" si="0"/>
        <v>0</v>
      </c>
    </row>
    <row r="9" spans="2:12">
      <c r="B9">
        <v>68</v>
      </c>
      <c r="C9">
        <v>67.5</v>
      </c>
      <c r="D9">
        <v>71.5</v>
      </c>
      <c r="E9">
        <v>11</v>
      </c>
      <c r="F9">
        <v>81.8</v>
      </c>
      <c r="G9">
        <v>81.8</v>
      </c>
      <c r="H9">
        <f t="shared" si="0"/>
        <v>0</v>
      </c>
    </row>
    <row r="10" spans="2:12">
      <c r="B10">
        <v>72.5</v>
      </c>
      <c r="C10">
        <v>69</v>
      </c>
      <c r="D10">
        <v>75</v>
      </c>
      <c r="E10">
        <v>11</v>
      </c>
      <c r="F10">
        <v>72.7</v>
      </c>
      <c r="G10">
        <v>63.6</v>
      </c>
      <c r="H10">
        <f t="shared" si="0"/>
        <v>9.1000000000000014</v>
      </c>
    </row>
    <row r="11" spans="2:12">
      <c r="B11">
        <v>76</v>
      </c>
      <c r="C11">
        <v>76</v>
      </c>
      <c r="D11">
        <v>79.5</v>
      </c>
      <c r="E11">
        <v>11</v>
      </c>
      <c r="F11">
        <v>72.7</v>
      </c>
      <c r="G11">
        <v>63.6</v>
      </c>
      <c r="H11">
        <f t="shared" si="0"/>
        <v>9.1000000000000014</v>
      </c>
    </row>
    <row r="12" spans="2:12">
      <c r="B12" t="s">
        <v>39</v>
      </c>
      <c r="H12">
        <f t="shared" si="0"/>
        <v>0</v>
      </c>
    </row>
    <row r="13" spans="2:12">
      <c r="B13">
        <v>66.5</v>
      </c>
      <c r="C13">
        <v>66.5</v>
      </c>
      <c r="D13">
        <v>72</v>
      </c>
      <c r="E13">
        <v>11</v>
      </c>
      <c r="F13">
        <v>90.9</v>
      </c>
      <c r="G13">
        <v>90.9</v>
      </c>
      <c r="H13">
        <f t="shared" si="0"/>
        <v>0</v>
      </c>
    </row>
    <row r="14" spans="2:12">
      <c r="B14">
        <v>73</v>
      </c>
      <c r="C14">
        <v>67</v>
      </c>
      <c r="D14">
        <v>77.5</v>
      </c>
      <c r="E14">
        <v>11</v>
      </c>
      <c r="F14">
        <v>81.8</v>
      </c>
      <c r="G14">
        <v>72.7</v>
      </c>
      <c r="H14">
        <f t="shared" si="0"/>
        <v>9.0999999999999943</v>
      </c>
    </row>
    <row r="15" spans="2:12">
      <c r="B15">
        <v>70</v>
      </c>
      <c r="C15">
        <v>69</v>
      </c>
      <c r="D15">
        <v>71</v>
      </c>
      <c r="E15">
        <v>11</v>
      </c>
      <c r="F15">
        <v>90.9</v>
      </c>
      <c r="G15">
        <v>81.8</v>
      </c>
      <c r="H15">
        <f t="shared" si="0"/>
        <v>9.1000000000000085</v>
      </c>
    </row>
    <row r="16" spans="2:12">
      <c r="B16">
        <v>65.5</v>
      </c>
      <c r="C16">
        <v>61.5</v>
      </c>
      <c r="D16">
        <v>73.5</v>
      </c>
      <c r="E16">
        <v>11</v>
      </c>
      <c r="F16">
        <v>63.6</v>
      </c>
      <c r="G16">
        <v>45.5</v>
      </c>
      <c r="H16">
        <f t="shared" si="0"/>
        <v>18.100000000000001</v>
      </c>
    </row>
    <row r="17" spans="2:8">
      <c r="B17">
        <v>70.5</v>
      </c>
      <c r="C17">
        <v>67.5</v>
      </c>
      <c r="D17">
        <v>74</v>
      </c>
      <c r="E17">
        <v>11</v>
      </c>
      <c r="F17">
        <v>81.8</v>
      </c>
      <c r="G17">
        <v>81.8</v>
      </c>
      <c r="H17">
        <f t="shared" si="0"/>
        <v>0</v>
      </c>
    </row>
    <row r="18" spans="2:8">
      <c r="B18">
        <v>66.5</v>
      </c>
      <c r="C18">
        <v>68</v>
      </c>
      <c r="D18">
        <v>72.5</v>
      </c>
      <c r="E18">
        <v>11</v>
      </c>
      <c r="F18">
        <v>54.5</v>
      </c>
      <c r="G18">
        <v>63.6</v>
      </c>
      <c r="H18">
        <f t="shared" si="0"/>
        <v>-9.1000000000000014</v>
      </c>
    </row>
    <row r="19" spans="2:8">
      <c r="B19">
        <v>76.5</v>
      </c>
      <c r="C19">
        <v>80</v>
      </c>
      <c r="D19">
        <v>83.5</v>
      </c>
      <c r="E19">
        <v>11</v>
      </c>
      <c r="F19">
        <v>72.7</v>
      </c>
      <c r="G19">
        <v>72.7</v>
      </c>
      <c r="H19">
        <f t="shared" si="0"/>
        <v>0</v>
      </c>
    </row>
    <row r="20" spans="2:8">
      <c r="B20">
        <v>68.5</v>
      </c>
      <c r="C20">
        <v>64</v>
      </c>
      <c r="D20">
        <v>78</v>
      </c>
      <c r="E20">
        <v>11</v>
      </c>
      <c r="F20">
        <v>63.6</v>
      </c>
      <c r="G20">
        <v>54.5</v>
      </c>
      <c r="H20">
        <f t="shared" si="0"/>
        <v>9.1000000000000014</v>
      </c>
    </row>
    <row r="21" spans="2:8">
      <c r="B21">
        <v>69</v>
      </c>
      <c r="C21">
        <v>63.5</v>
      </c>
      <c r="D21">
        <v>74.5</v>
      </c>
      <c r="E21">
        <v>11</v>
      </c>
      <c r="F21">
        <v>81.8</v>
      </c>
      <c r="G21">
        <v>72.7</v>
      </c>
      <c r="H21">
        <f t="shared" si="0"/>
        <v>9.0999999999999943</v>
      </c>
    </row>
    <row r="22" spans="2:8">
      <c r="B22">
        <v>70</v>
      </c>
      <c r="C22">
        <v>68.5</v>
      </c>
      <c r="D22">
        <v>72.5</v>
      </c>
      <c r="E22">
        <v>11</v>
      </c>
      <c r="F22">
        <v>100</v>
      </c>
      <c r="G22">
        <v>90.9</v>
      </c>
      <c r="H22">
        <f t="shared" si="0"/>
        <v>9.0999999999999943</v>
      </c>
    </row>
    <row r="23" spans="2:8">
      <c r="B23" t="s">
        <v>40</v>
      </c>
      <c r="H23">
        <f t="shared" si="0"/>
        <v>0</v>
      </c>
    </row>
    <row r="24" spans="2:8">
      <c r="B24">
        <v>81</v>
      </c>
      <c r="C24">
        <v>75.5</v>
      </c>
      <c r="D24">
        <v>81</v>
      </c>
      <c r="E24">
        <v>11</v>
      </c>
      <c r="F24">
        <v>90.9</v>
      </c>
      <c r="G24">
        <v>81.8</v>
      </c>
      <c r="H24">
        <f t="shared" si="0"/>
        <v>9.1000000000000085</v>
      </c>
    </row>
    <row r="25" spans="2:8">
      <c r="B25">
        <v>73</v>
      </c>
      <c r="C25">
        <v>73</v>
      </c>
      <c r="D25">
        <v>75</v>
      </c>
      <c r="E25">
        <v>11</v>
      </c>
      <c r="F25">
        <v>90.9</v>
      </c>
      <c r="G25">
        <v>90.9</v>
      </c>
      <c r="H25">
        <f t="shared" si="0"/>
        <v>0</v>
      </c>
    </row>
    <row r="26" spans="2:8">
      <c r="B26">
        <v>83.5</v>
      </c>
      <c r="C26">
        <v>87</v>
      </c>
      <c r="D26">
        <v>89.5</v>
      </c>
      <c r="E26">
        <v>11</v>
      </c>
      <c r="F26">
        <v>90.9</v>
      </c>
      <c r="G26">
        <v>90.9</v>
      </c>
      <c r="H26">
        <f t="shared" si="0"/>
        <v>0</v>
      </c>
    </row>
    <row r="27" spans="2:8">
      <c r="B27">
        <v>83.5</v>
      </c>
      <c r="C27">
        <v>82</v>
      </c>
      <c r="D27">
        <v>86.5</v>
      </c>
      <c r="E27">
        <v>11</v>
      </c>
      <c r="F27">
        <v>81.8</v>
      </c>
      <c r="G27">
        <v>72.7</v>
      </c>
      <c r="H27">
        <f t="shared" si="0"/>
        <v>9.0999999999999943</v>
      </c>
    </row>
    <row r="28" spans="2:8">
      <c r="B28">
        <v>73.5</v>
      </c>
      <c r="C28">
        <v>73.5</v>
      </c>
      <c r="D28">
        <v>75.5</v>
      </c>
      <c r="E28">
        <v>11</v>
      </c>
      <c r="F28">
        <v>90.9</v>
      </c>
      <c r="G28">
        <v>90.9</v>
      </c>
      <c r="H28">
        <f t="shared" si="0"/>
        <v>0</v>
      </c>
    </row>
    <row r="29" spans="2:8">
      <c r="B29">
        <v>70</v>
      </c>
      <c r="C29">
        <v>69.5</v>
      </c>
      <c r="D29">
        <v>73</v>
      </c>
      <c r="E29">
        <v>11</v>
      </c>
      <c r="F29">
        <v>81.8</v>
      </c>
      <c r="G29">
        <v>90.9</v>
      </c>
      <c r="H29">
        <f t="shared" si="0"/>
        <v>-9.1000000000000085</v>
      </c>
    </row>
    <row r="30" spans="2:8">
      <c r="B30">
        <v>61</v>
      </c>
      <c r="C30">
        <v>61.5</v>
      </c>
      <c r="D30">
        <v>66</v>
      </c>
      <c r="E30">
        <v>11</v>
      </c>
      <c r="F30">
        <v>81.8</v>
      </c>
      <c r="G30">
        <v>81.8</v>
      </c>
      <c r="H30">
        <f t="shared" si="0"/>
        <v>0</v>
      </c>
    </row>
    <row r="31" spans="2:8">
      <c r="B31">
        <v>74.5</v>
      </c>
      <c r="C31">
        <v>75</v>
      </c>
      <c r="D31">
        <v>79.5</v>
      </c>
      <c r="E31">
        <v>11</v>
      </c>
      <c r="F31">
        <v>63.6</v>
      </c>
      <c r="G31">
        <v>63.6</v>
      </c>
      <c r="H31">
        <f t="shared" si="0"/>
        <v>0</v>
      </c>
    </row>
    <row r="32" spans="2:8">
      <c r="B32">
        <v>69.5</v>
      </c>
      <c r="C32">
        <v>68</v>
      </c>
      <c r="D32">
        <v>79.5</v>
      </c>
      <c r="E32">
        <v>11</v>
      </c>
      <c r="F32">
        <v>63.6</v>
      </c>
      <c r="G32">
        <v>63.6</v>
      </c>
      <c r="H32">
        <f t="shared" si="0"/>
        <v>0</v>
      </c>
    </row>
    <row r="33" spans="2:8">
      <c r="B33">
        <v>80.5</v>
      </c>
      <c r="C33">
        <v>81</v>
      </c>
      <c r="D33">
        <v>83</v>
      </c>
      <c r="E33">
        <v>11</v>
      </c>
      <c r="F33">
        <v>90.9</v>
      </c>
      <c r="G33">
        <v>90.9</v>
      </c>
      <c r="H33">
        <f t="shared" si="0"/>
        <v>0</v>
      </c>
    </row>
    <row r="34" spans="2:8">
      <c r="B34" t="s">
        <v>41</v>
      </c>
      <c r="H34">
        <f t="shared" si="0"/>
        <v>0</v>
      </c>
    </row>
    <row r="35" spans="2:8">
      <c r="B35">
        <v>60</v>
      </c>
      <c r="C35">
        <v>60</v>
      </c>
      <c r="D35">
        <v>64.5</v>
      </c>
      <c r="E35">
        <v>11</v>
      </c>
      <c r="F35">
        <v>72.7</v>
      </c>
      <c r="G35">
        <v>72.7</v>
      </c>
      <c r="H35">
        <f t="shared" si="0"/>
        <v>0</v>
      </c>
    </row>
    <row r="36" spans="2:8">
      <c r="B36">
        <v>71.5</v>
      </c>
      <c r="C36">
        <v>72</v>
      </c>
      <c r="D36">
        <v>75.5</v>
      </c>
      <c r="E36">
        <v>11</v>
      </c>
      <c r="F36">
        <v>90.9</v>
      </c>
      <c r="G36">
        <v>90.9</v>
      </c>
      <c r="H36">
        <f t="shared" si="0"/>
        <v>0</v>
      </c>
    </row>
    <row r="37" spans="2:8">
      <c r="B37">
        <v>81</v>
      </c>
      <c r="C37">
        <v>81.5</v>
      </c>
      <c r="D37">
        <v>85</v>
      </c>
      <c r="E37">
        <v>11</v>
      </c>
      <c r="F37">
        <v>81.8</v>
      </c>
      <c r="G37">
        <v>90.9</v>
      </c>
      <c r="H37">
        <f t="shared" si="0"/>
        <v>-9.1000000000000085</v>
      </c>
    </row>
    <row r="38" spans="2:8">
      <c r="B38">
        <v>72</v>
      </c>
      <c r="C38">
        <v>72</v>
      </c>
      <c r="D38">
        <v>75.5</v>
      </c>
      <c r="E38">
        <v>11</v>
      </c>
      <c r="F38">
        <v>90.9</v>
      </c>
      <c r="G38">
        <v>90.9</v>
      </c>
      <c r="H38">
        <f t="shared" si="0"/>
        <v>0</v>
      </c>
    </row>
    <row r="39" spans="2:8">
      <c r="B39">
        <v>73</v>
      </c>
      <c r="C39">
        <v>74.5</v>
      </c>
      <c r="D39">
        <v>77</v>
      </c>
      <c r="E39">
        <v>11</v>
      </c>
      <c r="F39">
        <v>81.8</v>
      </c>
      <c r="G39">
        <v>90.9</v>
      </c>
      <c r="H39">
        <f t="shared" si="0"/>
        <v>-9.1000000000000085</v>
      </c>
    </row>
    <row r="40" spans="2:8">
      <c r="B40">
        <v>74</v>
      </c>
      <c r="C40">
        <v>71</v>
      </c>
      <c r="D40">
        <v>83.5</v>
      </c>
      <c r="E40">
        <v>11</v>
      </c>
      <c r="F40">
        <v>72.7</v>
      </c>
      <c r="G40">
        <v>63.6</v>
      </c>
      <c r="H40">
        <f t="shared" si="0"/>
        <v>9.1000000000000014</v>
      </c>
    </row>
    <row r="41" spans="2:8">
      <c r="B41">
        <v>69.5</v>
      </c>
      <c r="C41">
        <v>69.5</v>
      </c>
      <c r="D41">
        <v>74.5</v>
      </c>
      <c r="E41">
        <v>11</v>
      </c>
      <c r="F41">
        <v>72.7</v>
      </c>
      <c r="G41">
        <v>72.7</v>
      </c>
      <c r="H41">
        <f t="shared" si="0"/>
        <v>0</v>
      </c>
    </row>
    <row r="42" spans="2:8">
      <c r="B42">
        <v>63</v>
      </c>
      <c r="C42">
        <v>59.5</v>
      </c>
      <c r="D42">
        <v>64.5</v>
      </c>
      <c r="E42">
        <v>11</v>
      </c>
      <c r="F42">
        <v>72.7</v>
      </c>
      <c r="G42">
        <v>63.6</v>
      </c>
      <c r="H42">
        <f t="shared" si="0"/>
        <v>9.1000000000000014</v>
      </c>
    </row>
    <row r="43" spans="2:8">
      <c r="B43">
        <v>80.5</v>
      </c>
      <c r="C43">
        <v>79</v>
      </c>
      <c r="D43">
        <v>82.5</v>
      </c>
      <c r="E43">
        <v>11</v>
      </c>
      <c r="F43">
        <v>81.8</v>
      </c>
      <c r="G43">
        <v>72.7</v>
      </c>
      <c r="H43">
        <f t="shared" si="0"/>
        <v>9.0999999999999943</v>
      </c>
    </row>
    <row r="44" spans="2:8">
      <c r="B44">
        <v>77</v>
      </c>
      <c r="C44">
        <v>74</v>
      </c>
      <c r="D44">
        <v>80.5</v>
      </c>
      <c r="E44">
        <v>11</v>
      </c>
      <c r="F44">
        <v>90.9</v>
      </c>
      <c r="G44">
        <v>90.9</v>
      </c>
      <c r="H44">
        <f t="shared" si="0"/>
        <v>0</v>
      </c>
    </row>
    <row r="45" spans="2:8">
      <c r="B45" t="s">
        <v>42</v>
      </c>
      <c r="H45">
        <f t="shared" si="0"/>
        <v>0</v>
      </c>
    </row>
    <row r="46" spans="2:8">
      <c r="B46">
        <v>67.5</v>
      </c>
      <c r="C46">
        <v>63.5</v>
      </c>
      <c r="D46">
        <v>71.5</v>
      </c>
      <c r="E46">
        <v>11</v>
      </c>
      <c r="F46">
        <v>63.6</v>
      </c>
      <c r="G46">
        <v>54.5</v>
      </c>
      <c r="H46">
        <f t="shared" si="0"/>
        <v>9.1000000000000014</v>
      </c>
    </row>
    <row r="47" spans="2:8">
      <c r="B47">
        <v>82.5</v>
      </c>
      <c r="C47">
        <v>82.5</v>
      </c>
      <c r="D47">
        <v>83.5</v>
      </c>
      <c r="E47">
        <v>11</v>
      </c>
      <c r="F47">
        <v>90.9</v>
      </c>
      <c r="G47">
        <v>90.9</v>
      </c>
      <c r="H47">
        <f t="shared" si="0"/>
        <v>0</v>
      </c>
    </row>
    <row r="48" spans="2:8">
      <c r="B48">
        <v>72.5</v>
      </c>
      <c r="C48">
        <v>73.5</v>
      </c>
      <c r="D48">
        <v>79.5</v>
      </c>
      <c r="E48">
        <v>11</v>
      </c>
      <c r="F48">
        <v>72.7</v>
      </c>
      <c r="G48">
        <v>63.6</v>
      </c>
      <c r="H48">
        <f t="shared" si="0"/>
        <v>9.1000000000000014</v>
      </c>
    </row>
    <row r="49" spans="2:8">
      <c r="B49">
        <v>76</v>
      </c>
      <c r="C49">
        <v>72</v>
      </c>
      <c r="D49">
        <v>79</v>
      </c>
      <c r="E49">
        <v>11</v>
      </c>
      <c r="F49">
        <v>72.7</v>
      </c>
      <c r="G49">
        <v>63.6</v>
      </c>
      <c r="H49">
        <f t="shared" si="0"/>
        <v>9.1000000000000014</v>
      </c>
    </row>
    <row r="50" spans="2:8">
      <c r="B50">
        <v>75</v>
      </c>
      <c r="C50">
        <v>75</v>
      </c>
      <c r="D50">
        <v>81.5</v>
      </c>
      <c r="E50">
        <v>11</v>
      </c>
      <c r="F50">
        <v>72.7</v>
      </c>
      <c r="G50">
        <v>81.8</v>
      </c>
      <c r="H50">
        <f t="shared" si="0"/>
        <v>-9.0999999999999943</v>
      </c>
    </row>
    <row r="51" spans="2:8">
      <c r="B51">
        <v>80</v>
      </c>
      <c r="C51">
        <v>73</v>
      </c>
      <c r="D51">
        <v>83.5</v>
      </c>
      <c r="E51">
        <v>11</v>
      </c>
      <c r="F51">
        <v>81.8</v>
      </c>
      <c r="G51">
        <v>63.6</v>
      </c>
      <c r="H51">
        <f t="shared" si="0"/>
        <v>18.199999999999996</v>
      </c>
    </row>
    <row r="52" spans="2:8">
      <c r="B52">
        <v>62</v>
      </c>
      <c r="C52">
        <v>62</v>
      </c>
      <c r="D52">
        <v>66</v>
      </c>
      <c r="E52">
        <v>11</v>
      </c>
      <c r="F52">
        <v>63.6</v>
      </c>
      <c r="G52">
        <v>63.6</v>
      </c>
      <c r="H52">
        <f t="shared" si="0"/>
        <v>0</v>
      </c>
    </row>
    <row r="53" spans="2:8">
      <c r="B53">
        <v>72</v>
      </c>
      <c r="C53">
        <v>69.5</v>
      </c>
      <c r="D53">
        <v>74</v>
      </c>
      <c r="E53">
        <v>11</v>
      </c>
      <c r="F53">
        <v>90.9</v>
      </c>
      <c r="G53">
        <v>72.7</v>
      </c>
      <c r="H53">
        <f t="shared" si="0"/>
        <v>18.200000000000003</v>
      </c>
    </row>
    <row r="54" spans="2:8">
      <c r="B54">
        <v>81.5</v>
      </c>
      <c r="C54">
        <v>77</v>
      </c>
      <c r="D54">
        <v>84</v>
      </c>
      <c r="E54">
        <v>11</v>
      </c>
      <c r="F54">
        <v>100</v>
      </c>
      <c r="G54">
        <v>90.9</v>
      </c>
      <c r="H54">
        <f t="shared" si="0"/>
        <v>9.0999999999999943</v>
      </c>
    </row>
    <row r="55" spans="2:8">
      <c r="B55">
        <v>70.5</v>
      </c>
      <c r="C55">
        <v>71.5</v>
      </c>
      <c r="D55">
        <v>78.5</v>
      </c>
      <c r="E55">
        <v>11</v>
      </c>
      <c r="F55">
        <v>72.7</v>
      </c>
      <c r="G55">
        <v>72.7</v>
      </c>
      <c r="H55">
        <f t="shared" si="0"/>
        <v>0</v>
      </c>
    </row>
    <row r="56" spans="2:8">
      <c r="B56" t="s">
        <v>43</v>
      </c>
      <c r="H56">
        <f t="shared" si="0"/>
        <v>0</v>
      </c>
    </row>
    <row r="57" spans="2:8">
      <c r="B57">
        <v>62.5</v>
      </c>
      <c r="C57">
        <v>64.5</v>
      </c>
      <c r="D57">
        <v>80.5</v>
      </c>
      <c r="E57">
        <v>11</v>
      </c>
      <c r="F57">
        <v>45.5</v>
      </c>
      <c r="G57">
        <v>54.5</v>
      </c>
      <c r="H57">
        <f t="shared" si="0"/>
        <v>-9</v>
      </c>
    </row>
    <row r="58" spans="2:8">
      <c r="B58">
        <v>71.5</v>
      </c>
      <c r="C58">
        <v>71.5</v>
      </c>
      <c r="D58">
        <v>72.5</v>
      </c>
      <c r="E58">
        <v>11</v>
      </c>
      <c r="F58">
        <v>81.8</v>
      </c>
      <c r="G58">
        <v>81.8</v>
      </c>
      <c r="H58">
        <f t="shared" si="0"/>
        <v>0</v>
      </c>
    </row>
    <row r="59" spans="2:8">
      <c r="B59">
        <v>69</v>
      </c>
      <c r="C59">
        <v>75.5</v>
      </c>
      <c r="D59">
        <v>80.5</v>
      </c>
      <c r="E59">
        <v>11</v>
      </c>
      <c r="F59">
        <v>54.5</v>
      </c>
      <c r="G59">
        <v>72.7</v>
      </c>
      <c r="H59">
        <f t="shared" si="0"/>
        <v>-18.200000000000003</v>
      </c>
    </row>
    <row r="60" spans="2:8">
      <c r="B60">
        <v>59.5</v>
      </c>
      <c r="C60">
        <v>59.5</v>
      </c>
      <c r="D60">
        <v>66.5</v>
      </c>
      <c r="E60">
        <v>11</v>
      </c>
      <c r="F60">
        <v>63.6</v>
      </c>
      <c r="G60">
        <v>63.6</v>
      </c>
      <c r="H60">
        <f t="shared" si="0"/>
        <v>0</v>
      </c>
    </row>
    <row r="61" spans="2:8">
      <c r="B61">
        <v>70</v>
      </c>
      <c r="C61">
        <v>64</v>
      </c>
      <c r="D61">
        <v>73.5</v>
      </c>
      <c r="E61">
        <v>11</v>
      </c>
      <c r="F61">
        <v>90.9</v>
      </c>
      <c r="G61">
        <v>81.8</v>
      </c>
      <c r="H61">
        <f t="shared" si="0"/>
        <v>9.1000000000000085</v>
      </c>
    </row>
    <row r="62" spans="2:8">
      <c r="B62">
        <v>72.5</v>
      </c>
      <c r="C62">
        <v>72</v>
      </c>
      <c r="D62">
        <v>81</v>
      </c>
      <c r="E62">
        <v>11</v>
      </c>
      <c r="F62">
        <v>81.8</v>
      </c>
      <c r="G62">
        <v>72.7</v>
      </c>
      <c r="H62">
        <f t="shared" si="0"/>
        <v>9.0999999999999943</v>
      </c>
    </row>
    <row r="63" spans="2:8">
      <c r="B63">
        <v>65</v>
      </c>
      <c r="C63">
        <v>65.5</v>
      </c>
      <c r="D63">
        <v>72</v>
      </c>
      <c r="E63">
        <v>11</v>
      </c>
      <c r="F63">
        <v>63.6</v>
      </c>
      <c r="G63">
        <v>63.6</v>
      </c>
      <c r="H63">
        <f t="shared" si="0"/>
        <v>0</v>
      </c>
    </row>
    <row r="64" spans="2:8">
      <c r="B64">
        <v>66</v>
      </c>
      <c r="C64">
        <v>66</v>
      </c>
      <c r="D64">
        <v>67.5</v>
      </c>
      <c r="E64">
        <v>10</v>
      </c>
      <c r="F64">
        <v>72.7</v>
      </c>
      <c r="G64">
        <v>72.7</v>
      </c>
      <c r="H64">
        <f t="shared" si="0"/>
        <v>0</v>
      </c>
    </row>
    <row r="65" spans="2:8">
      <c r="B65">
        <v>67</v>
      </c>
      <c r="C65">
        <v>56</v>
      </c>
      <c r="D65">
        <v>75.5</v>
      </c>
      <c r="E65">
        <v>11</v>
      </c>
      <c r="F65">
        <v>54.5</v>
      </c>
      <c r="G65">
        <v>45.5</v>
      </c>
      <c r="H65">
        <f t="shared" si="0"/>
        <v>9</v>
      </c>
    </row>
    <row r="66" spans="2:8">
      <c r="B66">
        <v>73.5</v>
      </c>
      <c r="C66">
        <v>75.5</v>
      </c>
      <c r="D66">
        <v>82.5</v>
      </c>
      <c r="E66">
        <v>11</v>
      </c>
      <c r="F66">
        <v>72.7</v>
      </c>
      <c r="G66">
        <v>63.6</v>
      </c>
      <c r="H66">
        <f t="shared" si="0"/>
        <v>9.1000000000000014</v>
      </c>
    </row>
    <row r="67" spans="2:8">
      <c r="B67" t="s">
        <v>44</v>
      </c>
      <c r="H67">
        <f t="shared" ref="H67:H88" si="1">F67-G67</f>
        <v>0</v>
      </c>
    </row>
    <row r="68" spans="2:8">
      <c r="B68">
        <v>66.5</v>
      </c>
      <c r="C68">
        <v>67</v>
      </c>
      <c r="D68">
        <v>72.5</v>
      </c>
      <c r="E68">
        <v>11</v>
      </c>
      <c r="F68">
        <v>72.7</v>
      </c>
      <c r="G68">
        <v>72.7</v>
      </c>
      <c r="H68">
        <f t="shared" si="1"/>
        <v>0</v>
      </c>
    </row>
    <row r="69" spans="2:8">
      <c r="B69">
        <v>64</v>
      </c>
      <c r="C69">
        <v>63.5</v>
      </c>
      <c r="D69">
        <v>67</v>
      </c>
      <c r="E69">
        <v>11</v>
      </c>
      <c r="F69">
        <v>90.9</v>
      </c>
      <c r="G69">
        <v>90.9</v>
      </c>
      <c r="H69">
        <f t="shared" si="1"/>
        <v>0</v>
      </c>
    </row>
    <row r="70" spans="2:8">
      <c r="B70">
        <v>67.5</v>
      </c>
      <c r="C70">
        <v>63</v>
      </c>
      <c r="D70">
        <v>78</v>
      </c>
      <c r="E70">
        <v>11</v>
      </c>
      <c r="F70">
        <v>63.6</v>
      </c>
      <c r="G70">
        <v>63.6</v>
      </c>
      <c r="H70">
        <f t="shared" si="1"/>
        <v>0</v>
      </c>
    </row>
    <row r="71" spans="2:8">
      <c r="B71">
        <v>67.5</v>
      </c>
      <c r="C71">
        <v>67.5</v>
      </c>
      <c r="D71">
        <v>76.5</v>
      </c>
      <c r="E71">
        <v>11</v>
      </c>
      <c r="F71">
        <v>54.5</v>
      </c>
      <c r="G71">
        <v>54.5</v>
      </c>
      <c r="H71">
        <f t="shared" si="1"/>
        <v>0</v>
      </c>
    </row>
    <row r="72" spans="2:8">
      <c r="B72">
        <v>80</v>
      </c>
      <c r="C72">
        <v>71</v>
      </c>
      <c r="D72">
        <v>82</v>
      </c>
      <c r="E72">
        <v>11</v>
      </c>
      <c r="F72">
        <v>90.9</v>
      </c>
      <c r="G72">
        <v>81.8</v>
      </c>
      <c r="H72">
        <f t="shared" si="1"/>
        <v>9.1000000000000085</v>
      </c>
    </row>
    <row r="73" spans="2:8">
      <c r="B73">
        <v>76.5</v>
      </c>
      <c r="C73">
        <v>76.5</v>
      </c>
      <c r="D73">
        <v>78</v>
      </c>
      <c r="E73">
        <v>11</v>
      </c>
      <c r="F73">
        <v>81.8</v>
      </c>
      <c r="G73">
        <v>81.8</v>
      </c>
      <c r="H73">
        <f t="shared" si="1"/>
        <v>0</v>
      </c>
    </row>
    <row r="74" spans="2:8">
      <c r="B74">
        <v>67.5</v>
      </c>
      <c r="C74">
        <v>66.5</v>
      </c>
      <c r="D74">
        <v>71</v>
      </c>
      <c r="E74">
        <v>11</v>
      </c>
      <c r="F74">
        <v>72.7</v>
      </c>
      <c r="G74">
        <v>72.7</v>
      </c>
      <c r="H74">
        <f t="shared" si="1"/>
        <v>0</v>
      </c>
    </row>
    <row r="75" spans="2:8">
      <c r="B75">
        <v>69.5</v>
      </c>
      <c r="C75">
        <v>69.5</v>
      </c>
      <c r="D75">
        <v>71.5</v>
      </c>
      <c r="E75">
        <v>11</v>
      </c>
      <c r="F75">
        <v>100</v>
      </c>
      <c r="G75">
        <v>100</v>
      </c>
      <c r="H75">
        <f t="shared" si="1"/>
        <v>0</v>
      </c>
    </row>
    <row r="76" spans="2:8">
      <c r="B76">
        <v>67.5</v>
      </c>
      <c r="C76">
        <v>69</v>
      </c>
      <c r="D76">
        <v>77.5</v>
      </c>
      <c r="E76">
        <v>11</v>
      </c>
      <c r="F76">
        <v>54.5</v>
      </c>
      <c r="G76">
        <v>63.6</v>
      </c>
      <c r="H76">
        <f t="shared" si="1"/>
        <v>-9.1000000000000014</v>
      </c>
    </row>
    <row r="77" spans="2:8">
      <c r="B77">
        <v>73</v>
      </c>
      <c r="C77">
        <v>70.5</v>
      </c>
      <c r="D77">
        <v>75</v>
      </c>
      <c r="E77">
        <v>11</v>
      </c>
      <c r="F77">
        <v>72.7</v>
      </c>
      <c r="G77">
        <v>63.6</v>
      </c>
      <c r="H77">
        <f t="shared" si="1"/>
        <v>9.1000000000000014</v>
      </c>
    </row>
    <row r="78" spans="2:8">
      <c r="B78" t="s">
        <v>45</v>
      </c>
      <c r="H78">
        <f t="shared" si="1"/>
        <v>0</v>
      </c>
    </row>
    <row r="79" spans="2:8">
      <c r="B79">
        <v>68.5</v>
      </c>
      <c r="C79">
        <v>71.5</v>
      </c>
      <c r="D79">
        <v>79.5</v>
      </c>
      <c r="E79">
        <v>11</v>
      </c>
      <c r="F79">
        <v>54.5</v>
      </c>
      <c r="G79">
        <v>63.6</v>
      </c>
      <c r="H79">
        <f t="shared" si="1"/>
        <v>-9.1000000000000014</v>
      </c>
    </row>
    <row r="80" spans="2:8">
      <c r="B80">
        <v>71.5</v>
      </c>
      <c r="C80">
        <v>73.5</v>
      </c>
      <c r="D80">
        <v>75.5</v>
      </c>
      <c r="E80">
        <v>11</v>
      </c>
      <c r="F80">
        <v>90.9</v>
      </c>
      <c r="G80">
        <v>90.9</v>
      </c>
      <c r="H80">
        <f t="shared" si="1"/>
        <v>0</v>
      </c>
    </row>
    <row r="81" spans="2:8">
      <c r="B81">
        <v>84.5</v>
      </c>
      <c r="C81">
        <v>82.5</v>
      </c>
      <c r="D81">
        <v>92.5</v>
      </c>
      <c r="E81">
        <v>11</v>
      </c>
      <c r="F81">
        <v>72.7</v>
      </c>
      <c r="G81">
        <v>81.8</v>
      </c>
      <c r="H81">
        <f t="shared" si="1"/>
        <v>-9.0999999999999943</v>
      </c>
    </row>
    <row r="82" spans="2:8">
      <c r="B82">
        <v>72.5</v>
      </c>
      <c r="C82">
        <v>74.5</v>
      </c>
      <c r="D82">
        <v>77.5</v>
      </c>
      <c r="E82">
        <v>11</v>
      </c>
      <c r="F82">
        <v>81.8</v>
      </c>
      <c r="G82">
        <v>90.9</v>
      </c>
      <c r="H82">
        <f t="shared" si="1"/>
        <v>-9.1000000000000085</v>
      </c>
    </row>
    <row r="83" spans="2:8">
      <c r="B83">
        <v>70.5</v>
      </c>
      <c r="C83">
        <v>69.5</v>
      </c>
      <c r="D83">
        <v>78</v>
      </c>
      <c r="E83">
        <v>11</v>
      </c>
      <c r="F83">
        <v>81.8</v>
      </c>
      <c r="G83">
        <v>72.7</v>
      </c>
      <c r="H83">
        <f t="shared" si="1"/>
        <v>9.0999999999999943</v>
      </c>
    </row>
    <row r="84" spans="2:8">
      <c r="B84">
        <v>69</v>
      </c>
      <c r="C84">
        <v>64.5</v>
      </c>
      <c r="D84">
        <v>71</v>
      </c>
      <c r="E84">
        <v>11</v>
      </c>
      <c r="F84">
        <v>81.8</v>
      </c>
      <c r="G84">
        <v>81.8</v>
      </c>
      <c r="H84">
        <f t="shared" si="1"/>
        <v>0</v>
      </c>
    </row>
    <row r="85" spans="2:8">
      <c r="B85">
        <v>63.5</v>
      </c>
      <c r="C85">
        <v>64.5</v>
      </c>
      <c r="D85">
        <v>64.5</v>
      </c>
      <c r="E85">
        <v>11</v>
      </c>
      <c r="F85">
        <v>81.8</v>
      </c>
      <c r="G85">
        <v>90.9</v>
      </c>
      <c r="H85">
        <f t="shared" si="1"/>
        <v>-9.1000000000000085</v>
      </c>
    </row>
    <row r="86" spans="2:8">
      <c r="B86">
        <v>65</v>
      </c>
      <c r="C86">
        <v>65.5</v>
      </c>
      <c r="D86">
        <v>68.5</v>
      </c>
      <c r="E86">
        <v>11</v>
      </c>
      <c r="F86">
        <v>72.7</v>
      </c>
      <c r="G86">
        <v>81.8</v>
      </c>
      <c r="H86">
        <f t="shared" si="1"/>
        <v>-9.0999999999999943</v>
      </c>
    </row>
    <row r="87" spans="2:8">
      <c r="B87">
        <v>75</v>
      </c>
      <c r="C87">
        <v>66.5</v>
      </c>
      <c r="D87">
        <v>79.5</v>
      </c>
      <c r="E87">
        <v>11</v>
      </c>
      <c r="F87">
        <v>81.8</v>
      </c>
      <c r="G87">
        <v>81.8</v>
      </c>
      <c r="H87">
        <f t="shared" si="1"/>
        <v>0</v>
      </c>
    </row>
    <row r="88" spans="2:8">
      <c r="B88">
        <v>70</v>
      </c>
      <c r="C88">
        <v>67</v>
      </c>
      <c r="D88">
        <v>74</v>
      </c>
      <c r="E88">
        <v>11</v>
      </c>
      <c r="F88">
        <v>72.7</v>
      </c>
      <c r="G88">
        <v>72.7</v>
      </c>
      <c r="H88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avgPt and PosRuoloCasa</vt:lpstr>
      <vt:lpstr>Sheet2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2026-04-02T16:24:52Z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