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ferna\Desktop\"/>
    </mc:Choice>
  </mc:AlternateContent>
  <xr:revisionPtr revIDLastSave="0" documentId="13_ncr:1_{E79CC35A-B686-4E41-8C57-33A478D2F475}" xr6:coauthVersionLast="36" xr6:coauthVersionMax="36" xr10:uidLastSave="{00000000-0000-0000-0000-000000000000}"/>
  <bookViews>
    <workbookView xWindow="0" yWindow="0" windowWidth="24720" windowHeight="12105" activeTab="1" xr2:uid="{E4D9A13D-39F3-48D8-BA4A-05D474395C39}"/>
  </bookViews>
  <sheets>
    <sheet name="prompt" sheetId="9" r:id="rId1"/>
    <sheet name="Dati" sheetId="6" r:id="rId2"/>
    <sheet name="Result1" sheetId="7" r:id="rId3"/>
    <sheet name="Result2" sheetId="10" r:id="rId4"/>
    <sheet name="scelte" sheetId="11" r:id="rId5"/>
    <sheet name="Giocatori" sheetId="1" r:id="rId6"/>
    <sheet name="Statistiche" sheetId="3" r:id="rId7"/>
    <sheet name="promesse" sheetId="8" r:id="rId8"/>
  </sheets>
  <functionGroups builtInGroupCount="19"/>
  <definedNames>
    <definedName name="_xlnm._FilterDatabase" localSheetId="1" hidden="1">Dati!$A$1:$O$198</definedName>
    <definedName name="_xlnm._FilterDatabase" localSheetId="5" hidden="1">Giocatori!$A$1:$S$520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6" i="6" l="1"/>
  <c r="Q196" i="6"/>
  <c r="P197" i="6"/>
  <c r="Q197" i="6"/>
  <c r="P198" i="6"/>
  <c r="Q198" i="6"/>
  <c r="P180" i="6"/>
  <c r="Q180" i="6"/>
  <c r="P181" i="6"/>
  <c r="Q181" i="6"/>
  <c r="P182" i="6"/>
  <c r="Q182" i="6"/>
  <c r="P183" i="6"/>
  <c r="Q183" i="6"/>
  <c r="P184" i="6"/>
  <c r="Q184" i="6"/>
  <c r="P185" i="6"/>
  <c r="Q185" i="6"/>
  <c r="P186" i="6"/>
  <c r="Q186" i="6"/>
  <c r="P187" i="6"/>
  <c r="Q187" i="6"/>
  <c r="P188" i="6"/>
  <c r="Q188" i="6"/>
  <c r="P189" i="6"/>
  <c r="Q189" i="6"/>
  <c r="P190" i="6"/>
  <c r="Q190" i="6"/>
  <c r="P191" i="6"/>
  <c r="Q191" i="6"/>
  <c r="P192" i="6"/>
  <c r="Q192" i="6"/>
  <c r="P193" i="6"/>
  <c r="Q193" i="6"/>
  <c r="P194" i="6"/>
  <c r="Q194" i="6"/>
  <c r="P195" i="6"/>
  <c r="Q195" i="6"/>
  <c r="Q3" i="6" l="1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2" i="6"/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" i="9"/>
</calcChain>
</file>

<file path=xl/sharedStrings.xml><?xml version="1.0" encoding="utf-8"?>
<sst xmlns="http://schemas.openxmlformats.org/spreadsheetml/2006/main" count="7228" uniqueCount="996">
  <si>
    <t>RUOLO</t>
  </si>
  <si>
    <t>NOME</t>
  </si>
  <si>
    <t>SQUADRA</t>
  </si>
  <si>
    <t>QINI</t>
  </si>
  <si>
    <t>QCUR</t>
  </si>
  <si>
    <t>A</t>
  </si>
  <si>
    <t>MARTINEZ L.</t>
  </si>
  <si>
    <t>INTER</t>
  </si>
  <si>
    <t>KEAN</t>
  </si>
  <si>
    <t>FIORENTINA</t>
  </si>
  <si>
    <t>LUKAKU</t>
  </si>
  <si>
    <t>NAPOLI</t>
  </si>
  <si>
    <t>C</t>
  </si>
  <si>
    <t>ORSOLINI</t>
  </si>
  <si>
    <t>BOLOGNA</t>
  </si>
  <si>
    <t>LOOKMAN</t>
  </si>
  <si>
    <t>ATALANTA</t>
  </si>
  <si>
    <t>THURAM</t>
  </si>
  <si>
    <t>PULISIC</t>
  </si>
  <si>
    <t>MILAN</t>
  </si>
  <si>
    <t>DAVID</t>
  </si>
  <si>
    <t>JUVENTUS</t>
  </si>
  <si>
    <t>ZACCAGNI</t>
  </si>
  <si>
    <t>LAZIO</t>
  </si>
  <si>
    <t>MCTOMINAY</t>
  </si>
  <si>
    <t>DYBALA</t>
  </si>
  <si>
    <t>ROMA</t>
  </si>
  <si>
    <t>GIMENEZ</t>
  </si>
  <si>
    <t>GUDMUNDSSON A.</t>
  </si>
  <si>
    <t>YILDIZ</t>
  </si>
  <si>
    <t>VLAHOVIC</t>
  </si>
  <si>
    <t>LEAO</t>
  </si>
  <si>
    <t>CALHANOGLU</t>
  </si>
  <si>
    <t>DE BRUYNE</t>
  </si>
  <si>
    <t>DE KETELAERE</t>
  </si>
  <si>
    <t>CASTELLANOS</t>
  </si>
  <si>
    <t>DOVBYK</t>
  </si>
  <si>
    <t>BERARDI</t>
  </si>
  <si>
    <t>SASSUOLO</t>
  </si>
  <si>
    <t>PAZ N.</t>
  </si>
  <si>
    <t>COMO</t>
  </si>
  <si>
    <t>D</t>
  </si>
  <si>
    <t>DUMFRIES</t>
  </si>
  <si>
    <t>DIA</t>
  </si>
  <si>
    <t>KRSTOVIC</t>
  </si>
  <si>
    <t>LECCE</t>
  </si>
  <si>
    <t>SOULXE8</t>
  </si>
  <si>
    <t>ZAPATA D.</t>
  </si>
  <si>
    <t>TORINO</t>
  </si>
  <si>
    <t>SCAMACCA</t>
  </si>
  <si>
    <t>NDOYE</t>
  </si>
  <si>
    <t>CASTRO S.</t>
  </si>
  <si>
    <t>IMMOBILE</t>
  </si>
  <si>
    <t>DIMARCO</t>
  </si>
  <si>
    <t>LANG</t>
  </si>
  <si>
    <t>FERGUSON E.</t>
  </si>
  <si>
    <t>GOSENS</t>
  </si>
  <si>
    <t>CONCEICAO</t>
  </si>
  <si>
    <t>PICCOLI</t>
  </si>
  <si>
    <t>CAGLIARI</t>
  </si>
  <si>
    <t>DIAO</t>
  </si>
  <si>
    <t>ODGAARD</t>
  </si>
  <si>
    <t>ZORTEA</t>
  </si>
  <si>
    <t>P</t>
  </si>
  <si>
    <t>SOMMER</t>
  </si>
  <si>
    <t>BASTONI</t>
  </si>
  <si>
    <t>DI GREGORIO</t>
  </si>
  <si>
    <t>THURAM K.</t>
  </si>
  <si>
    <t>MAIGNAN</t>
  </si>
  <si>
    <t>MERET</t>
  </si>
  <si>
    <t>PINAMONTI</t>
  </si>
  <si>
    <t>THAUVIN</t>
  </si>
  <si>
    <t>UDINESE</t>
  </si>
  <si>
    <t>EDERSON D.S.</t>
  </si>
  <si>
    <t>DZEKO</t>
  </si>
  <si>
    <t>CAMBIASO</t>
  </si>
  <si>
    <t>ZAMBO ANGUISSA</t>
  </si>
  <si>
    <t>POLITANO</t>
  </si>
  <si>
    <t>LUCCA</t>
  </si>
  <si>
    <t>SVILAR</t>
  </si>
  <si>
    <t>ANGELINO</t>
  </si>
  <si>
    <t>LAURIENTXE8</t>
  </si>
  <si>
    <t>VLASIC</t>
  </si>
  <si>
    <t>CARNESECCHI</t>
  </si>
  <si>
    <t>STREFEZZA</t>
  </si>
  <si>
    <t>KUHN</t>
  </si>
  <si>
    <t>DE GEA</t>
  </si>
  <si>
    <t>MANDRAGORA</t>
  </si>
  <si>
    <t>BARELLA</t>
  </si>
  <si>
    <t>FRATTESI</t>
  </si>
  <si>
    <t>KOOPMEINERS</t>
  </si>
  <si>
    <t>ISAKSEN</t>
  </si>
  <si>
    <t>DI LORENZO</t>
  </si>
  <si>
    <t>WESLEY</t>
  </si>
  <si>
    <t>KONXE8 M.</t>
  </si>
  <si>
    <t>ADAMS C.</t>
  </si>
  <si>
    <t>BELLANOVA</t>
  </si>
  <si>
    <t>ZAPPACOSTA</t>
  </si>
  <si>
    <t>BREMER</t>
  </si>
  <si>
    <t>PEDRO</t>
  </si>
  <si>
    <t>BUONGIORNO</t>
  </si>
  <si>
    <t>NERES</t>
  </si>
  <si>
    <t>RASPADORI</t>
  </si>
  <si>
    <t>ONDREJKA</t>
  </si>
  <si>
    <t>PARMA</t>
  </si>
  <si>
    <t>PELLEGRINO M.</t>
  </si>
  <si>
    <t>DE ROON</t>
  </si>
  <si>
    <t>SAMARDZIC</t>
  </si>
  <si>
    <t>LUVUMBO</t>
  </si>
  <si>
    <t>CAQUERET</t>
  </si>
  <si>
    <t>DA CUNHA</t>
  </si>
  <si>
    <t>VANDEPUTTE</t>
  </si>
  <si>
    <t>CREMONESE</t>
  </si>
  <si>
    <t>GRONBAEK</t>
  </si>
  <si>
    <t>GENOA</t>
  </si>
  <si>
    <t>COLOMBO</t>
  </si>
  <si>
    <t>VITINHA O.</t>
  </si>
  <si>
    <t>LOCATELLI</t>
  </si>
  <si>
    <t>GONZALEZ N.</t>
  </si>
  <si>
    <t>PROVEDEL</t>
  </si>
  <si>
    <t>TAVARES N.</t>
  </si>
  <si>
    <t>CAMARDA</t>
  </si>
  <si>
    <t>SAELEMAEKERS</t>
  </si>
  <si>
    <t>MODRIC</t>
  </si>
  <si>
    <t>SOHM</t>
  </si>
  <si>
    <t>TRAMONI M.</t>
  </si>
  <si>
    <t>PIS</t>
  </si>
  <si>
    <t>CASADEI</t>
  </si>
  <si>
    <t>DAVIS K.</t>
  </si>
  <si>
    <t>HIEN</t>
  </si>
  <si>
    <t>FREULER</t>
  </si>
  <si>
    <t>FERGUSON</t>
  </si>
  <si>
    <t>CAMBIAGHI</t>
  </si>
  <si>
    <t>DODXF2</t>
  </si>
  <si>
    <t>FAZZINI</t>
  </si>
  <si>
    <t>CARBONI V.</t>
  </si>
  <si>
    <t>GUENDOUZI</t>
  </si>
  <si>
    <t>DELE BASHIRU</t>
  </si>
  <si>
    <t>ESTUPINAN</t>
  </si>
  <si>
    <t>FOFANA Y.</t>
  </si>
  <si>
    <t>RRAHMANI</t>
  </si>
  <si>
    <t>BERNABXE8</t>
  </si>
  <si>
    <t>MAN</t>
  </si>
  <si>
    <t>MANCINI</t>
  </si>
  <si>
    <t>PELLEGRINI LO.</t>
  </si>
  <si>
    <t>SOLET</t>
  </si>
  <si>
    <t>SKORUPSKI</t>
  </si>
  <si>
    <t>FABBIAN</t>
  </si>
  <si>
    <t>DALLINGA</t>
  </si>
  <si>
    <t>BUTEZ</t>
  </si>
  <si>
    <t>CUTRONE</t>
  </si>
  <si>
    <t>VAZQUEZ</t>
  </si>
  <si>
    <t>MARTIN</t>
  </si>
  <si>
    <t>CARLOS AUGUSTO</t>
  </si>
  <si>
    <t>MCKENNIE</t>
  </si>
  <si>
    <t>PIEROTTI</t>
  </si>
  <si>
    <t>RICCI S.</t>
  </si>
  <si>
    <t>BEUKEMA</t>
  </si>
  <si>
    <t>OLIVERA</t>
  </si>
  <si>
    <t>VALERI</t>
  </si>
  <si>
    <t>N’DICKA</t>
  </si>
  <si>
    <t>ANJORIN</t>
  </si>
  <si>
    <t>EKKELENKAMP</t>
  </si>
  <si>
    <t>KOSSOUNOU</t>
  </si>
  <si>
    <t>PASALIC</t>
  </si>
  <si>
    <t>MALDINI</t>
  </si>
  <si>
    <t>SULEMANA K.</t>
  </si>
  <si>
    <t>MIRANDA J.</t>
  </si>
  <si>
    <t>BERNARDESCHI</t>
  </si>
  <si>
    <t>DOMINGUEZ B.</t>
  </si>
  <si>
    <t>FOLORUNSHO</t>
  </si>
  <si>
    <t>BATURINA</t>
  </si>
  <si>
    <t>VASQUEZ</t>
  </si>
  <si>
    <t>FRENDRUP</t>
  </si>
  <si>
    <t>ACERBI</t>
  </si>
  <si>
    <t>BISSECK</t>
  </si>
  <si>
    <t>DE VRIJ</t>
  </si>
  <si>
    <t>SUCIC P.</t>
  </si>
  <si>
    <t>MKHITARYAN</t>
  </si>
  <si>
    <t>KALULU</t>
  </si>
  <si>
    <t>GILA</t>
  </si>
  <si>
    <t>TETE MORENTE</t>
  </si>
  <si>
    <t>LOBOTKA</t>
  </si>
  <si>
    <t>DJURIC</t>
  </si>
  <si>
    <t>CRISTANTE</t>
  </si>
  <si>
    <t>EL AYNAOUI</t>
  </si>
  <si>
    <t>ISRAEL</t>
  </si>
  <si>
    <t>NGONGE</t>
  </si>
  <si>
    <t>LOVRIC</t>
  </si>
  <si>
    <t>SUSLOV</t>
  </si>
  <si>
    <t>VERONA</t>
  </si>
  <si>
    <t>ABOUKHLAL</t>
  </si>
  <si>
    <t>DJIMSITI</t>
  </si>
  <si>
    <t>SCALVINI</t>
  </si>
  <si>
    <t>BRESCIANINI</t>
  </si>
  <si>
    <t>LUCUMXEC</t>
  </si>
  <si>
    <t>VITIK</t>
  </si>
  <si>
    <t>HOLM</t>
  </si>
  <si>
    <t>POBEGA</t>
  </si>
  <si>
    <t>GAETANO</t>
  </si>
  <si>
    <t>PERRONE</t>
  </si>
  <si>
    <t>DOUVIKAS</t>
  </si>
  <si>
    <t>COLLOCOLO</t>
  </si>
  <si>
    <t>DE LUCA</t>
  </si>
  <si>
    <t>FAGIOLI</t>
  </si>
  <si>
    <t>LEALI</t>
  </si>
  <si>
    <t>DE WINTER</t>
  </si>
  <si>
    <t>MESSIAS</t>
  </si>
  <si>
    <t>MALINOVSKYI</t>
  </si>
  <si>
    <t>STANCIU</t>
  </si>
  <si>
    <t>PAVARD</t>
  </si>
  <si>
    <t>GATTI</t>
  </si>
  <si>
    <t>JOAO MARIO</t>
  </si>
  <si>
    <t>ROMAGNOLI</t>
  </si>
  <si>
    <t>MARUSIC</t>
  </si>
  <si>
    <t>ROVELLA</t>
  </si>
  <si>
    <t>BASCHIROTTO</t>
  </si>
  <si>
    <t>GASPAR K.</t>
  </si>
  <si>
    <t>HELGASON</t>
  </si>
  <si>
    <t>TOMORI</t>
  </si>
  <si>
    <t>LOFTUS CHEEK</t>
  </si>
  <si>
    <t>SIMEONE</t>
  </si>
  <si>
    <t>DELPRATO</t>
  </si>
  <si>
    <t>EL SHAARAWY</t>
  </si>
  <si>
    <t>BALDANZI</t>
  </si>
  <si>
    <t>THORSTVEDT</t>
  </si>
  <si>
    <t>COCO</t>
  </si>
  <si>
    <t>ISMAJLI</t>
  </si>
  <si>
    <t>BIRAGHI</t>
  </si>
  <si>
    <t>TCHATCHOUA</t>
  </si>
  <si>
    <t>SARR A.</t>
  </si>
  <si>
    <t>KOLASINAC</t>
  </si>
  <si>
    <t>TOURXE8 E.</t>
  </si>
  <si>
    <t>CAPRILE</t>
  </si>
  <si>
    <t>LUPERTO</t>
  </si>
  <si>
    <t>MINA</t>
  </si>
  <si>
    <t>ADDAI</t>
  </si>
  <si>
    <t>VALOTI</t>
  </si>
  <si>
    <t>JOHNSEN</t>
  </si>
  <si>
    <t>COMUZZO</t>
  </si>
  <si>
    <t>MARXEC</t>
  </si>
  <si>
    <t>RANIERI L.</t>
  </si>
  <si>
    <t>BELTRAN L.</t>
  </si>
  <si>
    <t>LUIS HENRIQUE</t>
  </si>
  <si>
    <t>ESPOSITO SE.</t>
  </si>
  <si>
    <t>ESPOSITO F.P.</t>
  </si>
  <si>
    <t>KELLY L.</t>
  </si>
  <si>
    <t>WEAH</t>
  </si>
  <si>
    <t>NOSLIN</t>
  </si>
  <si>
    <t>COULIBALY L.</t>
  </si>
  <si>
    <t>PAVLOVIC</t>
  </si>
  <si>
    <t>SPINAZZOLA</t>
  </si>
  <si>
    <t>GILMOUR</t>
  </si>
  <si>
    <t>SUZUKI</t>
  </si>
  <si>
    <t>LEONI</t>
  </si>
  <si>
    <t>HERNANI</t>
  </si>
  <si>
    <t>CELIK</t>
  </si>
  <si>
    <t>PISILLI</t>
  </si>
  <si>
    <t>TURATI</t>
  </si>
  <si>
    <t>MARIPAN</t>
  </si>
  <si>
    <t>LAZARO</t>
  </si>
  <si>
    <t>ILIC</t>
  </si>
  <si>
    <t>SANABRIA</t>
  </si>
  <si>
    <t>KAMARA H.</t>
  </si>
  <si>
    <t>SANCHEZ</t>
  </si>
  <si>
    <t>HARROUI</t>
  </si>
  <si>
    <t>AHANOR</t>
  </si>
  <si>
    <t>ZAPPA</t>
  </si>
  <si>
    <t>FELICI</t>
  </si>
  <si>
    <t>VOJVODA</t>
  </si>
  <si>
    <t>VALLE</t>
  </si>
  <si>
    <t>ZALEWSKI</t>
  </si>
  <si>
    <t>VECINO</t>
  </si>
  <si>
    <t>FALCONE</t>
  </si>
  <si>
    <t>MALEH</t>
  </si>
  <si>
    <t>PIERRET</t>
  </si>
  <si>
    <t>RAMADANI</t>
  </si>
  <si>
    <t>GABBIA</t>
  </si>
  <si>
    <t>MUSAH</t>
  </si>
  <si>
    <t>KEITA M.</t>
  </si>
  <si>
    <t>PICCININI G.</t>
  </si>
  <si>
    <t>TOURXE8 I.</t>
  </si>
  <si>
    <t>MARIN M.</t>
  </si>
  <si>
    <t>DOIG</t>
  </si>
  <si>
    <t>BOLOCA</t>
  </si>
  <si>
    <t>KONXE8 I.</t>
  </si>
  <si>
    <t>FADERA</t>
  </si>
  <si>
    <t>OKOYE</t>
  </si>
  <si>
    <t>BERTOLA</t>
  </si>
  <si>
    <t>KARLSTROM</t>
  </si>
  <si>
    <t>ATTA</t>
  </si>
  <si>
    <t>BRAVO</t>
  </si>
  <si>
    <t>MOSQUERA</t>
  </si>
  <si>
    <t>POSCH</t>
  </si>
  <si>
    <t>LYKOGIANNIS</t>
  </si>
  <si>
    <t>ADOPO</t>
  </si>
  <si>
    <t>DEIOLA</t>
  </si>
  <si>
    <t>BORRELLI</t>
  </si>
  <si>
    <t>KEMPF</t>
  </si>
  <si>
    <t>RODRIGUEZ JE.</t>
  </si>
  <si>
    <t>AUDERO</t>
  </si>
  <si>
    <t>FLORIANI MUSSOLINI</t>
  </si>
  <si>
    <t>PEZZELLA GIU.</t>
  </si>
  <si>
    <t>ZANIMACCHIA</t>
  </si>
  <si>
    <t>OKEREKE</t>
  </si>
  <si>
    <t>PONGRACIC</t>
  </si>
  <si>
    <t>PARISI</t>
  </si>
  <si>
    <t>SABELLI</t>
  </si>
  <si>
    <t>MASINI</t>
  </si>
  <si>
    <t>ELLERTSSON</t>
  </si>
  <si>
    <t>THORSBY</t>
  </si>
  <si>
    <t>BONNY</t>
  </si>
  <si>
    <t>CABAL</t>
  </si>
  <si>
    <t>MIRETTI</t>
  </si>
  <si>
    <t>CATALDI</t>
  </si>
  <si>
    <t>GALLO</t>
  </si>
  <si>
    <t>BANDA</t>
  </si>
  <si>
    <t>N’DRI</t>
  </si>
  <si>
    <t>JIMENEZ A.</t>
  </si>
  <si>
    <t>CIRCATI</t>
  </si>
  <si>
    <t>ORDONEZ C.</t>
  </si>
  <si>
    <t>ANGORI</t>
  </si>
  <si>
    <t>MOREO</t>
  </si>
  <si>
    <t>RENSCH</t>
  </si>
  <si>
    <t>MUHAREMOVIC</t>
  </si>
  <si>
    <t>WALUKIEWICZ</t>
  </si>
  <si>
    <t>VOLPATO</t>
  </si>
  <si>
    <t>PIERINI</t>
  </si>
  <si>
    <t>MULATTIERI</t>
  </si>
  <si>
    <t>TAMEZE</t>
  </si>
  <si>
    <t>GINEITIS</t>
  </si>
  <si>
    <t>KRISTENSEN T.</t>
  </si>
  <si>
    <t>EHIZIBUE</t>
  </si>
  <si>
    <t>MONTIPXF2</t>
  </si>
  <si>
    <t>UNAI NUNEZ</t>
  </si>
  <si>
    <t>SERDAR</t>
  </si>
  <si>
    <t>OSTIGARD</t>
  </si>
  <si>
    <t>MAZZITELLI</t>
  </si>
  <si>
    <t>SULEMANA I.</t>
  </si>
  <si>
    <t>CASALE</t>
  </si>
  <si>
    <t>DE SILVESTRI</t>
  </si>
  <si>
    <t>AEBISCHER</t>
  </si>
  <si>
    <t>OBERT</t>
  </si>
  <si>
    <t>DOSSENA</t>
  </si>
  <si>
    <t>GOLDANIGA</t>
  </si>
  <si>
    <t>VAN DER BREMPT</t>
  </si>
  <si>
    <t>SERGI ROBERTO</t>
  </si>
  <si>
    <t>FOLINO</t>
  </si>
  <si>
    <t>CECCHERINI</t>
  </si>
  <si>
    <t>GRASSI</t>
  </si>
  <si>
    <t>VITI</t>
  </si>
  <si>
    <t>RICHARDSON</t>
  </si>
  <si>
    <t>DARMIAN</t>
  </si>
  <si>
    <t>ASLLANI</t>
  </si>
  <si>
    <t>ZIELINSKI</t>
  </si>
  <si>
    <t>TAREMI</t>
  </si>
  <si>
    <t>KOSTIC</t>
  </si>
  <si>
    <t>GIGOT</t>
  </si>
  <si>
    <t>PATRIC</t>
  </si>
  <si>
    <t>LAZZARI</t>
  </si>
  <si>
    <t>BELAHYANE</t>
  </si>
  <si>
    <t>KOUASSI</t>
  </si>
  <si>
    <t>THIAW</t>
  </si>
  <si>
    <t>CHUKWUEZE</t>
  </si>
  <si>
    <t>OKAFOR</t>
  </si>
  <si>
    <t>MILINKOVIC SAVIC V.</t>
  </si>
  <si>
    <t>VALENTI</t>
  </si>
  <si>
    <t>ALMQVIST</t>
  </si>
  <si>
    <t>CARACCIOLO A.</t>
  </si>
  <si>
    <t>MATEUS LUSUARDI</t>
  </si>
  <si>
    <t>LIND</t>
  </si>
  <si>
    <t>SALAH EDDINE</t>
  </si>
  <si>
    <t>ROMAGNA</t>
  </si>
  <si>
    <t>GHION</t>
  </si>
  <si>
    <t>LIPANI</t>
  </si>
  <si>
    <t>PEDERSEN</t>
  </si>
  <si>
    <t>SAVA</t>
  </si>
  <si>
    <t>PAYERO</t>
  </si>
  <si>
    <t>BAYO V.</t>
  </si>
  <si>
    <t>GHILARDI</t>
  </si>
  <si>
    <t>VALENTINI N.</t>
  </si>
  <si>
    <t>EBOSSE</t>
  </si>
  <si>
    <t>BERNEDE</t>
  </si>
  <si>
    <t>KASTANOS</t>
  </si>
  <si>
    <t>RAMON</t>
  </si>
  <si>
    <t>PALESTRA</t>
  </si>
  <si>
    <t>RAVAGLIA F.</t>
  </si>
  <si>
    <t>ERLIC</t>
  </si>
  <si>
    <t>EL AZZOUZI</t>
  </si>
  <si>
    <t>MORO N.</t>
  </si>
  <si>
    <t>KARLSSON</t>
  </si>
  <si>
    <t>IDRISSI R.</t>
  </si>
  <si>
    <t>PRATI</t>
  </si>
  <si>
    <t>MORENO ALB.</t>
  </si>
  <si>
    <t>BIANCHETTI</t>
  </si>
  <si>
    <t>AZZI</t>
  </si>
  <si>
    <t>BARBIERI</t>
  </si>
  <si>
    <t>CASTAGNETTI</t>
  </si>
  <si>
    <t>FORTINI</t>
  </si>
  <si>
    <t>MARCANDALLI</t>
  </si>
  <si>
    <t>VOGLIACCO</t>
  </si>
  <si>
    <t>NORTON CUFFY</t>
  </si>
  <si>
    <t>VENTURINO</t>
  </si>
  <si>
    <t>RUGANI</t>
  </si>
  <si>
    <t>SAVONA</t>
  </si>
  <si>
    <t>DOUGLAS LUIZ</t>
  </si>
  <si>
    <t>MANDAS</t>
  </si>
  <si>
    <t>PROVSTGAARD</t>
  </si>
  <si>
    <t>PELLEGRINI LU.</t>
  </si>
  <si>
    <t>HYSAJ</t>
  </si>
  <si>
    <t>CANCELLIERI</t>
  </si>
  <si>
    <t>JEAN</t>
  </si>
  <si>
    <t>BERISHA M.</t>
  </si>
  <si>
    <t>RAFIA</t>
  </si>
  <si>
    <t>BARTESAGHI</t>
  </si>
  <si>
    <t>BONDO</t>
  </si>
  <si>
    <t>MARIANUCCI</t>
  </si>
  <si>
    <t>JUAN JESUS</t>
  </si>
  <si>
    <t>ZANOLI</t>
  </si>
  <si>
    <t>MAZZOCCHI</t>
  </si>
  <si>
    <t>ZERBIN</t>
  </si>
  <si>
    <t>BALOGH</t>
  </si>
  <si>
    <t>SCUFFET</t>
  </si>
  <si>
    <t>SEMPER</t>
  </si>
  <si>
    <t>CANESTRELLI</t>
  </si>
  <si>
    <t>CALABRESI</t>
  </si>
  <si>
    <t>VURAL</t>
  </si>
  <si>
    <t>AKINSANMIRO</t>
  </si>
  <si>
    <t>HERMOSO</t>
  </si>
  <si>
    <t>ODENTHAL</t>
  </si>
  <si>
    <t>SCHUURS</t>
  </si>
  <si>
    <t>MASINA</t>
  </si>
  <si>
    <t>GIANNETTI L.</t>
  </si>
  <si>
    <t>KABASELE</t>
  </si>
  <si>
    <t>ZEMURA</t>
  </si>
  <si>
    <t>RUI MODESTO</t>
  </si>
  <si>
    <t>BRENNER</t>
  </si>
  <si>
    <t>FRESE</t>
  </si>
  <si>
    <t>NIASSE</t>
  </si>
  <si>
    <t>ROCHA LIVRAMENTO</t>
  </si>
  <si>
    <t>BONFANTI</t>
  </si>
  <si>
    <t>DI PARDO</t>
  </si>
  <si>
    <t>SMOLCIC I.</t>
  </si>
  <si>
    <t>JACK</t>
  </si>
  <si>
    <t>ENGELHARDT</t>
  </si>
  <si>
    <t>RAVANELLI</t>
  </si>
  <si>
    <t>PICKEL</t>
  </si>
  <si>
    <t>NDOUR</t>
  </si>
  <si>
    <t>SABIRI</t>
  </si>
  <si>
    <t>OTOA</t>
  </si>
  <si>
    <t>EKUBAN</t>
  </si>
  <si>
    <t>MARTINEZ JO.</t>
  </si>
  <si>
    <t>TERRACCIANO F.</t>
  </si>
  <si>
    <t>HAINAUT</t>
  </si>
  <si>
    <t>LOVIK</t>
  </si>
  <si>
    <t>ESTEVEZ</t>
  </si>
  <si>
    <t>RUS</t>
  </si>
  <si>
    <t>LERIS</t>
  </si>
  <si>
    <t>MEISTER</t>
  </si>
  <si>
    <t>KUMBULLA</t>
  </si>
  <si>
    <t>MISSORI</t>
  </si>
  <si>
    <t>PIERAGNOLO</t>
  </si>
  <si>
    <t>ALVAREZ A.</t>
  </si>
  <si>
    <t>ZARRAGA</t>
  </si>
  <si>
    <t>SLOTSAGER</t>
  </si>
  <si>
    <t>OYEGOKE</t>
  </si>
  <si>
    <t>SANTIAGO</t>
  </si>
  <si>
    <t>DENOON</t>
  </si>
  <si>
    <t>ROSSI F.</t>
  </si>
  <si>
    <t>SPORTIELLO</t>
  </si>
  <si>
    <t>PESSINA MAS.</t>
  </si>
  <si>
    <t>ILIC M.</t>
  </si>
  <si>
    <t>CIOCCI</t>
  </si>
  <si>
    <t>RADUNOVIC</t>
  </si>
  <si>
    <t>WIETESKA</t>
  </si>
  <si>
    <t>VEROLI</t>
  </si>
  <si>
    <t>LITETA</t>
  </si>
  <si>
    <t>PAVOLETTI</t>
  </si>
  <si>
    <t>VIGORITO</t>
  </si>
  <si>
    <t>BRAUNODER</t>
  </si>
  <si>
    <t>ALLI</t>
  </si>
  <si>
    <t>AZON</t>
  </si>
  <si>
    <t>GABRIELLONI</t>
  </si>
  <si>
    <t>NAVA</t>
  </si>
  <si>
    <t>QUAGLIATA</t>
  </si>
  <si>
    <t>SERNICOLA</t>
  </si>
  <si>
    <t>BONAZZOLI</t>
  </si>
  <si>
    <t>NASTI</t>
  </si>
  <si>
    <t>CHRISTENSEN O.</t>
  </si>
  <si>
    <t>MARTINELLI T.</t>
  </si>
  <si>
    <t>BIANCO</t>
  </si>
  <si>
    <t>SIEGRIST</t>
  </si>
  <si>
    <t>SOMMARIVA</t>
  </si>
  <si>
    <t>EKHATOR</t>
  </si>
  <si>
    <t>DI GENNARO</t>
  </si>
  <si>
    <t>PERIN</t>
  </si>
  <si>
    <t>PINSOGLIO</t>
  </si>
  <si>
    <t>ROUHI</t>
  </si>
  <si>
    <t>MILIK</t>
  </si>
  <si>
    <t>FURLANETTO</t>
  </si>
  <si>
    <t>BASIC</t>
  </si>
  <si>
    <t>FRUCHTL</t>
  </si>
  <si>
    <t>SAMOOJA</t>
  </si>
  <si>
    <t>TIAGO GABRIEL</t>
  </si>
  <si>
    <t>PEREZ M.</t>
  </si>
  <si>
    <t>VEIGA D.</t>
  </si>
  <si>
    <t>NDABA</t>
  </si>
  <si>
    <t>KABA</t>
  </si>
  <si>
    <t>MARCHWINSKI</t>
  </si>
  <si>
    <t>TERRACCIANO</t>
  </si>
  <si>
    <t>TORRIANI</t>
  </si>
  <si>
    <t>LIBERALI</t>
  </si>
  <si>
    <t>CONTINI</t>
  </si>
  <si>
    <t>CORVI</t>
  </si>
  <si>
    <t>RINALDI</t>
  </si>
  <si>
    <t>BENEDYCZAK</t>
  </si>
  <si>
    <t>NICOLAS</t>
  </si>
  <si>
    <t>COPPOLA F.</t>
  </si>
  <si>
    <t>MBAMBI</t>
  </si>
  <si>
    <t>ESTEVES T.</t>
  </si>
  <si>
    <t>HOJHOLT</t>
  </si>
  <si>
    <t>ARENA</t>
  </si>
  <si>
    <t>BUFFON L.</t>
  </si>
  <si>
    <t>BONFANTI N.</t>
  </si>
  <si>
    <t>ZELEZNY</t>
  </si>
  <si>
    <t>GOLLINI</t>
  </si>
  <si>
    <t>ABDULHAMID</t>
  </si>
  <si>
    <t>RUSSO A.</t>
  </si>
  <si>
    <t>SATALINO</t>
  </si>
  <si>
    <t>PAZ Y.</t>
  </si>
  <si>
    <t>IANNONI</t>
  </si>
  <si>
    <t>MORO L.</t>
  </si>
  <si>
    <t>SKJELLERUP</t>
  </si>
  <si>
    <t>DONNARUMMA AN.</t>
  </si>
  <si>
    <t>PALEARI</t>
  </si>
  <si>
    <t>POPA</t>
  </si>
  <si>
    <t>DEMBELXE8 A.</t>
  </si>
  <si>
    <t>NJIE</t>
  </si>
  <si>
    <t>PADELLI</t>
  </si>
  <si>
    <t>PALMA</t>
  </si>
  <si>
    <t>PAFUNDI</t>
  </si>
  <si>
    <t>PIZARRO</t>
  </si>
  <si>
    <t>PERILLI</t>
  </si>
  <si>
    <t>CISSXE8 A.</t>
  </si>
  <si>
    <t>GIOVANE</t>
  </si>
  <si>
    <t>VASQUEZ D.</t>
  </si>
  <si>
    <t>NUNZIANTE</t>
  </si>
  <si>
    <t>LEZZERINI</t>
  </si>
  <si>
    <t>RIG</t>
  </si>
  <si>
    <t>X</t>
  </si>
  <si>
    <t>Squadra</t>
  </si>
  <si>
    <t>Atalanta</t>
  </si>
  <si>
    <t>Lookman</t>
  </si>
  <si>
    <t>Bologna</t>
  </si>
  <si>
    <t>Immobile</t>
  </si>
  <si>
    <t>Cagliari</t>
  </si>
  <si>
    <t>Piccoli</t>
  </si>
  <si>
    <t>Como</t>
  </si>
  <si>
    <t>Nico Paz</t>
  </si>
  <si>
    <t>Cremonese</t>
  </si>
  <si>
    <t>Fiorentina</t>
  </si>
  <si>
    <t>Kean</t>
  </si>
  <si>
    <t>Genoa</t>
  </si>
  <si>
    <t>Inter</t>
  </si>
  <si>
    <t>Calhanoglu</t>
  </si>
  <si>
    <t>Juventus</t>
  </si>
  <si>
    <t>Lazio</t>
  </si>
  <si>
    <t>Zaccagni</t>
  </si>
  <si>
    <t>Lecce</t>
  </si>
  <si>
    <t>Milan</t>
  </si>
  <si>
    <t>Napoli</t>
  </si>
  <si>
    <t>Parma</t>
  </si>
  <si>
    <t>Pisa</t>
  </si>
  <si>
    <t>Roma</t>
  </si>
  <si>
    <t>Dybala</t>
  </si>
  <si>
    <t>Sassuolo</t>
  </si>
  <si>
    <t>Torino</t>
  </si>
  <si>
    <t>Udinese</t>
  </si>
  <si>
    <t>Verona</t>
  </si>
  <si>
    <t>PISA</t>
  </si>
  <si>
    <t>ASS</t>
  </si>
  <si>
    <t>JUV</t>
  </si>
  <si>
    <t>-</t>
  </si>
  <si>
    <t>ROM</t>
  </si>
  <si>
    <t>INT</t>
  </si>
  <si>
    <t>D’AMBROSIO</t>
  </si>
  <si>
    <t>LAZ</t>
  </si>
  <si>
    <t>FIO</t>
  </si>
  <si>
    <t>KYRIAKOPOULOS</t>
  </si>
  <si>
    <t>ATA</t>
  </si>
  <si>
    <t>PAREDES</t>
  </si>
  <si>
    <t>ELMAS</t>
  </si>
  <si>
    <t>NAP</t>
  </si>
  <si>
    <t>ARNAUTOVIC</t>
  </si>
  <si>
    <t>CORREA</t>
  </si>
  <si>
    <t>KEITA B.</t>
  </si>
  <si>
    <t>CAG</t>
  </si>
  <si>
    <t>GEN</t>
  </si>
  <si>
    <t>BIJOL</t>
  </si>
  <si>
    <t>CRE</t>
  </si>
  <si>
    <t>TOR</t>
  </si>
  <si>
    <t>CUADRADO</t>
  </si>
  <si>
    <t>ADLI</t>
  </si>
  <si>
    <t>PAR</t>
  </si>
  <si>
    <t>KONE’ M.</t>
  </si>
  <si>
    <t>KOLO MUANI</t>
  </si>
  <si>
    <t>SOULE’</t>
  </si>
  <si>
    <t>BOL</t>
  </si>
  <si>
    <t>RUI PATRICIO</t>
  </si>
  <si>
    <t>RUGGERI</t>
  </si>
  <si>
    <t>COM</t>
  </si>
  <si>
    <t>UDI</t>
  </si>
  <si>
    <t>MIL</t>
  </si>
  <si>
    <t>REIJNDERS</t>
  </si>
  <si>
    <t>TENGSTEDT</t>
  </si>
  <si>
    <t>LEC</t>
  </si>
  <si>
    <t>HUMMELS</t>
  </si>
  <si>
    <t>CIURRIA</t>
  </si>
  <si>
    <t>COLPANI</t>
  </si>
  <si>
    <t>KOUAME’</t>
  </si>
  <si>
    <t>JOAO FELIX</t>
  </si>
  <si>
    <t>ABRAHAM</t>
  </si>
  <si>
    <t>CAPRARI</t>
  </si>
  <si>
    <t>DE MARZI</t>
  </si>
  <si>
    <t>GOGLICHIDZE</t>
  </si>
  <si>
    <t>HERNANDEZ T.</t>
  </si>
  <si>
    <t>COPPOLA D.</t>
  </si>
  <si>
    <t>LUCUMI’</t>
  </si>
  <si>
    <t>ALBERTO COSTA</t>
  </si>
  <si>
    <t>ORISTANIO</t>
  </si>
  <si>
    <t>BERNABE’</t>
  </si>
  <si>
    <t>ZANIOLO</t>
  </si>
  <si>
    <t>RETEGUI</t>
  </si>
  <si>
    <t>VLAHOVIC V.</t>
  </si>
  <si>
    <t>MARIC</t>
  </si>
  <si>
    <t>BANI</t>
  </si>
  <si>
    <t>VIOLA</t>
  </si>
  <si>
    <t>SAS</t>
  </si>
  <si>
    <t>VER</t>
  </si>
  <si>
    <t>WALKER</t>
  </si>
  <si>
    <t>EDERSON D. S.</t>
  </si>
  <si>
    <t>KOWALSKI</t>
  </si>
  <si>
    <t>MONTIPO’</t>
  </si>
  <si>
    <t>DODO’</t>
  </si>
  <si>
    <t>SHOMURODOV</t>
  </si>
  <si>
    <t>Ruolo</t>
  </si>
  <si>
    <t>Nome</t>
  </si>
  <si>
    <t>gs</t>
  </si>
  <si>
    <t>gf</t>
  </si>
  <si>
    <t>amm</t>
  </si>
  <si>
    <t>asp</t>
  </si>
  <si>
    <t>ass</t>
  </si>
  <si>
    <t>rigt</t>
  </si>
  <si>
    <t>rigp</t>
  </si>
  <si>
    <t>p.g.</t>
  </si>
  <si>
    <t>rigs</t>
  </si>
  <si>
    <t>tit</t>
  </si>
  <si>
    <t>m.v.</t>
  </si>
  <si>
    <t>m.p.</t>
  </si>
  <si>
    <t>Bellanova</t>
  </si>
  <si>
    <t>Bernardeschi</t>
  </si>
  <si>
    <t>Gaetano</t>
  </si>
  <si>
    <t>Gudmundsson</t>
  </si>
  <si>
    <t>Dimarco</t>
  </si>
  <si>
    <t>Samardzic</t>
  </si>
  <si>
    <t>De Ketelaere</t>
  </si>
  <si>
    <t>Pasalic</t>
  </si>
  <si>
    <t>Orsolini</t>
  </si>
  <si>
    <t>Mina</t>
  </si>
  <si>
    <t>Dzeko</t>
  </si>
  <si>
    <t>Lautaro Martinez</t>
  </si>
  <si>
    <t>Koopmeiners</t>
  </si>
  <si>
    <t>Castellanos</t>
  </si>
  <si>
    <t>Dia</t>
  </si>
  <si>
    <t>Ferguson</t>
  </si>
  <si>
    <t>Luvumbo</t>
  </si>
  <si>
    <t>Folorunsho</t>
  </si>
  <si>
    <t>Fagioli</t>
  </si>
  <si>
    <t>Giocatore</t>
  </si>
  <si>
    <t>Carnesecchi</t>
  </si>
  <si>
    <t>Kossounou</t>
  </si>
  <si>
    <t>Hien</t>
  </si>
  <si>
    <t>Scalvini</t>
  </si>
  <si>
    <t>Ederson</t>
  </si>
  <si>
    <t>Zappacosta</t>
  </si>
  <si>
    <t>Scamacca</t>
  </si>
  <si>
    <t>Skorupski</t>
  </si>
  <si>
    <t>Holm</t>
  </si>
  <si>
    <t>Miranda</t>
  </si>
  <si>
    <t>Freuler</t>
  </si>
  <si>
    <t>Odgaard</t>
  </si>
  <si>
    <t>Castro</t>
  </si>
  <si>
    <t>Caprile</t>
  </si>
  <si>
    <t>Zappa</t>
  </si>
  <si>
    <t>Luperto</t>
  </si>
  <si>
    <t>Obert</t>
  </si>
  <si>
    <t>Prati</t>
  </si>
  <si>
    <t>Adopo</t>
  </si>
  <si>
    <t>Audero</t>
  </si>
  <si>
    <t>Viti</t>
  </si>
  <si>
    <t>Comuzzo</t>
  </si>
  <si>
    <t>Ranieri</t>
  </si>
  <si>
    <t>Fazzini</t>
  </si>
  <si>
    <t>Gosens</t>
  </si>
  <si>
    <t>Difensore</t>
  </si>
  <si>
    <t>Centrocampista</t>
  </si>
  <si>
    <t>Attaccante</t>
  </si>
  <si>
    <t>Sommer</t>
  </si>
  <si>
    <t>Bastoni</t>
  </si>
  <si>
    <t>Barella</t>
  </si>
  <si>
    <t>Perin</t>
  </si>
  <si>
    <t>McKennie</t>
  </si>
  <si>
    <t>Svilar</t>
  </si>
  <si>
    <t>Spinazzola</t>
  </si>
  <si>
    <t>Paredes</t>
  </si>
  <si>
    <t>Quotazione</t>
  </si>
  <si>
    <t>Ballottaggi/Gerarchie</t>
  </si>
  <si>
    <t>Titolare fisso</t>
  </si>
  <si>
    <t>Titolare</t>
  </si>
  <si>
    <t>Bremer</t>
  </si>
  <si>
    <t>Cambiaso</t>
  </si>
  <si>
    <t>Mancini</t>
  </si>
  <si>
    <t>Ahanor</t>
  </si>
  <si>
    <t>De Silvestri</t>
  </si>
  <si>
    <t>No</t>
  </si>
  <si>
    <t>Riserva</t>
  </si>
  <si>
    <t>Di Gennaro</t>
  </si>
  <si>
    <t>Pavard</t>
  </si>
  <si>
    <t>Darmian</t>
  </si>
  <si>
    <t>Bisseck</t>
  </si>
  <si>
    <t>de Vrij</t>
  </si>
  <si>
    <t>Carlos Augusto</t>
  </si>
  <si>
    <t>Frattesi</t>
  </si>
  <si>
    <t>Zielinski</t>
  </si>
  <si>
    <t>Mkhitaryan</t>
  </si>
  <si>
    <t>Zalewski</t>
  </si>
  <si>
    <t>Asllani</t>
  </si>
  <si>
    <t>Luis Henrique</t>
  </si>
  <si>
    <t>Buchanan</t>
  </si>
  <si>
    <t>Thuram</t>
  </si>
  <si>
    <t>Taremi</t>
  </si>
  <si>
    <t>Bonny</t>
  </si>
  <si>
    <t>Sebastiano Esposito</t>
  </si>
  <si>
    <t>Pio Esposito</t>
  </si>
  <si>
    <t>Terzo portiere</t>
  </si>
  <si>
    <t>Jolly difensivo</t>
  </si>
  <si>
    <t>Titolare, vice: Bisseck</t>
  </si>
  <si>
    <t>Titolare, vice: Darmian</t>
  </si>
  <si>
    <t>Ballottaggio con Pavard</t>
  </si>
  <si>
    <t>Vice Dimarco</t>
  </si>
  <si>
    <t>Ballottaggio con Buchanan</t>
  </si>
  <si>
    <t>Titolare, vice: Asllani</t>
  </si>
  <si>
    <t>Ballottaggio con Zielinski</t>
  </si>
  <si>
    <t>Ballottaggio con Frattesi</t>
  </si>
  <si>
    <t>Aggregato</t>
  </si>
  <si>
    <t>Vice Calhanoglu</t>
  </si>
  <si>
    <t>Ballottaggio con Dumfries</t>
  </si>
  <si>
    <t>Titolare, vice: Arnautovic</t>
  </si>
  <si>
    <t>Titolare, vice: Bonny</t>
  </si>
  <si>
    <t>Titolare, vice: Sportiello</t>
  </si>
  <si>
    <t>Sportiello</t>
  </si>
  <si>
    <t>Rossi</t>
  </si>
  <si>
    <t>Ballottaggio con Kolasinac</t>
  </si>
  <si>
    <t>Kolasinac</t>
  </si>
  <si>
    <t>Vice Scalvini</t>
  </si>
  <si>
    <t>Ballottaggio con Djimsiti</t>
  </si>
  <si>
    <t>Djimsiti</t>
  </si>
  <si>
    <t>Vice Kossounou</t>
  </si>
  <si>
    <t>Ballottaggio con Ahanor</t>
  </si>
  <si>
    <t>Vice Zappacosta</t>
  </si>
  <si>
    <t>Sulemana K.</t>
  </si>
  <si>
    <t>Brescianini</t>
  </si>
  <si>
    <t>Maldini</t>
  </si>
  <si>
    <t>Ballottaggio con Maldini/Brescianini</t>
  </si>
  <si>
    <t>Vice Scamacca</t>
  </si>
  <si>
    <t>Di Gregorio</t>
  </si>
  <si>
    <t>Titolare, vice: Perin</t>
  </si>
  <si>
    <t>Pinsoglio</t>
  </si>
  <si>
    <t>Titolare, vice: Huijsen</t>
  </si>
  <si>
    <t>Gatti</t>
  </si>
  <si>
    <t>Titolare, vice: Djaló</t>
  </si>
  <si>
    <t>Kalulu</t>
  </si>
  <si>
    <t>Ballottaggio con Gatti</t>
  </si>
  <si>
    <t>Locatelli</t>
  </si>
  <si>
    <t>Titolare, vice: Miretti</t>
  </si>
  <si>
    <t>Thuram K.</t>
  </si>
  <si>
    <t>Ballottaggio con McKennie</t>
  </si>
  <si>
    <t>Vice Thuram</t>
  </si>
  <si>
    <t>Miretti</t>
  </si>
  <si>
    <t>Vice Locatelli</t>
  </si>
  <si>
    <t>Conceicao</t>
  </si>
  <si>
    <t>Titolare, vice: Fagioli</t>
  </si>
  <si>
    <t>Yildiz</t>
  </si>
  <si>
    <t>David</t>
  </si>
  <si>
    <t>Chiesa</t>
  </si>
  <si>
    <t>Ballottaggio con Yildiz</t>
  </si>
  <si>
    <t>Vice David</t>
  </si>
  <si>
    <t>Milik</t>
  </si>
  <si>
    <t>squadra</t>
  </si>
  <si>
    <t>Titolare, vice: Boer</t>
  </si>
  <si>
    <t>Boer</t>
  </si>
  <si>
    <t>Titolare, rischio cartellini</t>
  </si>
  <si>
    <t>Ndicka</t>
  </si>
  <si>
    <t>Titolare, vice: Smalling</t>
  </si>
  <si>
    <t>Smalling</t>
  </si>
  <si>
    <t>Vice Ndicka</t>
  </si>
  <si>
    <t>Angeliño</t>
  </si>
  <si>
    <t>Ballottaggio con Kristensen</t>
  </si>
  <si>
    <t>Kristensen</t>
  </si>
  <si>
    <t>Vice Angeliño</t>
  </si>
  <si>
    <t>Celik</t>
  </si>
  <si>
    <t>Cristante</t>
  </si>
  <si>
    <t>Titolare, vice: Bove</t>
  </si>
  <si>
    <t>Bove</t>
  </si>
  <si>
    <t>Vice Cristante</t>
  </si>
  <si>
    <t>Ballottaggio con Pellegrini</t>
  </si>
  <si>
    <t>Pellegrini</t>
  </si>
  <si>
    <t>Ballottaggio con Paredes, rischio infortuni</t>
  </si>
  <si>
    <t>Renato Sanches</t>
  </si>
  <si>
    <t>Aouar</t>
  </si>
  <si>
    <t>Titolare, rigorista principale</t>
  </si>
  <si>
    <t>Azmoun</t>
  </si>
  <si>
    <t>Vice Dybala</t>
  </si>
  <si>
    <t>Abraham</t>
  </si>
  <si>
    <t>Titolare, vice: Belotti</t>
  </si>
  <si>
    <t>Belotti</t>
  </si>
  <si>
    <t>Vice Abraham</t>
  </si>
  <si>
    <t>El Shaarawy</t>
  </si>
  <si>
    <t>Jolly offensivo</t>
  </si>
  <si>
    <t>Provedel</t>
  </si>
  <si>
    <t>Titolare, vice: Mandas</t>
  </si>
  <si>
    <t>Mandas</t>
  </si>
  <si>
    <t>Romagnoli</t>
  </si>
  <si>
    <t>Gila</t>
  </si>
  <si>
    <t>Patric</t>
  </si>
  <si>
    <t>Rovella</t>
  </si>
  <si>
    <t>Cataldi</t>
  </si>
  <si>
    <t>Guendouzi</t>
  </si>
  <si>
    <t>Vecino</t>
  </si>
  <si>
    <t>Vice Guendouzi</t>
  </si>
  <si>
    <t>Titolare, rigorista secondario</t>
  </si>
  <si>
    <t>Isaksen</t>
  </si>
  <si>
    <t>Vice Isaksen</t>
  </si>
  <si>
    <t>Pedro</t>
  </si>
  <si>
    <t>Infortunato</t>
  </si>
  <si>
    <t>Martinelli</t>
  </si>
  <si>
    <t>Christensen</t>
  </si>
  <si>
    <t>Dodô</t>
  </si>
  <si>
    <t>Mandragora</t>
  </si>
  <si>
    <t>Richardson</t>
  </si>
  <si>
    <t>Sabiri</t>
  </si>
  <si>
    <t>Bianco</t>
  </si>
  <si>
    <t>Ndour</t>
  </si>
  <si>
    <t>Beltran</t>
  </si>
  <si>
    <t>Rigorista (%)</t>
  </si>
  <si>
    <t>Titolare (%)</t>
  </si>
  <si>
    <t>Recupero</t>
  </si>
  <si>
    <t>Ranking</t>
  </si>
  <si>
    <t>Titolare, vice: Audero</t>
  </si>
  <si>
    <t>Vice Barella</t>
  </si>
  <si>
    <t>GS</t>
  </si>
  <si>
    <t>GF</t>
  </si>
  <si>
    <t>PG</t>
  </si>
  <si>
    <t>de Roon</t>
  </si>
  <si>
    <t>Vice Ederson</t>
  </si>
  <si>
    <t>Ballottaggio con Sulemana</t>
  </si>
  <si>
    <t>Ballottaggio con Maldini</t>
  </si>
  <si>
    <t>Ballottaggio con Brescianini</t>
  </si>
  <si>
    <t>Sulemana I.</t>
  </si>
  <si>
    <t>Ultimo slot</t>
  </si>
  <si>
    <t>Titolare, rigorista</t>
  </si>
  <si>
    <t>El Bilal Touré</t>
  </si>
  <si>
    <t>Kelly</t>
  </si>
  <si>
    <t>Vice Cambiaso</t>
  </si>
  <si>
    <t>Savona</t>
  </si>
  <si>
    <t>Ballottaggio con Cambiaso</t>
  </si>
  <si>
    <t>Ballottaggio con Gonzalez</t>
  </si>
  <si>
    <t>Gonzalez</t>
  </si>
  <si>
    <t>Classe</t>
  </si>
  <si>
    <t>Note salienti</t>
  </si>
  <si>
    <t>Marco Palestra</t>
  </si>
  <si>
    <t>Terzino</t>
  </si>
  <si>
    <t>Laterale moderno, già nel giro dell’U21. Juric lo sta lanciando con continuità</t>
  </si>
  <si>
    <t>Vasilije Adzic</t>
  </si>
  <si>
    <t>Trequartista</t>
  </si>
  <si>
    <t>Montenegrino elegante, rientrato da infortunio. Potenziale jolly offensivo</t>
  </si>
  <si>
    <t>Alex Jimenez</t>
  </si>
  <si>
    <t>Ex Real Madrid, promosso titolare da Fonseca. Tecnico e maturo</t>
  </si>
  <si>
    <t>Di proprietà del Real Madrid, talento puro. Occhio al suo impatto</t>
  </si>
  <si>
    <t>Esterno</t>
  </si>
  <si>
    <t>Acquisto dal Genoa, Juric lo considera alternativa seria a Zappacosta</t>
  </si>
  <si>
    <t>Lorenzo Lucchesi</t>
  </si>
  <si>
    <t>Centrale elegante, promosso in prima squadra. Da seguire in Coppa Italia</t>
  </si>
  <si>
    <t>Francesco D'Alessio</t>
  </si>
  <si>
    <t>Già nel giro della prima squadra, ottimo dinamismo e visione</t>
  </si>
  <si>
    <t>Giovanni Bonny</t>
  </si>
  <si>
    <t>Vice Taremi, può ritagliarsi spazio in Coppa e turn-over</t>
  </si>
  <si>
    <t>MV</t>
  </si>
  <si>
    <t>Vice Gila</t>
  </si>
  <si>
    <t>Ballottaggio con Patric</t>
  </si>
  <si>
    <t>Lazzari</t>
  </si>
  <si>
    <t>Pellegrini Lu.</t>
  </si>
  <si>
    <t>Vice Lazzari</t>
  </si>
  <si>
    <t>Tavares N.</t>
  </si>
  <si>
    <t>Titolare, vice: Vecino</t>
  </si>
  <si>
    <t>Titolare, vice: Rovella</t>
  </si>
  <si>
    <t>Vice Cataldi</t>
  </si>
  <si>
    <t>Luis Alberto</t>
  </si>
  <si>
    <t>Titolare, vice: Kamada</t>
  </si>
  <si>
    <t>Kamada</t>
  </si>
  <si>
    <t>Vice Luis Alberto</t>
  </si>
  <si>
    <t>Ballottaggio con Pedro</t>
  </si>
  <si>
    <t>Vice Immobile</t>
  </si>
  <si>
    <t>David De Gea</t>
  </si>
  <si>
    <t>Martinelli/Christensen</t>
  </si>
  <si>
    <t>Parisi</t>
  </si>
  <si>
    <t>Pongracic</t>
  </si>
  <si>
    <t>Comuzzo/Viti (51%-49%)</t>
  </si>
  <si>
    <t>Mandragora/Richardson (60%-40%)</t>
  </si>
  <si>
    <t>Fazzini/Dzeko (51%-49%)</t>
  </si>
  <si>
    <t>Scommessa</t>
  </si>
  <si>
    <t>Dzeko/Beltran</t>
  </si>
  <si>
    <t>Ravaglia</t>
  </si>
  <si>
    <t>Secondo portiere</t>
  </si>
  <si>
    <t>Lucumí</t>
  </si>
  <si>
    <t>Vitík</t>
  </si>
  <si>
    <t>Lykogiannis</t>
  </si>
  <si>
    <t>Casale</t>
  </si>
  <si>
    <t>Posch</t>
  </si>
  <si>
    <t>Capitano</t>
  </si>
  <si>
    <t>Pobega</t>
  </si>
  <si>
    <t>Aebischer</t>
  </si>
  <si>
    <t>Urbanski</t>
  </si>
  <si>
    <t>Fabbian</t>
  </si>
  <si>
    <t>Cambiaghi</t>
  </si>
  <si>
    <t>Domínguez</t>
  </si>
  <si>
    <t>Dallinga</t>
  </si>
  <si>
    <t>Radunovic</t>
  </si>
  <si>
    <t>Di Pardo (70%-30%)</t>
  </si>
  <si>
    <t>Di Pardo</t>
  </si>
  <si>
    <t>Idrissi (51%-49%)</t>
  </si>
  <si>
    <t>Idrissi</t>
  </si>
  <si>
    <t>Zortea</t>
  </si>
  <si>
    <t>Gaetano/Felici (40%-30%-30%)</t>
  </si>
  <si>
    <t>Veroli</t>
  </si>
  <si>
    <t>Liteta</t>
  </si>
  <si>
    <t>Mazzitelli (55%-45%)</t>
  </si>
  <si>
    <t>Deiola (60%-40%)</t>
  </si>
  <si>
    <t>Mazzitelli</t>
  </si>
  <si>
    <t>Zortea/Felici</t>
  </si>
  <si>
    <t>Felici</t>
  </si>
  <si>
    <t>Deiola</t>
  </si>
  <si>
    <t>Terzo P</t>
  </si>
  <si>
    <t>Secondo P</t>
  </si>
  <si>
    <t>Borrelli</t>
  </si>
  <si>
    <t>Pavoletti</t>
  </si>
  <si>
    <t>Ranking 1</t>
  </si>
  <si>
    <t>Ranking 2</t>
  </si>
  <si>
    <t>Rul.</t>
  </si>
  <si>
    <t>portieri</t>
  </si>
  <si>
    <t>sommer</t>
  </si>
  <si>
    <t>Meret</t>
  </si>
  <si>
    <t>Milinkovic-Savic</t>
  </si>
  <si>
    <t>Rrahmani</t>
  </si>
  <si>
    <t>Lang</t>
  </si>
  <si>
    <t>Politano</t>
  </si>
  <si>
    <t>Lukaku</t>
  </si>
  <si>
    <t>Ballottaggio con Meret</t>
  </si>
  <si>
    <t>Ballottaggio con Milinkovic-Savic</t>
  </si>
  <si>
    <t>Di Lorenzo</t>
  </si>
  <si>
    <t>Beukema</t>
  </si>
  <si>
    <t>In vantaggio su Rrahmani</t>
  </si>
  <si>
    <t>Buongiorno</t>
  </si>
  <si>
    <t>Olivera</t>
  </si>
  <si>
    <t>Si</t>
  </si>
  <si>
    <t>Titolare, infortunio lieve</t>
  </si>
  <si>
    <t>De Bruyne</t>
  </si>
  <si>
    <t>Titolare, possibile rigorista</t>
  </si>
  <si>
    <t>Lobotka</t>
  </si>
  <si>
    <t>McTominay</t>
  </si>
  <si>
    <t>Titolare, primo rigorista</t>
  </si>
  <si>
    <t>Titolare, jolly offensivo</t>
  </si>
  <si>
    <t>Neres</t>
  </si>
  <si>
    <t>Ballottaggio con Lang e Politano</t>
  </si>
  <si>
    <t>Raspadori</t>
  </si>
  <si>
    <t>Jolly offensivo, possibile cessione</t>
  </si>
  <si>
    <t>Lucca</t>
  </si>
  <si>
    <t>Riserva di Lukaku</t>
  </si>
  <si>
    <t>Simeone</t>
  </si>
  <si>
    <t>Infortunato, riserva</t>
  </si>
  <si>
    <t>Anguissa</t>
  </si>
  <si>
    <t>Ballottaggio con Gilmour</t>
  </si>
  <si>
    <t>Gilmour</t>
  </si>
  <si>
    <t>mi dici la lista di tutta la rosa del xxxx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t>
  </si>
  <si>
    <t>meret</t>
  </si>
  <si>
    <t>Difensori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</si>
</sst>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ahoma"/>
      <family val="2"/>
    </font>
    <font>
      <sz val="10"/>
      <color theme="1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Fill="1"/>
    <xf numFmtId="0" fontId="2" fillId="0" borderId="0" xfId="0" applyFont="1" applyFill="1"/>
    <xf numFmtId="0" fontId="3" fillId="0" borderId="0" xfId="0" applyFont="1" applyFill="1" applyAlignment="1">
      <alignment vertical="center" wrapText="1"/>
    </xf>
    <xf numFmtId="0" fontId="2" fillId="3" borderId="1" xfId="0" applyFont="1" applyFill="1" applyBorder="1"/>
    <xf numFmtId="0" fontId="0" fillId="0" borderId="1" xfId="0" applyFill="1" applyBorder="1"/>
    <xf numFmtId="0" fontId="0" fillId="3" borderId="1" xfId="0" applyFill="1" applyBorder="1"/>
    <xf numFmtId="0" fontId="1" fillId="3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Border="1"/>
    <xf numFmtId="0" fontId="4" fillId="3" borderId="1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49" fontId="0" fillId="4" borderId="0" xfId="0" applyNumberFormat="1" applyFill="1" applyAlignment="1">
      <alignment horizontal="left" vertical="top" wrapText="1"/>
    </xf>
    <xf numFmtId="2" fontId="0" fillId="0" borderId="0" xfId="0" applyNumberFormat="1" applyFill="1" applyBorder="1"/>
    <xf numFmtId="2" fontId="0" fillId="0" borderId="0" xfId="0" applyNumberFormat="1" applyFill="1" applyAlignment="1">
      <alignment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6715-8974-4C10-8669-0A9E5A269F9D}">
  <sheetPr codeName="Foglio9"/>
  <dimension ref="A1:C21"/>
  <sheetViews>
    <sheetView workbookViewId="0">
      <selection activeCell="G2" sqref="G2"/>
    </sheetView>
  </sheetViews>
  <sheetFormatPr defaultRowHeight="15"/>
  <cols>
    <col min="1" max="1" width="142.42578125" customWidth="1"/>
    <col min="3" max="3" width="11.140625" bestFit="1" customWidth="1"/>
  </cols>
  <sheetData>
    <row r="1" spans="1:3" ht="66" customHeight="1">
      <c r="A1" s="19" t="s">
        <v>993</v>
      </c>
      <c r="B1" s="17"/>
      <c r="C1" s="17"/>
    </row>
    <row r="2" spans="1:3" ht="60">
      <c r="A2" s="18" t="str">
        <f>SUBSTITUTE($A$1,"xxxx",C2)</f>
        <v>mi dici la lista di tutta la rosa del Atalanta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2" s="17"/>
      <c r="C2" s="17" t="s">
        <v>551</v>
      </c>
    </row>
    <row r="3" spans="1:3" ht="60">
      <c r="A3" s="18" t="str">
        <f t="shared" ref="A3:A21" si="0">SUBSTITUTE($A$1,"xxxx",C3)</f>
        <v>mi dici la lista di tutta la rosa del Bologna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3" s="17"/>
      <c r="C3" s="17" t="s">
        <v>553</v>
      </c>
    </row>
    <row r="4" spans="1:3" ht="60">
      <c r="A4" s="18" t="str">
        <f t="shared" si="0"/>
        <v>mi dici la lista di tutta la rosa del Cagliari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4" s="17"/>
      <c r="C4" s="17" t="s">
        <v>555</v>
      </c>
    </row>
    <row r="5" spans="1:3" ht="60">
      <c r="A5" s="18" t="str">
        <f t="shared" si="0"/>
        <v>mi dici la lista di tutta la rosa del Como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5" s="17"/>
      <c r="C5" s="17" t="s">
        <v>557</v>
      </c>
    </row>
    <row r="6" spans="1:3" ht="60">
      <c r="A6" s="18" t="str">
        <f t="shared" si="0"/>
        <v>mi dici la lista di tutta la rosa del Cremonese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6" s="17"/>
      <c r="C6" s="17" t="s">
        <v>559</v>
      </c>
    </row>
    <row r="7" spans="1:3" ht="60">
      <c r="A7" s="18" t="str">
        <f t="shared" si="0"/>
        <v>mi dici la lista di tutta la rosa del Fiorentina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7" s="17"/>
      <c r="C7" s="17" t="s">
        <v>560</v>
      </c>
    </row>
    <row r="8" spans="1:3" ht="60">
      <c r="A8" s="18" t="str">
        <f t="shared" si="0"/>
        <v>mi dici la lista di tutta la rosa del Genoa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8" s="17"/>
      <c r="C8" s="17" t="s">
        <v>562</v>
      </c>
    </row>
    <row r="9" spans="1:3" ht="60">
      <c r="A9" s="18" t="str">
        <f t="shared" si="0"/>
        <v>mi dici la lista di tutta la rosa del Inter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9" s="17"/>
      <c r="C9" s="17" t="s">
        <v>563</v>
      </c>
    </row>
    <row r="10" spans="1:3" ht="60">
      <c r="A10" s="18" t="str">
        <f t="shared" si="0"/>
        <v>mi dici la lista di tutta la rosa del Juventus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0" s="17"/>
      <c r="C10" s="17" t="s">
        <v>565</v>
      </c>
    </row>
    <row r="11" spans="1:3" ht="60">
      <c r="A11" s="18" t="str">
        <f t="shared" si="0"/>
        <v>mi dici la lista di tutta la rosa del Lazio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1" s="17"/>
      <c r="C11" s="17" t="s">
        <v>566</v>
      </c>
    </row>
    <row r="12" spans="1:3" ht="60">
      <c r="A12" s="18" t="str">
        <f t="shared" si="0"/>
        <v>mi dici la lista di tutta la rosa del Lecce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2" s="17"/>
      <c r="C12" s="17" t="s">
        <v>568</v>
      </c>
    </row>
    <row r="13" spans="1:3" ht="60">
      <c r="A13" s="18" t="str">
        <f t="shared" si="0"/>
        <v>mi dici la lista di tutta la rosa del Milan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3" s="17"/>
      <c r="C13" s="17" t="s">
        <v>569</v>
      </c>
    </row>
    <row r="14" spans="1:3" ht="60">
      <c r="A14" s="18" t="str">
        <f t="shared" si="0"/>
        <v>mi dici la lista di tutta la rosa del Napoli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4" s="17"/>
      <c r="C14" s="17" t="s">
        <v>570</v>
      </c>
    </row>
    <row r="15" spans="1:3" ht="60">
      <c r="A15" s="18" t="str">
        <f t="shared" si="0"/>
        <v>mi dici la lista di tutta la rosa del Parma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5" s="17"/>
      <c r="C15" s="17" t="s">
        <v>571</v>
      </c>
    </row>
    <row r="16" spans="1:3" ht="60">
      <c r="A16" s="18" t="str">
        <f t="shared" si="0"/>
        <v>mi dici la lista di tutta la rosa del Pisa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6" s="17"/>
      <c r="C16" s="17" t="s">
        <v>572</v>
      </c>
    </row>
    <row r="17" spans="1:3" ht="60">
      <c r="A17" s="18" t="str">
        <f t="shared" si="0"/>
        <v>mi dici la lista di tutta la rosa del Roma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7" s="17"/>
      <c r="C17" s="17" t="s">
        <v>573</v>
      </c>
    </row>
    <row r="18" spans="1:3" ht="60">
      <c r="A18" s="18" t="str">
        <f t="shared" si="0"/>
        <v>mi dici la lista di tutta la rosa del Sassuolo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8" s="17"/>
      <c r="C18" s="17" t="s">
        <v>575</v>
      </c>
    </row>
    <row r="19" spans="1:3" ht="60">
      <c r="A19" s="18" t="str">
        <f t="shared" si="0"/>
        <v>mi dici la lista di tutta la rosa del Torino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19" s="17"/>
      <c r="C19" s="17" t="s">
        <v>576</v>
      </c>
    </row>
    <row r="20" spans="1:3" ht="60">
      <c r="A20" s="18" t="str">
        <f t="shared" si="0"/>
        <v>mi dici la lista di tutta la rosa del Udinese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20" s="17"/>
      <c r="C20" s="17" t="s">
        <v>577</v>
      </c>
    </row>
    <row r="21" spans="1:3" ht="60">
      <c r="A21" s="18" t="str">
        <f t="shared" si="0"/>
        <v>mi dici la lista di tutta la rosa del Verona titolari e non, con il nome della squadra, nome giocatore, il ruolo con A, C, D e P, il costo del fantacalcio, eventuale infortunio come Si e No e giorni di recupero da zero a n, la probabilità di titolarità espressa in percentuale, probabilità di essere rigorista espressa in percentuale, numero partite giocate, numero di goal fatti, numero goal subiti con valore nullo a zero, assist e rigori fatti nella scorsa stagione, media voti scorsa stagione, ed eventuali ballottaggi e gerarchie, in formato csv e con separatore di campo ; e senza intestazione con decimali separati dalla virgola</v>
      </c>
      <c r="B21" s="17"/>
      <c r="C21" s="17" t="s">
        <v>578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7BC4-D33A-49D5-BA8D-5E6D9224DBDF}">
  <sheetPr codeName="Foglio6"/>
  <dimension ref="A1:Q600"/>
  <sheetViews>
    <sheetView tabSelected="1" workbookViewId="0">
      <pane ySplit="1" topLeftCell="A104" activePane="bottomLeft" state="frozen"/>
      <selection pane="bottomLeft" activeCell="H7" sqref="H7"/>
    </sheetView>
  </sheetViews>
  <sheetFormatPr defaultColWidth="17.7109375" defaultRowHeight="15"/>
  <cols>
    <col min="1" max="1" width="12.5703125" bestFit="1" customWidth="1"/>
    <col min="2" max="2" width="18.85546875" customWidth="1"/>
    <col min="3" max="3" width="9" style="24" bestFit="1" customWidth="1"/>
    <col min="4" max="4" width="15.85546875" bestFit="1" customWidth="1"/>
    <col min="5" max="5" width="15.7109375" bestFit="1" customWidth="1"/>
    <col min="6" max="6" width="14" bestFit="1" customWidth="1"/>
    <col min="7" max="7" width="15.85546875" bestFit="1" customWidth="1"/>
    <col min="8" max="8" width="16.7109375" bestFit="1" customWidth="1"/>
    <col min="9" max="9" width="8.140625" bestFit="1" customWidth="1"/>
    <col min="10" max="11" width="8" bestFit="1" customWidth="1"/>
    <col min="12" max="12" width="6.140625" bestFit="1" customWidth="1"/>
    <col min="13" max="14" width="8.7109375" bestFit="1" customWidth="1"/>
    <col min="15" max="15" width="38.85546875" bestFit="1" customWidth="1"/>
    <col min="16" max="17" width="8" bestFit="1" customWidth="1"/>
  </cols>
  <sheetData>
    <row r="1" spans="1:17" ht="30">
      <c r="A1" s="12" t="s">
        <v>798</v>
      </c>
      <c r="B1" s="12" t="s">
        <v>678</v>
      </c>
      <c r="C1" s="12" t="s">
        <v>958</v>
      </c>
      <c r="D1" s="12" t="s">
        <v>715</v>
      </c>
      <c r="E1" s="12" t="s">
        <v>844</v>
      </c>
      <c r="F1" s="12" t="s">
        <v>856</v>
      </c>
      <c r="G1" s="12" t="s">
        <v>855</v>
      </c>
      <c r="H1" s="12" t="s">
        <v>854</v>
      </c>
      <c r="I1" s="12" t="s">
        <v>862</v>
      </c>
      <c r="J1" s="12" t="s">
        <v>861</v>
      </c>
      <c r="K1" s="12" t="s">
        <v>860</v>
      </c>
      <c r="L1" s="12" t="s">
        <v>580</v>
      </c>
      <c r="M1" s="12" t="s">
        <v>548</v>
      </c>
      <c r="N1" s="12" t="s">
        <v>897</v>
      </c>
      <c r="O1" s="12" t="s">
        <v>716</v>
      </c>
      <c r="P1" s="12" t="s">
        <v>956</v>
      </c>
      <c r="Q1" s="12" t="s">
        <v>957</v>
      </c>
    </row>
    <row r="2" spans="1:17">
      <c r="A2" s="6" t="s">
        <v>563</v>
      </c>
      <c r="B2" s="13" t="s">
        <v>707</v>
      </c>
      <c r="C2" s="22" t="s">
        <v>63</v>
      </c>
      <c r="D2" s="13">
        <v>40</v>
      </c>
      <c r="E2" s="6" t="s">
        <v>724</v>
      </c>
      <c r="F2" s="6">
        <v>0</v>
      </c>
      <c r="G2" s="16">
        <v>95</v>
      </c>
      <c r="H2" s="13">
        <v>0</v>
      </c>
      <c r="I2" s="6">
        <v>34</v>
      </c>
      <c r="J2" s="13">
        <v>0</v>
      </c>
      <c r="K2" s="13">
        <v>37</v>
      </c>
      <c r="L2" s="13">
        <v>0</v>
      </c>
      <c r="M2" s="13">
        <v>0</v>
      </c>
      <c r="N2" s="20">
        <v>6.25</v>
      </c>
      <c r="O2" s="6" t="s">
        <v>858</v>
      </c>
      <c r="P2" s="6">
        <f>INT(G2+IF(I2&gt;0,J2/I2*30,0)+L2+M2+H2+D2-F2-K2)</f>
        <v>98</v>
      </c>
      <c r="Q2" s="6">
        <f>INT(G2+IF(I2&gt;0,J2/I2*30,0)+L2+M2+H2-F2-K2)</f>
        <v>58</v>
      </c>
    </row>
    <row r="3" spans="1:17">
      <c r="A3" s="6" t="s">
        <v>563</v>
      </c>
      <c r="B3" s="13" t="s">
        <v>698</v>
      </c>
      <c r="C3" s="22" t="s">
        <v>63</v>
      </c>
      <c r="D3" s="13">
        <v>6</v>
      </c>
      <c r="E3" s="6" t="s">
        <v>724</v>
      </c>
      <c r="F3" s="6">
        <v>0</v>
      </c>
      <c r="G3" s="16">
        <v>5</v>
      </c>
      <c r="H3" s="13">
        <v>0</v>
      </c>
      <c r="I3" s="6">
        <v>2</v>
      </c>
      <c r="J3" s="13">
        <v>0</v>
      </c>
      <c r="K3" s="13">
        <v>4</v>
      </c>
      <c r="L3" s="13">
        <v>0</v>
      </c>
      <c r="M3" s="13">
        <v>0</v>
      </c>
      <c r="N3" s="21">
        <v>6</v>
      </c>
      <c r="O3" s="6" t="s">
        <v>725</v>
      </c>
      <c r="P3" s="6">
        <f t="shared" ref="P3:P66" si="0">INT(G3+IF(I3&gt;0,J3/I3*30,0)+L3+M3+H3+D3-F3-K3)</f>
        <v>7</v>
      </c>
      <c r="Q3" s="6">
        <f t="shared" ref="Q3:Q66" si="1">INT(G3+IF(I3&gt;0,J3/I3*30,0)+L3+M3+H3-F3-K3)</f>
        <v>1</v>
      </c>
    </row>
    <row r="4" spans="1:17">
      <c r="A4" s="6" t="s">
        <v>563</v>
      </c>
      <c r="B4" s="13" t="s">
        <v>726</v>
      </c>
      <c r="C4" s="22" t="s">
        <v>63</v>
      </c>
      <c r="D4" s="13">
        <v>1</v>
      </c>
      <c r="E4" s="6" t="s">
        <v>724</v>
      </c>
      <c r="F4" s="6">
        <v>0</v>
      </c>
      <c r="G4" s="16">
        <v>0</v>
      </c>
      <c r="H4" s="13">
        <v>0</v>
      </c>
      <c r="I4" s="6">
        <v>0</v>
      </c>
      <c r="J4" s="13">
        <v>0</v>
      </c>
      <c r="K4" s="13">
        <v>0</v>
      </c>
      <c r="L4" s="13">
        <v>0</v>
      </c>
      <c r="M4" s="13">
        <v>0</v>
      </c>
      <c r="N4" s="21">
        <v>5.9</v>
      </c>
      <c r="O4" s="6" t="s">
        <v>952</v>
      </c>
      <c r="P4" s="6">
        <f t="shared" si="0"/>
        <v>1</v>
      </c>
      <c r="Q4" s="6">
        <f t="shared" si="1"/>
        <v>0</v>
      </c>
    </row>
    <row r="5" spans="1:17">
      <c r="A5" s="6" t="s">
        <v>563</v>
      </c>
      <c r="B5" s="13" t="s">
        <v>708</v>
      </c>
      <c r="C5" s="22" t="s">
        <v>41</v>
      </c>
      <c r="D5" s="13">
        <v>25</v>
      </c>
      <c r="E5" s="6" t="s">
        <v>724</v>
      </c>
      <c r="F5" s="6">
        <v>0</v>
      </c>
      <c r="G5" s="16">
        <v>95</v>
      </c>
      <c r="H5" s="13">
        <v>0</v>
      </c>
      <c r="I5" s="6">
        <v>32</v>
      </c>
      <c r="J5" s="13">
        <v>2</v>
      </c>
      <c r="K5" s="13">
        <v>0</v>
      </c>
      <c r="L5" s="13">
        <v>2</v>
      </c>
      <c r="M5" s="13">
        <v>0</v>
      </c>
      <c r="N5" s="21">
        <v>6.35</v>
      </c>
      <c r="O5" s="6" t="s">
        <v>746</v>
      </c>
      <c r="P5" s="6">
        <f t="shared" si="0"/>
        <v>123</v>
      </c>
      <c r="Q5" s="6">
        <f t="shared" si="1"/>
        <v>98</v>
      </c>
    </row>
    <row r="6" spans="1:17">
      <c r="A6" s="6" t="s">
        <v>563</v>
      </c>
      <c r="B6" s="13" t="s">
        <v>727</v>
      </c>
      <c r="C6" s="22" t="s">
        <v>41</v>
      </c>
      <c r="D6" s="13">
        <v>21</v>
      </c>
      <c r="E6" s="6" t="s">
        <v>724</v>
      </c>
      <c r="F6" s="6">
        <v>0</v>
      </c>
      <c r="G6" s="16">
        <v>90</v>
      </c>
      <c r="H6" s="13">
        <v>0</v>
      </c>
      <c r="I6" s="6">
        <v>30</v>
      </c>
      <c r="J6" s="13">
        <v>1</v>
      </c>
      <c r="K6" s="13">
        <v>0</v>
      </c>
      <c r="L6" s="13">
        <v>1</v>
      </c>
      <c r="M6" s="13">
        <v>0</v>
      </c>
      <c r="N6" s="21">
        <v>6.3</v>
      </c>
      <c r="O6" s="6" t="s">
        <v>747</v>
      </c>
      <c r="P6" s="6">
        <f t="shared" si="0"/>
        <v>113</v>
      </c>
      <c r="Q6" s="6">
        <f t="shared" si="1"/>
        <v>92</v>
      </c>
    </row>
    <row r="7" spans="1:17">
      <c r="A7" s="6" t="s">
        <v>563</v>
      </c>
      <c r="B7" s="13" t="s">
        <v>663</v>
      </c>
      <c r="C7" s="22" t="s">
        <v>41</v>
      </c>
      <c r="D7" s="13">
        <v>18</v>
      </c>
      <c r="E7" s="6" t="s">
        <v>724</v>
      </c>
      <c r="F7" s="6">
        <v>0</v>
      </c>
      <c r="G7" s="16">
        <v>95</v>
      </c>
      <c r="H7" s="13">
        <v>10</v>
      </c>
      <c r="I7" s="6">
        <v>33</v>
      </c>
      <c r="J7" s="13">
        <v>4</v>
      </c>
      <c r="K7" s="13">
        <v>0</v>
      </c>
      <c r="L7" s="13">
        <v>6</v>
      </c>
      <c r="M7" s="13">
        <v>1</v>
      </c>
      <c r="N7" s="21">
        <v>6.7</v>
      </c>
      <c r="O7" s="6" t="s">
        <v>717</v>
      </c>
      <c r="P7" s="6">
        <f t="shared" si="0"/>
        <v>133</v>
      </c>
      <c r="Q7" s="6">
        <f t="shared" si="1"/>
        <v>115</v>
      </c>
    </row>
    <row r="8" spans="1:17">
      <c r="A8" s="6" t="s">
        <v>563</v>
      </c>
      <c r="B8" s="13" t="s">
        <v>731</v>
      </c>
      <c r="C8" s="22" t="s">
        <v>41</v>
      </c>
      <c r="D8" s="13">
        <v>10</v>
      </c>
      <c r="E8" s="6" t="s">
        <v>724</v>
      </c>
      <c r="F8" s="6">
        <v>0</v>
      </c>
      <c r="G8" s="16">
        <v>70</v>
      </c>
      <c r="H8" s="13">
        <v>0</v>
      </c>
      <c r="I8" s="6">
        <v>28</v>
      </c>
      <c r="J8" s="13">
        <v>2</v>
      </c>
      <c r="K8" s="13">
        <v>0</v>
      </c>
      <c r="L8" s="13">
        <v>3</v>
      </c>
      <c r="M8" s="13">
        <v>0</v>
      </c>
      <c r="N8" s="21">
        <v>6.25</v>
      </c>
      <c r="O8" s="6" t="s">
        <v>749</v>
      </c>
      <c r="P8" s="6">
        <f t="shared" si="0"/>
        <v>85</v>
      </c>
      <c r="Q8" s="6">
        <f t="shared" si="1"/>
        <v>75</v>
      </c>
    </row>
    <row r="9" spans="1:17">
      <c r="A9" s="6" t="s">
        <v>563</v>
      </c>
      <c r="B9" s="13" t="s">
        <v>728</v>
      </c>
      <c r="C9" s="22" t="s">
        <v>41</v>
      </c>
      <c r="D9" s="13">
        <v>7</v>
      </c>
      <c r="E9" s="6" t="s">
        <v>724</v>
      </c>
      <c r="F9" s="6">
        <v>0</v>
      </c>
      <c r="G9" s="16">
        <v>60</v>
      </c>
      <c r="H9" s="13">
        <v>0</v>
      </c>
      <c r="I9" s="6">
        <v>25</v>
      </c>
      <c r="J9" s="13">
        <v>1</v>
      </c>
      <c r="K9" s="13">
        <v>0</v>
      </c>
      <c r="L9" s="13">
        <v>2</v>
      </c>
      <c r="M9" s="13">
        <v>0</v>
      </c>
      <c r="N9" s="21">
        <v>6.2</v>
      </c>
      <c r="O9" s="6" t="s">
        <v>745</v>
      </c>
      <c r="P9" s="6">
        <f t="shared" si="0"/>
        <v>70</v>
      </c>
      <c r="Q9" s="6">
        <f t="shared" si="1"/>
        <v>63</v>
      </c>
    </row>
    <row r="10" spans="1:17">
      <c r="A10" s="6" t="s">
        <v>563</v>
      </c>
      <c r="B10" s="13" t="s">
        <v>729</v>
      </c>
      <c r="C10" s="22" t="s">
        <v>41</v>
      </c>
      <c r="D10" s="13">
        <v>5</v>
      </c>
      <c r="E10" s="6" t="s">
        <v>724</v>
      </c>
      <c r="F10" s="6">
        <v>0</v>
      </c>
      <c r="G10" s="16">
        <v>40</v>
      </c>
      <c r="H10" s="13">
        <v>0</v>
      </c>
      <c r="I10" s="6">
        <v>18</v>
      </c>
      <c r="J10" s="13">
        <v>0</v>
      </c>
      <c r="K10" s="13">
        <v>0</v>
      </c>
      <c r="L10" s="13">
        <v>1</v>
      </c>
      <c r="M10" s="13">
        <v>0</v>
      </c>
      <c r="N10" s="21">
        <v>6</v>
      </c>
      <c r="O10" s="6" t="s">
        <v>725</v>
      </c>
      <c r="P10" s="6">
        <f t="shared" si="0"/>
        <v>46</v>
      </c>
      <c r="Q10" s="6">
        <f t="shared" si="1"/>
        <v>41</v>
      </c>
    </row>
    <row r="11" spans="1:17">
      <c r="A11" s="6" t="s">
        <v>563</v>
      </c>
      <c r="B11" s="13" t="s">
        <v>730</v>
      </c>
      <c r="C11" s="22" t="s">
        <v>41</v>
      </c>
      <c r="D11" s="13">
        <v>6</v>
      </c>
      <c r="E11" s="6" t="s">
        <v>724</v>
      </c>
      <c r="F11" s="6">
        <v>0</v>
      </c>
      <c r="G11" s="16">
        <v>50</v>
      </c>
      <c r="H11" s="13">
        <v>0</v>
      </c>
      <c r="I11" s="6">
        <v>22</v>
      </c>
      <c r="J11" s="13">
        <v>1</v>
      </c>
      <c r="K11" s="13">
        <v>0</v>
      </c>
      <c r="L11" s="13">
        <v>1</v>
      </c>
      <c r="M11" s="13">
        <v>0</v>
      </c>
      <c r="N11" s="21">
        <v>6.1</v>
      </c>
      <c r="O11" s="6" t="s">
        <v>748</v>
      </c>
      <c r="P11" s="6">
        <f t="shared" si="0"/>
        <v>58</v>
      </c>
      <c r="Q11" s="6">
        <f t="shared" si="1"/>
        <v>52</v>
      </c>
    </row>
    <row r="12" spans="1:17">
      <c r="A12" s="6" t="s">
        <v>563</v>
      </c>
      <c r="B12" s="13" t="s">
        <v>564</v>
      </c>
      <c r="C12" s="22" t="s">
        <v>12</v>
      </c>
      <c r="D12" s="13">
        <v>26</v>
      </c>
      <c r="E12" s="6" t="s">
        <v>724</v>
      </c>
      <c r="F12" s="6">
        <v>0</v>
      </c>
      <c r="G12" s="16">
        <v>95</v>
      </c>
      <c r="H12" s="13">
        <v>85</v>
      </c>
      <c r="I12" s="6">
        <v>32</v>
      </c>
      <c r="J12" s="13">
        <v>6</v>
      </c>
      <c r="K12" s="13">
        <v>0</v>
      </c>
      <c r="L12" s="13">
        <v>7</v>
      </c>
      <c r="M12" s="13">
        <v>4</v>
      </c>
      <c r="N12" s="13">
        <v>6.65</v>
      </c>
      <c r="O12" s="6" t="s">
        <v>751</v>
      </c>
      <c r="P12" s="6">
        <f t="shared" si="0"/>
        <v>222</v>
      </c>
      <c r="Q12" s="6">
        <f t="shared" si="1"/>
        <v>196</v>
      </c>
    </row>
    <row r="13" spans="1:17">
      <c r="A13" s="6" t="s">
        <v>563</v>
      </c>
      <c r="B13" s="13" t="s">
        <v>709</v>
      </c>
      <c r="C13" s="22" t="s">
        <v>12</v>
      </c>
      <c r="D13" s="13">
        <v>24</v>
      </c>
      <c r="E13" s="6" t="s">
        <v>724</v>
      </c>
      <c r="F13" s="6">
        <v>0</v>
      </c>
      <c r="G13" s="16">
        <v>95</v>
      </c>
      <c r="H13" s="13">
        <v>10</v>
      </c>
      <c r="I13" s="6">
        <v>34</v>
      </c>
      <c r="J13" s="13">
        <v>5</v>
      </c>
      <c r="K13" s="13">
        <v>0</v>
      </c>
      <c r="L13" s="13">
        <v>6</v>
      </c>
      <c r="M13" s="13">
        <v>0</v>
      </c>
      <c r="N13" s="13">
        <v>6.6</v>
      </c>
      <c r="O13" s="6" t="s">
        <v>717</v>
      </c>
      <c r="P13" s="6">
        <f t="shared" si="0"/>
        <v>139</v>
      </c>
      <c r="Q13" s="6">
        <f t="shared" si="1"/>
        <v>115</v>
      </c>
    </row>
    <row r="14" spans="1:17">
      <c r="A14" s="6" t="s">
        <v>563</v>
      </c>
      <c r="B14" s="13" t="s">
        <v>732</v>
      </c>
      <c r="C14" s="22" t="s">
        <v>12</v>
      </c>
      <c r="D14" s="13">
        <v>18</v>
      </c>
      <c r="E14" s="6" t="s">
        <v>974</v>
      </c>
      <c r="F14" s="6">
        <v>20</v>
      </c>
      <c r="G14" s="16">
        <v>60</v>
      </c>
      <c r="H14" s="13">
        <v>5</v>
      </c>
      <c r="I14" s="6">
        <v>26</v>
      </c>
      <c r="J14" s="13">
        <v>4</v>
      </c>
      <c r="K14" s="13">
        <v>0</v>
      </c>
      <c r="L14" s="13">
        <v>3</v>
      </c>
      <c r="M14" s="13">
        <v>0</v>
      </c>
      <c r="N14" s="13">
        <v>6.35</v>
      </c>
      <c r="O14" s="6" t="s">
        <v>752</v>
      </c>
      <c r="P14" s="6">
        <f t="shared" si="0"/>
        <v>70</v>
      </c>
      <c r="Q14" s="6">
        <f t="shared" si="1"/>
        <v>52</v>
      </c>
    </row>
    <row r="15" spans="1:17">
      <c r="A15" s="6" t="s">
        <v>563</v>
      </c>
      <c r="B15" s="13" t="s">
        <v>733</v>
      </c>
      <c r="C15" s="22" t="s">
        <v>12</v>
      </c>
      <c r="D15" s="13">
        <v>16</v>
      </c>
      <c r="E15" s="6" t="s">
        <v>724</v>
      </c>
      <c r="F15" s="6">
        <v>0</v>
      </c>
      <c r="G15" s="16">
        <v>75</v>
      </c>
      <c r="H15" s="13">
        <v>10</v>
      </c>
      <c r="I15" s="6">
        <v>28</v>
      </c>
      <c r="J15" s="13">
        <v>3</v>
      </c>
      <c r="K15" s="13">
        <v>0</v>
      </c>
      <c r="L15" s="13">
        <v>5</v>
      </c>
      <c r="M15" s="13">
        <v>1</v>
      </c>
      <c r="N15" s="13">
        <v>6.4</v>
      </c>
      <c r="O15" s="6" t="s">
        <v>753</v>
      </c>
      <c r="P15" s="6">
        <f t="shared" si="0"/>
        <v>110</v>
      </c>
      <c r="Q15" s="6">
        <f t="shared" si="1"/>
        <v>94</v>
      </c>
    </row>
    <row r="16" spans="1:17">
      <c r="A16" s="6" t="s">
        <v>563</v>
      </c>
      <c r="B16" s="13" t="s">
        <v>734</v>
      </c>
      <c r="C16" s="22" t="s">
        <v>12</v>
      </c>
      <c r="D16" s="13">
        <v>14</v>
      </c>
      <c r="E16" s="6" t="s">
        <v>724</v>
      </c>
      <c r="F16" s="6">
        <v>0</v>
      </c>
      <c r="G16" s="16">
        <v>70</v>
      </c>
      <c r="H16" s="13">
        <v>5</v>
      </c>
      <c r="I16" s="6">
        <v>27</v>
      </c>
      <c r="J16" s="13">
        <v>2</v>
      </c>
      <c r="K16" s="13">
        <v>0</v>
      </c>
      <c r="L16" s="13">
        <v>4</v>
      </c>
      <c r="M16" s="13">
        <v>0</v>
      </c>
      <c r="N16" s="13">
        <v>6.3</v>
      </c>
      <c r="O16" s="6" t="s">
        <v>859</v>
      </c>
      <c r="P16" s="6">
        <f t="shared" si="0"/>
        <v>95</v>
      </c>
      <c r="Q16" s="6">
        <f t="shared" si="1"/>
        <v>81</v>
      </c>
    </row>
    <row r="17" spans="1:17">
      <c r="A17" s="6" t="s">
        <v>563</v>
      </c>
      <c r="B17" s="13" t="s">
        <v>736</v>
      </c>
      <c r="C17" s="22" t="s">
        <v>12</v>
      </c>
      <c r="D17" s="13">
        <v>4</v>
      </c>
      <c r="E17" s="6" t="s">
        <v>724</v>
      </c>
      <c r="F17" s="6">
        <v>0</v>
      </c>
      <c r="G17" s="16">
        <v>40</v>
      </c>
      <c r="H17" s="13">
        <v>0</v>
      </c>
      <c r="I17" s="6">
        <v>18</v>
      </c>
      <c r="J17" s="13">
        <v>1</v>
      </c>
      <c r="K17" s="13">
        <v>0</v>
      </c>
      <c r="L17" s="13">
        <v>1</v>
      </c>
      <c r="M17" s="13">
        <v>0</v>
      </c>
      <c r="N17" s="13">
        <v>6.05</v>
      </c>
      <c r="O17" s="6" t="s">
        <v>755</v>
      </c>
      <c r="P17" s="6">
        <f t="shared" si="0"/>
        <v>46</v>
      </c>
      <c r="Q17" s="6">
        <f t="shared" si="1"/>
        <v>42</v>
      </c>
    </row>
    <row r="18" spans="1:17">
      <c r="A18" s="6" t="s">
        <v>563</v>
      </c>
      <c r="B18" s="6" t="s">
        <v>737</v>
      </c>
      <c r="C18" s="23" t="s">
        <v>12</v>
      </c>
      <c r="D18" s="6">
        <v>6</v>
      </c>
      <c r="E18" s="6" t="s">
        <v>724</v>
      </c>
      <c r="F18" s="6">
        <v>0</v>
      </c>
      <c r="G18" s="16">
        <v>75</v>
      </c>
      <c r="H18" s="6">
        <v>0</v>
      </c>
      <c r="I18" s="6">
        <v>25</v>
      </c>
      <c r="J18" s="6">
        <v>2</v>
      </c>
      <c r="K18" s="6">
        <v>0</v>
      </c>
      <c r="L18" s="6">
        <v>3</v>
      </c>
      <c r="M18" s="6">
        <v>0</v>
      </c>
      <c r="N18" s="6">
        <v>6.1</v>
      </c>
      <c r="O18" s="6" t="s">
        <v>750</v>
      </c>
      <c r="P18" s="6">
        <f t="shared" si="0"/>
        <v>86</v>
      </c>
      <c r="Q18" s="6">
        <f t="shared" si="1"/>
        <v>80</v>
      </c>
    </row>
    <row r="19" spans="1:17">
      <c r="A19" s="6" t="s">
        <v>563</v>
      </c>
      <c r="B19" s="6" t="s">
        <v>738</v>
      </c>
      <c r="C19" s="23" t="s">
        <v>12</v>
      </c>
      <c r="D19" s="6">
        <v>5</v>
      </c>
      <c r="E19" s="6" t="s">
        <v>724</v>
      </c>
      <c r="F19" s="6">
        <v>0</v>
      </c>
      <c r="G19" s="16">
        <v>50</v>
      </c>
      <c r="H19" s="6">
        <v>0</v>
      </c>
      <c r="I19" s="6">
        <v>20</v>
      </c>
      <c r="J19" s="6">
        <v>2</v>
      </c>
      <c r="K19" s="6">
        <v>0</v>
      </c>
      <c r="L19" s="6">
        <v>2</v>
      </c>
      <c r="M19" s="6">
        <v>0</v>
      </c>
      <c r="N19" s="6">
        <v>6.1</v>
      </c>
      <c r="O19" s="6" t="s">
        <v>756</v>
      </c>
      <c r="P19" s="6">
        <f t="shared" si="0"/>
        <v>60</v>
      </c>
      <c r="Q19" s="6">
        <f t="shared" si="1"/>
        <v>55</v>
      </c>
    </row>
    <row r="20" spans="1:17">
      <c r="A20" s="6" t="s">
        <v>563</v>
      </c>
      <c r="B20" s="6" t="s">
        <v>735</v>
      </c>
      <c r="C20" s="23" t="s">
        <v>12</v>
      </c>
      <c r="D20" s="6">
        <v>10</v>
      </c>
      <c r="E20" s="6" t="s">
        <v>724</v>
      </c>
      <c r="F20" s="6">
        <v>0</v>
      </c>
      <c r="G20" s="16">
        <v>60</v>
      </c>
      <c r="H20" s="6">
        <v>0</v>
      </c>
      <c r="I20" s="6">
        <v>22</v>
      </c>
      <c r="J20" s="6">
        <v>2</v>
      </c>
      <c r="K20" s="6">
        <v>0</v>
      </c>
      <c r="L20" s="6">
        <v>3</v>
      </c>
      <c r="M20" s="6">
        <v>0</v>
      </c>
      <c r="N20" s="6">
        <v>6.2</v>
      </c>
      <c r="O20" s="6" t="s">
        <v>749</v>
      </c>
      <c r="P20" s="6">
        <f t="shared" si="0"/>
        <v>75</v>
      </c>
      <c r="Q20" s="6">
        <f t="shared" si="1"/>
        <v>65</v>
      </c>
    </row>
    <row r="21" spans="1:17">
      <c r="A21" s="6" t="s">
        <v>563</v>
      </c>
      <c r="B21" s="6" t="s">
        <v>739</v>
      </c>
      <c r="C21" s="23" t="s">
        <v>5</v>
      </c>
      <c r="D21" s="6">
        <v>38</v>
      </c>
      <c r="E21" s="6" t="s">
        <v>724</v>
      </c>
      <c r="F21" s="6">
        <v>0</v>
      </c>
      <c r="G21" s="16">
        <v>90</v>
      </c>
      <c r="H21" s="6">
        <v>10</v>
      </c>
      <c r="I21" s="6">
        <v>33</v>
      </c>
      <c r="J21" s="6">
        <v>10</v>
      </c>
      <c r="K21" s="6">
        <v>0</v>
      </c>
      <c r="L21" s="6">
        <v>7</v>
      </c>
      <c r="M21" s="6">
        <v>0</v>
      </c>
      <c r="N21" s="6">
        <v>6.5</v>
      </c>
      <c r="O21" s="6" t="s">
        <v>757</v>
      </c>
      <c r="P21" s="6">
        <f t="shared" si="0"/>
        <v>154</v>
      </c>
      <c r="Q21" s="6">
        <f t="shared" si="1"/>
        <v>116</v>
      </c>
    </row>
    <row r="22" spans="1:17">
      <c r="A22" s="6" t="s">
        <v>563</v>
      </c>
      <c r="B22" s="6" t="s">
        <v>670</v>
      </c>
      <c r="C22" s="23" t="s">
        <v>5</v>
      </c>
      <c r="D22" s="6">
        <v>84</v>
      </c>
      <c r="E22" s="6" t="s">
        <v>724</v>
      </c>
      <c r="F22" s="6">
        <v>0</v>
      </c>
      <c r="G22" s="16">
        <v>100</v>
      </c>
      <c r="H22" s="6">
        <v>90</v>
      </c>
      <c r="I22" s="6">
        <v>34</v>
      </c>
      <c r="J22" s="6">
        <v>21</v>
      </c>
      <c r="K22" s="6">
        <v>0</v>
      </c>
      <c r="L22" s="6">
        <v>5</v>
      </c>
      <c r="M22" s="6">
        <v>6</v>
      </c>
      <c r="N22" s="6">
        <v>6.75</v>
      </c>
      <c r="O22" s="6" t="s">
        <v>717</v>
      </c>
      <c r="P22" s="6">
        <f t="shared" si="0"/>
        <v>303</v>
      </c>
      <c r="Q22" s="6">
        <f t="shared" si="1"/>
        <v>219</v>
      </c>
    </row>
    <row r="23" spans="1:17">
      <c r="A23" s="6" t="s">
        <v>563</v>
      </c>
      <c r="B23" s="6" t="s">
        <v>740</v>
      </c>
      <c r="C23" s="23" t="s">
        <v>5</v>
      </c>
      <c r="D23" s="6">
        <v>28</v>
      </c>
      <c r="E23" s="6" t="s">
        <v>724</v>
      </c>
      <c r="F23" s="6">
        <v>0</v>
      </c>
      <c r="G23" s="16">
        <v>85</v>
      </c>
      <c r="H23" s="6">
        <v>80</v>
      </c>
      <c r="I23" s="6">
        <v>30</v>
      </c>
      <c r="J23" s="6">
        <v>14</v>
      </c>
      <c r="K23" s="6">
        <v>0</v>
      </c>
      <c r="L23" s="6">
        <v>4</v>
      </c>
      <c r="M23" s="6">
        <v>5</v>
      </c>
      <c r="N23" s="6">
        <v>6.55</v>
      </c>
      <c r="O23" s="6" t="s">
        <v>758</v>
      </c>
      <c r="P23" s="6">
        <f t="shared" si="0"/>
        <v>216</v>
      </c>
      <c r="Q23" s="6">
        <f t="shared" si="1"/>
        <v>188</v>
      </c>
    </row>
    <row r="24" spans="1:17">
      <c r="A24" s="6" t="s">
        <v>563</v>
      </c>
      <c r="B24" s="6" t="s">
        <v>741</v>
      </c>
      <c r="C24" s="23" t="s">
        <v>5</v>
      </c>
      <c r="D24" s="6">
        <v>6</v>
      </c>
      <c r="E24" s="6" t="s">
        <v>724</v>
      </c>
      <c r="F24" s="6">
        <v>0</v>
      </c>
      <c r="G24" s="16">
        <v>40</v>
      </c>
      <c r="H24" s="6">
        <v>0</v>
      </c>
      <c r="I24" s="6">
        <v>18</v>
      </c>
      <c r="J24" s="6">
        <v>2</v>
      </c>
      <c r="K24" s="6">
        <v>0</v>
      </c>
      <c r="L24" s="6">
        <v>1</v>
      </c>
      <c r="M24" s="6">
        <v>0</v>
      </c>
      <c r="N24" s="6">
        <v>6</v>
      </c>
      <c r="O24" s="6" t="s">
        <v>725</v>
      </c>
      <c r="P24" s="6">
        <f t="shared" si="0"/>
        <v>50</v>
      </c>
      <c r="Q24" s="6">
        <f t="shared" si="1"/>
        <v>44</v>
      </c>
    </row>
    <row r="25" spans="1:17">
      <c r="A25" s="6" t="s">
        <v>563</v>
      </c>
      <c r="B25" s="6" t="s">
        <v>742</v>
      </c>
      <c r="C25" s="23" t="s">
        <v>5</v>
      </c>
      <c r="D25" s="6">
        <v>4</v>
      </c>
      <c r="E25" s="6" t="s">
        <v>724</v>
      </c>
      <c r="F25" s="6">
        <v>0</v>
      </c>
      <c r="G25" s="16">
        <v>30</v>
      </c>
      <c r="H25" s="6">
        <v>0</v>
      </c>
      <c r="I25" s="6">
        <v>12</v>
      </c>
      <c r="J25" s="6">
        <v>1</v>
      </c>
      <c r="K25" s="6">
        <v>0</v>
      </c>
      <c r="L25" s="6">
        <v>1</v>
      </c>
      <c r="M25" s="6">
        <v>0</v>
      </c>
      <c r="N25" s="6">
        <v>5.95</v>
      </c>
      <c r="O25" s="6" t="s">
        <v>754</v>
      </c>
      <c r="P25" s="6">
        <f t="shared" si="0"/>
        <v>37</v>
      </c>
      <c r="Q25" s="6">
        <f t="shared" si="1"/>
        <v>33</v>
      </c>
    </row>
    <row r="26" spans="1:17">
      <c r="A26" s="6" t="s">
        <v>563</v>
      </c>
      <c r="B26" s="6" t="s">
        <v>743</v>
      </c>
      <c r="C26" s="23" t="s">
        <v>5</v>
      </c>
      <c r="D26" s="6">
        <v>1</v>
      </c>
      <c r="E26" s="6" t="s">
        <v>724</v>
      </c>
      <c r="F26" s="6">
        <v>0</v>
      </c>
      <c r="G26" s="16">
        <v>10</v>
      </c>
      <c r="H26" s="6">
        <v>0</v>
      </c>
      <c r="I26" s="6">
        <v>5</v>
      </c>
      <c r="J26" s="6">
        <v>0</v>
      </c>
      <c r="K26" s="6">
        <v>0</v>
      </c>
      <c r="L26" s="6">
        <v>0</v>
      </c>
      <c r="M26" s="6">
        <v>0</v>
      </c>
      <c r="N26" s="6">
        <v>5.8</v>
      </c>
      <c r="O26" s="6" t="s">
        <v>754</v>
      </c>
      <c r="P26" s="6">
        <f t="shared" si="0"/>
        <v>11</v>
      </c>
      <c r="Q26" s="6">
        <f t="shared" si="1"/>
        <v>10</v>
      </c>
    </row>
    <row r="27" spans="1:17">
      <c r="A27" s="6" t="s">
        <v>551</v>
      </c>
      <c r="B27" s="6" t="s">
        <v>679</v>
      </c>
      <c r="C27" s="23" t="s">
        <v>63</v>
      </c>
      <c r="D27" s="6">
        <v>15</v>
      </c>
      <c r="E27" s="6" t="s">
        <v>724</v>
      </c>
      <c r="F27" s="6">
        <v>0</v>
      </c>
      <c r="G27" s="16">
        <v>95</v>
      </c>
      <c r="H27" s="6">
        <v>0</v>
      </c>
      <c r="I27" s="6">
        <v>33</v>
      </c>
      <c r="J27" s="6">
        <v>0</v>
      </c>
      <c r="K27">
        <v>38</v>
      </c>
      <c r="L27" s="6">
        <v>0</v>
      </c>
      <c r="M27" s="6">
        <v>0</v>
      </c>
      <c r="N27" s="6">
        <v>6.2</v>
      </c>
      <c r="O27" s="6" t="s">
        <v>759</v>
      </c>
      <c r="P27" s="6">
        <f t="shared" si="0"/>
        <v>72</v>
      </c>
      <c r="Q27" s="6">
        <f t="shared" si="1"/>
        <v>57</v>
      </c>
    </row>
    <row r="28" spans="1:17">
      <c r="A28" s="6" t="s">
        <v>551</v>
      </c>
      <c r="B28" s="6" t="s">
        <v>760</v>
      </c>
      <c r="C28" s="23" t="s">
        <v>63</v>
      </c>
      <c r="D28" s="6">
        <v>4</v>
      </c>
      <c r="E28" s="6" t="s">
        <v>724</v>
      </c>
      <c r="F28" s="6">
        <v>0</v>
      </c>
      <c r="G28" s="16">
        <v>5</v>
      </c>
      <c r="H28" s="6">
        <v>0</v>
      </c>
      <c r="I28" s="6">
        <v>3</v>
      </c>
      <c r="J28" s="6">
        <v>0</v>
      </c>
      <c r="K28">
        <v>4</v>
      </c>
      <c r="L28" s="6">
        <v>0</v>
      </c>
      <c r="M28" s="6">
        <v>0</v>
      </c>
      <c r="N28" s="6">
        <v>6</v>
      </c>
      <c r="O28" s="6" t="s">
        <v>725</v>
      </c>
      <c r="P28" s="6">
        <f t="shared" si="0"/>
        <v>5</v>
      </c>
      <c r="Q28" s="6">
        <f t="shared" si="1"/>
        <v>1</v>
      </c>
    </row>
    <row r="29" spans="1:17">
      <c r="A29" s="6" t="s">
        <v>551</v>
      </c>
      <c r="B29" s="6" t="s">
        <v>761</v>
      </c>
      <c r="C29" s="23" t="s">
        <v>63</v>
      </c>
      <c r="D29" s="6">
        <v>1</v>
      </c>
      <c r="E29" s="6" t="s">
        <v>724</v>
      </c>
      <c r="F29" s="6">
        <v>0</v>
      </c>
      <c r="G29" s="16">
        <v>0</v>
      </c>
      <c r="H29" s="6">
        <v>0</v>
      </c>
      <c r="I29" s="6">
        <v>0</v>
      </c>
      <c r="J29" s="6">
        <v>0</v>
      </c>
      <c r="K29">
        <v>0</v>
      </c>
      <c r="L29" s="6">
        <v>0</v>
      </c>
      <c r="M29" s="6">
        <v>0</v>
      </c>
      <c r="N29" s="6">
        <v>5.8</v>
      </c>
      <c r="O29" s="6" t="s">
        <v>952</v>
      </c>
      <c r="P29" s="6">
        <f t="shared" si="0"/>
        <v>1</v>
      </c>
      <c r="Q29" s="6">
        <f t="shared" si="1"/>
        <v>0</v>
      </c>
    </row>
    <row r="30" spans="1:17">
      <c r="A30" s="6" t="s">
        <v>551</v>
      </c>
      <c r="B30" s="6" t="s">
        <v>680</v>
      </c>
      <c r="C30" s="23" t="s">
        <v>41</v>
      </c>
      <c r="D30" s="6">
        <v>10</v>
      </c>
      <c r="E30" s="6" t="s">
        <v>724</v>
      </c>
      <c r="F30" s="6">
        <v>0</v>
      </c>
      <c r="G30" s="16">
        <v>55</v>
      </c>
      <c r="H30" s="6">
        <v>0</v>
      </c>
      <c r="I30" s="6">
        <v>25</v>
      </c>
      <c r="J30" s="6">
        <v>1</v>
      </c>
      <c r="K30">
        <v>0</v>
      </c>
      <c r="L30" s="6">
        <v>2</v>
      </c>
      <c r="M30" s="6">
        <v>0</v>
      </c>
      <c r="N30" s="6">
        <v>6.1</v>
      </c>
      <c r="O30" s="6" t="s">
        <v>765</v>
      </c>
      <c r="P30" s="6">
        <f t="shared" si="0"/>
        <v>68</v>
      </c>
      <c r="Q30" s="6">
        <f t="shared" si="1"/>
        <v>58</v>
      </c>
    </row>
    <row r="31" spans="1:17">
      <c r="A31" s="6" t="s">
        <v>551</v>
      </c>
      <c r="B31" s="6" t="s">
        <v>681</v>
      </c>
      <c r="C31" s="23" t="s">
        <v>41</v>
      </c>
      <c r="D31" s="6">
        <v>9</v>
      </c>
      <c r="E31" s="6" t="s">
        <v>724</v>
      </c>
      <c r="F31" s="6">
        <v>0</v>
      </c>
      <c r="G31" s="16">
        <v>80</v>
      </c>
      <c r="H31" s="6">
        <v>0</v>
      </c>
      <c r="I31" s="6">
        <v>30</v>
      </c>
      <c r="J31" s="6">
        <v>1</v>
      </c>
      <c r="K31">
        <v>0</v>
      </c>
      <c r="L31" s="6">
        <v>2</v>
      </c>
      <c r="M31" s="6">
        <v>0</v>
      </c>
      <c r="N31" s="6">
        <v>6.25</v>
      </c>
      <c r="O31" s="6" t="s">
        <v>718</v>
      </c>
      <c r="P31" s="6">
        <f t="shared" si="0"/>
        <v>92</v>
      </c>
      <c r="Q31" s="6">
        <f t="shared" si="1"/>
        <v>83</v>
      </c>
    </row>
    <row r="32" spans="1:17">
      <c r="A32" s="6" t="s">
        <v>551</v>
      </c>
      <c r="B32" s="6" t="s">
        <v>682</v>
      </c>
      <c r="C32" s="23" t="s">
        <v>41</v>
      </c>
      <c r="D32" s="6">
        <v>14</v>
      </c>
      <c r="E32" s="6" t="s">
        <v>724</v>
      </c>
      <c r="F32" s="6">
        <v>0</v>
      </c>
      <c r="G32" s="16">
        <v>55</v>
      </c>
      <c r="H32" s="6">
        <v>0</v>
      </c>
      <c r="I32" s="6">
        <v>28</v>
      </c>
      <c r="J32" s="6">
        <v>2</v>
      </c>
      <c r="K32">
        <v>0</v>
      </c>
      <c r="L32" s="6">
        <v>3</v>
      </c>
      <c r="M32" s="6">
        <v>0</v>
      </c>
      <c r="N32" s="6">
        <v>6.3</v>
      </c>
      <c r="O32" s="6" t="s">
        <v>762</v>
      </c>
      <c r="P32" s="6">
        <f t="shared" si="0"/>
        <v>74</v>
      </c>
      <c r="Q32" s="6">
        <f t="shared" si="1"/>
        <v>60</v>
      </c>
    </row>
    <row r="33" spans="1:17">
      <c r="A33" s="6" t="s">
        <v>551</v>
      </c>
      <c r="B33" s="6" t="s">
        <v>763</v>
      </c>
      <c r="C33" s="23" t="s">
        <v>41</v>
      </c>
      <c r="D33" s="6">
        <v>6</v>
      </c>
      <c r="E33" s="6" t="s">
        <v>974</v>
      </c>
      <c r="F33" s="6">
        <v>15</v>
      </c>
      <c r="G33" s="16">
        <v>45</v>
      </c>
      <c r="H33" s="6">
        <v>0</v>
      </c>
      <c r="I33" s="6">
        <v>20</v>
      </c>
      <c r="J33" s="6">
        <v>1</v>
      </c>
      <c r="K33">
        <v>0</v>
      </c>
      <c r="L33" s="6">
        <v>1</v>
      </c>
      <c r="M33" s="6">
        <v>0</v>
      </c>
      <c r="N33" s="6">
        <v>6.1</v>
      </c>
      <c r="O33" s="6" t="s">
        <v>764</v>
      </c>
      <c r="P33" s="6">
        <f t="shared" si="0"/>
        <v>38</v>
      </c>
      <c r="Q33" s="6">
        <f t="shared" si="1"/>
        <v>32</v>
      </c>
    </row>
    <row r="34" spans="1:17">
      <c r="A34" s="6" t="s">
        <v>551</v>
      </c>
      <c r="B34" s="6" t="s">
        <v>766</v>
      </c>
      <c r="C34" s="23" t="s">
        <v>41</v>
      </c>
      <c r="D34" s="6">
        <v>5</v>
      </c>
      <c r="E34" s="6" t="s">
        <v>724</v>
      </c>
      <c r="F34" s="6">
        <v>0</v>
      </c>
      <c r="G34" s="16">
        <v>45</v>
      </c>
      <c r="H34" s="6">
        <v>0</v>
      </c>
      <c r="I34" s="6">
        <v>22</v>
      </c>
      <c r="J34" s="6">
        <v>0</v>
      </c>
      <c r="K34">
        <v>0</v>
      </c>
      <c r="L34" s="6">
        <v>1</v>
      </c>
      <c r="M34" s="6">
        <v>0</v>
      </c>
      <c r="N34" s="6">
        <v>6</v>
      </c>
      <c r="O34" s="6" t="s">
        <v>767</v>
      </c>
      <c r="P34" s="6">
        <f t="shared" si="0"/>
        <v>51</v>
      </c>
      <c r="Q34" s="6">
        <f t="shared" si="1"/>
        <v>46</v>
      </c>
    </row>
    <row r="35" spans="1:17">
      <c r="A35" s="6" t="s">
        <v>551</v>
      </c>
      <c r="B35" s="6" t="s">
        <v>659</v>
      </c>
      <c r="C35" s="23" t="s">
        <v>41</v>
      </c>
      <c r="D35" s="6">
        <v>11</v>
      </c>
      <c r="E35" s="6" t="s">
        <v>724</v>
      </c>
      <c r="F35" s="6">
        <v>0</v>
      </c>
      <c r="G35" s="16">
        <v>85</v>
      </c>
      <c r="H35" s="6">
        <v>0</v>
      </c>
      <c r="I35" s="6">
        <v>32</v>
      </c>
      <c r="J35" s="6">
        <v>1</v>
      </c>
      <c r="K35">
        <v>0</v>
      </c>
      <c r="L35" s="6">
        <v>4</v>
      </c>
      <c r="M35" s="6">
        <v>0</v>
      </c>
      <c r="N35" s="6">
        <v>6.4</v>
      </c>
      <c r="O35" s="6" t="s">
        <v>718</v>
      </c>
      <c r="P35" s="6">
        <f t="shared" si="0"/>
        <v>100</v>
      </c>
      <c r="Q35" s="6">
        <f t="shared" si="1"/>
        <v>89</v>
      </c>
    </row>
    <row r="36" spans="1:17">
      <c r="A36" s="6" t="s">
        <v>551</v>
      </c>
      <c r="B36" s="6" t="s">
        <v>684</v>
      </c>
      <c r="C36" s="23" t="s">
        <v>41</v>
      </c>
      <c r="D36" s="6">
        <v>8</v>
      </c>
      <c r="E36" s="6" t="s">
        <v>724</v>
      </c>
      <c r="F36" s="6">
        <v>0</v>
      </c>
      <c r="G36" s="16">
        <v>55</v>
      </c>
      <c r="H36" s="6">
        <v>0</v>
      </c>
      <c r="I36" s="6">
        <v>25</v>
      </c>
      <c r="J36" s="6">
        <v>2</v>
      </c>
      <c r="K36">
        <v>0</v>
      </c>
      <c r="L36" s="6">
        <v>3</v>
      </c>
      <c r="M36" s="6">
        <v>0</v>
      </c>
      <c r="N36" s="6">
        <v>6.35</v>
      </c>
      <c r="O36" s="6" t="s">
        <v>768</v>
      </c>
      <c r="P36" s="6">
        <f t="shared" si="0"/>
        <v>68</v>
      </c>
      <c r="Q36" s="6">
        <f t="shared" si="1"/>
        <v>60</v>
      </c>
    </row>
    <row r="37" spans="1:17">
      <c r="A37" s="6" t="s">
        <v>551</v>
      </c>
      <c r="B37" s="6" t="s">
        <v>722</v>
      </c>
      <c r="C37" s="23" t="s">
        <v>41</v>
      </c>
      <c r="D37" s="6">
        <v>2</v>
      </c>
      <c r="E37" s="6" t="s">
        <v>724</v>
      </c>
      <c r="F37" s="6">
        <v>0</v>
      </c>
      <c r="G37" s="16">
        <v>45</v>
      </c>
      <c r="H37" s="6">
        <v>0</v>
      </c>
      <c r="I37" s="6">
        <v>12</v>
      </c>
      <c r="J37" s="6">
        <v>0</v>
      </c>
      <c r="K37">
        <v>0</v>
      </c>
      <c r="L37" s="6">
        <v>0</v>
      </c>
      <c r="M37" s="6">
        <v>0</v>
      </c>
      <c r="N37" s="6">
        <v>5.9</v>
      </c>
      <c r="O37" s="6" t="s">
        <v>769</v>
      </c>
      <c r="P37" s="6">
        <f t="shared" si="0"/>
        <v>47</v>
      </c>
      <c r="Q37" s="6">
        <f t="shared" si="1"/>
        <v>45</v>
      </c>
    </row>
    <row r="38" spans="1:17">
      <c r="A38" s="6" t="s">
        <v>551</v>
      </c>
      <c r="B38" s="6" t="s">
        <v>683</v>
      </c>
      <c r="C38" s="23" t="s">
        <v>12</v>
      </c>
      <c r="D38" s="6">
        <v>20</v>
      </c>
      <c r="E38" s="6" t="s">
        <v>724</v>
      </c>
      <c r="F38" s="6">
        <v>0</v>
      </c>
      <c r="G38" s="16">
        <v>95</v>
      </c>
      <c r="H38" s="6">
        <v>0</v>
      </c>
      <c r="I38" s="6">
        <v>34</v>
      </c>
      <c r="J38" s="6">
        <v>4</v>
      </c>
      <c r="K38">
        <v>0</v>
      </c>
      <c r="L38" s="6">
        <v>5</v>
      </c>
      <c r="M38" s="6">
        <v>0</v>
      </c>
      <c r="N38" s="6">
        <v>6.5</v>
      </c>
      <c r="O38" s="6" t="s">
        <v>717</v>
      </c>
      <c r="P38" s="6">
        <f t="shared" si="0"/>
        <v>123</v>
      </c>
      <c r="Q38" s="6">
        <f t="shared" si="1"/>
        <v>103</v>
      </c>
    </row>
    <row r="39" spans="1:17">
      <c r="A39" s="6" t="s">
        <v>551</v>
      </c>
      <c r="B39" s="6" t="s">
        <v>863</v>
      </c>
      <c r="C39" s="23" t="s">
        <v>12</v>
      </c>
      <c r="D39" s="6">
        <v>9</v>
      </c>
      <c r="E39" s="6" t="s">
        <v>724</v>
      </c>
      <c r="F39" s="6">
        <v>0</v>
      </c>
      <c r="G39" s="16">
        <v>85</v>
      </c>
      <c r="H39" s="6">
        <v>0</v>
      </c>
      <c r="I39" s="6">
        <v>30</v>
      </c>
      <c r="J39" s="6">
        <v>1</v>
      </c>
      <c r="K39">
        <v>0</v>
      </c>
      <c r="L39" s="6">
        <v>2</v>
      </c>
      <c r="M39" s="6">
        <v>0</v>
      </c>
      <c r="N39" s="6">
        <v>6.25</v>
      </c>
      <c r="O39" s="6" t="s">
        <v>718</v>
      </c>
      <c r="P39" s="6">
        <f t="shared" si="0"/>
        <v>97</v>
      </c>
      <c r="Q39" s="6">
        <f t="shared" si="1"/>
        <v>88</v>
      </c>
    </row>
    <row r="40" spans="1:17">
      <c r="A40" s="6" t="s">
        <v>551</v>
      </c>
      <c r="B40" s="6" t="s">
        <v>666</v>
      </c>
      <c r="C40" s="23" t="s">
        <v>12</v>
      </c>
      <c r="D40" s="6">
        <v>12</v>
      </c>
      <c r="E40" s="6" t="s">
        <v>724</v>
      </c>
      <c r="F40" s="6">
        <v>0</v>
      </c>
      <c r="G40" s="16">
        <v>70</v>
      </c>
      <c r="H40" s="6">
        <v>0</v>
      </c>
      <c r="I40" s="6">
        <v>28</v>
      </c>
      <c r="J40" s="6">
        <v>3</v>
      </c>
      <c r="K40">
        <v>0</v>
      </c>
      <c r="L40" s="6">
        <v>3</v>
      </c>
      <c r="M40" s="6">
        <v>0</v>
      </c>
      <c r="N40" s="6">
        <v>6.3</v>
      </c>
      <c r="O40" s="6" t="s">
        <v>864</v>
      </c>
      <c r="P40" s="6">
        <f t="shared" si="0"/>
        <v>88</v>
      </c>
      <c r="Q40" s="6">
        <f t="shared" si="1"/>
        <v>76</v>
      </c>
    </row>
    <row r="41" spans="1:17">
      <c r="A41" s="6" t="s">
        <v>551</v>
      </c>
      <c r="B41" s="6" t="s">
        <v>664</v>
      </c>
      <c r="C41" s="23" t="s">
        <v>12</v>
      </c>
      <c r="D41" s="6">
        <v>10</v>
      </c>
      <c r="E41" s="6" t="s">
        <v>724</v>
      </c>
      <c r="F41" s="6">
        <v>0</v>
      </c>
      <c r="G41" s="16">
        <v>50</v>
      </c>
      <c r="H41" s="6">
        <v>0</v>
      </c>
      <c r="I41" s="6">
        <v>22</v>
      </c>
      <c r="J41" s="6">
        <v>2</v>
      </c>
      <c r="K41">
        <v>0</v>
      </c>
      <c r="L41" s="6">
        <v>2</v>
      </c>
      <c r="M41" s="6">
        <v>0</v>
      </c>
      <c r="N41" s="6">
        <v>6.2</v>
      </c>
      <c r="O41" s="6" t="s">
        <v>865</v>
      </c>
      <c r="P41" s="6">
        <f t="shared" si="0"/>
        <v>64</v>
      </c>
      <c r="Q41" s="6">
        <f t="shared" si="1"/>
        <v>54</v>
      </c>
    </row>
    <row r="42" spans="1:17">
      <c r="A42" s="6" t="s">
        <v>551</v>
      </c>
      <c r="B42" s="6" t="s">
        <v>771</v>
      </c>
      <c r="C42" s="23" t="s">
        <v>12</v>
      </c>
      <c r="D42" s="6">
        <v>6</v>
      </c>
      <c r="E42" s="6" t="s">
        <v>724</v>
      </c>
      <c r="F42" s="6">
        <v>0</v>
      </c>
      <c r="G42" s="16">
        <v>33</v>
      </c>
      <c r="H42" s="6">
        <v>0</v>
      </c>
      <c r="I42" s="6">
        <v>20</v>
      </c>
      <c r="J42" s="6">
        <v>1</v>
      </c>
      <c r="K42">
        <v>0</v>
      </c>
      <c r="L42" s="6">
        <v>1</v>
      </c>
      <c r="M42" s="6">
        <v>0</v>
      </c>
      <c r="N42" s="6">
        <v>6.1</v>
      </c>
      <c r="O42" s="6" t="s">
        <v>866</v>
      </c>
      <c r="P42" s="6">
        <f t="shared" si="0"/>
        <v>41</v>
      </c>
      <c r="Q42" s="6">
        <f t="shared" si="1"/>
        <v>35</v>
      </c>
    </row>
    <row r="43" spans="1:17">
      <c r="A43" s="6" t="s">
        <v>551</v>
      </c>
      <c r="B43" s="6" t="s">
        <v>772</v>
      </c>
      <c r="C43" s="23" t="s">
        <v>12</v>
      </c>
      <c r="D43" s="6">
        <v>6</v>
      </c>
      <c r="E43" s="6" t="s">
        <v>724</v>
      </c>
      <c r="F43" s="6">
        <v>0</v>
      </c>
      <c r="G43" s="16">
        <v>33</v>
      </c>
      <c r="H43" s="6">
        <v>0</v>
      </c>
      <c r="I43" s="6">
        <v>20</v>
      </c>
      <c r="J43" s="6">
        <v>1</v>
      </c>
      <c r="K43">
        <v>0</v>
      </c>
      <c r="L43" s="6">
        <v>1</v>
      </c>
      <c r="M43" s="6">
        <v>0</v>
      </c>
      <c r="N43" s="6">
        <v>6.1</v>
      </c>
      <c r="O43" s="6" t="s">
        <v>867</v>
      </c>
      <c r="P43" s="6">
        <f t="shared" si="0"/>
        <v>41</v>
      </c>
      <c r="Q43" s="6">
        <f t="shared" si="1"/>
        <v>35</v>
      </c>
    </row>
    <row r="44" spans="1:17">
      <c r="A44" s="6" t="s">
        <v>551</v>
      </c>
      <c r="B44" s="6" t="s">
        <v>868</v>
      </c>
      <c r="C44" s="23" t="s">
        <v>12</v>
      </c>
      <c r="D44" s="6">
        <v>4</v>
      </c>
      <c r="E44" s="6" t="s">
        <v>724</v>
      </c>
      <c r="F44" s="6">
        <v>0</v>
      </c>
      <c r="G44" s="16">
        <v>40</v>
      </c>
      <c r="H44" s="6">
        <v>0</v>
      </c>
      <c r="I44" s="6">
        <v>18</v>
      </c>
      <c r="J44" s="6">
        <v>1</v>
      </c>
      <c r="K44">
        <v>0</v>
      </c>
      <c r="L44" s="6">
        <v>1</v>
      </c>
      <c r="M44" s="6">
        <v>0</v>
      </c>
      <c r="N44" s="6">
        <v>6</v>
      </c>
      <c r="O44" s="6" t="s">
        <v>869</v>
      </c>
      <c r="P44" s="6">
        <f t="shared" si="0"/>
        <v>46</v>
      </c>
      <c r="Q44" s="6">
        <f t="shared" si="1"/>
        <v>42</v>
      </c>
    </row>
    <row r="45" spans="1:17">
      <c r="A45" s="6" t="s">
        <v>551</v>
      </c>
      <c r="B45" s="6" t="s">
        <v>665</v>
      </c>
      <c r="C45" s="23" t="s">
        <v>5</v>
      </c>
      <c r="D45" s="6">
        <v>22</v>
      </c>
      <c r="E45" s="6" t="s">
        <v>724</v>
      </c>
      <c r="F45" s="6">
        <v>0</v>
      </c>
      <c r="G45" s="16">
        <v>34</v>
      </c>
      <c r="H45" s="6">
        <v>30</v>
      </c>
      <c r="I45" s="6">
        <v>30</v>
      </c>
      <c r="J45" s="6">
        <v>7</v>
      </c>
      <c r="K45">
        <v>0</v>
      </c>
      <c r="L45" s="6">
        <v>4</v>
      </c>
      <c r="M45" s="6">
        <v>3</v>
      </c>
      <c r="N45" s="6">
        <v>6.45</v>
      </c>
      <c r="O45" s="6" t="s">
        <v>773</v>
      </c>
      <c r="P45" s="6">
        <f t="shared" si="0"/>
        <v>100</v>
      </c>
      <c r="Q45" s="6">
        <f t="shared" si="1"/>
        <v>78</v>
      </c>
    </row>
    <row r="46" spans="1:17">
      <c r="A46" s="6" t="s">
        <v>551</v>
      </c>
      <c r="B46" s="6" t="s">
        <v>552</v>
      </c>
      <c r="C46" s="23" t="s">
        <v>5</v>
      </c>
      <c r="D46" s="6">
        <v>30</v>
      </c>
      <c r="E46" s="6" t="s">
        <v>724</v>
      </c>
      <c r="F46" s="6">
        <v>0</v>
      </c>
      <c r="G46" s="16">
        <v>50</v>
      </c>
      <c r="H46" s="6">
        <v>50</v>
      </c>
      <c r="I46" s="6">
        <v>32</v>
      </c>
      <c r="J46" s="6">
        <v>13</v>
      </c>
      <c r="K46">
        <v>0</v>
      </c>
      <c r="L46" s="6">
        <v>5</v>
      </c>
      <c r="M46" s="6">
        <v>2</v>
      </c>
      <c r="N46" s="6">
        <v>6.6</v>
      </c>
      <c r="O46" s="6" t="s">
        <v>870</v>
      </c>
      <c r="P46" s="6">
        <f t="shared" si="0"/>
        <v>149</v>
      </c>
      <c r="Q46" s="6">
        <f t="shared" si="1"/>
        <v>119</v>
      </c>
    </row>
    <row r="47" spans="1:17">
      <c r="A47" s="6" t="s">
        <v>551</v>
      </c>
      <c r="B47" s="6" t="s">
        <v>685</v>
      </c>
      <c r="C47" s="23" t="s">
        <v>5</v>
      </c>
      <c r="D47" s="6">
        <v>28</v>
      </c>
      <c r="E47" s="6" t="s">
        <v>724</v>
      </c>
      <c r="F47" s="6">
        <v>0</v>
      </c>
      <c r="G47" s="16">
        <v>85</v>
      </c>
      <c r="H47" s="6">
        <v>20</v>
      </c>
      <c r="I47" s="6">
        <v>31</v>
      </c>
      <c r="J47" s="6">
        <v>11</v>
      </c>
      <c r="K47">
        <v>0</v>
      </c>
      <c r="L47" s="6">
        <v>3</v>
      </c>
      <c r="M47" s="6">
        <v>1</v>
      </c>
      <c r="N47" s="6">
        <v>6.55</v>
      </c>
      <c r="O47" s="6" t="s">
        <v>718</v>
      </c>
      <c r="P47" s="6">
        <f t="shared" si="0"/>
        <v>147</v>
      </c>
      <c r="Q47" s="6">
        <f t="shared" si="1"/>
        <v>119</v>
      </c>
    </row>
    <row r="48" spans="1:17">
      <c r="A48" s="6" t="s">
        <v>551</v>
      </c>
      <c r="B48" s="6" t="s">
        <v>770</v>
      </c>
      <c r="C48" s="23" t="s">
        <v>5</v>
      </c>
      <c r="D48" s="6">
        <v>5</v>
      </c>
      <c r="E48" s="6" t="s">
        <v>724</v>
      </c>
      <c r="F48" s="6">
        <v>0</v>
      </c>
      <c r="G48" s="16">
        <v>25</v>
      </c>
      <c r="H48" s="6">
        <v>0</v>
      </c>
      <c r="I48" s="6">
        <v>15</v>
      </c>
      <c r="J48" s="6">
        <v>1</v>
      </c>
      <c r="K48">
        <v>0</v>
      </c>
      <c r="L48" s="6">
        <v>1</v>
      </c>
      <c r="M48" s="6">
        <v>0</v>
      </c>
      <c r="N48" s="6">
        <v>5.95</v>
      </c>
      <c r="O48" s="6" t="s">
        <v>869</v>
      </c>
      <c r="P48" s="6">
        <f t="shared" si="0"/>
        <v>33</v>
      </c>
      <c r="Q48" s="6">
        <f t="shared" si="1"/>
        <v>28</v>
      </c>
    </row>
    <row r="49" spans="1:17">
      <c r="A49" s="6" t="s">
        <v>551</v>
      </c>
      <c r="B49" s="6" t="s">
        <v>871</v>
      </c>
      <c r="C49" s="23" t="s">
        <v>5</v>
      </c>
      <c r="D49" s="6">
        <v>10</v>
      </c>
      <c r="E49" s="6" t="s">
        <v>724</v>
      </c>
      <c r="F49" s="6">
        <v>0</v>
      </c>
      <c r="G49" s="16">
        <v>40</v>
      </c>
      <c r="H49" s="6">
        <v>0</v>
      </c>
      <c r="I49" s="6">
        <v>18</v>
      </c>
      <c r="J49" s="6">
        <v>3</v>
      </c>
      <c r="K49">
        <v>0</v>
      </c>
      <c r="L49" s="6">
        <v>2</v>
      </c>
      <c r="M49" s="6">
        <v>0</v>
      </c>
      <c r="N49" s="6">
        <v>6.1</v>
      </c>
      <c r="O49" s="6" t="s">
        <v>774</v>
      </c>
      <c r="P49" s="6">
        <f t="shared" si="0"/>
        <v>57</v>
      </c>
      <c r="Q49" s="6">
        <f t="shared" si="1"/>
        <v>47</v>
      </c>
    </row>
    <row r="50" spans="1:17">
      <c r="A50" s="6" t="s">
        <v>565</v>
      </c>
      <c r="B50" s="6" t="s">
        <v>775</v>
      </c>
      <c r="C50" s="23" t="s">
        <v>63</v>
      </c>
      <c r="D50" s="6">
        <v>20</v>
      </c>
      <c r="E50" s="6" t="s">
        <v>724</v>
      </c>
      <c r="F50" s="6">
        <v>0</v>
      </c>
      <c r="G50" s="16">
        <v>95</v>
      </c>
      <c r="H50" s="6">
        <v>0</v>
      </c>
      <c r="I50" s="6">
        <v>33</v>
      </c>
      <c r="J50" s="6">
        <v>0</v>
      </c>
      <c r="K50">
        <v>32</v>
      </c>
      <c r="L50" s="6">
        <v>0</v>
      </c>
      <c r="M50" s="6">
        <v>0</v>
      </c>
      <c r="N50" s="6">
        <v>6.35</v>
      </c>
      <c r="O50" s="6" t="s">
        <v>776</v>
      </c>
      <c r="P50" s="6">
        <f t="shared" si="0"/>
        <v>83</v>
      </c>
      <c r="Q50" s="6">
        <f t="shared" si="1"/>
        <v>63</v>
      </c>
    </row>
    <row r="51" spans="1:17">
      <c r="A51" s="6" t="s">
        <v>565</v>
      </c>
      <c r="B51" s="6" t="s">
        <v>710</v>
      </c>
      <c r="C51" s="23" t="s">
        <v>63</v>
      </c>
      <c r="D51" s="6">
        <v>5</v>
      </c>
      <c r="E51" s="6" t="s">
        <v>724</v>
      </c>
      <c r="F51" s="6">
        <v>0</v>
      </c>
      <c r="G51" s="16">
        <v>5</v>
      </c>
      <c r="H51" s="6">
        <v>0</v>
      </c>
      <c r="I51" s="6">
        <v>5</v>
      </c>
      <c r="J51" s="6">
        <v>0</v>
      </c>
      <c r="K51">
        <v>6</v>
      </c>
      <c r="L51" s="6">
        <v>0</v>
      </c>
      <c r="M51" s="6">
        <v>0</v>
      </c>
      <c r="N51" s="6">
        <v>6</v>
      </c>
      <c r="O51" s="6" t="s">
        <v>725</v>
      </c>
      <c r="P51" s="6">
        <f t="shared" si="0"/>
        <v>4</v>
      </c>
      <c r="Q51" s="6">
        <f t="shared" si="1"/>
        <v>-1</v>
      </c>
    </row>
    <row r="52" spans="1:17">
      <c r="A52" s="6" t="s">
        <v>565</v>
      </c>
      <c r="B52" s="6" t="s">
        <v>777</v>
      </c>
      <c r="C52" s="23" t="s">
        <v>63</v>
      </c>
      <c r="D52" s="6">
        <v>1</v>
      </c>
      <c r="E52" s="6" t="s">
        <v>724</v>
      </c>
      <c r="F52" s="6">
        <v>0</v>
      </c>
      <c r="G52" s="16">
        <v>0</v>
      </c>
      <c r="H52" s="6">
        <v>0</v>
      </c>
      <c r="I52" s="6">
        <v>0</v>
      </c>
      <c r="J52" s="6">
        <v>0</v>
      </c>
      <c r="K52">
        <v>0</v>
      </c>
      <c r="L52" s="6">
        <v>0</v>
      </c>
      <c r="M52" s="6">
        <v>0</v>
      </c>
      <c r="N52" s="6">
        <v>5.9</v>
      </c>
      <c r="O52" s="6" t="s">
        <v>952</v>
      </c>
      <c r="P52" s="6">
        <f t="shared" si="0"/>
        <v>1</v>
      </c>
      <c r="Q52" s="6">
        <f t="shared" si="1"/>
        <v>0</v>
      </c>
    </row>
    <row r="53" spans="1:17">
      <c r="A53" s="6" t="s">
        <v>565</v>
      </c>
      <c r="B53" s="6" t="s">
        <v>719</v>
      </c>
      <c r="C53" s="23" t="s">
        <v>41</v>
      </c>
      <c r="D53" s="6">
        <v>22</v>
      </c>
      <c r="E53" s="6" t="s">
        <v>974</v>
      </c>
      <c r="F53" s="6">
        <v>15</v>
      </c>
      <c r="G53" s="16">
        <v>80</v>
      </c>
      <c r="H53" s="6">
        <v>0</v>
      </c>
      <c r="I53" s="6">
        <v>30</v>
      </c>
      <c r="J53" s="6">
        <v>3</v>
      </c>
      <c r="K53">
        <v>0</v>
      </c>
      <c r="L53" s="6">
        <v>1</v>
      </c>
      <c r="M53" s="6">
        <v>0</v>
      </c>
      <c r="N53" s="6">
        <v>6.45</v>
      </c>
      <c r="O53" s="6" t="s">
        <v>778</v>
      </c>
      <c r="P53" s="6">
        <f t="shared" si="0"/>
        <v>91</v>
      </c>
      <c r="Q53" s="6">
        <f t="shared" si="1"/>
        <v>69</v>
      </c>
    </row>
    <row r="54" spans="1:17">
      <c r="A54" s="6" t="s">
        <v>565</v>
      </c>
      <c r="B54" s="6" t="s">
        <v>779</v>
      </c>
      <c r="C54" s="23" t="s">
        <v>41</v>
      </c>
      <c r="D54" s="6">
        <v>14</v>
      </c>
      <c r="E54" s="6" t="s">
        <v>724</v>
      </c>
      <c r="F54" s="6">
        <v>0</v>
      </c>
      <c r="G54" s="16">
        <v>85</v>
      </c>
      <c r="H54" s="6">
        <v>0</v>
      </c>
      <c r="I54" s="6">
        <v>32</v>
      </c>
      <c r="J54" s="6">
        <v>2</v>
      </c>
      <c r="K54">
        <v>0</v>
      </c>
      <c r="L54" s="6">
        <v>1</v>
      </c>
      <c r="M54" s="6">
        <v>0</v>
      </c>
      <c r="N54" s="6">
        <v>6.3</v>
      </c>
      <c r="O54" s="6" t="s">
        <v>780</v>
      </c>
      <c r="P54" s="6">
        <f t="shared" si="0"/>
        <v>101</v>
      </c>
      <c r="Q54" s="6">
        <f t="shared" si="1"/>
        <v>87</v>
      </c>
    </row>
    <row r="55" spans="1:17">
      <c r="A55" s="6" t="s">
        <v>565</v>
      </c>
      <c r="B55" s="6" t="s">
        <v>781</v>
      </c>
      <c r="C55" s="23" t="s">
        <v>41</v>
      </c>
      <c r="D55" s="6">
        <v>12</v>
      </c>
      <c r="E55" s="6" t="s">
        <v>724</v>
      </c>
      <c r="F55" s="6">
        <v>0</v>
      </c>
      <c r="G55" s="16">
        <v>75</v>
      </c>
      <c r="H55" s="6">
        <v>0</v>
      </c>
      <c r="I55" s="6">
        <v>28</v>
      </c>
      <c r="J55" s="6">
        <v>1</v>
      </c>
      <c r="K55">
        <v>0</v>
      </c>
      <c r="L55" s="6">
        <v>1</v>
      </c>
      <c r="M55" s="6">
        <v>0</v>
      </c>
      <c r="N55" s="6">
        <v>6.25</v>
      </c>
      <c r="O55" s="6" t="s">
        <v>782</v>
      </c>
      <c r="P55" s="6">
        <f t="shared" si="0"/>
        <v>89</v>
      </c>
      <c r="Q55" s="6">
        <f t="shared" si="1"/>
        <v>77</v>
      </c>
    </row>
    <row r="56" spans="1:17">
      <c r="A56" s="6" t="s">
        <v>565</v>
      </c>
      <c r="B56" s="6" t="s">
        <v>872</v>
      </c>
      <c r="C56" s="23" t="s">
        <v>41</v>
      </c>
      <c r="D56" s="6">
        <v>10</v>
      </c>
      <c r="E56" s="6" t="s">
        <v>724</v>
      </c>
      <c r="F56" s="6">
        <v>0</v>
      </c>
      <c r="G56" s="16">
        <v>70</v>
      </c>
      <c r="H56" s="6">
        <v>0</v>
      </c>
      <c r="I56" s="6">
        <v>26</v>
      </c>
      <c r="J56" s="6">
        <v>1</v>
      </c>
      <c r="K56">
        <v>0</v>
      </c>
      <c r="L56" s="6">
        <v>2</v>
      </c>
      <c r="M56" s="6">
        <v>0</v>
      </c>
      <c r="N56" s="6">
        <v>6.2</v>
      </c>
      <c r="O56" s="6" t="s">
        <v>873</v>
      </c>
      <c r="P56" s="6">
        <f t="shared" si="0"/>
        <v>83</v>
      </c>
      <c r="Q56" s="6">
        <f t="shared" si="1"/>
        <v>73</v>
      </c>
    </row>
    <row r="57" spans="1:17">
      <c r="A57" s="6" t="s">
        <v>565</v>
      </c>
      <c r="B57" s="6" t="s">
        <v>874</v>
      </c>
      <c r="C57" s="23" t="s">
        <v>41</v>
      </c>
      <c r="D57" s="6">
        <v>8</v>
      </c>
      <c r="E57" s="6" t="s">
        <v>974</v>
      </c>
      <c r="F57" s="6">
        <v>10</v>
      </c>
      <c r="G57" s="16">
        <v>60</v>
      </c>
      <c r="H57" s="6">
        <v>0</v>
      </c>
      <c r="I57" s="6">
        <v>20</v>
      </c>
      <c r="J57" s="6">
        <v>1</v>
      </c>
      <c r="K57">
        <v>0</v>
      </c>
      <c r="L57" s="6">
        <v>1</v>
      </c>
      <c r="M57" s="6">
        <v>0</v>
      </c>
      <c r="N57" s="6">
        <v>6.1</v>
      </c>
      <c r="O57" s="6" t="s">
        <v>875</v>
      </c>
      <c r="P57" s="6">
        <f t="shared" si="0"/>
        <v>60</v>
      </c>
      <c r="Q57" s="6">
        <f t="shared" si="1"/>
        <v>52</v>
      </c>
    </row>
    <row r="58" spans="1:17">
      <c r="A58" s="6" t="s">
        <v>565</v>
      </c>
      <c r="B58" s="6" t="s">
        <v>720</v>
      </c>
      <c r="C58" s="23" t="s">
        <v>41</v>
      </c>
      <c r="D58" s="6">
        <v>16</v>
      </c>
      <c r="E58" s="6" t="s">
        <v>724</v>
      </c>
      <c r="F58" s="6">
        <v>0</v>
      </c>
      <c r="G58" s="16">
        <v>90</v>
      </c>
      <c r="H58" s="6">
        <v>0</v>
      </c>
      <c r="I58" s="6">
        <v>34</v>
      </c>
      <c r="J58" s="6">
        <v>3</v>
      </c>
      <c r="K58">
        <v>0</v>
      </c>
      <c r="L58" s="6">
        <v>4</v>
      </c>
      <c r="M58" s="6">
        <v>0</v>
      </c>
      <c r="N58" s="6">
        <v>6.5</v>
      </c>
      <c r="O58" s="6" t="s">
        <v>717</v>
      </c>
      <c r="P58" s="6">
        <f t="shared" si="0"/>
        <v>112</v>
      </c>
      <c r="Q58" s="6">
        <f t="shared" si="1"/>
        <v>96</v>
      </c>
    </row>
    <row r="59" spans="1:17">
      <c r="A59" s="6" t="s">
        <v>565</v>
      </c>
      <c r="B59" s="6" t="s">
        <v>783</v>
      </c>
      <c r="C59" s="23" t="s">
        <v>12</v>
      </c>
      <c r="D59" s="6">
        <v>18</v>
      </c>
      <c r="E59" s="6" t="s">
        <v>724</v>
      </c>
      <c r="F59" s="6">
        <v>0</v>
      </c>
      <c r="G59" s="16">
        <v>85</v>
      </c>
      <c r="H59" s="6">
        <v>0</v>
      </c>
      <c r="I59" s="6">
        <v>32</v>
      </c>
      <c r="J59" s="6">
        <v>2</v>
      </c>
      <c r="K59">
        <v>0</v>
      </c>
      <c r="L59" s="6">
        <v>2</v>
      </c>
      <c r="M59" s="6">
        <v>0</v>
      </c>
      <c r="N59" s="6">
        <v>6.35</v>
      </c>
      <c r="O59" s="6" t="s">
        <v>784</v>
      </c>
      <c r="P59" s="6">
        <f t="shared" si="0"/>
        <v>106</v>
      </c>
      <c r="Q59" s="6">
        <f t="shared" si="1"/>
        <v>88</v>
      </c>
    </row>
    <row r="60" spans="1:17">
      <c r="A60" s="6" t="s">
        <v>565</v>
      </c>
      <c r="B60" s="6" t="s">
        <v>785</v>
      </c>
      <c r="C60" s="23" t="s">
        <v>12</v>
      </c>
      <c r="D60" s="6">
        <v>20</v>
      </c>
      <c r="E60" s="6" t="s">
        <v>724</v>
      </c>
      <c r="F60" s="6">
        <v>0</v>
      </c>
      <c r="G60" s="16">
        <v>80</v>
      </c>
      <c r="H60" s="6">
        <v>10</v>
      </c>
      <c r="I60" s="6">
        <v>30</v>
      </c>
      <c r="J60" s="6">
        <v>4</v>
      </c>
      <c r="K60">
        <v>0</v>
      </c>
      <c r="L60" s="6">
        <v>3</v>
      </c>
      <c r="M60" s="6">
        <v>1</v>
      </c>
      <c r="N60" s="6">
        <v>6.4</v>
      </c>
      <c r="O60" s="6" t="s">
        <v>786</v>
      </c>
      <c r="P60" s="6">
        <f t="shared" si="0"/>
        <v>118</v>
      </c>
      <c r="Q60" s="6">
        <f t="shared" si="1"/>
        <v>98</v>
      </c>
    </row>
    <row r="61" spans="1:17">
      <c r="A61" s="6" t="s">
        <v>565</v>
      </c>
      <c r="B61" s="6" t="s">
        <v>711</v>
      </c>
      <c r="C61" s="23" t="s">
        <v>12</v>
      </c>
      <c r="D61" s="6">
        <v>14</v>
      </c>
      <c r="E61" s="6" t="s">
        <v>724</v>
      </c>
      <c r="F61" s="6">
        <v>0</v>
      </c>
      <c r="G61" s="16">
        <v>70</v>
      </c>
      <c r="H61" s="6">
        <v>0</v>
      </c>
      <c r="I61" s="6">
        <v>28</v>
      </c>
      <c r="J61" s="6">
        <v>3</v>
      </c>
      <c r="K61">
        <v>0</v>
      </c>
      <c r="L61" s="6">
        <v>4</v>
      </c>
      <c r="M61" s="6">
        <v>0</v>
      </c>
      <c r="N61" s="6">
        <v>6.3</v>
      </c>
      <c r="O61" s="6" t="s">
        <v>787</v>
      </c>
      <c r="P61" s="6">
        <f t="shared" si="0"/>
        <v>91</v>
      </c>
      <c r="Q61" s="6">
        <f t="shared" si="1"/>
        <v>77</v>
      </c>
    </row>
    <row r="62" spans="1:17">
      <c r="A62" s="6" t="s">
        <v>565</v>
      </c>
      <c r="B62" s="6" t="s">
        <v>788</v>
      </c>
      <c r="C62" s="23" t="s">
        <v>12</v>
      </c>
      <c r="D62" s="6">
        <v>8</v>
      </c>
      <c r="E62" s="6" t="s">
        <v>724</v>
      </c>
      <c r="F62" s="6">
        <v>0</v>
      </c>
      <c r="G62" s="16">
        <v>50</v>
      </c>
      <c r="H62" s="6">
        <v>0</v>
      </c>
      <c r="I62" s="6">
        <v>20</v>
      </c>
      <c r="J62" s="6">
        <v>1</v>
      </c>
      <c r="K62">
        <v>0</v>
      </c>
      <c r="L62" s="6">
        <v>2</v>
      </c>
      <c r="M62" s="6">
        <v>0</v>
      </c>
      <c r="N62" s="6">
        <v>6.1</v>
      </c>
      <c r="O62" s="6" t="s">
        <v>789</v>
      </c>
      <c r="P62" s="6">
        <f t="shared" si="0"/>
        <v>61</v>
      </c>
      <c r="Q62" s="6">
        <f t="shared" si="1"/>
        <v>53</v>
      </c>
    </row>
    <row r="63" spans="1:17">
      <c r="A63" s="6" t="s">
        <v>565</v>
      </c>
      <c r="B63" s="6" t="s">
        <v>671</v>
      </c>
      <c r="C63" s="23" t="s">
        <v>12</v>
      </c>
      <c r="D63" s="6">
        <v>26</v>
      </c>
      <c r="E63" s="6" t="s">
        <v>724</v>
      </c>
      <c r="F63" s="6">
        <v>0</v>
      </c>
      <c r="G63" s="16">
        <v>85</v>
      </c>
      <c r="H63" s="6">
        <v>60</v>
      </c>
      <c r="I63" s="6">
        <v>31</v>
      </c>
      <c r="J63" s="6">
        <v>7</v>
      </c>
      <c r="K63">
        <v>0</v>
      </c>
      <c r="L63" s="6">
        <v>5</v>
      </c>
      <c r="M63" s="6">
        <v>3</v>
      </c>
      <c r="N63" s="6">
        <v>6.6</v>
      </c>
      <c r="O63" s="6" t="s">
        <v>791</v>
      </c>
      <c r="P63" s="6">
        <f t="shared" si="0"/>
        <v>185</v>
      </c>
      <c r="Q63" s="6">
        <f t="shared" si="1"/>
        <v>159</v>
      </c>
    </row>
    <row r="64" spans="1:17">
      <c r="A64" s="6" t="s">
        <v>565</v>
      </c>
      <c r="B64" s="6" t="s">
        <v>677</v>
      </c>
      <c r="C64" s="23" t="s">
        <v>12</v>
      </c>
      <c r="D64" s="6">
        <v>6</v>
      </c>
      <c r="E64" s="6" t="s">
        <v>724</v>
      </c>
      <c r="F64" s="6">
        <v>0</v>
      </c>
      <c r="G64" s="16">
        <v>40</v>
      </c>
      <c r="H64" s="6">
        <v>0</v>
      </c>
      <c r="I64" s="6">
        <v>15</v>
      </c>
      <c r="J64" s="6">
        <v>1</v>
      </c>
      <c r="K64">
        <v>0</v>
      </c>
      <c r="L64" s="6">
        <v>1</v>
      </c>
      <c r="M64" s="6">
        <v>0</v>
      </c>
      <c r="N64" s="6">
        <v>6</v>
      </c>
      <c r="O64" s="6" t="s">
        <v>754</v>
      </c>
      <c r="P64" s="6">
        <f t="shared" si="0"/>
        <v>49</v>
      </c>
      <c r="Q64" s="6">
        <f t="shared" si="1"/>
        <v>43</v>
      </c>
    </row>
    <row r="65" spans="1:17">
      <c r="A65" s="6" t="s">
        <v>565</v>
      </c>
      <c r="B65" s="6" t="s">
        <v>790</v>
      </c>
      <c r="C65" s="23" t="s">
        <v>12</v>
      </c>
      <c r="D65" s="6">
        <v>12</v>
      </c>
      <c r="E65" s="6" t="s">
        <v>724</v>
      </c>
      <c r="F65" s="6">
        <v>0</v>
      </c>
      <c r="G65" s="16">
        <v>75</v>
      </c>
      <c r="H65" s="6">
        <v>20</v>
      </c>
      <c r="I65" s="6">
        <v>28</v>
      </c>
      <c r="J65" s="6">
        <v>5</v>
      </c>
      <c r="K65">
        <v>0</v>
      </c>
      <c r="L65" s="6">
        <v>4</v>
      </c>
      <c r="M65" s="6">
        <v>2</v>
      </c>
      <c r="N65" s="6">
        <v>6.45</v>
      </c>
      <c r="O65" s="6" t="s">
        <v>876</v>
      </c>
      <c r="P65" s="6">
        <f t="shared" si="0"/>
        <v>118</v>
      </c>
      <c r="Q65" s="6">
        <f t="shared" si="1"/>
        <v>106</v>
      </c>
    </row>
    <row r="66" spans="1:17">
      <c r="A66" s="6" t="s">
        <v>565</v>
      </c>
      <c r="B66" s="6" t="s">
        <v>877</v>
      </c>
      <c r="C66" s="23" t="s">
        <v>12</v>
      </c>
      <c r="D66" s="6">
        <v>15</v>
      </c>
      <c r="E66" s="6" t="s">
        <v>724</v>
      </c>
      <c r="F66" s="6">
        <v>0</v>
      </c>
      <c r="G66" s="16">
        <v>80</v>
      </c>
      <c r="H66" s="6">
        <v>40</v>
      </c>
      <c r="I66" s="6">
        <v>30</v>
      </c>
      <c r="J66" s="6">
        <v>6</v>
      </c>
      <c r="K66">
        <v>0</v>
      </c>
      <c r="L66" s="6">
        <v>3</v>
      </c>
      <c r="M66" s="6">
        <v>2</v>
      </c>
      <c r="N66" s="6">
        <v>6.5</v>
      </c>
      <c r="O66" s="6" t="s">
        <v>718</v>
      </c>
      <c r="P66" s="6">
        <f t="shared" si="0"/>
        <v>146</v>
      </c>
      <c r="Q66" s="6">
        <f t="shared" si="1"/>
        <v>131</v>
      </c>
    </row>
    <row r="67" spans="1:17">
      <c r="A67" s="6" t="s">
        <v>565</v>
      </c>
      <c r="B67" s="6" t="s">
        <v>792</v>
      </c>
      <c r="C67" s="23" t="s">
        <v>5</v>
      </c>
      <c r="D67" s="6">
        <v>30</v>
      </c>
      <c r="E67" s="6" t="s">
        <v>724</v>
      </c>
      <c r="F67" s="6">
        <v>0</v>
      </c>
      <c r="G67" s="16">
        <v>90</v>
      </c>
      <c r="H67" s="6">
        <v>40</v>
      </c>
      <c r="I67" s="6">
        <v>32</v>
      </c>
      <c r="J67" s="6">
        <v>10</v>
      </c>
      <c r="K67">
        <v>0</v>
      </c>
      <c r="L67" s="6">
        <v>5</v>
      </c>
      <c r="M67" s="6">
        <v>2</v>
      </c>
      <c r="N67" s="6">
        <v>6.55</v>
      </c>
      <c r="O67" s="6" t="s">
        <v>717</v>
      </c>
      <c r="P67" s="6">
        <f t="shared" ref="P67:P130" si="2">INT(G67+IF(I67&gt;0,J67/I67*30,0)+L67+M67+H67+D67-F67-K67)</f>
        <v>176</v>
      </c>
      <c r="Q67" s="6">
        <f t="shared" ref="Q67:Q130" si="3">INT(G67+IF(I67&gt;0,J67/I67*30,0)+L67+M67+H67-F67-K67)</f>
        <v>146</v>
      </c>
    </row>
    <row r="68" spans="1:17">
      <c r="A68" s="6" t="s">
        <v>565</v>
      </c>
      <c r="B68" s="6" t="s">
        <v>793</v>
      </c>
      <c r="C68" s="23" t="s">
        <v>5</v>
      </c>
      <c r="D68" s="6">
        <v>36</v>
      </c>
      <c r="E68" s="6" t="s">
        <v>724</v>
      </c>
      <c r="F68" s="6">
        <v>0</v>
      </c>
      <c r="G68" s="16">
        <v>95</v>
      </c>
      <c r="H68" s="6">
        <v>80</v>
      </c>
      <c r="I68" s="6">
        <v>34</v>
      </c>
      <c r="J68" s="6">
        <v>18</v>
      </c>
      <c r="K68">
        <v>0</v>
      </c>
      <c r="L68" s="6">
        <v>4</v>
      </c>
      <c r="M68" s="6">
        <v>6</v>
      </c>
      <c r="N68" s="6">
        <v>6.7</v>
      </c>
      <c r="O68" s="6" t="s">
        <v>717</v>
      </c>
      <c r="P68" s="6">
        <f t="shared" si="2"/>
        <v>236</v>
      </c>
      <c r="Q68" s="6">
        <f t="shared" si="3"/>
        <v>200</v>
      </c>
    </row>
    <row r="69" spans="1:17">
      <c r="A69" s="6" t="s">
        <v>565</v>
      </c>
      <c r="B69" s="6" t="s">
        <v>794</v>
      </c>
      <c r="C69" s="23" t="s">
        <v>5</v>
      </c>
      <c r="D69" s="6">
        <v>28</v>
      </c>
      <c r="E69" s="6" t="s">
        <v>724</v>
      </c>
      <c r="F69" s="6">
        <v>0</v>
      </c>
      <c r="G69" s="16">
        <v>80</v>
      </c>
      <c r="H69" s="6">
        <v>10</v>
      </c>
      <c r="I69" s="6">
        <v>30</v>
      </c>
      <c r="J69" s="6">
        <v>7</v>
      </c>
      <c r="K69">
        <v>0</v>
      </c>
      <c r="L69" s="6">
        <v>6</v>
      </c>
      <c r="M69" s="6">
        <v>0</v>
      </c>
      <c r="N69" s="6">
        <v>6.4</v>
      </c>
      <c r="O69" s="6" t="s">
        <v>795</v>
      </c>
      <c r="P69" s="6">
        <f t="shared" si="2"/>
        <v>131</v>
      </c>
      <c r="Q69" s="6">
        <f t="shared" si="3"/>
        <v>103</v>
      </c>
    </row>
    <row r="70" spans="1:17">
      <c r="A70" s="6" t="s">
        <v>565</v>
      </c>
      <c r="B70" s="6" t="s">
        <v>561</v>
      </c>
      <c r="C70" s="23" t="s">
        <v>5</v>
      </c>
      <c r="D70" s="6">
        <v>10</v>
      </c>
      <c r="E70" s="6" t="s">
        <v>724</v>
      </c>
      <c r="F70" s="6">
        <v>0</v>
      </c>
      <c r="G70" s="16">
        <v>40</v>
      </c>
      <c r="H70" s="6">
        <v>0</v>
      </c>
      <c r="I70" s="6">
        <v>20</v>
      </c>
      <c r="J70" s="6">
        <v>3</v>
      </c>
      <c r="K70">
        <v>0</v>
      </c>
      <c r="L70" s="6">
        <v>1</v>
      </c>
      <c r="M70" s="6">
        <v>0</v>
      </c>
      <c r="N70" s="6">
        <v>6</v>
      </c>
      <c r="O70" s="6" t="s">
        <v>796</v>
      </c>
      <c r="P70" s="6">
        <f t="shared" si="2"/>
        <v>55</v>
      </c>
      <c r="Q70" s="6">
        <f t="shared" si="3"/>
        <v>45</v>
      </c>
    </row>
    <row r="71" spans="1:17">
      <c r="A71" s="6" t="s">
        <v>565</v>
      </c>
      <c r="B71" s="6" t="s">
        <v>797</v>
      </c>
      <c r="C71" s="23" t="s">
        <v>5</v>
      </c>
      <c r="D71" s="6">
        <v>8</v>
      </c>
      <c r="E71" s="6" t="s">
        <v>974</v>
      </c>
      <c r="F71" s="6">
        <v>25</v>
      </c>
      <c r="G71" s="16">
        <v>30</v>
      </c>
      <c r="H71" s="6">
        <v>0</v>
      </c>
      <c r="I71" s="6">
        <v>15</v>
      </c>
      <c r="J71" s="6">
        <v>2</v>
      </c>
      <c r="K71">
        <v>0</v>
      </c>
      <c r="L71" s="6">
        <v>1</v>
      </c>
      <c r="M71" s="6">
        <v>0</v>
      </c>
      <c r="N71" s="6">
        <v>5.95</v>
      </c>
      <c r="O71" s="6" t="s">
        <v>754</v>
      </c>
      <c r="P71" s="6">
        <f t="shared" si="2"/>
        <v>18</v>
      </c>
      <c r="Q71" s="6">
        <f t="shared" si="3"/>
        <v>10</v>
      </c>
    </row>
    <row r="72" spans="1:17">
      <c r="A72" s="6" t="s">
        <v>573</v>
      </c>
      <c r="B72" s="6" t="s">
        <v>712</v>
      </c>
      <c r="C72" s="23" t="s">
        <v>63</v>
      </c>
      <c r="D72" s="6">
        <v>16</v>
      </c>
      <c r="E72" s="6" t="s">
        <v>724</v>
      </c>
      <c r="F72" s="6">
        <v>0</v>
      </c>
      <c r="G72" s="16">
        <v>95</v>
      </c>
      <c r="H72" s="6">
        <v>0</v>
      </c>
      <c r="I72" s="6">
        <v>38</v>
      </c>
      <c r="J72" s="6">
        <v>0</v>
      </c>
      <c r="K72">
        <v>35</v>
      </c>
      <c r="L72" s="6">
        <v>0</v>
      </c>
      <c r="M72" s="6">
        <v>0</v>
      </c>
      <c r="N72" s="6">
        <v>6.3</v>
      </c>
      <c r="O72" s="6" t="s">
        <v>799</v>
      </c>
      <c r="P72" s="6">
        <f t="shared" si="2"/>
        <v>76</v>
      </c>
      <c r="Q72" s="6">
        <f t="shared" si="3"/>
        <v>60</v>
      </c>
    </row>
    <row r="73" spans="1:17">
      <c r="A73" s="6" t="s">
        <v>573</v>
      </c>
      <c r="B73" s="6" t="s">
        <v>800</v>
      </c>
      <c r="C73" s="23" t="s">
        <v>63</v>
      </c>
      <c r="D73" s="6">
        <v>3</v>
      </c>
      <c r="E73" s="6" t="s">
        <v>724</v>
      </c>
      <c r="F73" s="6">
        <v>0</v>
      </c>
      <c r="G73" s="16">
        <v>5</v>
      </c>
      <c r="H73" s="6">
        <v>0</v>
      </c>
      <c r="I73" s="6">
        <v>2</v>
      </c>
      <c r="J73" s="6">
        <v>0</v>
      </c>
      <c r="K73">
        <v>3</v>
      </c>
      <c r="L73" s="6">
        <v>0</v>
      </c>
      <c r="M73" s="6">
        <v>0</v>
      </c>
      <c r="N73" s="6">
        <v>6</v>
      </c>
      <c r="O73" s="6" t="s">
        <v>725</v>
      </c>
      <c r="P73" s="6">
        <f t="shared" si="2"/>
        <v>5</v>
      </c>
      <c r="Q73" s="6">
        <f t="shared" si="3"/>
        <v>2</v>
      </c>
    </row>
    <row r="74" spans="1:17">
      <c r="A74" s="6" t="s">
        <v>573</v>
      </c>
      <c r="B74" s="6" t="s">
        <v>721</v>
      </c>
      <c r="C74" s="23" t="s">
        <v>41</v>
      </c>
      <c r="D74" s="6">
        <v>20</v>
      </c>
      <c r="E74" s="6" t="s">
        <v>724</v>
      </c>
      <c r="F74" s="6">
        <v>0</v>
      </c>
      <c r="G74" s="16">
        <v>90</v>
      </c>
      <c r="H74" s="6">
        <v>0</v>
      </c>
      <c r="I74" s="6">
        <v>34</v>
      </c>
      <c r="J74" s="6">
        <v>3</v>
      </c>
      <c r="K74">
        <v>0</v>
      </c>
      <c r="L74" s="6">
        <v>1</v>
      </c>
      <c r="M74" s="6">
        <v>0</v>
      </c>
      <c r="N74" s="6">
        <v>6.4</v>
      </c>
      <c r="O74" s="6" t="s">
        <v>801</v>
      </c>
      <c r="P74" s="6">
        <f t="shared" si="2"/>
        <v>113</v>
      </c>
      <c r="Q74" s="6">
        <f t="shared" si="3"/>
        <v>93</v>
      </c>
    </row>
    <row r="75" spans="1:17">
      <c r="A75" s="6" t="s">
        <v>573</v>
      </c>
      <c r="B75" s="6" t="s">
        <v>802</v>
      </c>
      <c r="C75" s="23" t="s">
        <v>41</v>
      </c>
      <c r="D75" s="6">
        <v>14</v>
      </c>
      <c r="E75" s="6" t="s">
        <v>724</v>
      </c>
      <c r="F75" s="6">
        <v>0</v>
      </c>
      <c r="G75" s="16">
        <v>85</v>
      </c>
      <c r="H75" s="6">
        <v>0</v>
      </c>
      <c r="I75" s="6">
        <v>30</v>
      </c>
      <c r="J75" s="6">
        <v>2</v>
      </c>
      <c r="K75">
        <v>0</v>
      </c>
      <c r="L75" s="6">
        <v>1</v>
      </c>
      <c r="M75" s="6">
        <v>0</v>
      </c>
      <c r="N75" s="6">
        <v>6.25</v>
      </c>
      <c r="O75" s="6" t="s">
        <v>803</v>
      </c>
      <c r="P75" s="6">
        <f t="shared" si="2"/>
        <v>102</v>
      </c>
      <c r="Q75" s="6">
        <f t="shared" si="3"/>
        <v>88</v>
      </c>
    </row>
    <row r="76" spans="1:17">
      <c r="A76" s="6" t="s">
        <v>573</v>
      </c>
      <c r="B76" s="6" t="s">
        <v>804</v>
      </c>
      <c r="C76" s="23" t="s">
        <v>41</v>
      </c>
      <c r="D76" s="6">
        <v>6</v>
      </c>
      <c r="E76" s="6" t="s">
        <v>974</v>
      </c>
      <c r="F76" s="6">
        <v>20</v>
      </c>
      <c r="G76" s="16">
        <v>40</v>
      </c>
      <c r="H76" s="6">
        <v>0</v>
      </c>
      <c r="I76" s="6">
        <v>18</v>
      </c>
      <c r="J76" s="6">
        <v>1</v>
      </c>
      <c r="K76">
        <v>0</v>
      </c>
      <c r="L76" s="6">
        <v>0</v>
      </c>
      <c r="M76" s="6">
        <v>0</v>
      </c>
      <c r="N76" s="6">
        <v>6.1</v>
      </c>
      <c r="O76" s="6" t="s">
        <v>805</v>
      </c>
      <c r="P76" s="6">
        <f t="shared" si="2"/>
        <v>27</v>
      </c>
      <c r="Q76" s="6">
        <f t="shared" si="3"/>
        <v>21</v>
      </c>
    </row>
    <row r="77" spans="1:17">
      <c r="A77" s="6" t="s">
        <v>573</v>
      </c>
      <c r="B77" s="6" t="s">
        <v>806</v>
      </c>
      <c r="C77" s="23" t="s">
        <v>41</v>
      </c>
      <c r="D77" s="6">
        <v>10</v>
      </c>
      <c r="E77" s="6" t="s">
        <v>724</v>
      </c>
      <c r="F77" s="6">
        <v>0</v>
      </c>
      <c r="G77" s="16">
        <v>80</v>
      </c>
      <c r="H77" s="6">
        <v>0</v>
      </c>
      <c r="I77" s="6">
        <v>28</v>
      </c>
      <c r="J77" s="6">
        <v>2</v>
      </c>
      <c r="K77">
        <v>0</v>
      </c>
      <c r="L77" s="6">
        <v>3</v>
      </c>
      <c r="M77" s="6">
        <v>0</v>
      </c>
      <c r="N77" s="6">
        <v>6.3</v>
      </c>
      <c r="O77" s="6" t="s">
        <v>807</v>
      </c>
      <c r="P77" s="6">
        <f t="shared" si="2"/>
        <v>95</v>
      </c>
      <c r="Q77" s="6">
        <f t="shared" si="3"/>
        <v>85</v>
      </c>
    </row>
    <row r="78" spans="1:17">
      <c r="A78" s="6" t="s">
        <v>573</v>
      </c>
      <c r="B78" s="6" t="s">
        <v>808</v>
      </c>
      <c r="C78" s="23" t="s">
        <v>41</v>
      </c>
      <c r="D78" s="6">
        <v>8</v>
      </c>
      <c r="E78" s="6" t="s">
        <v>724</v>
      </c>
      <c r="F78" s="6">
        <v>0</v>
      </c>
      <c r="G78" s="16">
        <v>60</v>
      </c>
      <c r="H78" s="6">
        <v>0</v>
      </c>
      <c r="I78" s="6">
        <v>25</v>
      </c>
      <c r="J78" s="6">
        <v>1</v>
      </c>
      <c r="K78">
        <v>0</v>
      </c>
      <c r="L78" s="6">
        <v>2</v>
      </c>
      <c r="M78" s="6">
        <v>0</v>
      </c>
      <c r="N78" s="6">
        <v>6.2</v>
      </c>
      <c r="O78" s="6" t="s">
        <v>809</v>
      </c>
      <c r="P78" s="6">
        <f t="shared" si="2"/>
        <v>71</v>
      </c>
      <c r="Q78" s="6">
        <f t="shared" si="3"/>
        <v>63</v>
      </c>
    </row>
    <row r="79" spans="1:17">
      <c r="A79" s="6" t="s">
        <v>573</v>
      </c>
      <c r="B79" s="6" t="s">
        <v>713</v>
      </c>
      <c r="C79" s="23" t="s">
        <v>41</v>
      </c>
      <c r="D79" s="6">
        <v>6</v>
      </c>
      <c r="E79" s="6" t="s">
        <v>724</v>
      </c>
      <c r="F79" s="6">
        <v>0</v>
      </c>
      <c r="G79" s="16">
        <v>20</v>
      </c>
      <c r="H79" s="6">
        <v>0</v>
      </c>
      <c r="I79" s="6">
        <v>15</v>
      </c>
      <c r="J79" s="6">
        <v>1</v>
      </c>
      <c r="K79">
        <v>0</v>
      </c>
      <c r="L79" s="6">
        <v>1</v>
      </c>
      <c r="M79" s="6">
        <v>0</v>
      </c>
      <c r="N79" s="6">
        <v>6.1</v>
      </c>
      <c r="O79" s="6" t="s">
        <v>754</v>
      </c>
      <c r="P79" s="6">
        <f t="shared" si="2"/>
        <v>29</v>
      </c>
      <c r="Q79" s="6">
        <f t="shared" si="3"/>
        <v>23</v>
      </c>
    </row>
    <row r="80" spans="1:17">
      <c r="A80" s="6" t="s">
        <v>573</v>
      </c>
      <c r="B80" s="6" t="s">
        <v>810</v>
      </c>
      <c r="C80" s="23" t="s">
        <v>41</v>
      </c>
      <c r="D80" s="6">
        <v>5</v>
      </c>
      <c r="E80" s="6" t="s">
        <v>724</v>
      </c>
      <c r="F80" s="6">
        <v>0</v>
      </c>
      <c r="G80" s="16">
        <v>30</v>
      </c>
      <c r="H80" s="6">
        <v>0</v>
      </c>
      <c r="I80" s="6">
        <v>20</v>
      </c>
      <c r="J80" s="6">
        <v>0</v>
      </c>
      <c r="K80">
        <v>0</v>
      </c>
      <c r="L80" s="6">
        <v>1</v>
      </c>
      <c r="M80" s="6">
        <v>0</v>
      </c>
      <c r="N80" s="6">
        <v>6</v>
      </c>
      <c r="O80" s="6" t="s">
        <v>754</v>
      </c>
      <c r="P80" s="6">
        <f t="shared" si="2"/>
        <v>36</v>
      </c>
      <c r="Q80" s="6">
        <f t="shared" si="3"/>
        <v>31</v>
      </c>
    </row>
    <row r="81" spans="1:17">
      <c r="A81" s="6" t="s">
        <v>573</v>
      </c>
      <c r="B81" s="6" t="s">
        <v>811</v>
      </c>
      <c r="C81" s="23" t="s">
        <v>12</v>
      </c>
      <c r="D81" s="6">
        <v>18</v>
      </c>
      <c r="E81" s="6" t="s">
        <v>724</v>
      </c>
      <c r="F81" s="6">
        <v>0</v>
      </c>
      <c r="G81" s="16">
        <v>90</v>
      </c>
      <c r="H81" s="6">
        <v>0</v>
      </c>
      <c r="I81" s="6">
        <v>34</v>
      </c>
      <c r="J81" s="6">
        <v>2</v>
      </c>
      <c r="K81">
        <v>0</v>
      </c>
      <c r="L81" s="6">
        <v>2</v>
      </c>
      <c r="M81" s="6">
        <v>0</v>
      </c>
      <c r="N81" s="6">
        <v>6.35</v>
      </c>
      <c r="O81" s="6" t="s">
        <v>812</v>
      </c>
      <c r="P81" s="6">
        <f t="shared" si="2"/>
        <v>111</v>
      </c>
      <c r="Q81" s="6">
        <f t="shared" si="3"/>
        <v>93</v>
      </c>
    </row>
    <row r="82" spans="1:17">
      <c r="A82" s="6" t="s">
        <v>573</v>
      </c>
      <c r="B82" s="6" t="s">
        <v>813</v>
      </c>
      <c r="C82" s="23" t="s">
        <v>12</v>
      </c>
      <c r="D82" s="6">
        <v>10</v>
      </c>
      <c r="E82" s="6" t="s">
        <v>724</v>
      </c>
      <c r="F82" s="6">
        <v>0</v>
      </c>
      <c r="G82" s="16">
        <v>70</v>
      </c>
      <c r="H82" s="6">
        <v>0</v>
      </c>
      <c r="I82" s="6">
        <v>28</v>
      </c>
      <c r="J82" s="6">
        <v>2</v>
      </c>
      <c r="K82">
        <v>0</v>
      </c>
      <c r="L82" s="6">
        <v>1</v>
      </c>
      <c r="M82" s="6">
        <v>0</v>
      </c>
      <c r="N82" s="6">
        <v>6.25</v>
      </c>
      <c r="O82" s="6" t="s">
        <v>814</v>
      </c>
      <c r="P82" s="6">
        <f t="shared" si="2"/>
        <v>83</v>
      </c>
      <c r="Q82" s="6">
        <f t="shared" si="3"/>
        <v>73</v>
      </c>
    </row>
    <row r="83" spans="1:17">
      <c r="A83" s="6" t="s">
        <v>573</v>
      </c>
      <c r="B83" s="6" t="s">
        <v>714</v>
      </c>
      <c r="C83" s="23" t="s">
        <v>12</v>
      </c>
      <c r="D83" s="6">
        <v>12</v>
      </c>
      <c r="E83" s="6" t="s">
        <v>724</v>
      </c>
      <c r="F83" s="6">
        <v>0</v>
      </c>
      <c r="G83" s="16">
        <v>80</v>
      </c>
      <c r="H83" s="6">
        <v>10</v>
      </c>
      <c r="I83" s="6">
        <v>30</v>
      </c>
      <c r="J83" s="6">
        <v>3</v>
      </c>
      <c r="K83">
        <v>0</v>
      </c>
      <c r="L83" s="6">
        <v>3</v>
      </c>
      <c r="M83" s="6">
        <v>1</v>
      </c>
      <c r="N83" s="6">
        <v>6.3</v>
      </c>
      <c r="O83" s="6" t="s">
        <v>815</v>
      </c>
      <c r="P83" s="6">
        <f t="shared" si="2"/>
        <v>109</v>
      </c>
      <c r="Q83" s="6">
        <f t="shared" si="3"/>
        <v>97</v>
      </c>
    </row>
    <row r="84" spans="1:17">
      <c r="A84" s="6" t="s">
        <v>573</v>
      </c>
      <c r="B84" s="6" t="s">
        <v>816</v>
      </c>
      <c r="C84" s="23" t="s">
        <v>12</v>
      </c>
      <c r="D84" s="6">
        <v>16</v>
      </c>
      <c r="E84" s="6" t="s">
        <v>724</v>
      </c>
      <c r="F84" s="6">
        <v>0</v>
      </c>
      <c r="G84" s="16">
        <v>60</v>
      </c>
      <c r="H84" s="6">
        <v>40</v>
      </c>
      <c r="I84" s="6">
        <v>26</v>
      </c>
      <c r="J84" s="6">
        <v>4</v>
      </c>
      <c r="K84">
        <v>0</v>
      </c>
      <c r="L84" s="6">
        <v>4</v>
      </c>
      <c r="M84" s="6">
        <v>2</v>
      </c>
      <c r="N84" s="6">
        <v>6.2</v>
      </c>
      <c r="O84" s="6" t="s">
        <v>817</v>
      </c>
      <c r="P84" s="6">
        <f t="shared" si="2"/>
        <v>126</v>
      </c>
      <c r="Q84" s="6">
        <f t="shared" si="3"/>
        <v>110</v>
      </c>
    </row>
    <row r="85" spans="1:17">
      <c r="A85" s="6" t="s">
        <v>573</v>
      </c>
      <c r="B85" s="6" t="s">
        <v>818</v>
      </c>
      <c r="C85" s="23" t="s">
        <v>12</v>
      </c>
      <c r="D85" s="6">
        <v>6</v>
      </c>
      <c r="E85" s="6" t="s">
        <v>974</v>
      </c>
      <c r="F85" s="6">
        <v>30</v>
      </c>
      <c r="G85" s="16">
        <v>30</v>
      </c>
      <c r="H85" s="6">
        <v>0</v>
      </c>
      <c r="I85" s="6">
        <v>12</v>
      </c>
      <c r="J85" s="6">
        <v>1</v>
      </c>
      <c r="K85">
        <v>0</v>
      </c>
      <c r="L85" s="6">
        <v>1</v>
      </c>
      <c r="M85" s="6">
        <v>0</v>
      </c>
      <c r="N85" s="6">
        <v>6</v>
      </c>
      <c r="O85" s="6" t="s">
        <v>754</v>
      </c>
      <c r="P85" s="6">
        <f t="shared" si="2"/>
        <v>9</v>
      </c>
      <c r="Q85" s="6">
        <f t="shared" si="3"/>
        <v>3</v>
      </c>
    </row>
    <row r="86" spans="1:17">
      <c r="A86" s="6" t="s">
        <v>573</v>
      </c>
      <c r="B86" s="6" t="s">
        <v>819</v>
      </c>
      <c r="C86" s="23" t="s">
        <v>12</v>
      </c>
      <c r="D86" s="6">
        <v>8</v>
      </c>
      <c r="E86" s="6" t="s">
        <v>724</v>
      </c>
      <c r="F86" s="6">
        <v>0</v>
      </c>
      <c r="G86" s="16">
        <v>40</v>
      </c>
      <c r="H86" s="6">
        <v>0</v>
      </c>
      <c r="I86" s="6">
        <v>20</v>
      </c>
      <c r="J86" s="6">
        <v>1</v>
      </c>
      <c r="K86">
        <v>0</v>
      </c>
      <c r="L86" s="6">
        <v>2</v>
      </c>
      <c r="M86" s="6">
        <v>0</v>
      </c>
      <c r="N86" s="6">
        <v>6.1</v>
      </c>
      <c r="O86" s="6" t="s">
        <v>754</v>
      </c>
      <c r="P86" s="6">
        <f t="shared" si="2"/>
        <v>51</v>
      </c>
      <c r="Q86" s="6">
        <f t="shared" si="3"/>
        <v>43</v>
      </c>
    </row>
    <row r="87" spans="1:17">
      <c r="A87" s="6" t="s">
        <v>573</v>
      </c>
      <c r="B87" s="6" t="s">
        <v>735</v>
      </c>
      <c r="C87" s="23" t="s">
        <v>12</v>
      </c>
      <c r="D87" s="6">
        <v>10</v>
      </c>
      <c r="E87" s="6" t="s">
        <v>724</v>
      </c>
      <c r="F87" s="6">
        <v>0</v>
      </c>
      <c r="G87" s="16">
        <v>60</v>
      </c>
      <c r="H87" s="6">
        <v>0</v>
      </c>
      <c r="I87" s="6">
        <v>25</v>
      </c>
      <c r="J87" s="6">
        <v>2</v>
      </c>
      <c r="K87">
        <v>0</v>
      </c>
      <c r="L87" s="6">
        <v>3</v>
      </c>
      <c r="M87" s="6">
        <v>0</v>
      </c>
      <c r="N87" s="6">
        <v>6.2</v>
      </c>
      <c r="O87" s="6" t="s">
        <v>809</v>
      </c>
      <c r="P87" s="6">
        <f t="shared" si="2"/>
        <v>75</v>
      </c>
      <c r="Q87" s="6">
        <f t="shared" si="3"/>
        <v>65</v>
      </c>
    </row>
    <row r="88" spans="1:17">
      <c r="A88" s="6" t="s">
        <v>573</v>
      </c>
      <c r="B88" s="6" t="s">
        <v>574</v>
      </c>
      <c r="C88" s="23" t="s">
        <v>5</v>
      </c>
      <c r="D88" s="6">
        <v>42</v>
      </c>
      <c r="E88" s="6" t="s">
        <v>724</v>
      </c>
      <c r="F88" s="6">
        <v>0</v>
      </c>
      <c r="G88" s="16">
        <v>90</v>
      </c>
      <c r="H88" s="6">
        <v>90</v>
      </c>
      <c r="I88" s="6">
        <v>30</v>
      </c>
      <c r="J88" s="6">
        <v>12</v>
      </c>
      <c r="K88">
        <v>0</v>
      </c>
      <c r="L88" s="6">
        <v>6</v>
      </c>
      <c r="M88" s="6">
        <v>4</v>
      </c>
      <c r="N88" s="6">
        <v>6.7</v>
      </c>
      <c r="O88" s="6" t="s">
        <v>820</v>
      </c>
      <c r="P88" s="6">
        <f t="shared" si="2"/>
        <v>244</v>
      </c>
      <c r="Q88" s="6">
        <f t="shared" si="3"/>
        <v>202</v>
      </c>
    </row>
    <row r="89" spans="1:17">
      <c r="A89" s="6" t="s">
        <v>573</v>
      </c>
      <c r="B89" s="6" t="s">
        <v>821</v>
      </c>
      <c r="C89" s="23" t="s">
        <v>5</v>
      </c>
      <c r="D89" s="6">
        <v>10</v>
      </c>
      <c r="E89" s="6" t="s">
        <v>724</v>
      </c>
      <c r="F89" s="6">
        <v>0</v>
      </c>
      <c r="G89" s="16">
        <v>60</v>
      </c>
      <c r="H89" s="6">
        <v>10</v>
      </c>
      <c r="I89" s="6">
        <v>22</v>
      </c>
      <c r="J89" s="6">
        <v>4</v>
      </c>
      <c r="K89">
        <v>0</v>
      </c>
      <c r="L89" s="6">
        <v>2</v>
      </c>
      <c r="M89" s="6">
        <v>1</v>
      </c>
      <c r="N89" s="6">
        <v>6.2</v>
      </c>
      <c r="O89" s="6" t="s">
        <v>822</v>
      </c>
      <c r="P89" s="6">
        <f t="shared" si="2"/>
        <v>88</v>
      </c>
      <c r="Q89" s="6">
        <f t="shared" si="3"/>
        <v>78</v>
      </c>
    </row>
    <row r="90" spans="1:17">
      <c r="A90" s="6" t="s">
        <v>573</v>
      </c>
      <c r="B90" s="6" t="s">
        <v>823</v>
      </c>
      <c r="C90" s="23" t="s">
        <v>5</v>
      </c>
      <c r="D90" s="6">
        <v>28</v>
      </c>
      <c r="E90" s="6" t="s">
        <v>724</v>
      </c>
      <c r="F90" s="6">
        <v>0</v>
      </c>
      <c r="G90" s="16">
        <v>85</v>
      </c>
      <c r="H90" s="6">
        <v>40</v>
      </c>
      <c r="I90" s="6">
        <v>32</v>
      </c>
      <c r="J90" s="6">
        <v>9</v>
      </c>
      <c r="K90">
        <v>0</v>
      </c>
      <c r="L90" s="6">
        <v>3</v>
      </c>
      <c r="M90" s="6">
        <v>2</v>
      </c>
      <c r="N90" s="6">
        <v>6.45</v>
      </c>
      <c r="O90" s="6" t="s">
        <v>824</v>
      </c>
      <c r="P90" s="6">
        <f t="shared" si="2"/>
        <v>166</v>
      </c>
      <c r="Q90" s="6">
        <f t="shared" si="3"/>
        <v>138</v>
      </c>
    </row>
    <row r="91" spans="1:17">
      <c r="A91" s="6" t="s">
        <v>573</v>
      </c>
      <c r="B91" s="6" t="s">
        <v>825</v>
      </c>
      <c r="C91" s="23" t="s">
        <v>5</v>
      </c>
      <c r="D91" s="6">
        <v>6</v>
      </c>
      <c r="E91" s="6" t="s">
        <v>724</v>
      </c>
      <c r="F91" s="6">
        <v>0</v>
      </c>
      <c r="G91" s="16">
        <v>40</v>
      </c>
      <c r="H91" s="6">
        <v>0</v>
      </c>
      <c r="I91" s="6">
        <v>20</v>
      </c>
      <c r="J91" s="6">
        <v>2</v>
      </c>
      <c r="K91">
        <v>0</v>
      </c>
      <c r="L91" s="6">
        <v>1</v>
      </c>
      <c r="M91" s="6">
        <v>0</v>
      </c>
      <c r="N91" s="6">
        <v>6</v>
      </c>
      <c r="O91" s="6" t="s">
        <v>826</v>
      </c>
      <c r="P91" s="6">
        <f t="shared" si="2"/>
        <v>50</v>
      </c>
      <c r="Q91" s="6">
        <f t="shared" si="3"/>
        <v>44</v>
      </c>
    </row>
    <row r="92" spans="1:17">
      <c r="A92" s="6" t="s">
        <v>573</v>
      </c>
      <c r="B92" s="6" t="s">
        <v>827</v>
      </c>
      <c r="C92" s="23" t="s">
        <v>5</v>
      </c>
      <c r="D92" s="6">
        <v>12</v>
      </c>
      <c r="E92" s="6" t="s">
        <v>724</v>
      </c>
      <c r="F92" s="6">
        <v>0</v>
      </c>
      <c r="G92" s="16">
        <v>70</v>
      </c>
      <c r="H92" s="6">
        <v>0</v>
      </c>
      <c r="I92" s="6">
        <v>28</v>
      </c>
      <c r="J92" s="6">
        <v>5</v>
      </c>
      <c r="K92">
        <v>0</v>
      </c>
      <c r="L92" s="6">
        <v>3</v>
      </c>
      <c r="M92" s="6">
        <v>0</v>
      </c>
      <c r="N92" s="6">
        <v>6.3</v>
      </c>
      <c r="O92" s="6" t="s">
        <v>828</v>
      </c>
      <c r="P92" s="6">
        <f t="shared" si="2"/>
        <v>90</v>
      </c>
      <c r="Q92" s="6">
        <f t="shared" si="3"/>
        <v>78</v>
      </c>
    </row>
    <row r="93" spans="1:17">
      <c r="A93" s="6" t="s">
        <v>566</v>
      </c>
      <c r="B93" s="6" t="s">
        <v>829</v>
      </c>
      <c r="C93" s="23" t="s">
        <v>63</v>
      </c>
      <c r="D93" s="6">
        <v>18</v>
      </c>
      <c r="E93" s="6" t="s">
        <v>724</v>
      </c>
      <c r="F93" s="6">
        <v>0</v>
      </c>
      <c r="G93" s="16">
        <v>95</v>
      </c>
      <c r="H93" s="6">
        <v>0</v>
      </c>
      <c r="I93" s="6">
        <v>38</v>
      </c>
      <c r="J93" s="6">
        <v>0</v>
      </c>
      <c r="K93">
        <v>39</v>
      </c>
      <c r="L93" s="6">
        <v>0</v>
      </c>
      <c r="M93" s="6">
        <v>0</v>
      </c>
      <c r="N93" s="6">
        <v>6.35</v>
      </c>
      <c r="O93" s="6" t="s">
        <v>830</v>
      </c>
      <c r="P93" s="6">
        <f t="shared" si="2"/>
        <v>74</v>
      </c>
      <c r="Q93" s="6">
        <f t="shared" si="3"/>
        <v>56</v>
      </c>
    </row>
    <row r="94" spans="1:17">
      <c r="A94" s="6" t="s">
        <v>566</v>
      </c>
      <c r="B94" s="6" t="s">
        <v>831</v>
      </c>
      <c r="C94" s="23" t="s">
        <v>63</v>
      </c>
      <c r="D94" s="6">
        <v>6</v>
      </c>
      <c r="E94" s="6" t="s">
        <v>724</v>
      </c>
      <c r="F94" s="6">
        <v>0</v>
      </c>
      <c r="G94" s="16">
        <v>5</v>
      </c>
      <c r="H94" s="6">
        <v>0</v>
      </c>
      <c r="I94" s="6">
        <v>2</v>
      </c>
      <c r="J94" s="6">
        <v>0</v>
      </c>
      <c r="K94">
        <v>3</v>
      </c>
      <c r="L94" s="6">
        <v>0</v>
      </c>
      <c r="M94" s="6">
        <v>0</v>
      </c>
      <c r="N94" s="6">
        <v>6.1</v>
      </c>
      <c r="O94" s="6" t="s">
        <v>725</v>
      </c>
      <c r="P94" s="6">
        <f t="shared" si="2"/>
        <v>8</v>
      </c>
      <c r="Q94" s="6">
        <f t="shared" si="3"/>
        <v>2</v>
      </c>
    </row>
    <row r="95" spans="1:17">
      <c r="A95" s="6" t="s">
        <v>566</v>
      </c>
      <c r="B95" s="6" t="s">
        <v>832</v>
      </c>
      <c r="C95" s="23" t="s">
        <v>41</v>
      </c>
      <c r="D95" s="6">
        <v>16</v>
      </c>
      <c r="E95" s="6" t="s">
        <v>724</v>
      </c>
      <c r="F95" s="6">
        <v>0</v>
      </c>
      <c r="G95" s="16">
        <v>90</v>
      </c>
      <c r="H95" s="6">
        <v>0</v>
      </c>
      <c r="I95" s="6">
        <v>34</v>
      </c>
      <c r="J95" s="6">
        <v>2</v>
      </c>
      <c r="K95">
        <v>0</v>
      </c>
      <c r="L95" s="6">
        <v>1</v>
      </c>
      <c r="M95" s="6">
        <v>0</v>
      </c>
      <c r="N95" s="6">
        <v>6.4</v>
      </c>
      <c r="O95" s="6" t="s">
        <v>718</v>
      </c>
      <c r="P95" s="6">
        <f t="shared" si="2"/>
        <v>108</v>
      </c>
      <c r="Q95" s="6">
        <f t="shared" si="3"/>
        <v>92</v>
      </c>
    </row>
    <row r="96" spans="1:17">
      <c r="A96" s="6" t="s">
        <v>566</v>
      </c>
      <c r="B96" s="6" t="s">
        <v>834</v>
      </c>
      <c r="C96" s="23" t="s">
        <v>41</v>
      </c>
      <c r="D96" s="6">
        <v>8</v>
      </c>
      <c r="E96" s="6" t="s">
        <v>974</v>
      </c>
      <c r="F96" s="6">
        <v>15</v>
      </c>
      <c r="G96" s="16">
        <v>40</v>
      </c>
      <c r="H96" s="6">
        <v>0</v>
      </c>
      <c r="I96" s="6">
        <v>20</v>
      </c>
      <c r="J96" s="6">
        <v>1</v>
      </c>
      <c r="K96">
        <v>0</v>
      </c>
      <c r="L96" s="6">
        <v>1</v>
      </c>
      <c r="M96" s="6">
        <v>0</v>
      </c>
      <c r="N96" s="6">
        <v>6.2</v>
      </c>
      <c r="O96" s="6" t="s">
        <v>898</v>
      </c>
      <c r="P96" s="6">
        <f t="shared" si="2"/>
        <v>35</v>
      </c>
      <c r="Q96" s="6">
        <f t="shared" si="3"/>
        <v>27</v>
      </c>
    </row>
    <row r="97" spans="1:17">
      <c r="A97" s="6" t="s">
        <v>566</v>
      </c>
      <c r="B97" s="6" t="s">
        <v>833</v>
      </c>
      <c r="C97" s="23" t="s">
        <v>41</v>
      </c>
      <c r="D97" s="6">
        <v>10</v>
      </c>
      <c r="E97" s="6" t="s">
        <v>724</v>
      </c>
      <c r="F97" s="6">
        <v>0</v>
      </c>
      <c r="G97" s="16">
        <v>70</v>
      </c>
      <c r="H97" s="6">
        <v>0</v>
      </c>
      <c r="I97" s="6">
        <v>28</v>
      </c>
      <c r="J97" s="6">
        <v>1</v>
      </c>
      <c r="K97">
        <v>0</v>
      </c>
      <c r="L97" s="6">
        <v>1</v>
      </c>
      <c r="M97" s="6">
        <v>0</v>
      </c>
      <c r="N97" s="6">
        <v>6.25</v>
      </c>
      <c r="O97" s="6" t="s">
        <v>899</v>
      </c>
      <c r="P97" s="6">
        <f t="shared" si="2"/>
        <v>82</v>
      </c>
      <c r="Q97" s="6">
        <f t="shared" si="3"/>
        <v>72</v>
      </c>
    </row>
    <row r="98" spans="1:17">
      <c r="A98" s="6" t="s">
        <v>566</v>
      </c>
      <c r="B98" s="6" t="s">
        <v>900</v>
      </c>
      <c r="C98" s="23" t="s">
        <v>41</v>
      </c>
      <c r="D98" s="6">
        <v>12</v>
      </c>
      <c r="E98" s="6" t="s">
        <v>724</v>
      </c>
      <c r="F98" s="6">
        <v>0</v>
      </c>
      <c r="G98" s="16">
        <v>85</v>
      </c>
      <c r="H98" s="6">
        <v>0</v>
      </c>
      <c r="I98" s="6">
        <v>32</v>
      </c>
      <c r="J98" s="6">
        <v>1</v>
      </c>
      <c r="K98">
        <v>0</v>
      </c>
      <c r="L98" s="6">
        <v>4</v>
      </c>
      <c r="M98" s="6">
        <v>0</v>
      </c>
      <c r="N98" s="6">
        <v>6.3</v>
      </c>
      <c r="O98" s="6" t="s">
        <v>718</v>
      </c>
      <c r="P98" s="6">
        <f t="shared" si="2"/>
        <v>101</v>
      </c>
      <c r="Q98" s="6">
        <f t="shared" si="3"/>
        <v>89</v>
      </c>
    </row>
    <row r="99" spans="1:17">
      <c r="A99" s="6" t="s">
        <v>566</v>
      </c>
      <c r="B99" s="6" t="s">
        <v>901</v>
      </c>
      <c r="C99" s="23" t="s">
        <v>41</v>
      </c>
      <c r="D99" s="6">
        <v>6</v>
      </c>
      <c r="E99" s="6" t="s">
        <v>724</v>
      </c>
      <c r="F99" s="6">
        <v>0</v>
      </c>
      <c r="G99" s="16">
        <v>40</v>
      </c>
      <c r="H99" s="6">
        <v>0</v>
      </c>
      <c r="I99" s="6">
        <v>18</v>
      </c>
      <c r="J99" s="6">
        <v>0</v>
      </c>
      <c r="K99">
        <v>0</v>
      </c>
      <c r="L99" s="6">
        <v>1</v>
      </c>
      <c r="M99" s="6">
        <v>0</v>
      </c>
      <c r="N99" s="6">
        <v>6.1</v>
      </c>
      <c r="O99" s="6" t="s">
        <v>902</v>
      </c>
      <c r="P99" s="6">
        <f t="shared" si="2"/>
        <v>47</v>
      </c>
      <c r="Q99" s="6">
        <f t="shared" si="3"/>
        <v>41</v>
      </c>
    </row>
    <row r="100" spans="1:17">
      <c r="A100" s="6" t="s">
        <v>566</v>
      </c>
      <c r="B100" s="6" t="s">
        <v>903</v>
      </c>
      <c r="C100" s="23" t="s">
        <v>41</v>
      </c>
      <c r="D100" s="6">
        <v>10</v>
      </c>
      <c r="E100" s="6" t="s">
        <v>724</v>
      </c>
      <c r="F100" s="6">
        <v>0</v>
      </c>
      <c r="G100" s="16">
        <v>60</v>
      </c>
      <c r="H100" s="6">
        <v>0</v>
      </c>
      <c r="I100" s="6">
        <v>25</v>
      </c>
      <c r="J100" s="6">
        <v>1</v>
      </c>
      <c r="K100">
        <v>0</v>
      </c>
      <c r="L100" s="6">
        <v>2</v>
      </c>
      <c r="M100" s="6">
        <v>0</v>
      </c>
      <c r="N100" s="6">
        <v>6.2</v>
      </c>
      <c r="O100" s="6" t="s">
        <v>815</v>
      </c>
      <c r="P100" s="6">
        <f t="shared" si="2"/>
        <v>73</v>
      </c>
      <c r="Q100" s="6">
        <f t="shared" si="3"/>
        <v>63</v>
      </c>
    </row>
    <row r="101" spans="1:17">
      <c r="A101" s="6" t="s">
        <v>566</v>
      </c>
      <c r="B101" s="6" t="s">
        <v>837</v>
      </c>
      <c r="C101" s="23" t="s">
        <v>12</v>
      </c>
      <c r="D101" s="6">
        <v>14</v>
      </c>
      <c r="E101" s="6" t="s">
        <v>724</v>
      </c>
      <c r="F101" s="6">
        <v>0</v>
      </c>
      <c r="G101" s="16">
        <v>90</v>
      </c>
      <c r="H101" s="6">
        <v>30</v>
      </c>
      <c r="I101" s="6">
        <v>34</v>
      </c>
      <c r="J101" s="6">
        <v>4</v>
      </c>
      <c r="K101">
        <v>0</v>
      </c>
      <c r="L101" s="6">
        <v>3</v>
      </c>
      <c r="M101" s="6">
        <v>2</v>
      </c>
      <c r="N101" s="6">
        <v>6.45</v>
      </c>
      <c r="O101" s="6" t="s">
        <v>904</v>
      </c>
      <c r="P101" s="6">
        <f t="shared" si="2"/>
        <v>142</v>
      </c>
      <c r="Q101" s="6">
        <f t="shared" si="3"/>
        <v>128</v>
      </c>
    </row>
    <row r="102" spans="1:17">
      <c r="A102" s="6" t="s">
        <v>566</v>
      </c>
      <c r="B102" s="6" t="s">
        <v>838</v>
      </c>
      <c r="C102" s="23" t="s">
        <v>12</v>
      </c>
      <c r="D102" s="6">
        <v>8</v>
      </c>
      <c r="E102" s="6" t="s">
        <v>724</v>
      </c>
      <c r="F102" s="6">
        <v>0</v>
      </c>
      <c r="G102" s="16">
        <v>50</v>
      </c>
      <c r="H102" s="6">
        <v>0</v>
      </c>
      <c r="I102" s="6">
        <v>22</v>
      </c>
      <c r="J102" s="6">
        <v>2</v>
      </c>
      <c r="K102">
        <v>0</v>
      </c>
      <c r="L102" s="6">
        <v>1</v>
      </c>
      <c r="M102" s="6">
        <v>0</v>
      </c>
      <c r="N102" s="6">
        <v>6.1</v>
      </c>
      <c r="O102" s="6" t="s">
        <v>839</v>
      </c>
      <c r="P102" s="6">
        <f t="shared" si="2"/>
        <v>61</v>
      </c>
      <c r="Q102" s="6">
        <f t="shared" si="3"/>
        <v>53</v>
      </c>
    </row>
    <row r="103" spans="1:17">
      <c r="A103" s="6" t="s">
        <v>566</v>
      </c>
      <c r="B103" s="6" t="s">
        <v>836</v>
      </c>
      <c r="C103" s="23" t="s">
        <v>12</v>
      </c>
      <c r="D103" s="6">
        <v>10</v>
      </c>
      <c r="E103" s="6" t="s">
        <v>724</v>
      </c>
      <c r="F103" s="6">
        <v>0</v>
      </c>
      <c r="G103" s="16">
        <v>70</v>
      </c>
      <c r="H103" s="6">
        <v>0</v>
      </c>
      <c r="I103" s="6">
        <v>28</v>
      </c>
      <c r="J103" s="6">
        <v>1</v>
      </c>
      <c r="K103">
        <v>0</v>
      </c>
      <c r="L103" s="6">
        <v>2</v>
      </c>
      <c r="M103" s="6">
        <v>0</v>
      </c>
      <c r="N103" s="6">
        <v>6.25</v>
      </c>
      <c r="O103" s="6" t="s">
        <v>905</v>
      </c>
      <c r="P103" s="6">
        <f t="shared" si="2"/>
        <v>83</v>
      </c>
      <c r="Q103" s="6">
        <f t="shared" si="3"/>
        <v>73</v>
      </c>
    </row>
    <row r="104" spans="1:17">
      <c r="A104" s="6" t="s">
        <v>566</v>
      </c>
      <c r="B104" s="6" t="s">
        <v>835</v>
      </c>
      <c r="C104" s="23" t="s">
        <v>12</v>
      </c>
      <c r="D104" s="6">
        <v>6</v>
      </c>
      <c r="E104" s="6" t="s">
        <v>724</v>
      </c>
      <c r="F104" s="6">
        <v>0</v>
      </c>
      <c r="G104" s="16">
        <v>40</v>
      </c>
      <c r="H104" s="6">
        <v>0</v>
      </c>
      <c r="I104" s="6">
        <v>20</v>
      </c>
      <c r="J104" s="6">
        <v>0</v>
      </c>
      <c r="K104">
        <v>0</v>
      </c>
      <c r="L104" s="6">
        <v>1</v>
      </c>
      <c r="M104" s="6">
        <v>0</v>
      </c>
      <c r="N104" s="6">
        <v>6</v>
      </c>
      <c r="O104" s="6" t="s">
        <v>906</v>
      </c>
      <c r="P104" s="6">
        <f t="shared" si="2"/>
        <v>47</v>
      </c>
      <c r="Q104" s="6">
        <f t="shared" si="3"/>
        <v>41</v>
      </c>
    </row>
    <row r="105" spans="1:17">
      <c r="A105" s="6" t="s">
        <v>566</v>
      </c>
      <c r="B105" s="6" t="s">
        <v>907</v>
      </c>
      <c r="C105" s="23" t="s">
        <v>12</v>
      </c>
      <c r="D105" s="6">
        <v>20</v>
      </c>
      <c r="E105" s="6" t="s">
        <v>724</v>
      </c>
      <c r="F105" s="6">
        <v>0</v>
      </c>
      <c r="G105" s="16">
        <v>85</v>
      </c>
      <c r="H105" s="6">
        <v>20</v>
      </c>
      <c r="I105" s="6">
        <v>32</v>
      </c>
      <c r="J105" s="6">
        <v>5</v>
      </c>
      <c r="K105">
        <v>0</v>
      </c>
      <c r="L105" s="6">
        <v>6</v>
      </c>
      <c r="M105" s="6">
        <v>1</v>
      </c>
      <c r="N105" s="6">
        <v>6.5</v>
      </c>
      <c r="O105" s="6" t="s">
        <v>908</v>
      </c>
      <c r="P105" s="6">
        <f t="shared" si="2"/>
        <v>136</v>
      </c>
      <c r="Q105" s="6">
        <f t="shared" si="3"/>
        <v>116</v>
      </c>
    </row>
    <row r="106" spans="1:17">
      <c r="A106" s="6" t="s">
        <v>566</v>
      </c>
      <c r="B106" s="6" t="s">
        <v>909</v>
      </c>
      <c r="C106" s="23" t="s">
        <v>12</v>
      </c>
      <c r="D106" s="6">
        <v>10</v>
      </c>
      <c r="E106" s="6" t="s">
        <v>724</v>
      </c>
      <c r="F106" s="6">
        <v>0</v>
      </c>
      <c r="G106" s="16">
        <v>50</v>
      </c>
      <c r="H106" s="6">
        <v>0</v>
      </c>
      <c r="I106" s="6">
        <v>24</v>
      </c>
      <c r="J106" s="6">
        <v>2</v>
      </c>
      <c r="K106">
        <v>0</v>
      </c>
      <c r="L106" s="6">
        <v>2</v>
      </c>
      <c r="M106" s="6">
        <v>0</v>
      </c>
      <c r="N106" s="6">
        <v>6.2</v>
      </c>
      <c r="O106" s="6" t="s">
        <v>910</v>
      </c>
      <c r="P106" s="6">
        <f t="shared" si="2"/>
        <v>64</v>
      </c>
      <c r="Q106" s="6">
        <f t="shared" si="3"/>
        <v>54</v>
      </c>
    </row>
    <row r="107" spans="1:17">
      <c r="A107" s="6" t="s">
        <v>566</v>
      </c>
      <c r="B107" s="6" t="s">
        <v>567</v>
      </c>
      <c r="C107" s="23" t="s">
        <v>12</v>
      </c>
      <c r="D107" s="6">
        <v>22</v>
      </c>
      <c r="E107" s="6" t="s">
        <v>724</v>
      </c>
      <c r="F107" s="6">
        <v>0</v>
      </c>
      <c r="G107" s="16">
        <v>90</v>
      </c>
      <c r="H107" s="6">
        <v>40</v>
      </c>
      <c r="I107" s="6">
        <v>34</v>
      </c>
      <c r="J107" s="6">
        <v>7</v>
      </c>
      <c r="K107">
        <v>0</v>
      </c>
      <c r="L107" s="6">
        <v>5</v>
      </c>
      <c r="M107" s="6">
        <v>2</v>
      </c>
      <c r="N107" s="6">
        <v>6.6</v>
      </c>
      <c r="O107" s="6" t="s">
        <v>840</v>
      </c>
      <c r="P107" s="6">
        <f t="shared" si="2"/>
        <v>165</v>
      </c>
      <c r="Q107" s="6">
        <f t="shared" si="3"/>
        <v>143</v>
      </c>
    </row>
    <row r="108" spans="1:17">
      <c r="A108" s="6" t="s">
        <v>566</v>
      </c>
      <c r="B108" s="6" t="s">
        <v>841</v>
      </c>
      <c r="C108" s="23" t="s">
        <v>12</v>
      </c>
      <c r="D108" s="6">
        <v>12</v>
      </c>
      <c r="E108" s="6" t="s">
        <v>724</v>
      </c>
      <c r="F108" s="6">
        <v>0</v>
      </c>
      <c r="G108" s="16">
        <v>70</v>
      </c>
      <c r="H108" s="6">
        <v>0</v>
      </c>
      <c r="I108" s="6">
        <v>28</v>
      </c>
      <c r="J108" s="6">
        <v>4</v>
      </c>
      <c r="K108">
        <v>0</v>
      </c>
      <c r="L108" s="6">
        <v>3</v>
      </c>
      <c r="M108" s="6">
        <v>0</v>
      </c>
      <c r="N108" s="6">
        <v>6.3</v>
      </c>
      <c r="O108" s="6" t="s">
        <v>911</v>
      </c>
      <c r="P108" s="6">
        <f t="shared" si="2"/>
        <v>89</v>
      </c>
      <c r="Q108" s="6">
        <f t="shared" si="3"/>
        <v>77</v>
      </c>
    </row>
    <row r="109" spans="1:17">
      <c r="A109" s="6" t="s">
        <v>566</v>
      </c>
      <c r="B109" s="6" t="s">
        <v>843</v>
      </c>
      <c r="C109" s="23" t="s">
        <v>5</v>
      </c>
      <c r="D109" s="6">
        <v>10</v>
      </c>
      <c r="E109" s="6" t="s">
        <v>724</v>
      </c>
      <c r="F109" s="6">
        <v>0</v>
      </c>
      <c r="G109" s="16">
        <v>50</v>
      </c>
      <c r="H109" s="6">
        <v>0</v>
      </c>
      <c r="I109" s="6">
        <v>22</v>
      </c>
      <c r="J109" s="6">
        <v>3</v>
      </c>
      <c r="K109">
        <v>0</v>
      </c>
      <c r="L109" s="6">
        <v>2</v>
      </c>
      <c r="M109" s="6">
        <v>0</v>
      </c>
      <c r="N109" s="6">
        <v>6.1</v>
      </c>
      <c r="O109" s="6" t="s">
        <v>842</v>
      </c>
      <c r="P109" s="6">
        <f t="shared" si="2"/>
        <v>66</v>
      </c>
      <c r="Q109" s="6">
        <f t="shared" si="3"/>
        <v>56</v>
      </c>
    </row>
    <row r="110" spans="1:17">
      <c r="A110" s="6" t="s">
        <v>566</v>
      </c>
      <c r="B110" s="6" t="s">
        <v>554</v>
      </c>
      <c r="C110" s="23" t="s">
        <v>5</v>
      </c>
      <c r="D110" s="6">
        <v>30</v>
      </c>
      <c r="E110" s="6" t="s">
        <v>724</v>
      </c>
      <c r="F110" s="6">
        <v>0</v>
      </c>
      <c r="G110" s="16">
        <v>85</v>
      </c>
      <c r="H110" s="6">
        <v>80</v>
      </c>
      <c r="I110" s="6">
        <v>30</v>
      </c>
      <c r="J110" s="6">
        <v>10</v>
      </c>
      <c r="K110">
        <v>0</v>
      </c>
      <c r="L110" s="6">
        <v>3</v>
      </c>
      <c r="M110" s="6">
        <v>3</v>
      </c>
      <c r="N110" s="6">
        <v>6.5</v>
      </c>
      <c r="O110" s="6" t="s">
        <v>820</v>
      </c>
      <c r="P110" s="6">
        <f t="shared" si="2"/>
        <v>211</v>
      </c>
      <c r="Q110" s="6">
        <f t="shared" si="3"/>
        <v>181</v>
      </c>
    </row>
    <row r="111" spans="1:17">
      <c r="A111" s="6" t="s">
        <v>566</v>
      </c>
      <c r="B111" s="6" t="s">
        <v>672</v>
      </c>
      <c r="C111" s="23" t="s">
        <v>5</v>
      </c>
      <c r="D111" s="6">
        <v>14</v>
      </c>
      <c r="E111" s="6" t="s">
        <v>724</v>
      </c>
      <c r="F111" s="6">
        <v>0</v>
      </c>
      <c r="G111" s="16">
        <v>60</v>
      </c>
      <c r="H111" s="6">
        <v>10</v>
      </c>
      <c r="I111" s="6">
        <v>26</v>
      </c>
      <c r="J111" s="6">
        <v>6</v>
      </c>
      <c r="K111">
        <v>0</v>
      </c>
      <c r="L111" s="6">
        <v>2</v>
      </c>
      <c r="M111" s="6">
        <v>1</v>
      </c>
      <c r="N111" s="6">
        <v>6.35</v>
      </c>
      <c r="O111" s="6" t="s">
        <v>912</v>
      </c>
      <c r="P111" s="6">
        <f t="shared" si="2"/>
        <v>93</v>
      </c>
      <c r="Q111" s="6">
        <f t="shared" si="3"/>
        <v>79</v>
      </c>
    </row>
    <row r="112" spans="1:17">
      <c r="A112" s="6" t="s">
        <v>566</v>
      </c>
      <c r="B112" s="6" t="s">
        <v>673</v>
      </c>
      <c r="C112" s="23" t="s">
        <v>5</v>
      </c>
      <c r="D112" s="6">
        <v>8</v>
      </c>
      <c r="E112" s="6" t="s">
        <v>724</v>
      </c>
      <c r="F112" s="6">
        <v>20</v>
      </c>
      <c r="G112" s="16">
        <v>30</v>
      </c>
      <c r="H112" s="6">
        <v>0</v>
      </c>
      <c r="I112" s="6">
        <v>18</v>
      </c>
      <c r="J112" s="6">
        <v>3</v>
      </c>
      <c r="K112">
        <v>0</v>
      </c>
      <c r="L112" s="6">
        <v>1</v>
      </c>
      <c r="M112" s="6">
        <v>0</v>
      </c>
      <c r="N112" s="6">
        <v>6</v>
      </c>
      <c r="O112" s="6" t="s">
        <v>754</v>
      </c>
      <c r="P112" s="6">
        <f t="shared" si="2"/>
        <v>24</v>
      </c>
      <c r="Q112" s="6">
        <f t="shared" si="3"/>
        <v>16</v>
      </c>
    </row>
    <row r="113" spans="1:17">
      <c r="A113" s="6" t="s">
        <v>560</v>
      </c>
      <c r="B113" s="6" t="s">
        <v>913</v>
      </c>
      <c r="C113" s="23" t="s">
        <v>63</v>
      </c>
      <c r="D113" s="6">
        <v>10</v>
      </c>
      <c r="E113" s="6" t="s">
        <v>724</v>
      </c>
      <c r="F113" s="6">
        <v>0</v>
      </c>
      <c r="G113" s="16">
        <v>90</v>
      </c>
      <c r="H113" s="6">
        <v>0</v>
      </c>
      <c r="I113" s="6">
        <v>34</v>
      </c>
      <c r="J113" s="6">
        <v>0</v>
      </c>
      <c r="K113">
        <v>30</v>
      </c>
      <c r="L113" s="6">
        <v>0</v>
      </c>
      <c r="M113" s="6">
        <v>0</v>
      </c>
      <c r="N113" s="6">
        <v>6.2</v>
      </c>
      <c r="O113" s="6" t="s">
        <v>914</v>
      </c>
      <c r="P113" s="6">
        <f t="shared" si="2"/>
        <v>70</v>
      </c>
      <c r="Q113" s="6">
        <f t="shared" si="3"/>
        <v>60</v>
      </c>
    </row>
    <row r="114" spans="1:17">
      <c r="A114" s="6" t="s">
        <v>560</v>
      </c>
      <c r="B114" s="6" t="s">
        <v>845</v>
      </c>
      <c r="C114" s="23" t="s">
        <v>63</v>
      </c>
      <c r="D114" s="6">
        <v>4</v>
      </c>
      <c r="E114" s="6" t="s">
        <v>724</v>
      </c>
      <c r="F114" s="6">
        <v>0</v>
      </c>
      <c r="G114" s="16">
        <v>10</v>
      </c>
      <c r="H114" s="6">
        <v>0</v>
      </c>
      <c r="I114" s="6">
        <v>5</v>
      </c>
      <c r="J114" s="6">
        <v>0</v>
      </c>
      <c r="K114">
        <v>0</v>
      </c>
      <c r="L114" s="6">
        <v>0</v>
      </c>
      <c r="M114" s="6">
        <v>0</v>
      </c>
      <c r="N114" s="6">
        <v>5.5</v>
      </c>
      <c r="O114" s="6" t="s">
        <v>744</v>
      </c>
      <c r="P114" s="6">
        <f t="shared" si="2"/>
        <v>14</v>
      </c>
      <c r="Q114" s="6">
        <f t="shared" si="3"/>
        <v>10</v>
      </c>
    </row>
    <row r="115" spans="1:17">
      <c r="A115" s="6" t="s">
        <v>560</v>
      </c>
      <c r="B115" s="6" t="s">
        <v>846</v>
      </c>
      <c r="C115" s="23" t="s">
        <v>63</v>
      </c>
      <c r="D115" s="6">
        <v>3</v>
      </c>
      <c r="E115" s="6" t="s">
        <v>724</v>
      </c>
      <c r="F115" s="6">
        <v>0</v>
      </c>
      <c r="G115" s="16">
        <v>5</v>
      </c>
      <c r="H115" s="6">
        <v>0</v>
      </c>
      <c r="I115" s="6">
        <v>2</v>
      </c>
      <c r="J115" s="6">
        <v>0</v>
      </c>
      <c r="K115">
        <v>0</v>
      </c>
      <c r="L115" s="6">
        <v>0</v>
      </c>
      <c r="M115" s="6">
        <v>0</v>
      </c>
      <c r="N115" s="6">
        <v>5.3</v>
      </c>
      <c r="O115" s="6" t="s">
        <v>744</v>
      </c>
      <c r="P115" s="6">
        <f t="shared" si="2"/>
        <v>8</v>
      </c>
      <c r="Q115" s="6">
        <f t="shared" si="3"/>
        <v>5</v>
      </c>
    </row>
    <row r="116" spans="1:17">
      <c r="A116" s="6" t="s">
        <v>560</v>
      </c>
      <c r="B116" s="6" t="s">
        <v>847</v>
      </c>
      <c r="C116" s="23" t="s">
        <v>41</v>
      </c>
      <c r="D116" s="6">
        <v>8</v>
      </c>
      <c r="E116" s="6" t="s">
        <v>724</v>
      </c>
      <c r="F116" s="6">
        <v>0</v>
      </c>
      <c r="G116" s="16">
        <v>85</v>
      </c>
      <c r="H116" s="6">
        <v>0</v>
      </c>
      <c r="I116" s="6">
        <v>32</v>
      </c>
      <c r="J116" s="6">
        <v>1</v>
      </c>
      <c r="K116">
        <v>0</v>
      </c>
      <c r="L116" s="6">
        <v>3</v>
      </c>
      <c r="M116" s="6">
        <v>0</v>
      </c>
      <c r="N116" s="6">
        <v>6.1</v>
      </c>
      <c r="O116" s="6" t="s">
        <v>915</v>
      </c>
      <c r="P116" s="6">
        <f t="shared" si="2"/>
        <v>96</v>
      </c>
      <c r="Q116" s="6">
        <f t="shared" si="3"/>
        <v>88</v>
      </c>
    </row>
    <row r="117" spans="1:17">
      <c r="A117" s="6" t="s">
        <v>560</v>
      </c>
      <c r="B117" s="6" t="s">
        <v>703</v>
      </c>
      <c r="C117" s="23" t="s">
        <v>41</v>
      </c>
      <c r="D117" s="6">
        <v>9</v>
      </c>
      <c r="E117" s="6" t="s">
        <v>724</v>
      </c>
      <c r="F117" s="6">
        <v>0</v>
      </c>
      <c r="G117" s="16">
        <v>80</v>
      </c>
      <c r="H117" s="6">
        <v>0</v>
      </c>
      <c r="I117" s="6">
        <v>30</v>
      </c>
      <c r="J117" s="6">
        <v>2</v>
      </c>
      <c r="K117">
        <v>0</v>
      </c>
      <c r="L117" s="6">
        <v>4</v>
      </c>
      <c r="M117" s="6">
        <v>0</v>
      </c>
      <c r="N117" s="6">
        <v>6.3</v>
      </c>
      <c r="O117" s="6" t="s">
        <v>916</v>
      </c>
      <c r="P117" s="6">
        <f t="shared" si="2"/>
        <v>95</v>
      </c>
      <c r="Q117" s="6">
        <f t="shared" si="3"/>
        <v>86</v>
      </c>
    </row>
    <row r="118" spans="1:17">
      <c r="A118" s="6" t="s">
        <v>560</v>
      </c>
      <c r="B118" s="6" t="s">
        <v>701</v>
      </c>
      <c r="C118" s="23" t="s">
        <v>41</v>
      </c>
      <c r="D118" s="6">
        <v>6</v>
      </c>
      <c r="E118" s="6" t="s">
        <v>724</v>
      </c>
      <c r="F118" s="6">
        <v>0</v>
      </c>
      <c r="G118" s="16">
        <v>70</v>
      </c>
      <c r="H118" s="6">
        <v>0</v>
      </c>
      <c r="I118" s="6">
        <v>28</v>
      </c>
      <c r="J118" s="6">
        <v>1</v>
      </c>
      <c r="K118">
        <v>0</v>
      </c>
      <c r="L118" s="6">
        <v>2</v>
      </c>
      <c r="M118" s="6">
        <v>0</v>
      </c>
      <c r="N118" s="6">
        <v>5.9</v>
      </c>
      <c r="O118" s="6" t="s">
        <v>917</v>
      </c>
      <c r="P118" s="6">
        <f t="shared" si="2"/>
        <v>79</v>
      </c>
      <c r="Q118" s="6">
        <f t="shared" si="3"/>
        <v>73</v>
      </c>
    </row>
    <row r="119" spans="1:17">
      <c r="A119" s="6" t="s">
        <v>560</v>
      </c>
      <c r="B119" s="6" t="s">
        <v>700</v>
      </c>
      <c r="C119" s="23" t="s">
        <v>41</v>
      </c>
      <c r="D119" s="6">
        <v>3</v>
      </c>
      <c r="E119" s="6" t="s">
        <v>724</v>
      </c>
      <c r="F119" s="6">
        <v>0</v>
      </c>
      <c r="G119" s="16">
        <v>49</v>
      </c>
      <c r="H119" s="6">
        <v>0</v>
      </c>
      <c r="I119" s="6">
        <v>12</v>
      </c>
      <c r="J119" s="6">
        <v>0</v>
      </c>
      <c r="K119">
        <v>0</v>
      </c>
      <c r="L119" s="6">
        <v>0</v>
      </c>
      <c r="M119" s="6">
        <v>0</v>
      </c>
      <c r="N119" s="6">
        <v>5.4</v>
      </c>
      <c r="O119" s="6" t="s">
        <v>701</v>
      </c>
      <c r="P119" s="6">
        <f t="shared" si="2"/>
        <v>52</v>
      </c>
      <c r="Q119" s="6">
        <f t="shared" si="3"/>
        <v>49</v>
      </c>
    </row>
    <row r="120" spans="1:17">
      <c r="A120" s="6" t="s">
        <v>560</v>
      </c>
      <c r="B120" s="6" t="s">
        <v>699</v>
      </c>
      <c r="C120" s="23" t="s">
        <v>41</v>
      </c>
      <c r="D120" s="6">
        <v>3</v>
      </c>
      <c r="E120" s="6" t="s">
        <v>724</v>
      </c>
      <c r="F120" s="6">
        <v>0</v>
      </c>
      <c r="G120" s="16">
        <v>51</v>
      </c>
      <c r="H120" s="6">
        <v>0</v>
      </c>
      <c r="I120" s="6">
        <v>14</v>
      </c>
      <c r="J120" s="6">
        <v>0</v>
      </c>
      <c r="K120">
        <v>0</v>
      </c>
      <c r="L120" s="6">
        <v>0</v>
      </c>
      <c r="M120" s="6">
        <v>0</v>
      </c>
      <c r="N120" s="6">
        <v>5.5</v>
      </c>
      <c r="O120" s="6" t="s">
        <v>701</v>
      </c>
      <c r="P120" s="6">
        <f t="shared" si="2"/>
        <v>54</v>
      </c>
      <c r="Q120" s="6">
        <f t="shared" si="3"/>
        <v>51</v>
      </c>
    </row>
    <row r="121" spans="1:17">
      <c r="A121" s="6" t="s">
        <v>560</v>
      </c>
      <c r="B121" s="6" t="s">
        <v>915</v>
      </c>
      <c r="C121" s="23" t="s">
        <v>41</v>
      </c>
      <c r="D121" s="6">
        <v>5</v>
      </c>
      <c r="E121" s="6" t="s">
        <v>724</v>
      </c>
      <c r="F121" s="6">
        <v>0</v>
      </c>
      <c r="G121" s="16">
        <v>40</v>
      </c>
      <c r="H121" s="6">
        <v>0</v>
      </c>
      <c r="I121" s="6">
        <v>20</v>
      </c>
      <c r="J121" s="6">
        <v>0</v>
      </c>
      <c r="K121">
        <v>0</v>
      </c>
      <c r="L121" s="6">
        <v>1</v>
      </c>
      <c r="M121" s="6">
        <v>0</v>
      </c>
      <c r="N121" s="6">
        <v>5.7</v>
      </c>
      <c r="O121" s="6" t="s">
        <v>847</v>
      </c>
      <c r="P121" s="6">
        <f t="shared" si="2"/>
        <v>46</v>
      </c>
      <c r="Q121" s="6">
        <f t="shared" si="3"/>
        <v>41</v>
      </c>
    </row>
    <row r="122" spans="1:17">
      <c r="A122" s="6" t="s">
        <v>560</v>
      </c>
      <c r="B122" s="6" t="s">
        <v>916</v>
      </c>
      <c r="C122" s="23" t="s">
        <v>41</v>
      </c>
      <c r="D122" s="6">
        <v>4</v>
      </c>
      <c r="E122" s="6" t="s">
        <v>724</v>
      </c>
      <c r="F122" s="6">
        <v>0</v>
      </c>
      <c r="G122" s="16">
        <v>30</v>
      </c>
      <c r="H122" s="6">
        <v>0</v>
      </c>
      <c r="I122" s="6">
        <v>18</v>
      </c>
      <c r="J122" s="6">
        <v>0</v>
      </c>
      <c r="K122">
        <v>0</v>
      </c>
      <c r="L122" s="6">
        <v>0</v>
      </c>
      <c r="M122" s="6">
        <v>0</v>
      </c>
      <c r="N122" s="6">
        <v>5.6</v>
      </c>
      <c r="O122" s="6" t="s">
        <v>703</v>
      </c>
      <c r="P122" s="6">
        <f t="shared" si="2"/>
        <v>34</v>
      </c>
      <c r="Q122" s="6">
        <f t="shared" si="3"/>
        <v>30</v>
      </c>
    </row>
    <row r="123" spans="1:17">
      <c r="A123" s="6" t="s">
        <v>560</v>
      </c>
      <c r="B123" s="6" t="s">
        <v>677</v>
      </c>
      <c r="C123" s="23" t="s">
        <v>12</v>
      </c>
      <c r="D123" s="6">
        <v>11</v>
      </c>
      <c r="E123" s="6" t="s">
        <v>724</v>
      </c>
      <c r="F123" s="6">
        <v>0</v>
      </c>
      <c r="G123" s="16">
        <v>75</v>
      </c>
      <c r="H123" s="6">
        <v>0</v>
      </c>
      <c r="I123" s="6">
        <v>30</v>
      </c>
      <c r="J123" s="6">
        <v>3</v>
      </c>
      <c r="K123">
        <v>0</v>
      </c>
      <c r="L123" s="6">
        <v>5</v>
      </c>
      <c r="M123" s="6">
        <v>0</v>
      </c>
      <c r="N123" s="6">
        <v>6.4</v>
      </c>
      <c r="O123" s="6" t="s">
        <v>918</v>
      </c>
      <c r="P123" s="6">
        <f t="shared" si="2"/>
        <v>94</v>
      </c>
      <c r="Q123" s="6">
        <f t="shared" si="3"/>
        <v>83</v>
      </c>
    </row>
    <row r="124" spans="1:17">
      <c r="A124" s="6" t="s">
        <v>560</v>
      </c>
      <c r="B124" s="6" t="s">
        <v>848</v>
      </c>
      <c r="C124" s="23" t="s">
        <v>12</v>
      </c>
      <c r="D124" s="6">
        <v>10</v>
      </c>
      <c r="E124" s="6" t="s">
        <v>724</v>
      </c>
      <c r="F124" s="6">
        <v>0</v>
      </c>
      <c r="G124" s="16">
        <v>65</v>
      </c>
      <c r="H124" s="6">
        <v>10</v>
      </c>
      <c r="I124" s="6">
        <v>29</v>
      </c>
      <c r="J124" s="6">
        <v>2</v>
      </c>
      <c r="K124">
        <v>0</v>
      </c>
      <c r="L124" s="6">
        <v>3</v>
      </c>
      <c r="M124" s="6">
        <v>1</v>
      </c>
      <c r="N124" s="6">
        <v>6</v>
      </c>
      <c r="O124" s="6" t="s">
        <v>849</v>
      </c>
      <c r="P124" s="6">
        <f t="shared" si="2"/>
        <v>91</v>
      </c>
      <c r="Q124" s="6">
        <f t="shared" si="3"/>
        <v>81</v>
      </c>
    </row>
    <row r="125" spans="1:17">
      <c r="A125" s="6" t="s">
        <v>560</v>
      </c>
      <c r="B125" s="6" t="s">
        <v>662</v>
      </c>
      <c r="C125" s="23" t="s">
        <v>12</v>
      </c>
      <c r="D125" s="6">
        <v>15</v>
      </c>
      <c r="E125" s="6" t="s">
        <v>724</v>
      </c>
      <c r="F125" s="6">
        <v>0</v>
      </c>
      <c r="G125" s="16">
        <v>95</v>
      </c>
      <c r="H125" s="6">
        <v>80</v>
      </c>
      <c r="I125" s="6">
        <v>35</v>
      </c>
      <c r="J125" s="6">
        <v>8</v>
      </c>
      <c r="K125">
        <v>0</v>
      </c>
      <c r="L125" s="6">
        <v>7</v>
      </c>
      <c r="M125" s="6">
        <v>3</v>
      </c>
      <c r="N125" s="6">
        <v>6.8</v>
      </c>
      <c r="O125" s="6" t="s">
        <v>919</v>
      </c>
      <c r="P125" s="6">
        <f t="shared" si="2"/>
        <v>206</v>
      </c>
      <c r="Q125" s="6">
        <f t="shared" si="3"/>
        <v>191</v>
      </c>
    </row>
    <row r="126" spans="1:17">
      <c r="A126" s="6" t="s">
        <v>560</v>
      </c>
      <c r="B126" s="6" t="s">
        <v>702</v>
      </c>
      <c r="C126" s="23" t="s">
        <v>12</v>
      </c>
      <c r="D126" s="6">
        <v>7</v>
      </c>
      <c r="E126" s="6" t="s">
        <v>724</v>
      </c>
      <c r="F126" s="6">
        <v>0</v>
      </c>
      <c r="G126" s="16">
        <v>60</v>
      </c>
      <c r="H126" s="6">
        <v>0</v>
      </c>
      <c r="I126" s="6">
        <v>26</v>
      </c>
      <c r="J126" s="6">
        <v>2</v>
      </c>
      <c r="K126">
        <v>0</v>
      </c>
      <c r="L126" s="6">
        <v>2</v>
      </c>
      <c r="M126" s="6">
        <v>0</v>
      </c>
      <c r="N126" s="6">
        <v>5.8</v>
      </c>
      <c r="O126" s="6" t="s">
        <v>920</v>
      </c>
      <c r="P126" s="6">
        <f t="shared" si="2"/>
        <v>71</v>
      </c>
      <c r="Q126" s="6">
        <f t="shared" si="3"/>
        <v>64</v>
      </c>
    </row>
    <row r="127" spans="1:17">
      <c r="A127" s="6" t="s">
        <v>560</v>
      </c>
      <c r="B127" s="6" t="s">
        <v>849</v>
      </c>
      <c r="C127" s="23" t="s">
        <v>12</v>
      </c>
      <c r="D127" s="6">
        <v>6</v>
      </c>
      <c r="E127" s="6" t="s">
        <v>724</v>
      </c>
      <c r="F127" s="6">
        <v>0</v>
      </c>
      <c r="G127" s="16">
        <v>40</v>
      </c>
      <c r="H127" s="6">
        <v>0</v>
      </c>
      <c r="I127" s="6">
        <v>15</v>
      </c>
      <c r="J127" s="6">
        <v>1</v>
      </c>
      <c r="K127">
        <v>0</v>
      </c>
      <c r="L127" s="6">
        <v>1</v>
      </c>
      <c r="M127" s="6">
        <v>0</v>
      </c>
      <c r="N127" s="6">
        <v>5.9</v>
      </c>
      <c r="O127" s="6" t="s">
        <v>848</v>
      </c>
      <c r="P127" s="6">
        <f t="shared" si="2"/>
        <v>49</v>
      </c>
      <c r="Q127" s="6">
        <f t="shared" si="3"/>
        <v>43</v>
      </c>
    </row>
    <row r="128" spans="1:17">
      <c r="A128" s="6" t="s">
        <v>560</v>
      </c>
      <c r="B128" s="6" t="s">
        <v>850</v>
      </c>
      <c r="C128" s="23" t="s">
        <v>12</v>
      </c>
      <c r="D128" s="6">
        <v>5</v>
      </c>
      <c r="E128" s="6" t="s">
        <v>724</v>
      </c>
      <c r="F128" s="6">
        <v>0</v>
      </c>
      <c r="G128" s="16">
        <v>20</v>
      </c>
      <c r="H128" s="6">
        <v>0</v>
      </c>
      <c r="I128" s="6">
        <v>10</v>
      </c>
      <c r="J128" s="6">
        <v>0</v>
      </c>
      <c r="K128">
        <v>0</v>
      </c>
      <c r="L128" s="6">
        <v>0</v>
      </c>
      <c r="M128" s="6">
        <v>0</v>
      </c>
      <c r="N128" s="6">
        <v>5.4</v>
      </c>
      <c r="O128" s="6" t="s">
        <v>869</v>
      </c>
      <c r="P128" s="6">
        <f t="shared" si="2"/>
        <v>25</v>
      </c>
      <c r="Q128" s="6">
        <f t="shared" si="3"/>
        <v>20</v>
      </c>
    </row>
    <row r="129" spans="1:17">
      <c r="A129" s="6" t="s">
        <v>560</v>
      </c>
      <c r="B129" s="6" t="s">
        <v>851</v>
      </c>
      <c r="C129" s="23" t="s">
        <v>12</v>
      </c>
      <c r="D129" s="6">
        <v>4</v>
      </c>
      <c r="E129" s="6" t="s">
        <v>724</v>
      </c>
      <c r="F129" s="6">
        <v>0</v>
      </c>
      <c r="G129" s="16">
        <v>15</v>
      </c>
      <c r="H129" s="6">
        <v>0</v>
      </c>
      <c r="I129" s="6">
        <v>8</v>
      </c>
      <c r="J129" s="6">
        <v>0</v>
      </c>
      <c r="K129">
        <v>0</v>
      </c>
      <c r="L129" s="6">
        <v>0</v>
      </c>
      <c r="M129" s="6">
        <v>0</v>
      </c>
      <c r="N129" s="6">
        <v>5.2</v>
      </c>
      <c r="O129" s="6" t="s">
        <v>869</v>
      </c>
      <c r="P129" s="6">
        <f t="shared" si="2"/>
        <v>19</v>
      </c>
      <c r="Q129" s="6">
        <f t="shared" si="3"/>
        <v>15</v>
      </c>
    </row>
    <row r="130" spans="1:17">
      <c r="A130" s="6" t="s">
        <v>560</v>
      </c>
      <c r="B130" s="6" t="s">
        <v>852</v>
      </c>
      <c r="C130" s="23" t="s">
        <v>12</v>
      </c>
      <c r="D130" s="6">
        <v>4</v>
      </c>
      <c r="E130" s="6" t="s">
        <v>724</v>
      </c>
      <c r="F130" s="6">
        <v>0</v>
      </c>
      <c r="G130" s="16">
        <v>10</v>
      </c>
      <c r="H130" s="6">
        <v>0</v>
      </c>
      <c r="I130" s="6">
        <v>6</v>
      </c>
      <c r="J130" s="6">
        <v>0</v>
      </c>
      <c r="K130">
        <v>0</v>
      </c>
      <c r="L130" s="6">
        <v>0</v>
      </c>
      <c r="M130" s="6">
        <v>0</v>
      </c>
      <c r="N130" s="6">
        <v>5.0999999999999996</v>
      </c>
      <c r="O130" s="6" t="s">
        <v>869</v>
      </c>
      <c r="P130" s="6">
        <f t="shared" si="2"/>
        <v>14</v>
      </c>
      <c r="Q130" s="6">
        <f t="shared" si="3"/>
        <v>10</v>
      </c>
    </row>
    <row r="131" spans="1:17">
      <c r="A131" s="6" t="s">
        <v>560</v>
      </c>
      <c r="B131" s="6" t="s">
        <v>561</v>
      </c>
      <c r="C131" s="23" t="s">
        <v>5</v>
      </c>
      <c r="D131" s="6">
        <v>14</v>
      </c>
      <c r="E131" s="6" t="s">
        <v>724</v>
      </c>
      <c r="F131" s="6">
        <v>0</v>
      </c>
      <c r="G131" s="16">
        <v>85</v>
      </c>
      <c r="H131" s="6">
        <v>60</v>
      </c>
      <c r="I131" s="6">
        <v>33</v>
      </c>
      <c r="J131" s="6">
        <v>10</v>
      </c>
      <c r="K131">
        <v>0</v>
      </c>
      <c r="L131" s="6">
        <v>3</v>
      </c>
      <c r="M131" s="6">
        <v>2</v>
      </c>
      <c r="N131" s="6">
        <v>6.5</v>
      </c>
      <c r="O131" s="6" t="s">
        <v>921</v>
      </c>
      <c r="P131" s="6">
        <f t="shared" ref="P131:P179" si="4">INT(G131+IF(I131&gt;0,J131/I131*30,0)+L131+M131+H131+D131-F131-K131)</f>
        <v>173</v>
      </c>
      <c r="Q131" s="6">
        <f t="shared" ref="Q131:Q179" si="5">INT(G131+IF(I131&gt;0,J131/I131*30,0)+L131+M131+H131-F131-K131)</f>
        <v>159</v>
      </c>
    </row>
    <row r="132" spans="1:17">
      <c r="A132" s="6" t="s">
        <v>560</v>
      </c>
      <c r="B132" s="6" t="s">
        <v>669</v>
      </c>
      <c r="C132" s="23" t="s">
        <v>5</v>
      </c>
      <c r="D132" s="6">
        <v>12</v>
      </c>
      <c r="E132" s="6" t="s">
        <v>724</v>
      </c>
      <c r="F132" s="6">
        <v>0</v>
      </c>
      <c r="G132" s="16">
        <v>60</v>
      </c>
      <c r="H132" s="6">
        <v>40</v>
      </c>
      <c r="I132" s="6">
        <v>28</v>
      </c>
      <c r="J132" s="6">
        <v>7</v>
      </c>
      <c r="K132">
        <v>0</v>
      </c>
      <c r="L132" s="6">
        <v>2</v>
      </c>
      <c r="M132" s="6">
        <v>1</v>
      </c>
      <c r="N132" s="6">
        <v>6.1</v>
      </c>
      <c r="O132" s="6" t="s">
        <v>853</v>
      </c>
      <c r="P132" s="6">
        <f t="shared" si="4"/>
        <v>122</v>
      </c>
      <c r="Q132" s="6">
        <f t="shared" si="5"/>
        <v>110</v>
      </c>
    </row>
    <row r="133" spans="1:17">
      <c r="A133" s="6" t="s">
        <v>560</v>
      </c>
      <c r="B133" s="6" t="s">
        <v>853</v>
      </c>
      <c r="C133" s="23" t="s">
        <v>5</v>
      </c>
      <c r="D133" s="6">
        <v>6</v>
      </c>
      <c r="E133" s="6" t="s">
        <v>724</v>
      </c>
      <c r="F133" s="6">
        <v>0</v>
      </c>
      <c r="G133" s="16">
        <v>40</v>
      </c>
      <c r="H133" s="6">
        <v>0</v>
      </c>
      <c r="I133" s="6">
        <v>20</v>
      </c>
      <c r="J133" s="6">
        <v>4</v>
      </c>
      <c r="K133">
        <v>0</v>
      </c>
      <c r="L133" s="6">
        <v>1</v>
      </c>
      <c r="M133" s="6">
        <v>0</v>
      </c>
      <c r="N133" s="6">
        <v>5.9</v>
      </c>
      <c r="O133" s="6" t="s">
        <v>669</v>
      </c>
      <c r="P133" s="6">
        <f t="shared" si="4"/>
        <v>53</v>
      </c>
      <c r="Q133" s="6">
        <f t="shared" si="5"/>
        <v>47</v>
      </c>
    </row>
    <row r="134" spans="1:17">
      <c r="A134" s="6" t="s">
        <v>553</v>
      </c>
      <c r="B134" s="6" t="s">
        <v>686</v>
      </c>
      <c r="C134" s="23" t="s">
        <v>63</v>
      </c>
      <c r="D134" s="6">
        <v>10</v>
      </c>
      <c r="E134" s="6" t="s">
        <v>724</v>
      </c>
      <c r="F134" s="6">
        <v>0</v>
      </c>
      <c r="G134" s="16">
        <v>95</v>
      </c>
      <c r="H134" s="6">
        <v>0</v>
      </c>
      <c r="I134" s="6">
        <v>36</v>
      </c>
      <c r="J134" s="6">
        <v>0</v>
      </c>
      <c r="K134">
        <v>45</v>
      </c>
      <c r="L134" s="6">
        <v>0</v>
      </c>
      <c r="M134" s="6">
        <v>0</v>
      </c>
      <c r="N134" s="6">
        <v>6.1</v>
      </c>
      <c r="O134" s="6" t="s">
        <v>922</v>
      </c>
      <c r="P134" s="6">
        <f t="shared" si="4"/>
        <v>60</v>
      </c>
      <c r="Q134" s="6">
        <f t="shared" si="5"/>
        <v>50</v>
      </c>
    </row>
    <row r="135" spans="1:17">
      <c r="A135" s="6" t="s">
        <v>553</v>
      </c>
      <c r="B135" s="6" t="s">
        <v>922</v>
      </c>
      <c r="C135" s="23" t="s">
        <v>63</v>
      </c>
      <c r="D135" s="6">
        <v>4</v>
      </c>
      <c r="E135" s="6" t="s">
        <v>724</v>
      </c>
      <c r="F135" s="6">
        <v>0</v>
      </c>
      <c r="G135" s="16">
        <v>5</v>
      </c>
      <c r="H135" s="6">
        <v>0</v>
      </c>
      <c r="I135" s="6">
        <v>2</v>
      </c>
      <c r="J135" s="6">
        <v>0</v>
      </c>
      <c r="K135">
        <v>0</v>
      </c>
      <c r="L135" s="6">
        <v>0</v>
      </c>
      <c r="M135" s="6">
        <v>0</v>
      </c>
      <c r="N135" s="6">
        <v>5.5</v>
      </c>
      <c r="O135" s="6" t="s">
        <v>953</v>
      </c>
      <c r="P135" s="6">
        <f t="shared" si="4"/>
        <v>9</v>
      </c>
      <c r="Q135" s="6">
        <f t="shared" si="5"/>
        <v>5</v>
      </c>
    </row>
    <row r="136" spans="1:17">
      <c r="A136" s="6" t="s">
        <v>553</v>
      </c>
      <c r="B136" s="6" t="s">
        <v>924</v>
      </c>
      <c r="C136" s="23" t="s">
        <v>41</v>
      </c>
      <c r="D136" s="6">
        <v>9</v>
      </c>
      <c r="E136" s="6" t="s">
        <v>724</v>
      </c>
      <c r="F136" s="6">
        <v>0</v>
      </c>
      <c r="G136" s="16">
        <v>90</v>
      </c>
      <c r="H136" s="6">
        <v>0</v>
      </c>
      <c r="I136" s="6">
        <v>34</v>
      </c>
      <c r="J136" s="6">
        <v>2</v>
      </c>
      <c r="K136">
        <v>0</v>
      </c>
      <c r="L136" s="6">
        <v>2</v>
      </c>
      <c r="M136" s="6">
        <v>0</v>
      </c>
      <c r="N136" s="6">
        <v>6.2</v>
      </c>
      <c r="O136" s="6" t="s">
        <v>925</v>
      </c>
      <c r="P136" s="6">
        <f t="shared" si="4"/>
        <v>102</v>
      </c>
      <c r="Q136" s="6">
        <f t="shared" si="5"/>
        <v>93</v>
      </c>
    </row>
    <row r="137" spans="1:17">
      <c r="A137" s="6" t="s">
        <v>553</v>
      </c>
      <c r="B137" s="6" t="s">
        <v>925</v>
      </c>
      <c r="C137" s="23" t="s">
        <v>41</v>
      </c>
      <c r="D137" s="6">
        <v>6</v>
      </c>
      <c r="E137" s="6" t="s">
        <v>724</v>
      </c>
      <c r="F137" s="6">
        <v>0</v>
      </c>
      <c r="G137" s="16">
        <v>70</v>
      </c>
      <c r="H137" s="6">
        <v>0</v>
      </c>
      <c r="I137" s="6">
        <v>20</v>
      </c>
      <c r="J137" s="6">
        <v>1</v>
      </c>
      <c r="K137">
        <v>0</v>
      </c>
      <c r="L137" s="6">
        <v>1</v>
      </c>
      <c r="M137" s="6">
        <v>0</v>
      </c>
      <c r="N137" s="6">
        <v>5.9</v>
      </c>
      <c r="O137" s="6" t="s">
        <v>924</v>
      </c>
      <c r="P137" s="6">
        <f t="shared" si="4"/>
        <v>78</v>
      </c>
      <c r="Q137" s="6">
        <f t="shared" si="5"/>
        <v>72</v>
      </c>
    </row>
    <row r="138" spans="1:17">
      <c r="A138" s="6" t="s">
        <v>553</v>
      </c>
      <c r="B138" s="6" t="s">
        <v>688</v>
      </c>
      <c r="C138" s="23" t="s">
        <v>41</v>
      </c>
      <c r="D138" s="6">
        <v>8</v>
      </c>
      <c r="E138" s="6" t="s">
        <v>724</v>
      </c>
      <c r="F138" s="6">
        <v>0</v>
      </c>
      <c r="G138" s="16">
        <v>80</v>
      </c>
      <c r="H138" s="6">
        <v>0</v>
      </c>
      <c r="I138" s="6">
        <v>30</v>
      </c>
      <c r="J138" s="6">
        <v>1</v>
      </c>
      <c r="K138">
        <v>0</v>
      </c>
      <c r="L138" s="6">
        <v>3</v>
      </c>
      <c r="M138" s="6">
        <v>0</v>
      </c>
      <c r="N138" s="6">
        <v>6.3</v>
      </c>
      <c r="O138" s="6" t="s">
        <v>926</v>
      </c>
      <c r="P138" s="6">
        <f t="shared" si="4"/>
        <v>92</v>
      </c>
      <c r="Q138" s="6">
        <f t="shared" si="5"/>
        <v>84</v>
      </c>
    </row>
    <row r="139" spans="1:17">
      <c r="A139" s="6" t="s">
        <v>553</v>
      </c>
      <c r="B139" s="6" t="s">
        <v>926</v>
      </c>
      <c r="C139" s="23" t="s">
        <v>41</v>
      </c>
      <c r="D139" s="6">
        <v>5</v>
      </c>
      <c r="E139" s="6" t="s">
        <v>724</v>
      </c>
      <c r="F139" s="6">
        <v>0</v>
      </c>
      <c r="G139" s="16">
        <v>40</v>
      </c>
      <c r="H139" s="6">
        <v>0</v>
      </c>
      <c r="I139" s="6">
        <v>18</v>
      </c>
      <c r="J139" s="6">
        <v>0</v>
      </c>
      <c r="K139">
        <v>0</v>
      </c>
      <c r="L139" s="6">
        <v>1</v>
      </c>
      <c r="M139" s="6">
        <v>0</v>
      </c>
      <c r="N139" s="6">
        <v>5.8</v>
      </c>
      <c r="O139" s="6" t="s">
        <v>688</v>
      </c>
      <c r="P139" s="6">
        <f t="shared" si="4"/>
        <v>46</v>
      </c>
      <c r="Q139" s="6">
        <f t="shared" si="5"/>
        <v>41</v>
      </c>
    </row>
    <row r="140" spans="1:17">
      <c r="A140" s="6" t="s">
        <v>553</v>
      </c>
      <c r="B140" s="6" t="s">
        <v>687</v>
      </c>
      <c r="C140" s="23" t="s">
        <v>41</v>
      </c>
      <c r="D140" s="6">
        <v>7</v>
      </c>
      <c r="E140" s="6" t="s">
        <v>724</v>
      </c>
      <c r="F140" s="6">
        <v>0</v>
      </c>
      <c r="G140" s="16">
        <v>85</v>
      </c>
      <c r="H140" s="6">
        <v>0</v>
      </c>
      <c r="I140" s="6">
        <v>32</v>
      </c>
      <c r="J140" s="6">
        <v>0</v>
      </c>
      <c r="K140">
        <v>0</v>
      </c>
      <c r="L140" s="6">
        <v>2</v>
      </c>
      <c r="M140" s="6">
        <v>0</v>
      </c>
      <c r="N140" s="6">
        <v>6</v>
      </c>
      <c r="O140" s="6" t="s">
        <v>723</v>
      </c>
      <c r="P140" s="6">
        <f t="shared" si="4"/>
        <v>94</v>
      </c>
      <c r="Q140" s="6">
        <f t="shared" si="5"/>
        <v>87</v>
      </c>
    </row>
    <row r="141" spans="1:17">
      <c r="A141" s="6" t="s">
        <v>553</v>
      </c>
      <c r="B141" s="6" t="s">
        <v>723</v>
      </c>
      <c r="C141" s="23" t="s">
        <v>41</v>
      </c>
      <c r="D141" s="6">
        <v>3</v>
      </c>
      <c r="E141" s="6" t="s">
        <v>724</v>
      </c>
      <c r="F141" s="6">
        <v>0</v>
      </c>
      <c r="G141" s="16">
        <v>10</v>
      </c>
      <c r="H141" s="6">
        <v>0</v>
      </c>
      <c r="I141" s="6">
        <v>6</v>
      </c>
      <c r="J141" s="6">
        <v>0</v>
      </c>
      <c r="K141">
        <v>0</v>
      </c>
      <c r="L141" s="6">
        <v>0</v>
      </c>
      <c r="M141" s="6">
        <v>0</v>
      </c>
      <c r="N141" s="6">
        <v>5.4</v>
      </c>
      <c r="O141" s="6" t="s">
        <v>869</v>
      </c>
      <c r="P141" s="6">
        <f t="shared" si="4"/>
        <v>13</v>
      </c>
      <c r="Q141" s="6">
        <f t="shared" si="5"/>
        <v>10</v>
      </c>
    </row>
    <row r="142" spans="1:17">
      <c r="A142" s="6" t="s">
        <v>553</v>
      </c>
      <c r="B142" s="6" t="s">
        <v>927</v>
      </c>
      <c r="C142" s="23" t="s">
        <v>41</v>
      </c>
      <c r="D142" s="6">
        <v>7</v>
      </c>
      <c r="E142" s="6" t="s">
        <v>724</v>
      </c>
      <c r="F142" s="6">
        <v>0</v>
      </c>
      <c r="G142" s="16">
        <v>75</v>
      </c>
      <c r="H142" s="6">
        <v>0</v>
      </c>
      <c r="I142" s="6">
        <v>28</v>
      </c>
      <c r="J142" s="6">
        <v>1</v>
      </c>
      <c r="K142">
        <v>0</v>
      </c>
      <c r="L142" s="6">
        <v>2</v>
      </c>
      <c r="M142" s="6">
        <v>0</v>
      </c>
      <c r="N142" s="6">
        <v>6.1</v>
      </c>
      <c r="O142" s="6" t="s">
        <v>928</v>
      </c>
      <c r="P142" s="6">
        <f t="shared" si="4"/>
        <v>85</v>
      </c>
      <c r="Q142" s="6">
        <f t="shared" si="5"/>
        <v>78</v>
      </c>
    </row>
    <row r="143" spans="1:17">
      <c r="A143" s="6" t="s">
        <v>553</v>
      </c>
      <c r="B143" s="6" t="s">
        <v>928</v>
      </c>
      <c r="C143" s="23" t="s">
        <v>41</v>
      </c>
      <c r="D143" s="6">
        <v>6</v>
      </c>
      <c r="E143" s="6" t="s">
        <v>724</v>
      </c>
      <c r="F143" s="6">
        <v>0</v>
      </c>
      <c r="G143" s="16">
        <v>60</v>
      </c>
      <c r="H143" s="6">
        <v>0</v>
      </c>
      <c r="I143" s="6">
        <v>25</v>
      </c>
      <c r="J143" s="6">
        <v>0</v>
      </c>
      <c r="K143">
        <v>0</v>
      </c>
      <c r="L143" s="6">
        <v>1</v>
      </c>
      <c r="M143" s="6">
        <v>0</v>
      </c>
      <c r="N143" s="6">
        <v>5.9</v>
      </c>
      <c r="O143" s="6" t="s">
        <v>927</v>
      </c>
      <c r="P143" s="6">
        <f t="shared" si="4"/>
        <v>67</v>
      </c>
      <c r="Q143" s="6">
        <f t="shared" si="5"/>
        <v>61</v>
      </c>
    </row>
    <row r="144" spans="1:17">
      <c r="A144" s="6" t="s">
        <v>553</v>
      </c>
      <c r="B144" s="6" t="s">
        <v>689</v>
      </c>
      <c r="C144" s="23" t="s">
        <v>12</v>
      </c>
      <c r="D144" s="6">
        <v>10</v>
      </c>
      <c r="E144" s="6" t="s">
        <v>724</v>
      </c>
      <c r="F144" s="6">
        <v>0</v>
      </c>
      <c r="G144" s="16">
        <v>90</v>
      </c>
      <c r="H144" s="6">
        <v>20</v>
      </c>
      <c r="I144" s="6">
        <v>35</v>
      </c>
      <c r="J144" s="6">
        <v>2</v>
      </c>
      <c r="K144">
        <v>0</v>
      </c>
      <c r="L144" s="6">
        <v>4</v>
      </c>
      <c r="M144" s="6">
        <v>1</v>
      </c>
      <c r="N144" s="6">
        <v>6.4</v>
      </c>
      <c r="O144" s="6" t="s">
        <v>929</v>
      </c>
      <c r="P144" s="6">
        <f t="shared" si="4"/>
        <v>126</v>
      </c>
      <c r="Q144" s="6">
        <f t="shared" si="5"/>
        <v>116</v>
      </c>
    </row>
    <row r="145" spans="1:17">
      <c r="A145" s="6" t="s">
        <v>553</v>
      </c>
      <c r="B145" s="6" t="s">
        <v>674</v>
      </c>
      <c r="C145" s="23" t="s">
        <v>12</v>
      </c>
      <c r="D145" s="6">
        <v>12</v>
      </c>
      <c r="E145" s="6" t="s">
        <v>724</v>
      </c>
      <c r="F145" s="6">
        <v>0</v>
      </c>
      <c r="G145" s="16">
        <v>85</v>
      </c>
      <c r="H145" s="6">
        <v>30</v>
      </c>
      <c r="I145" s="6">
        <v>34</v>
      </c>
      <c r="J145" s="6">
        <v>5</v>
      </c>
      <c r="K145">
        <v>0</v>
      </c>
      <c r="L145" s="6">
        <v>6</v>
      </c>
      <c r="M145" s="6">
        <v>2</v>
      </c>
      <c r="N145" s="6">
        <v>6.6</v>
      </c>
      <c r="O145" s="6" t="s">
        <v>930</v>
      </c>
      <c r="P145" s="6">
        <f t="shared" si="4"/>
        <v>139</v>
      </c>
      <c r="Q145" s="6">
        <f t="shared" si="5"/>
        <v>127</v>
      </c>
    </row>
    <row r="146" spans="1:17">
      <c r="A146" s="6" t="s">
        <v>553</v>
      </c>
      <c r="B146" s="6" t="s">
        <v>930</v>
      </c>
      <c r="C146" s="23" t="s">
        <v>12</v>
      </c>
      <c r="D146" s="6">
        <v>9</v>
      </c>
      <c r="E146" s="6" t="s">
        <v>724</v>
      </c>
      <c r="F146" s="6">
        <v>0</v>
      </c>
      <c r="G146" s="16">
        <v>60</v>
      </c>
      <c r="H146" s="6">
        <v>0</v>
      </c>
      <c r="I146" s="6">
        <v>26</v>
      </c>
      <c r="J146" s="6">
        <v>2</v>
      </c>
      <c r="K146">
        <v>0</v>
      </c>
      <c r="L146" s="6">
        <v>3</v>
      </c>
      <c r="M146" s="6">
        <v>0</v>
      </c>
      <c r="N146" s="6">
        <v>6</v>
      </c>
      <c r="O146" s="6" t="s">
        <v>674</v>
      </c>
      <c r="P146" s="6">
        <f t="shared" si="4"/>
        <v>74</v>
      </c>
      <c r="Q146" s="6">
        <f t="shared" si="5"/>
        <v>65</v>
      </c>
    </row>
    <row r="147" spans="1:17">
      <c r="A147" s="6" t="s">
        <v>553</v>
      </c>
      <c r="B147" s="6" t="s">
        <v>931</v>
      </c>
      <c r="C147" s="23" t="s">
        <v>12</v>
      </c>
      <c r="D147" s="6">
        <v>8</v>
      </c>
      <c r="E147" s="6" t="s">
        <v>724</v>
      </c>
      <c r="F147" s="6">
        <v>0</v>
      </c>
      <c r="G147" s="16">
        <v>70</v>
      </c>
      <c r="H147" s="6">
        <v>0</v>
      </c>
      <c r="I147" s="6">
        <v>30</v>
      </c>
      <c r="J147" s="6">
        <v>1</v>
      </c>
      <c r="K147">
        <v>0</v>
      </c>
      <c r="L147" s="6">
        <v>2</v>
      </c>
      <c r="M147" s="6">
        <v>0</v>
      </c>
      <c r="N147" s="6">
        <v>5.9</v>
      </c>
      <c r="O147" s="6" t="s">
        <v>932</v>
      </c>
      <c r="P147" s="6">
        <f t="shared" si="4"/>
        <v>81</v>
      </c>
      <c r="Q147" s="6">
        <f t="shared" si="5"/>
        <v>73</v>
      </c>
    </row>
    <row r="148" spans="1:17">
      <c r="A148" s="6" t="s">
        <v>553</v>
      </c>
      <c r="B148" s="6" t="s">
        <v>932</v>
      </c>
      <c r="C148" s="23" t="s">
        <v>12</v>
      </c>
      <c r="D148" s="6">
        <v>5</v>
      </c>
      <c r="E148" s="6" t="s">
        <v>724</v>
      </c>
      <c r="F148" s="6">
        <v>0</v>
      </c>
      <c r="G148" s="16">
        <v>40</v>
      </c>
      <c r="H148" s="6">
        <v>0</v>
      </c>
      <c r="I148" s="6">
        <v>18</v>
      </c>
      <c r="J148" s="6">
        <v>0</v>
      </c>
      <c r="K148">
        <v>0</v>
      </c>
      <c r="L148" s="6">
        <v>1</v>
      </c>
      <c r="M148" s="6">
        <v>0</v>
      </c>
      <c r="N148" s="6">
        <v>5.6</v>
      </c>
      <c r="O148" s="6" t="s">
        <v>931</v>
      </c>
      <c r="P148" s="6">
        <f t="shared" si="4"/>
        <v>46</v>
      </c>
      <c r="Q148" s="6">
        <f t="shared" si="5"/>
        <v>41</v>
      </c>
    </row>
    <row r="149" spans="1:17">
      <c r="A149" s="6" t="s">
        <v>553</v>
      </c>
      <c r="B149" s="6" t="s">
        <v>690</v>
      </c>
      <c r="C149" s="23" t="s">
        <v>12</v>
      </c>
      <c r="D149" s="6">
        <v>7</v>
      </c>
      <c r="E149" s="6" t="s">
        <v>724</v>
      </c>
      <c r="F149" s="6">
        <v>0</v>
      </c>
      <c r="G149" s="16">
        <v>75</v>
      </c>
      <c r="H149" s="6">
        <v>10</v>
      </c>
      <c r="I149" s="6">
        <v>30</v>
      </c>
      <c r="J149" s="6">
        <v>4</v>
      </c>
      <c r="K149">
        <v>0</v>
      </c>
      <c r="L149" s="6">
        <v>3</v>
      </c>
      <c r="M149" s="6">
        <v>1</v>
      </c>
      <c r="N149" s="6">
        <v>6.2</v>
      </c>
      <c r="O149" s="6" t="s">
        <v>933</v>
      </c>
      <c r="P149" s="6">
        <f t="shared" si="4"/>
        <v>100</v>
      </c>
      <c r="Q149" s="6">
        <f t="shared" si="5"/>
        <v>93</v>
      </c>
    </row>
    <row r="150" spans="1:17">
      <c r="A150" s="6" t="s">
        <v>553</v>
      </c>
      <c r="B150" s="6" t="s">
        <v>933</v>
      </c>
      <c r="C150" s="23" t="s">
        <v>12</v>
      </c>
      <c r="D150" s="6">
        <v>6</v>
      </c>
      <c r="E150" s="6" t="s">
        <v>724</v>
      </c>
      <c r="F150" s="6">
        <v>0</v>
      </c>
      <c r="G150" s="16">
        <v>60</v>
      </c>
      <c r="H150" s="6">
        <v>0</v>
      </c>
      <c r="I150" s="6">
        <v>22</v>
      </c>
      <c r="J150" s="6">
        <v>2</v>
      </c>
      <c r="K150">
        <v>0</v>
      </c>
      <c r="L150" s="6">
        <v>2</v>
      </c>
      <c r="M150" s="6">
        <v>0</v>
      </c>
      <c r="N150" s="6">
        <v>5.8</v>
      </c>
      <c r="O150" s="6" t="s">
        <v>690</v>
      </c>
      <c r="P150" s="6">
        <f t="shared" si="4"/>
        <v>70</v>
      </c>
      <c r="Q150" s="6">
        <f t="shared" si="5"/>
        <v>64</v>
      </c>
    </row>
    <row r="151" spans="1:17">
      <c r="A151" s="6" t="s">
        <v>553</v>
      </c>
      <c r="B151" s="6" t="s">
        <v>934</v>
      </c>
      <c r="C151" s="23" t="s">
        <v>12</v>
      </c>
      <c r="D151" s="6">
        <v>8</v>
      </c>
      <c r="E151" s="6" t="s">
        <v>724</v>
      </c>
      <c r="F151" s="6">
        <v>0</v>
      </c>
      <c r="G151" s="16">
        <v>70</v>
      </c>
      <c r="H151" s="6">
        <v>0</v>
      </c>
      <c r="I151" s="6">
        <v>28</v>
      </c>
      <c r="J151" s="6">
        <v>3</v>
      </c>
      <c r="K151">
        <v>0</v>
      </c>
      <c r="L151" s="6">
        <v>3</v>
      </c>
      <c r="M151" s="6">
        <v>0</v>
      </c>
      <c r="N151" s="6">
        <v>6</v>
      </c>
      <c r="O151" s="6" t="s">
        <v>935</v>
      </c>
      <c r="P151" s="6">
        <f t="shared" si="4"/>
        <v>84</v>
      </c>
      <c r="Q151" s="6">
        <f t="shared" si="5"/>
        <v>76</v>
      </c>
    </row>
    <row r="152" spans="1:17">
      <c r="A152" t="s">
        <v>553</v>
      </c>
      <c r="B152" t="s">
        <v>935</v>
      </c>
      <c r="C152" s="24" t="s">
        <v>12</v>
      </c>
      <c r="D152">
        <v>6</v>
      </c>
      <c r="E152" s="6" t="s">
        <v>724</v>
      </c>
      <c r="F152">
        <v>0</v>
      </c>
      <c r="G152" s="16">
        <v>50</v>
      </c>
      <c r="H152">
        <v>0</v>
      </c>
      <c r="I152">
        <v>20</v>
      </c>
      <c r="J152">
        <v>1</v>
      </c>
      <c r="K152">
        <v>0</v>
      </c>
      <c r="L152">
        <v>1</v>
      </c>
      <c r="M152">
        <v>0</v>
      </c>
      <c r="N152">
        <v>5.7</v>
      </c>
      <c r="O152" t="s">
        <v>934</v>
      </c>
      <c r="P152" s="6">
        <f t="shared" si="4"/>
        <v>58</v>
      </c>
      <c r="Q152" s="6">
        <f t="shared" si="5"/>
        <v>52</v>
      </c>
    </row>
    <row r="153" spans="1:17">
      <c r="A153" t="s">
        <v>553</v>
      </c>
      <c r="B153" t="s">
        <v>667</v>
      </c>
      <c r="C153" s="24" t="s">
        <v>5</v>
      </c>
      <c r="D153">
        <v>13</v>
      </c>
      <c r="E153" s="6" t="s">
        <v>724</v>
      </c>
      <c r="F153">
        <v>0</v>
      </c>
      <c r="G153" s="16">
        <v>90</v>
      </c>
      <c r="H153">
        <v>40</v>
      </c>
      <c r="I153">
        <v>36</v>
      </c>
      <c r="J153">
        <v>10</v>
      </c>
      <c r="K153">
        <v>0</v>
      </c>
      <c r="L153">
        <v>5</v>
      </c>
      <c r="M153">
        <v>2</v>
      </c>
      <c r="N153">
        <v>6.5</v>
      </c>
      <c r="O153" t="s">
        <v>660</v>
      </c>
      <c r="P153" s="6">
        <f t="shared" si="4"/>
        <v>158</v>
      </c>
      <c r="Q153" s="6">
        <f t="shared" si="5"/>
        <v>145</v>
      </c>
    </row>
    <row r="154" spans="1:17">
      <c r="A154" t="s">
        <v>553</v>
      </c>
      <c r="B154" t="s">
        <v>660</v>
      </c>
      <c r="C154" s="24" t="s">
        <v>5</v>
      </c>
      <c r="D154">
        <v>9</v>
      </c>
      <c r="E154" s="6" t="s">
        <v>724</v>
      </c>
      <c r="F154">
        <v>0</v>
      </c>
      <c r="G154" s="16">
        <v>60</v>
      </c>
      <c r="H154">
        <v>20</v>
      </c>
      <c r="I154">
        <v>26</v>
      </c>
      <c r="J154">
        <v>4</v>
      </c>
      <c r="K154">
        <v>0</v>
      </c>
      <c r="L154">
        <v>2</v>
      </c>
      <c r="M154">
        <v>1</v>
      </c>
      <c r="N154">
        <v>6</v>
      </c>
      <c r="O154" t="s">
        <v>667</v>
      </c>
      <c r="P154" s="6">
        <f t="shared" si="4"/>
        <v>96</v>
      </c>
      <c r="Q154" s="6">
        <f t="shared" si="5"/>
        <v>87</v>
      </c>
    </row>
    <row r="155" spans="1:17">
      <c r="A155" t="s">
        <v>553</v>
      </c>
      <c r="B155" t="s">
        <v>691</v>
      </c>
      <c r="C155" s="24" t="s">
        <v>5</v>
      </c>
      <c r="D155">
        <v>14</v>
      </c>
      <c r="E155" s="6" t="s">
        <v>724</v>
      </c>
      <c r="F155">
        <v>0</v>
      </c>
      <c r="G155" s="16">
        <v>85</v>
      </c>
      <c r="H155">
        <v>30</v>
      </c>
      <c r="I155">
        <v>34</v>
      </c>
      <c r="J155">
        <v>9</v>
      </c>
      <c r="K155">
        <v>0</v>
      </c>
      <c r="L155">
        <v>4</v>
      </c>
      <c r="M155">
        <v>2</v>
      </c>
      <c r="N155">
        <v>6.4</v>
      </c>
      <c r="O155" t="s">
        <v>936</v>
      </c>
      <c r="P155" s="6">
        <f t="shared" si="4"/>
        <v>142</v>
      </c>
      <c r="Q155" s="6">
        <f t="shared" si="5"/>
        <v>128</v>
      </c>
    </row>
    <row r="156" spans="1:17">
      <c r="A156" t="s">
        <v>553</v>
      </c>
      <c r="B156" t="s">
        <v>936</v>
      </c>
      <c r="C156" s="24" t="s">
        <v>5</v>
      </c>
      <c r="D156">
        <v>11</v>
      </c>
      <c r="E156" s="6" t="s">
        <v>724</v>
      </c>
      <c r="F156">
        <v>0</v>
      </c>
      <c r="G156" s="16">
        <v>70</v>
      </c>
      <c r="H156">
        <v>10</v>
      </c>
      <c r="I156">
        <v>28</v>
      </c>
      <c r="J156">
        <v>6</v>
      </c>
      <c r="K156">
        <v>0</v>
      </c>
      <c r="L156">
        <v>2</v>
      </c>
      <c r="M156">
        <v>1</v>
      </c>
      <c r="N156">
        <v>6.1</v>
      </c>
      <c r="O156" t="s">
        <v>691</v>
      </c>
      <c r="P156" s="6">
        <f t="shared" si="4"/>
        <v>100</v>
      </c>
      <c r="Q156" s="6">
        <f t="shared" si="5"/>
        <v>89</v>
      </c>
    </row>
    <row r="157" spans="1:17">
      <c r="A157" t="s">
        <v>553</v>
      </c>
      <c r="B157" t="s">
        <v>554</v>
      </c>
      <c r="C157" s="24" t="s">
        <v>5</v>
      </c>
      <c r="D157">
        <v>10</v>
      </c>
      <c r="E157" s="6" t="s">
        <v>724</v>
      </c>
      <c r="F157">
        <v>0</v>
      </c>
      <c r="G157" s="16">
        <v>50</v>
      </c>
      <c r="H157">
        <v>50</v>
      </c>
      <c r="I157">
        <v>22</v>
      </c>
      <c r="J157">
        <v>5</v>
      </c>
      <c r="K157">
        <v>0</v>
      </c>
      <c r="L157">
        <v>1</v>
      </c>
      <c r="M157">
        <v>2</v>
      </c>
      <c r="N157">
        <v>5.9</v>
      </c>
      <c r="O157" t="s">
        <v>691</v>
      </c>
      <c r="P157" s="6">
        <f t="shared" si="4"/>
        <v>119</v>
      </c>
      <c r="Q157" s="6">
        <f t="shared" si="5"/>
        <v>109</v>
      </c>
    </row>
    <row r="158" spans="1:17">
      <c r="A158" t="s">
        <v>555</v>
      </c>
      <c r="B158" t="s">
        <v>692</v>
      </c>
      <c r="C158" s="24" t="s">
        <v>63</v>
      </c>
      <c r="D158">
        <v>9</v>
      </c>
      <c r="E158" s="6" t="s">
        <v>724</v>
      </c>
      <c r="F158">
        <v>0</v>
      </c>
      <c r="G158" s="16">
        <v>90</v>
      </c>
      <c r="H158">
        <v>0</v>
      </c>
      <c r="I158">
        <v>35</v>
      </c>
      <c r="J158">
        <v>0</v>
      </c>
      <c r="K158">
        <v>42</v>
      </c>
      <c r="L158">
        <v>0</v>
      </c>
      <c r="M158">
        <v>0</v>
      </c>
      <c r="N158">
        <v>6.1</v>
      </c>
      <c r="O158" t="s">
        <v>937</v>
      </c>
      <c r="P158" s="6">
        <f t="shared" si="4"/>
        <v>57</v>
      </c>
      <c r="Q158" s="6">
        <f t="shared" si="5"/>
        <v>48</v>
      </c>
    </row>
    <row r="159" spans="1:17">
      <c r="A159" t="s">
        <v>555</v>
      </c>
      <c r="B159" t="s">
        <v>937</v>
      </c>
      <c r="C159" s="24" t="s">
        <v>63</v>
      </c>
      <c r="D159">
        <v>4</v>
      </c>
      <c r="E159" s="6" t="s">
        <v>724</v>
      </c>
      <c r="F159">
        <v>0</v>
      </c>
      <c r="G159" s="16">
        <v>10</v>
      </c>
      <c r="H159">
        <v>0</v>
      </c>
      <c r="I159">
        <v>5</v>
      </c>
      <c r="J159">
        <v>0</v>
      </c>
      <c r="K159">
        <v>0</v>
      </c>
      <c r="L159">
        <v>0</v>
      </c>
      <c r="M159">
        <v>0</v>
      </c>
      <c r="N159">
        <v>5.4</v>
      </c>
      <c r="O159" t="s">
        <v>923</v>
      </c>
      <c r="P159" s="6">
        <f t="shared" si="4"/>
        <v>14</v>
      </c>
      <c r="Q159" s="6">
        <f t="shared" si="5"/>
        <v>10</v>
      </c>
    </row>
    <row r="160" spans="1:17">
      <c r="A160" t="s">
        <v>555</v>
      </c>
      <c r="B160" t="s">
        <v>693</v>
      </c>
      <c r="C160" s="24" t="s">
        <v>41</v>
      </c>
      <c r="D160">
        <v>7</v>
      </c>
      <c r="E160" s="6" t="s">
        <v>724</v>
      </c>
      <c r="F160">
        <v>0</v>
      </c>
      <c r="G160" s="16">
        <v>70</v>
      </c>
      <c r="H160">
        <v>0</v>
      </c>
      <c r="I160">
        <v>30</v>
      </c>
      <c r="J160">
        <v>1</v>
      </c>
      <c r="K160">
        <v>0</v>
      </c>
      <c r="L160">
        <v>2</v>
      </c>
      <c r="M160">
        <v>0</v>
      </c>
      <c r="N160">
        <v>5.9</v>
      </c>
      <c r="O160" t="s">
        <v>938</v>
      </c>
      <c r="P160" s="6">
        <f t="shared" si="4"/>
        <v>80</v>
      </c>
      <c r="Q160" s="6">
        <f t="shared" si="5"/>
        <v>73</v>
      </c>
    </row>
    <row r="161" spans="1:17">
      <c r="A161" t="s">
        <v>555</v>
      </c>
      <c r="B161" t="s">
        <v>939</v>
      </c>
      <c r="C161" s="24" t="s">
        <v>41</v>
      </c>
      <c r="D161">
        <v>4</v>
      </c>
      <c r="E161" s="6" t="s">
        <v>724</v>
      </c>
      <c r="F161">
        <v>0</v>
      </c>
      <c r="G161" s="16">
        <v>30</v>
      </c>
      <c r="H161">
        <v>0</v>
      </c>
      <c r="I161">
        <v>18</v>
      </c>
      <c r="J161">
        <v>0</v>
      </c>
      <c r="K161">
        <v>0</v>
      </c>
      <c r="L161">
        <v>1</v>
      </c>
      <c r="M161">
        <v>0</v>
      </c>
      <c r="N161">
        <v>5.6</v>
      </c>
      <c r="O161" t="s">
        <v>693</v>
      </c>
      <c r="P161" s="6">
        <f t="shared" si="4"/>
        <v>35</v>
      </c>
      <c r="Q161" s="6">
        <f t="shared" si="5"/>
        <v>31</v>
      </c>
    </row>
    <row r="162" spans="1:17">
      <c r="A162" t="s">
        <v>555</v>
      </c>
      <c r="B162" t="s">
        <v>668</v>
      </c>
      <c r="C162" s="24" t="s">
        <v>41</v>
      </c>
      <c r="D162">
        <v>8</v>
      </c>
      <c r="E162" s="6" t="s">
        <v>724</v>
      </c>
      <c r="F162">
        <v>0</v>
      </c>
      <c r="G162" s="16">
        <v>85</v>
      </c>
      <c r="H162">
        <v>0</v>
      </c>
      <c r="I162">
        <v>32</v>
      </c>
      <c r="J162">
        <v>2</v>
      </c>
      <c r="K162">
        <v>0</v>
      </c>
      <c r="L162">
        <v>2</v>
      </c>
      <c r="M162">
        <v>0</v>
      </c>
      <c r="N162">
        <v>6.2</v>
      </c>
      <c r="O162" t="s">
        <v>694</v>
      </c>
      <c r="P162" s="6">
        <f t="shared" si="4"/>
        <v>96</v>
      </c>
      <c r="Q162" s="6">
        <f t="shared" si="5"/>
        <v>88</v>
      </c>
    </row>
    <row r="163" spans="1:17">
      <c r="A163" t="s">
        <v>555</v>
      </c>
      <c r="B163" t="s">
        <v>694</v>
      </c>
      <c r="C163" s="24" t="s">
        <v>41</v>
      </c>
      <c r="D163">
        <v>7</v>
      </c>
      <c r="E163" s="6" t="s">
        <v>724</v>
      </c>
      <c r="F163">
        <v>0</v>
      </c>
      <c r="G163" s="16">
        <v>80</v>
      </c>
      <c r="H163">
        <v>0</v>
      </c>
      <c r="I163">
        <v>30</v>
      </c>
      <c r="J163">
        <v>1</v>
      </c>
      <c r="K163">
        <v>0</v>
      </c>
      <c r="L163">
        <v>2</v>
      </c>
      <c r="M163">
        <v>0</v>
      </c>
      <c r="N163">
        <v>6</v>
      </c>
      <c r="O163" t="s">
        <v>668</v>
      </c>
      <c r="P163" s="6">
        <f t="shared" si="4"/>
        <v>90</v>
      </c>
      <c r="Q163" s="6">
        <f t="shared" si="5"/>
        <v>83</v>
      </c>
    </row>
    <row r="164" spans="1:17">
      <c r="A164" t="s">
        <v>555</v>
      </c>
      <c r="B164" t="s">
        <v>695</v>
      </c>
      <c r="C164" s="24" t="s">
        <v>41</v>
      </c>
      <c r="D164">
        <v>5</v>
      </c>
      <c r="E164" s="6" t="s">
        <v>724</v>
      </c>
      <c r="F164">
        <v>0</v>
      </c>
      <c r="G164" s="16">
        <v>51</v>
      </c>
      <c r="H164">
        <v>0</v>
      </c>
      <c r="I164">
        <v>20</v>
      </c>
      <c r="J164">
        <v>0</v>
      </c>
      <c r="K164">
        <v>0</v>
      </c>
      <c r="L164">
        <v>1</v>
      </c>
      <c r="M164">
        <v>0</v>
      </c>
      <c r="N164">
        <v>5.7</v>
      </c>
      <c r="O164" t="s">
        <v>940</v>
      </c>
      <c r="P164" s="6">
        <f t="shared" si="4"/>
        <v>57</v>
      </c>
      <c r="Q164" s="6">
        <f t="shared" si="5"/>
        <v>52</v>
      </c>
    </row>
    <row r="165" spans="1:17">
      <c r="A165" t="s">
        <v>555</v>
      </c>
      <c r="B165" t="s">
        <v>941</v>
      </c>
      <c r="C165" s="24" t="s">
        <v>41</v>
      </c>
      <c r="D165">
        <v>5</v>
      </c>
      <c r="E165" s="6" t="s">
        <v>724</v>
      </c>
      <c r="F165">
        <v>0</v>
      </c>
      <c r="G165" s="16">
        <v>49</v>
      </c>
      <c r="H165">
        <v>0</v>
      </c>
      <c r="I165">
        <v>18</v>
      </c>
      <c r="J165">
        <v>0</v>
      </c>
      <c r="K165">
        <v>0</v>
      </c>
      <c r="L165">
        <v>0</v>
      </c>
      <c r="M165">
        <v>0</v>
      </c>
      <c r="N165">
        <v>5.5</v>
      </c>
      <c r="O165" t="s">
        <v>695</v>
      </c>
      <c r="P165" s="6">
        <f t="shared" si="4"/>
        <v>54</v>
      </c>
      <c r="Q165" s="6">
        <f t="shared" si="5"/>
        <v>49</v>
      </c>
    </row>
    <row r="166" spans="1:17">
      <c r="A166" t="s">
        <v>555</v>
      </c>
      <c r="B166" t="s">
        <v>942</v>
      </c>
      <c r="C166" s="24" t="s">
        <v>41</v>
      </c>
      <c r="D166">
        <v>6</v>
      </c>
      <c r="E166" s="6" t="s">
        <v>724</v>
      </c>
      <c r="F166">
        <v>0</v>
      </c>
      <c r="G166" s="16">
        <v>40</v>
      </c>
      <c r="H166">
        <v>0</v>
      </c>
      <c r="I166">
        <v>22</v>
      </c>
      <c r="J166">
        <v>0</v>
      </c>
      <c r="K166">
        <v>0</v>
      </c>
      <c r="L166">
        <v>1</v>
      </c>
      <c r="M166">
        <v>0</v>
      </c>
      <c r="N166">
        <v>5.8</v>
      </c>
      <c r="O166" t="s">
        <v>943</v>
      </c>
      <c r="P166" s="6">
        <f t="shared" si="4"/>
        <v>47</v>
      </c>
      <c r="Q166" s="6">
        <f t="shared" si="5"/>
        <v>41</v>
      </c>
    </row>
    <row r="167" spans="1:17">
      <c r="A167" t="s">
        <v>555</v>
      </c>
      <c r="B167" t="s">
        <v>944</v>
      </c>
      <c r="C167" s="24" t="s">
        <v>41</v>
      </c>
      <c r="D167">
        <v>3</v>
      </c>
      <c r="E167" s="6" t="s">
        <v>724</v>
      </c>
      <c r="F167">
        <v>0</v>
      </c>
      <c r="G167" s="16">
        <v>20</v>
      </c>
      <c r="H167">
        <v>0</v>
      </c>
      <c r="I167">
        <v>10</v>
      </c>
      <c r="J167">
        <v>0</v>
      </c>
      <c r="K167">
        <v>0</v>
      </c>
      <c r="L167">
        <v>0</v>
      </c>
      <c r="M167">
        <v>0</v>
      </c>
      <c r="N167">
        <v>5.3</v>
      </c>
      <c r="O167" t="s">
        <v>869</v>
      </c>
      <c r="P167" s="6">
        <f t="shared" si="4"/>
        <v>23</v>
      </c>
      <c r="Q167" s="6">
        <f t="shared" si="5"/>
        <v>20</v>
      </c>
    </row>
    <row r="168" spans="1:17">
      <c r="A168" t="s">
        <v>555</v>
      </c>
      <c r="B168" t="s">
        <v>697</v>
      </c>
      <c r="C168" s="24" t="s">
        <v>12</v>
      </c>
      <c r="D168">
        <v>6</v>
      </c>
      <c r="E168" s="6" t="s">
        <v>724</v>
      </c>
      <c r="F168">
        <v>0</v>
      </c>
      <c r="G168" s="16">
        <v>65</v>
      </c>
      <c r="H168">
        <v>0</v>
      </c>
      <c r="I168">
        <v>28</v>
      </c>
      <c r="J168">
        <v>1</v>
      </c>
      <c r="K168">
        <v>0</v>
      </c>
      <c r="L168">
        <v>2</v>
      </c>
      <c r="M168">
        <v>0</v>
      </c>
      <c r="N168">
        <v>5.9</v>
      </c>
      <c r="O168" t="s">
        <v>945</v>
      </c>
      <c r="P168" s="6">
        <f t="shared" si="4"/>
        <v>74</v>
      </c>
      <c r="Q168" s="6">
        <f t="shared" si="5"/>
        <v>68</v>
      </c>
    </row>
    <row r="169" spans="1:17">
      <c r="A169" t="s">
        <v>555</v>
      </c>
      <c r="B169" t="s">
        <v>696</v>
      </c>
      <c r="C169" s="24" t="s">
        <v>12</v>
      </c>
      <c r="D169">
        <v>7</v>
      </c>
      <c r="E169" s="6" t="s">
        <v>724</v>
      </c>
      <c r="F169">
        <v>0</v>
      </c>
      <c r="G169" s="16">
        <v>55</v>
      </c>
      <c r="H169">
        <v>0</v>
      </c>
      <c r="I169">
        <v>26</v>
      </c>
      <c r="J169">
        <v>2</v>
      </c>
      <c r="K169">
        <v>0</v>
      </c>
      <c r="L169">
        <v>3</v>
      </c>
      <c r="M169">
        <v>0</v>
      </c>
      <c r="N169">
        <v>6</v>
      </c>
      <c r="O169" t="s">
        <v>946</v>
      </c>
      <c r="P169" s="6">
        <f t="shared" si="4"/>
        <v>67</v>
      </c>
      <c r="Q169" s="6">
        <f t="shared" si="5"/>
        <v>60</v>
      </c>
    </row>
    <row r="170" spans="1:17">
      <c r="A170" t="s">
        <v>555</v>
      </c>
      <c r="B170" t="s">
        <v>676</v>
      </c>
      <c r="C170" s="24" t="s">
        <v>12</v>
      </c>
      <c r="D170">
        <v>9</v>
      </c>
      <c r="E170" s="6" t="s">
        <v>724</v>
      </c>
      <c r="F170">
        <v>0</v>
      </c>
      <c r="G170" s="16">
        <v>60</v>
      </c>
      <c r="H170">
        <v>10</v>
      </c>
      <c r="I170">
        <v>30</v>
      </c>
      <c r="J170">
        <v>3</v>
      </c>
      <c r="K170">
        <v>0</v>
      </c>
      <c r="L170">
        <v>4</v>
      </c>
      <c r="M170">
        <v>1</v>
      </c>
      <c r="N170">
        <v>6.3</v>
      </c>
      <c r="O170" t="s">
        <v>947</v>
      </c>
      <c r="P170" s="6">
        <f t="shared" si="4"/>
        <v>87</v>
      </c>
      <c r="Q170" s="6">
        <f t="shared" si="5"/>
        <v>78</v>
      </c>
    </row>
    <row r="171" spans="1:17">
      <c r="A171" t="s">
        <v>555</v>
      </c>
      <c r="B171" t="s">
        <v>948</v>
      </c>
      <c r="C171" s="24" t="s">
        <v>12</v>
      </c>
      <c r="D171">
        <v>8</v>
      </c>
      <c r="E171" s="6" t="s">
        <v>724</v>
      </c>
      <c r="F171">
        <v>0</v>
      </c>
      <c r="G171" s="16">
        <v>45</v>
      </c>
      <c r="H171">
        <v>0</v>
      </c>
      <c r="I171">
        <v>24</v>
      </c>
      <c r="J171">
        <v>2</v>
      </c>
      <c r="K171">
        <v>0</v>
      </c>
      <c r="L171">
        <v>2</v>
      </c>
      <c r="M171">
        <v>0</v>
      </c>
      <c r="N171">
        <v>5.8</v>
      </c>
      <c r="O171" t="s">
        <v>696</v>
      </c>
      <c r="P171" s="6">
        <f t="shared" si="4"/>
        <v>57</v>
      </c>
      <c r="Q171" s="6">
        <f t="shared" si="5"/>
        <v>49</v>
      </c>
    </row>
    <row r="172" spans="1:17">
      <c r="A172" t="s">
        <v>555</v>
      </c>
      <c r="B172" t="s">
        <v>661</v>
      </c>
      <c r="C172" s="24" t="s">
        <v>12</v>
      </c>
      <c r="D172">
        <v>8</v>
      </c>
      <c r="E172" s="6" t="s">
        <v>724</v>
      </c>
      <c r="F172">
        <v>0</v>
      </c>
      <c r="G172" s="16">
        <v>40</v>
      </c>
      <c r="H172">
        <v>30</v>
      </c>
      <c r="I172">
        <v>25</v>
      </c>
      <c r="J172">
        <v>3</v>
      </c>
      <c r="K172">
        <v>0</v>
      </c>
      <c r="L172">
        <v>3</v>
      </c>
      <c r="M172">
        <v>1</v>
      </c>
      <c r="N172">
        <v>6.1</v>
      </c>
      <c r="O172" t="s">
        <v>949</v>
      </c>
      <c r="P172" s="6">
        <f t="shared" si="4"/>
        <v>85</v>
      </c>
      <c r="Q172" s="6">
        <f t="shared" si="5"/>
        <v>77</v>
      </c>
    </row>
    <row r="173" spans="1:17">
      <c r="A173" t="s">
        <v>555</v>
      </c>
      <c r="B173" t="s">
        <v>950</v>
      </c>
      <c r="C173" s="24" t="s">
        <v>12</v>
      </c>
      <c r="D173">
        <v>5</v>
      </c>
      <c r="E173" s="6" t="s">
        <v>724</v>
      </c>
      <c r="F173">
        <v>0</v>
      </c>
      <c r="G173" s="16">
        <v>30</v>
      </c>
      <c r="H173">
        <v>0</v>
      </c>
      <c r="I173">
        <v>20</v>
      </c>
      <c r="J173">
        <v>1</v>
      </c>
      <c r="K173">
        <v>0</v>
      </c>
      <c r="L173">
        <v>1</v>
      </c>
      <c r="M173">
        <v>0</v>
      </c>
      <c r="N173">
        <v>5.7</v>
      </c>
      <c r="O173" t="s">
        <v>661</v>
      </c>
      <c r="P173" s="6">
        <f t="shared" si="4"/>
        <v>37</v>
      </c>
      <c r="Q173" s="6">
        <f t="shared" si="5"/>
        <v>32</v>
      </c>
    </row>
    <row r="174" spans="1:17">
      <c r="A174" t="s">
        <v>555</v>
      </c>
      <c r="B174" t="s">
        <v>951</v>
      </c>
      <c r="C174" s="24" t="s">
        <v>12</v>
      </c>
      <c r="D174">
        <v>5</v>
      </c>
      <c r="E174" s="6" t="s">
        <v>724</v>
      </c>
      <c r="F174">
        <v>0</v>
      </c>
      <c r="G174" s="16">
        <v>40</v>
      </c>
      <c r="H174">
        <v>0</v>
      </c>
      <c r="I174">
        <v>18</v>
      </c>
      <c r="J174">
        <v>0</v>
      </c>
      <c r="K174">
        <v>0</v>
      </c>
      <c r="L174">
        <v>1</v>
      </c>
      <c r="M174">
        <v>0</v>
      </c>
      <c r="N174">
        <v>5.6</v>
      </c>
      <c r="O174" t="s">
        <v>676</v>
      </c>
      <c r="P174" s="6">
        <f t="shared" si="4"/>
        <v>46</v>
      </c>
      <c r="Q174" s="6">
        <f t="shared" si="5"/>
        <v>41</v>
      </c>
    </row>
    <row r="175" spans="1:17">
      <c r="A175" t="s">
        <v>555</v>
      </c>
      <c r="B175" t="s">
        <v>945</v>
      </c>
      <c r="C175" s="24" t="s">
        <v>12</v>
      </c>
      <c r="D175">
        <v>4</v>
      </c>
      <c r="E175" s="6" t="s">
        <v>724</v>
      </c>
      <c r="F175">
        <v>0</v>
      </c>
      <c r="G175" s="16">
        <v>35</v>
      </c>
      <c r="H175">
        <v>0</v>
      </c>
      <c r="I175">
        <v>15</v>
      </c>
      <c r="J175">
        <v>0</v>
      </c>
      <c r="K175">
        <v>0</v>
      </c>
      <c r="L175">
        <v>0</v>
      </c>
      <c r="M175">
        <v>0</v>
      </c>
      <c r="N175">
        <v>5.4</v>
      </c>
      <c r="O175" t="s">
        <v>697</v>
      </c>
      <c r="P175" s="6">
        <f t="shared" si="4"/>
        <v>39</v>
      </c>
      <c r="Q175" s="6">
        <f t="shared" si="5"/>
        <v>35</v>
      </c>
    </row>
    <row r="176" spans="1:17">
      <c r="A176" t="s">
        <v>555</v>
      </c>
      <c r="B176" t="s">
        <v>675</v>
      </c>
      <c r="C176" s="24" t="s">
        <v>5</v>
      </c>
      <c r="D176">
        <v>10</v>
      </c>
      <c r="E176" s="6" t="s">
        <v>724</v>
      </c>
      <c r="F176">
        <v>0</v>
      </c>
      <c r="G176" s="16">
        <v>75</v>
      </c>
      <c r="H176">
        <v>10</v>
      </c>
      <c r="I176">
        <v>32</v>
      </c>
      <c r="J176">
        <v>6</v>
      </c>
      <c r="K176">
        <v>0</v>
      </c>
      <c r="L176">
        <v>3</v>
      </c>
      <c r="M176">
        <v>1</v>
      </c>
      <c r="N176">
        <v>6.2</v>
      </c>
      <c r="O176" t="s">
        <v>556</v>
      </c>
      <c r="P176" s="6">
        <f t="shared" si="4"/>
        <v>104</v>
      </c>
      <c r="Q176" s="6">
        <f t="shared" si="5"/>
        <v>94</v>
      </c>
    </row>
    <row r="177" spans="1:17">
      <c r="A177" t="s">
        <v>555</v>
      </c>
      <c r="B177" t="s">
        <v>556</v>
      </c>
      <c r="C177" s="24" t="s">
        <v>5</v>
      </c>
      <c r="D177">
        <v>11</v>
      </c>
      <c r="E177" s="6" t="s">
        <v>724</v>
      </c>
      <c r="F177">
        <v>0</v>
      </c>
      <c r="G177" s="16">
        <v>85</v>
      </c>
      <c r="H177">
        <v>50</v>
      </c>
      <c r="I177">
        <v>34</v>
      </c>
      <c r="J177">
        <v>9</v>
      </c>
      <c r="K177">
        <v>0</v>
      </c>
      <c r="L177">
        <v>4</v>
      </c>
      <c r="M177">
        <v>2</v>
      </c>
      <c r="N177">
        <v>6.4</v>
      </c>
      <c r="O177" t="s">
        <v>675</v>
      </c>
      <c r="P177" s="6">
        <f t="shared" si="4"/>
        <v>159</v>
      </c>
      <c r="Q177" s="6">
        <f t="shared" si="5"/>
        <v>148</v>
      </c>
    </row>
    <row r="178" spans="1:17">
      <c r="A178" t="s">
        <v>555</v>
      </c>
      <c r="B178" t="s">
        <v>954</v>
      </c>
      <c r="C178" s="24" t="s">
        <v>5</v>
      </c>
      <c r="D178">
        <v>6</v>
      </c>
      <c r="E178" s="6" t="s">
        <v>724</v>
      </c>
      <c r="F178">
        <v>0</v>
      </c>
      <c r="G178" s="16">
        <v>40</v>
      </c>
      <c r="H178">
        <v>0</v>
      </c>
      <c r="I178">
        <v>20</v>
      </c>
      <c r="J178">
        <v>3</v>
      </c>
      <c r="K178">
        <v>0</v>
      </c>
      <c r="L178">
        <v>1</v>
      </c>
      <c r="M178">
        <v>0</v>
      </c>
      <c r="N178">
        <v>5.8</v>
      </c>
      <c r="O178" t="s">
        <v>955</v>
      </c>
      <c r="P178" s="6">
        <f t="shared" si="4"/>
        <v>51</v>
      </c>
      <c r="Q178" s="6">
        <f t="shared" si="5"/>
        <v>45</v>
      </c>
    </row>
    <row r="179" spans="1:17">
      <c r="A179" t="s">
        <v>555</v>
      </c>
      <c r="B179" t="s">
        <v>955</v>
      </c>
      <c r="C179" s="24" t="s">
        <v>5</v>
      </c>
      <c r="D179">
        <v>5</v>
      </c>
      <c r="E179" s="6" t="s">
        <v>724</v>
      </c>
      <c r="F179">
        <v>0</v>
      </c>
      <c r="G179" s="16">
        <v>30</v>
      </c>
      <c r="H179">
        <v>40</v>
      </c>
      <c r="I179">
        <v>18</v>
      </c>
      <c r="J179">
        <v>4</v>
      </c>
      <c r="K179">
        <v>0</v>
      </c>
      <c r="L179">
        <v>1</v>
      </c>
      <c r="M179">
        <v>1</v>
      </c>
      <c r="N179">
        <v>5.9</v>
      </c>
      <c r="O179" t="s">
        <v>954</v>
      </c>
      <c r="P179" s="6">
        <f t="shared" si="4"/>
        <v>83</v>
      </c>
      <c r="Q179" s="6">
        <f t="shared" si="5"/>
        <v>78</v>
      </c>
    </row>
    <row r="180" spans="1:17">
      <c r="A180" t="s">
        <v>570</v>
      </c>
      <c r="B180" t="s">
        <v>962</v>
      </c>
      <c r="C180" s="24" t="s">
        <v>63</v>
      </c>
      <c r="D180">
        <v>16</v>
      </c>
      <c r="E180" t="s">
        <v>724</v>
      </c>
      <c r="F180">
        <v>0</v>
      </c>
      <c r="G180" s="16">
        <v>60</v>
      </c>
      <c r="H180">
        <v>0</v>
      </c>
      <c r="I180">
        <v>28</v>
      </c>
      <c r="J180">
        <v>0</v>
      </c>
      <c r="K180">
        <v>0</v>
      </c>
      <c r="L180">
        <v>0</v>
      </c>
      <c r="M180">
        <v>0</v>
      </c>
      <c r="N180">
        <v>6.2</v>
      </c>
      <c r="O180" t="s">
        <v>967</v>
      </c>
      <c r="P180" s="6">
        <f t="shared" ref="P180:P195" si="6">INT(G180+IF(I180&gt;0,J180/I180*30,0)+L180+M180+H180+D180-F180-K180)</f>
        <v>76</v>
      </c>
      <c r="Q180" s="6">
        <f t="shared" ref="Q180:Q195" si="7">INT(G180+IF(I180&gt;0,J180/I180*30,0)+L180+M180+H180-F180-K180)</f>
        <v>60</v>
      </c>
    </row>
    <row r="181" spans="1:17">
      <c r="A181" t="s">
        <v>570</v>
      </c>
      <c r="B181" t="s">
        <v>961</v>
      </c>
      <c r="C181" s="24" t="s">
        <v>63</v>
      </c>
      <c r="D181">
        <v>18</v>
      </c>
      <c r="E181" t="s">
        <v>724</v>
      </c>
      <c r="F181">
        <v>0</v>
      </c>
      <c r="G181" s="16">
        <v>40</v>
      </c>
      <c r="H181">
        <v>0</v>
      </c>
      <c r="I181">
        <v>30</v>
      </c>
      <c r="J181">
        <v>0</v>
      </c>
      <c r="K181">
        <v>0</v>
      </c>
      <c r="L181">
        <v>0</v>
      </c>
      <c r="M181">
        <v>0</v>
      </c>
      <c r="N181">
        <v>6.1</v>
      </c>
      <c r="O181" t="s">
        <v>968</v>
      </c>
      <c r="P181" s="6">
        <f t="shared" si="6"/>
        <v>58</v>
      </c>
      <c r="Q181" s="6">
        <f t="shared" si="7"/>
        <v>40</v>
      </c>
    </row>
    <row r="182" spans="1:17">
      <c r="A182" t="s">
        <v>570</v>
      </c>
      <c r="B182" t="s">
        <v>969</v>
      </c>
      <c r="C182" s="24" t="s">
        <v>41</v>
      </c>
      <c r="D182">
        <v>12</v>
      </c>
      <c r="E182" t="s">
        <v>724</v>
      </c>
      <c r="F182">
        <v>0</v>
      </c>
      <c r="G182" s="16">
        <v>90</v>
      </c>
      <c r="H182">
        <v>10</v>
      </c>
      <c r="I182">
        <v>36</v>
      </c>
      <c r="J182">
        <v>2</v>
      </c>
      <c r="K182">
        <v>0</v>
      </c>
      <c r="L182">
        <v>4</v>
      </c>
      <c r="M182">
        <v>1</v>
      </c>
      <c r="N182">
        <v>6.4</v>
      </c>
      <c r="O182" t="s">
        <v>717</v>
      </c>
      <c r="P182" s="6">
        <f t="shared" si="6"/>
        <v>118</v>
      </c>
      <c r="Q182" s="6">
        <f t="shared" si="7"/>
        <v>106</v>
      </c>
    </row>
    <row r="183" spans="1:17">
      <c r="A183" t="s">
        <v>570</v>
      </c>
      <c r="B183" t="s">
        <v>970</v>
      </c>
      <c r="C183" s="24" t="s">
        <v>41</v>
      </c>
      <c r="D183">
        <v>28</v>
      </c>
      <c r="E183" t="s">
        <v>724</v>
      </c>
      <c r="F183">
        <v>0</v>
      </c>
      <c r="G183" s="16">
        <v>70</v>
      </c>
      <c r="H183">
        <v>0</v>
      </c>
      <c r="I183">
        <v>32</v>
      </c>
      <c r="J183">
        <v>1</v>
      </c>
      <c r="K183">
        <v>0</v>
      </c>
      <c r="L183">
        <v>2</v>
      </c>
      <c r="M183">
        <v>0</v>
      </c>
      <c r="N183">
        <v>6.3</v>
      </c>
      <c r="O183" t="s">
        <v>971</v>
      </c>
      <c r="P183" s="6">
        <f t="shared" si="6"/>
        <v>100</v>
      </c>
      <c r="Q183" s="6">
        <f t="shared" si="7"/>
        <v>72</v>
      </c>
    </row>
    <row r="184" spans="1:17">
      <c r="A184" t="s">
        <v>570</v>
      </c>
      <c r="B184" t="s">
        <v>972</v>
      </c>
      <c r="C184" s="24" t="s">
        <v>41</v>
      </c>
      <c r="D184">
        <v>35</v>
      </c>
      <c r="E184" t="s">
        <v>724</v>
      </c>
      <c r="F184">
        <v>0</v>
      </c>
      <c r="G184" s="16">
        <v>90</v>
      </c>
      <c r="H184">
        <v>0</v>
      </c>
      <c r="I184">
        <v>30</v>
      </c>
      <c r="J184">
        <v>2</v>
      </c>
      <c r="K184">
        <v>0</v>
      </c>
      <c r="L184">
        <v>1</v>
      </c>
      <c r="M184">
        <v>0</v>
      </c>
      <c r="N184">
        <v>6.5</v>
      </c>
      <c r="O184" t="s">
        <v>718</v>
      </c>
      <c r="P184" s="6">
        <f t="shared" si="6"/>
        <v>128</v>
      </c>
      <c r="Q184" s="6">
        <f t="shared" si="7"/>
        <v>93</v>
      </c>
    </row>
    <row r="185" spans="1:17">
      <c r="A185" t="s">
        <v>570</v>
      </c>
      <c r="B185" t="s">
        <v>973</v>
      </c>
      <c r="C185" s="24" t="s">
        <v>41</v>
      </c>
      <c r="D185">
        <v>20</v>
      </c>
      <c r="E185" t="s">
        <v>974</v>
      </c>
      <c r="F185">
        <v>10</v>
      </c>
      <c r="G185" s="16">
        <v>80</v>
      </c>
      <c r="H185">
        <v>0</v>
      </c>
      <c r="I185">
        <v>28</v>
      </c>
      <c r="J185">
        <v>1</v>
      </c>
      <c r="K185">
        <v>0</v>
      </c>
      <c r="L185">
        <v>3</v>
      </c>
      <c r="M185">
        <v>0</v>
      </c>
      <c r="N185">
        <v>6.2</v>
      </c>
      <c r="O185" t="s">
        <v>975</v>
      </c>
      <c r="P185" s="6">
        <f t="shared" si="6"/>
        <v>94</v>
      </c>
      <c r="Q185" s="6">
        <f t="shared" si="7"/>
        <v>74</v>
      </c>
    </row>
    <row r="186" spans="1:17">
      <c r="A186" t="s">
        <v>570</v>
      </c>
      <c r="B186" t="s">
        <v>963</v>
      </c>
      <c r="C186" s="24" t="s">
        <v>41</v>
      </c>
      <c r="D186">
        <v>12</v>
      </c>
      <c r="E186" t="s">
        <v>724</v>
      </c>
      <c r="F186">
        <v>0</v>
      </c>
      <c r="G186" s="16">
        <v>40</v>
      </c>
      <c r="H186">
        <v>0</v>
      </c>
      <c r="I186">
        <v>26</v>
      </c>
      <c r="J186">
        <v>1</v>
      </c>
      <c r="K186">
        <v>0</v>
      </c>
      <c r="L186">
        <v>1</v>
      </c>
      <c r="M186">
        <v>0</v>
      </c>
      <c r="N186">
        <v>6</v>
      </c>
      <c r="O186" t="s">
        <v>725</v>
      </c>
      <c r="P186" s="6">
        <f t="shared" si="6"/>
        <v>54</v>
      </c>
      <c r="Q186" s="6">
        <f t="shared" si="7"/>
        <v>42</v>
      </c>
    </row>
    <row r="187" spans="1:17">
      <c r="A187" t="s">
        <v>570</v>
      </c>
      <c r="B187" t="s">
        <v>976</v>
      </c>
      <c r="C187" s="24" t="s">
        <v>12</v>
      </c>
      <c r="D187">
        <v>50</v>
      </c>
      <c r="E187" t="s">
        <v>724</v>
      </c>
      <c r="F187">
        <v>0</v>
      </c>
      <c r="G187" s="16">
        <v>90</v>
      </c>
      <c r="H187">
        <v>60</v>
      </c>
      <c r="I187">
        <v>30</v>
      </c>
      <c r="J187">
        <v>6</v>
      </c>
      <c r="K187">
        <v>0</v>
      </c>
      <c r="L187">
        <v>12</v>
      </c>
      <c r="M187">
        <v>2</v>
      </c>
      <c r="N187">
        <v>6.6</v>
      </c>
      <c r="O187" t="s">
        <v>977</v>
      </c>
      <c r="P187" s="6">
        <f t="shared" si="6"/>
        <v>220</v>
      </c>
      <c r="Q187" s="6">
        <f t="shared" si="7"/>
        <v>170</v>
      </c>
    </row>
    <row r="188" spans="1:17">
      <c r="A188" t="s">
        <v>570</v>
      </c>
      <c r="B188" t="s">
        <v>978</v>
      </c>
      <c r="C188" s="24" t="s">
        <v>12</v>
      </c>
      <c r="D188">
        <v>25</v>
      </c>
      <c r="E188" t="s">
        <v>724</v>
      </c>
      <c r="F188">
        <v>0</v>
      </c>
      <c r="G188" s="16">
        <v>80</v>
      </c>
      <c r="H188">
        <v>0</v>
      </c>
      <c r="I188">
        <v>34</v>
      </c>
      <c r="J188">
        <v>0</v>
      </c>
      <c r="K188">
        <v>0</v>
      </c>
      <c r="L188">
        <v>2</v>
      </c>
      <c r="M188">
        <v>0</v>
      </c>
      <c r="N188">
        <v>6.3</v>
      </c>
      <c r="O188" t="s">
        <v>718</v>
      </c>
      <c r="P188" s="6">
        <f t="shared" si="6"/>
        <v>107</v>
      </c>
      <c r="Q188" s="6">
        <f t="shared" si="7"/>
        <v>82</v>
      </c>
    </row>
    <row r="189" spans="1:17">
      <c r="A189" t="s">
        <v>570</v>
      </c>
      <c r="B189" t="s">
        <v>979</v>
      </c>
      <c r="C189" s="24" t="s">
        <v>12</v>
      </c>
      <c r="D189">
        <v>52</v>
      </c>
      <c r="E189" t="s">
        <v>724</v>
      </c>
      <c r="F189">
        <v>0</v>
      </c>
      <c r="G189" s="16">
        <v>90</v>
      </c>
      <c r="H189">
        <v>30</v>
      </c>
      <c r="I189">
        <v>35</v>
      </c>
      <c r="J189">
        <v>12</v>
      </c>
      <c r="K189">
        <v>0</v>
      </c>
      <c r="L189">
        <v>4</v>
      </c>
      <c r="M189">
        <v>1</v>
      </c>
      <c r="N189">
        <v>6.5</v>
      </c>
      <c r="O189" t="s">
        <v>717</v>
      </c>
      <c r="P189" s="6">
        <f t="shared" si="6"/>
        <v>187</v>
      </c>
      <c r="Q189" s="6">
        <f t="shared" si="7"/>
        <v>135</v>
      </c>
    </row>
    <row r="190" spans="1:17">
      <c r="A190" t="s">
        <v>570</v>
      </c>
      <c r="B190" t="s">
        <v>990</v>
      </c>
      <c r="C190" s="24" t="s">
        <v>12</v>
      </c>
      <c r="D190">
        <v>27</v>
      </c>
      <c r="E190" t="s">
        <v>724</v>
      </c>
      <c r="F190">
        <v>0</v>
      </c>
      <c r="G190" s="16">
        <v>60</v>
      </c>
      <c r="H190">
        <v>0</v>
      </c>
      <c r="I190">
        <v>30</v>
      </c>
      <c r="J190">
        <v>2</v>
      </c>
      <c r="K190">
        <v>0</v>
      </c>
      <c r="L190">
        <v>3</v>
      </c>
      <c r="M190">
        <v>0</v>
      </c>
      <c r="N190">
        <v>6.2</v>
      </c>
      <c r="O190" t="s">
        <v>991</v>
      </c>
      <c r="P190" s="6">
        <f t="shared" si="6"/>
        <v>92</v>
      </c>
      <c r="Q190" s="6">
        <f t="shared" si="7"/>
        <v>65</v>
      </c>
    </row>
    <row r="191" spans="1:17">
      <c r="A191" t="s">
        <v>570</v>
      </c>
      <c r="B191" t="s">
        <v>992</v>
      </c>
      <c r="C191" s="24" t="s">
        <v>12</v>
      </c>
      <c r="D191">
        <v>20</v>
      </c>
      <c r="E191" t="s">
        <v>724</v>
      </c>
      <c r="F191">
        <v>0</v>
      </c>
      <c r="G191" s="16">
        <v>40</v>
      </c>
      <c r="H191">
        <v>0</v>
      </c>
      <c r="I191">
        <v>24</v>
      </c>
      <c r="J191">
        <v>1</v>
      </c>
      <c r="K191">
        <v>0</v>
      </c>
      <c r="L191">
        <v>2</v>
      </c>
      <c r="M191">
        <v>0</v>
      </c>
      <c r="N191">
        <v>6.1</v>
      </c>
      <c r="O191" t="s">
        <v>725</v>
      </c>
      <c r="P191" s="6">
        <f t="shared" si="6"/>
        <v>63</v>
      </c>
      <c r="Q191" s="6">
        <f t="shared" si="7"/>
        <v>43</v>
      </c>
    </row>
    <row r="192" spans="1:17">
      <c r="A192" t="s">
        <v>570</v>
      </c>
      <c r="B192" t="s">
        <v>965</v>
      </c>
      <c r="C192" s="24" t="s">
        <v>5</v>
      </c>
      <c r="D192">
        <v>10</v>
      </c>
      <c r="E192" t="s">
        <v>724</v>
      </c>
      <c r="F192">
        <v>0</v>
      </c>
      <c r="G192" s="16">
        <v>80</v>
      </c>
      <c r="H192">
        <v>40</v>
      </c>
      <c r="I192">
        <v>33</v>
      </c>
      <c r="J192">
        <v>6</v>
      </c>
      <c r="K192">
        <v>0</v>
      </c>
      <c r="L192">
        <v>6</v>
      </c>
      <c r="M192">
        <v>2</v>
      </c>
      <c r="N192">
        <v>6.4</v>
      </c>
      <c r="O192" t="s">
        <v>977</v>
      </c>
      <c r="P192" s="6">
        <f t="shared" si="6"/>
        <v>143</v>
      </c>
      <c r="Q192" s="6">
        <f t="shared" si="7"/>
        <v>133</v>
      </c>
    </row>
    <row r="193" spans="1:17">
      <c r="A193" t="s">
        <v>570</v>
      </c>
      <c r="B193" t="s">
        <v>966</v>
      </c>
      <c r="C193" s="24" t="s">
        <v>5</v>
      </c>
      <c r="D193">
        <v>77</v>
      </c>
      <c r="E193" t="s">
        <v>724</v>
      </c>
      <c r="F193">
        <v>0</v>
      </c>
      <c r="G193" s="16">
        <v>95</v>
      </c>
      <c r="H193">
        <v>90</v>
      </c>
      <c r="I193">
        <v>34</v>
      </c>
      <c r="J193">
        <v>14</v>
      </c>
      <c r="K193">
        <v>0</v>
      </c>
      <c r="L193">
        <v>10</v>
      </c>
      <c r="M193">
        <v>4</v>
      </c>
      <c r="N193">
        <v>6.5</v>
      </c>
      <c r="O193" t="s">
        <v>980</v>
      </c>
      <c r="P193" s="6">
        <f t="shared" si="6"/>
        <v>288</v>
      </c>
      <c r="Q193" s="6">
        <f t="shared" si="7"/>
        <v>211</v>
      </c>
    </row>
    <row r="194" spans="1:17">
      <c r="A194" t="s">
        <v>570</v>
      </c>
      <c r="B194" t="s">
        <v>964</v>
      </c>
      <c r="C194" s="24" t="s">
        <v>5</v>
      </c>
      <c r="D194">
        <v>43</v>
      </c>
      <c r="E194" t="s">
        <v>724</v>
      </c>
      <c r="F194">
        <v>0</v>
      </c>
      <c r="G194" s="16">
        <v>85</v>
      </c>
      <c r="H194">
        <v>20</v>
      </c>
      <c r="I194">
        <v>32</v>
      </c>
      <c r="J194">
        <v>11</v>
      </c>
      <c r="K194">
        <v>0</v>
      </c>
      <c r="L194">
        <v>10</v>
      </c>
      <c r="M194">
        <v>1</v>
      </c>
      <c r="N194">
        <v>6.3</v>
      </c>
      <c r="O194" t="s">
        <v>981</v>
      </c>
      <c r="P194" s="6">
        <f t="shared" si="6"/>
        <v>169</v>
      </c>
      <c r="Q194" s="6">
        <f t="shared" si="7"/>
        <v>126</v>
      </c>
    </row>
    <row r="195" spans="1:17">
      <c r="A195" t="s">
        <v>570</v>
      </c>
      <c r="B195" t="s">
        <v>982</v>
      </c>
      <c r="C195" s="24" t="s">
        <v>5</v>
      </c>
      <c r="D195">
        <v>30</v>
      </c>
      <c r="E195" t="s">
        <v>724</v>
      </c>
      <c r="F195">
        <v>0</v>
      </c>
      <c r="G195" s="16">
        <v>50</v>
      </c>
      <c r="H195">
        <v>10</v>
      </c>
      <c r="I195">
        <v>28</v>
      </c>
      <c r="J195">
        <v>5</v>
      </c>
      <c r="K195">
        <v>0</v>
      </c>
      <c r="L195">
        <v>4</v>
      </c>
      <c r="M195">
        <v>0</v>
      </c>
      <c r="N195">
        <v>6.1</v>
      </c>
      <c r="O195" t="s">
        <v>983</v>
      </c>
      <c r="P195" s="6">
        <f t="shared" si="6"/>
        <v>99</v>
      </c>
      <c r="Q195" s="6">
        <f t="shared" si="7"/>
        <v>69</v>
      </c>
    </row>
    <row r="196" spans="1:17">
      <c r="A196" t="s">
        <v>570</v>
      </c>
      <c r="B196" t="s">
        <v>984</v>
      </c>
      <c r="C196" s="24" t="s">
        <v>5</v>
      </c>
      <c r="D196">
        <v>25</v>
      </c>
      <c r="E196" t="s">
        <v>724</v>
      </c>
      <c r="F196">
        <v>0</v>
      </c>
      <c r="G196" s="16">
        <v>40</v>
      </c>
      <c r="H196">
        <v>0</v>
      </c>
      <c r="I196">
        <v>26</v>
      </c>
      <c r="J196">
        <v>4</v>
      </c>
      <c r="K196">
        <v>0</v>
      </c>
      <c r="L196">
        <v>3</v>
      </c>
      <c r="M196">
        <v>0</v>
      </c>
      <c r="N196">
        <v>6.2</v>
      </c>
      <c r="O196" t="s">
        <v>985</v>
      </c>
      <c r="P196" s="6">
        <f t="shared" ref="P196:P198" si="8">INT(G196+IF(I196&gt;0,J196/I196*30,0)+L196+M196+H196+D196-F196-K196)</f>
        <v>72</v>
      </c>
      <c r="Q196" s="6">
        <f t="shared" ref="Q196:Q198" si="9">INT(G196+IF(I196&gt;0,J196/I196*30,0)+L196+M196+H196-F196-K196)</f>
        <v>47</v>
      </c>
    </row>
    <row r="197" spans="1:17">
      <c r="A197" t="s">
        <v>570</v>
      </c>
      <c r="B197" t="s">
        <v>986</v>
      </c>
      <c r="C197" s="24" t="s">
        <v>5</v>
      </c>
      <c r="D197">
        <v>22</v>
      </c>
      <c r="E197" t="s">
        <v>724</v>
      </c>
      <c r="F197">
        <v>0</v>
      </c>
      <c r="G197" s="16">
        <v>30</v>
      </c>
      <c r="H197">
        <v>0</v>
      </c>
      <c r="I197">
        <v>20</v>
      </c>
      <c r="J197">
        <v>6</v>
      </c>
      <c r="K197">
        <v>0</v>
      </c>
      <c r="L197">
        <v>2</v>
      </c>
      <c r="M197">
        <v>0</v>
      </c>
      <c r="N197">
        <v>6</v>
      </c>
      <c r="O197" t="s">
        <v>987</v>
      </c>
      <c r="P197" s="6">
        <f t="shared" si="8"/>
        <v>63</v>
      </c>
      <c r="Q197" s="6">
        <f t="shared" si="9"/>
        <v>41</v>
      </c>
    </row>
    <row r="198" spans="1:17">
      <c r="A198" t="s">
        <v>570</v>
      </c>
      <c r="B198" t="s">
        <v>988</v>
      </c>
      <c r="C198" s="24" t="s">
        <v>5</v>
      </c>
      <c r="D198">
        <v>5</v>
      </c>
      <c r="E198" t="s">
        <v>974</v>
      </c>
      <c r="F198">
        <v>20</v>
      </c>
      <c r="G198" s="16">
        <v>20</v>
      </c>
      <c r="H198">
        <v>0</v>
      </c>
      <c r="I198">
        <v>18</v>
      </c>
      <c r="J198">
        <v>3</v>
      </c>
      <c r="K198">
        <v>0</v>
      </c>
      <c r="L198">
        <v>1</v>
      </c>
      <c r="M198">
        <v>0</v>
      </c>
      <c r="N198">
        <v>5.9</v>
      </c>
      <c r="O198" t="s">
        <v>989</v>
      </c>
      <c r="P198" s="6">
        <f t="shared" si="8"/>
        <v>11</v>
      </c>
      <c r="Q198" s="6">
        <f t="shared" si="9"/>
        <v>6</v>
      </c>
    </row>
    <row r="199" spans="1:17">
      <c r="G199" s="16"/>
    </row>
    <row r="200" spans="1:17">
      <c r="G200" s="16"/>
    </row>
    <row r="201" spans="1:17">
      <c r="G201" s="16"/>
    </row>
    <row r="202" spans="1:17">
      <c r="G202" s="16"/>
    </row>
    <row r="203" spans="1:17">
      <c r="G203" s="16"/>
    </row>
    <row r="204" spans="1:17">
      <c r="G204" s="16"/>
    </row>
    <row r="205" spans="1:17">
      <c r="G205" s="16"/>
    </row>
    <row r="206" spans="1:17">
      <c r="G206" s="16"/>
    </row>
    <row r="207" spans="1:17">
      <c r="G207" s="16"/>
    </row>
    <row r="208" spans="1:17">
      <c r="G208" s="16"/>
    </row>
    <row r="209" spans="7:7">
      <c r="G209" s="16"/>
    </row>
    <row r="210" spans="7:7">
      <c r="G210" s="16"/>
    </row>
    <row r="211" spans="7:7">
      <c r="G211" s="16"/>
    </row>
    <row r="212" spans="7:7">
      <c r="G212" s="16"/>
    </row>
    <row r="213" spans="7:7">
      <c r="G213" s="16"/>
    </row>
    <row r="214" spans="7:7">
      <c r="G214" s="16"/>
    </row>
    <row r="215" spans="7:7">
      <c r="G215" s="16"/>
    </row>
    <row r="216" spans="7:7">
      <c r="G216" s="16"/>
    </row>
    <row r="217" spans="7:7">
      <c r="G217" s="16"/>
    </row>
    <row r="218" spans="7:7">
      <c r="G218" s="16"/>
    </row>
    <row r="219" spans="7:7">
      <c r="G219" s="16"/>
    </row>
    <row r="220" spans="7:7">
      <c r="G220" s="16"/>
    </row>
    <row r="221" spans="7:7">
      <c r="G221" s="16"/>
    </row>
    <row r="222" spans="7:7">
      <c r="G222" s="16"/>
    </row>
    <row r="223" spans="7:7">
      <c r="G223" s="16"/>
    </row>
    <row r="224" spans="7:7">
      <c r="G224" s="16"/>
    </row>
    <row r="225" spans="7:7">
      <c r="G225" s="16"/>
    </row>
    <row r="226" spans="7:7">
      <c r="G226" s="16"/>
    </row>
    <row r="227" spans="7:7">
      <c r="G227" s="16"/>
    </row>
    <row r="228" spans="7:7">
      <c r="G228" s="16"/>
    </row>
    <row r="229" spans="7:7">
      <c r="G229" s="16"/>
    </row>
    <row r="230" spans="7:7">
      <c r="G230" s="16"/>
    </row>
    <row r="231" spans="7:7">
      <c r="G231" s="16"/>
    </row>
    <row r="232" spans="7:7">
      <c r="G232" s="16"/>
    </row>
    <row r="233" spans="7:7">
      <c r="G233" s="16"/>
    </row>
    <row r="234" spans="7:7">
      <c r="G234" s="16"/>
    </row>
    <row r="235" spans="7:7">
      <c r="G235" s="16"/>
    </row>
    <row r="236" spans="7:7">
      <c r="G236" s="16"/>
    </row>
    <row r="237" spans="7:7">
      <c r="G237" s="16"/>
    </row>
    <row r="238" spans="7:7">
      <c r="G238" s="16"/>
    </row>
    <row r="239" spans="7:7">
      <c r="G239" s="16"/>
    </row>
    <row r="240" spans="7:7">
      <c r="G240" s="16"/>
    </row>
    <row r="241" spans="7:7">
      <c r="G241" s="16"/>
    </row>
    <row r="242" spans="7:7">
      <c r="G242" s="16"/>
    </row>
    <row r="243" spans="7:7">
      <c r="G243" s="16"/>
    </row>
    <row r="244" spans="7:7">
      <c r="G244" s="16"/>
    </row>
    <row r="245" spans="7:7">
      <c r="G245" s="16"/>
    </row>
    <row r="246" spans="7:7">
      <c r="G246" s="16"/>
    </row>
    <row r="247" spans="7:7">
      <c r="G247" s="16"/>
    </row>
    <row r="248" spans="7:7">
      <c r="G248" s="16"/>
    </row>
    <row r="249" spans="7:7">
      <c r="G249" s="16"/>
    </row>
    <row r="250" spans="7:7">
      <c r="G250" s="16"/>
    </row>
    <row r="251" spans="7:7">
      <c r="G251" s="16"/>
    </row>
    <row r="252" spans="7:7">
      <c r="G252" s="16"/>
    </row>
    <row r="253" spans="7:7">
      <c r="G253" s="16"/>
    </row>
    <row r="254" spans="7:7">
      <c r="G254" s="16"/>
    </row>
    <row r="255" spans="7:7">
      <c r="G255" s="16"/>
    </row>
    <row r="256" spans="7:7">
      <c r="G256" s="16"/>
    </row>
    <row r="257" spans="7:7">
      <c r="G257" s="16"/>
    </row>
    <row r="258" spans="7:7">
      <c r="G258" s="16"/>
    </row>
    <row r="259" spans="7:7">
      <c r="G259" s="16"/>
    </row>
    <row r="260" spans="7:7">
      <c r="G260" s="16"/>
    </row>
    <row r="261" spans="7:7">
      <c r="G261" s="16"/>
    </row>
    <row r="262" spans="7:7">
      <c r="G262" s="16"/>
    </row>
    <row r="263" spans="7:7">
      <c r="G263" s="16"/>
    </row>
    <row r="264" spans="7:7">
      <c r="G264" s="16"/>
    </row>
    <row r="265" spans="7:7">
      <c r="G265" s="16"/>
    </row>
    <row r="266" spans="7:7">
      <c r="G266" s="16"/>
    </row>
    <row r="267" spans="7:7">
      <c r="G267" s="16"/>
    </row>
    <row r="268" spans="7:7">
      <c r="G268" s="16"/>
    </row>
    <row r="269" spans="7:7">
      <c r="G269" s="16"/>
    </row>
    <row r="270" spans="7:7">
      <c r="G270" s="16"/>
    </row>
    <row r="271" spans="7:7">
      <c r="G271" s="16"/>
    </row>
    <row r="272" spans="7:7">
      <c r="G272" s="16"/>
    </row>
    <row r="273" spans="7:7">
      <c r="G273" s="16"/>
    </row>
    <row r="274" spans="7:7">
      <c r="G274" s="16"/>
    </row>
    <row r="275" spans="7:7">
      <c r="G275" s="16"/>
    </row>
    <row r="276" spans="7:7">
      <c r="G276" s="16"/>
    </row>
    <row r="277" spans="7:7">
      <c r="G277" s="16"/>
    </row>
    <row r="278" spans="7:7">
      <c r="G278" s="16"/>
    </row>
    <row r="279" spans="7:7">
      <c r="G279" s="16"/>
    </row>
    <row r="280" spans="7:7">
      <c r="G280" s="16"/>
    </row>
    <row r="281" spans="7:7">
      <c r="G281" s="16"/>
    </row>
    <row r="282" spans="7:7">
      <c r="G282" s="16"/>
    </row>
    <row r="283" spans="7:7">
      <c r="G283" s="16"/>
    </row>
    <row r="284" spans="7:7">
      <c r="G284" s="16"/>
    </row>
    <row r="285" spans="7:7">
      <c r="G285" s="16"/>
    </row>
    <row r="286" spans="7:7">
      <c r="G286" s="16"/>
    </row>
    <row r="287" spans="7:7">
      <c r="G287" s="16"/>
    </row>
    <row r="288" spans="7:7">
      <c r="G288" s="16"/>
    </row>
    <row r="289" spans="7:7">
      <c r="G289" s="16"/>
    </row>
    <row r="290" spans="7:7">
      <c r="G290" s="16"/>
    </row>
    <row r="291" spans="7:7">
      <c r="G291" s="16"/>
    </row>
    <row r="292" spans="7:7">
      <c r="G292" s="16"/>
    </row>
    <row r="293" spans="7:7">
      <c r="G293" s="16"/>
    </row>
    <row r="294" spans="7:7">
      <c r="G294" s="16"/>
    </row>
    <row r="295" spans="7:7">
      <c r="G295" s="16"/>
    </row>
    <row r="296" spans="7:7">
      <c r="G296" s="16"/>
    </row>
    <row r="297" spans="7:7">
      <c r="G297" s="16"/>
    </row>
    <row r="298" spans="7:7">
      <c r="G298" s="16"/>
    </row>
    <row r="299" spans="7:7">
      <c r="G299" s="16"/>
    </row>
    <row r="300" spans="7:7">
      <c r="G300" s="16"/>
    </row>
    <row r="301" spans="7:7">
      <c r="G301" s="16"/>
    </row>
    <row r="302" spans="7:7">
      <c r="G302" s="16"/>
    </row>
    <row r="303" spans="7:7">
      <c r="G303" s="16"/>
    </row>
    <row r="304" spans="7:7">
      <c r="G304" s="16"/>
    </row>
    <row r="305" spans="7:7">
      <c r="G305" s="16"/>
    </row>
    <row r="306" spans="7:7">
      <c r="G306" s="16"/>
    </row>
    <row r="307" spans="7:7">
      <c r="G307" s="16"/>
    </row>
    <row r="308" spans="7:7">
      <c r="G308" s="16"/>
    </row>
    <row r="309" spans="7:7">
      <c r="G309" s="16"/>
    </row>
    <row r="310" spans="7:7">
      <c r="G310" s="16"/>
    </row>
    <row r="311" spans="7:7">
      <c r="G311" s="16"/>
    </row>
    <row r="312" spans="7:7">
      <c r="G312" s="16"/>
    </row>
    <row r="313" spans="7:7">
      <c r="G313" s="16"/>
    </row>
    <row r="314" spans="7:7">
      <c r="G314" s="16"/>
    </row>
    <row r="315" spans="7:7">
      <c r="G315" s="16"/>
    </row>
    <row r="316" spans="7:7">
      <c r="G316" s="16"/>
    </row>
    <row r="317" spans="7:7">
      <c r="G317" s="16"/>
    </row>
    <row r="318" spans="7:7">
      <c r="G318" s="16"/>
    </row>
    <row r="319" spans="7:7">
      <c r="G319" s="16"/>
    </row>
    <row r="320" spans="7:7">
      <c r="G320" s="16"/>
    </row>
    <row r="321" spans="7:7">
      <c r="G321" s="16"/>
    </row>
    <row r="322" spans="7:7">
      <c r="G322" s="16"/>
    </row>
    <row r="323" spans="7:7">
      <c r="G323" s="16"/>
    </row>
    <row r="324" spans="7:7">
      <c r="G324" s="16"/>
    </row>
    <row r="325" spans="7:7">
      <c r="G325" s="16"/>
    </row>
    <row r="326" spans="7:7">
      <c r="G326" s="16"/>
    </row>
    <row r="327" spans="7:7">
      <c r="G327" s="16"/>
    </row>
    <row r="328" spans="7:7">
      <c r="G328" s="16"/>
    </row>
    <row r="329" spans="7:7">
      <c r="G329" s="16"/>
    </row>
    <row r="330" spans="7:7">
      <c r="G330" s="16"/>
    </row>
    <row r="331" spans="7:7">
      <c r="G331" s="16"/>
    </row>
    <row r="332" spans="7:7">
      <c r="G332" s="16"/>
    </row>
    <row r="333" spans="7:7">
      <c r="G333" s="16"/>
    </row>
    <row r="334" spans="7:7">
      <c r="G334" s="16"/>
    </row>
    <row r="335" spans="7:7">
      <c r="G335" s="16"/>
    </row>
    <row r="336" spans="7:7">
      <c r="G336" s="16"/>
    </row>
    <row r="337" spans="7:7">
      <c r="G337" s="16"/>
    </row>
    <row r="338" spans="7:7">
      <c r="G338" s="16"/>
    </row>
    <row r="339" spans="7:7">
      <c r="G339" s="16"/>
    </row>
    <row r="340" spans="7:7">
      <c r="G340" s="16"/>
    </row>
    <row r="341" spans="7:7">
      <c r="G341" s="16"/>
    </row>
    <row r="342" spans="7:7">
      <c r="G342" s="16"/>
    </row>
    <row r="343" spans="7:7">
      <c r="G343" s="16"/>
    </row>
    <row r="344" spans="7:7">
      <c r="G344" s="16"/>
    </row>
    <row r="345" spans="7:7">
      <c r="G345" s="16"/>
    </row>
    <row r="346" spans="7:7">
      <c r="G346" s="16"/>
    </row>
    <row r="347" spans="7:7">
      <c r="G347" s="16"/>
    </row>
    <row r="348" spans="7:7">
      <c r="G348" s="16"/>
    </row>
    <row r="349" spans="7:7">
      <c r="G349" s="16"/>
    </row>
    <row r="350" spans="7:7">
      <c r="G350" s="16"/>
    </row>
    <row r="351" spans="7:7">
      <c r="G351" s="16"/>
    </row>
    <row r="352" spans="7:7">
      <c r="G352" s="16"/>
    </row>
    <row r="353" spans="7:7">
      <c r="G353" s="16"/>
    </row>
    <row r="354" spans="7:7">
      <c r="G354" s="16"/>
    </row>
    <row r="355" spans="7:7">
      <c r="G355" s="16"/>
    </row>
    <row r="356" spans="7:7">
      <c r="G356" s="16"/>
    </row>
    <row r="357" spans="7:7">
      <c r="G357" s="16"/>
    </row>
    <row r="358" spans="7:7">
      <c r="G358" s="16"/>
    </row>
    <row r="359" spans="7:7">
      <c r="G359" s="16"/>
    </row>
    <row r="360" spans="7:7">
      <c r="G360" s="16"/>
    </row>
    <row r="361" spans="7:7">
      <c r="G361" s="16"/>
    </row>
    <row r="362" spans="7:7">
      <c r="G362" s="16"/>
    </row>
    <row r="363" spans="7:7">
      <c r="G363" s="16"/>
    </row>
    <row r="364" spans="7:7">
      <c r="G364" s="16"/>
    </row>
    <row r="365" spans="7:7">
      <c r="G365" s="16"/>
    </row>
    <row r="366" spans="7:7">
      <c r="G366" s="16"/>
    </row>
    <row r="367" spans="7:7">
      <c r="G367" s="16"/>
    </row>
    <row r="368" spans="7:7">
      <c r="G368" s="16"/>
    </row>
    <row r="369" spans="7:7">
      <c r="G369" s="16"/>
    </row>
    <row r="370" spans="7:7">
      <c r="G370" s="16"/>
    </row>
    <row r="371" spans="7:7">
      <c r="G371" s="16"/>
    </row>
    <row r="372" spans="7:7">
      <c r="G372" s="16"/>
    </row>
    <row r="373" spans="7:7">
      <c r="G373" s="16"/>
    </row>
    <row r="374" spans="7:7">
      <c r="G374" s="16"/>
    </row>
    <row r="375" spans="7:7">
      <c r="G375" s="16"/>
    </row>
    <row r="376" spans="7:7">
      <c r="G376" s="16"/>
    </row>
    <row r="377" spans="7:7">
      <c r="G377" s="16"/>
    </row>
    <row r="378" spans="7:7">
      <c r="G378" s="16"/>
    </row>
    <row r="379" spans="7:7">
      <c r="G379" s="16"/>
    </row>
    <row r="380" spans="7:7">
      <c r="G380" s="16"/>
    </row>
    <row r="381" spans="7:7">
      <c r="G381" s="16"/>
    </row>
    <row r="382" spans="7:7">
      <c r="G382" s="16"/>
    </row>
    <row r="383" spans="7:7">
      <c r="G383" s="16"/>
    </row>
    <row r="384" spans="7:7">
      <c r="G384" s="16"/>
    </row>
    <row r="385" spans="7:7">
      <c r="G385" s="16"/>
    </row>
    <row r="386" spans="7:7">
      <c r="G386" s="16"/>
    </row>
    <row r="387" spans="7:7">
      <c r="G387" s="16"/>
    </row>
    <row r="388" spans="7:7">
      <c r="G388" s="16"/>
    </row>
    <row r="389" spans="7:7">
      <c r="G389" s="16"/>
    </row>
    <row r="390" spans="7:7">
      <c r="G390" s="16"/>
    </row>
    <row r="391" spans="7:7">
      <c r="G391" s="16"/>
    </row>
    <row r="392" spans="7:7">
      <c r="G392" s="16"/>
    </row>
    <row r="393" spans="7:7">
      <c r="G393" s="16"/>
    </row>
    <row r="394" spans="7:7">
      <c r="G394" s="16"/>
    </row>
    <row r="395" spans="7:7">
      <c r="G395" s="16"/>
    </row>
    <row r="396" spans="7:7">
      <c r="G396" s="16"/>
    </row>
    <row r="397" spans="7:7">
      <c r="G397" s="16"/>
    </row>
    <row r="398" spans="7:7">
      <c r="G398" s="16"/>
    </row>
    <row r="399" spans="7:7">
      <c r="G399" s="16"/>
    </row>
    <row r="400" spans="7:7">
      <c r="G400" s="16"/>
    </row>
    <row r="401" spans="7:7">
      <c r="G401" s="16"/>
    </row>
    <row r="402" spans="7:7">
      <c r="G402" s="16"/>
    </row>
    <row r="403" spans="7:7">
      <c r="G403" s="16"/>
    </row>
    <row r="404" spans="7:7">
      <c r="G404" s="16"/>
    </row>
    <row r="405" spans="7:7">
      <c r="G405" s="16"/>
    </row>
    <row r="406" spans="7:7">
      <c r="G406" s="16"/>
    </row>
    <row r="407" spans="7:7">
      <c r="G407" s="16"/>
    </row>
    <row r="408" spans="7:7">
      <c r="G408" s="16"/>
    </row>
    <row r="409" spans="7:7">
      <c r="G409" s="16"/>
    </row>
    <row r="410" spans="7:7">
      <c r="G410" s="16"/>
    </row>
    <row r="411" spans="7:7">
      <c r="G411" s="16"/>
    </row>
    <row r="412" spans="7:7">
      <c r="G412" s="16"/>
    </row>
    <row r="413" spans="7:7">
      <c r="G413" s="16"/>
    </row>
    <row r="414" spans="7:7">
      <c r="G414" s="16"/>
    </row>
    <row r="415" spans="7:7">
      <c r="G415" s="16"/>
    </row>
    <row r="416" spans="7:7">
      <c r="G416" s="16"/>
    </row>
    <row r="417" spans="7:7">
      <c r="G417" s="16"/>
    </row>
    <row r="418" spans="7:7">
      <c r="G418" s="16"/>
    </row>
    <row r="419" spans="7:7">
      <c r="G419" s="16"/>
    </row>
    <row r="420" spans="7:7">
      <c r="G420" s="16"/>
    </row>
    <row r="421" spans="7:7">
      <c r="G421" s="16"/>
    </row>
    <row r="422" spans="7:7">
      <c r="G422" s="16"/>
    </row>
    <row r="423" spans="7:7">
      <c r="G423" s="16"/>
    </row>
    <row r="424" spans="7:7">
      <c r="G424" s="16"/>
    </row>
    <row r="425" spans="7:7">
      <c r="G425" s="16"/>
    </row>
    <row r="426" spans="7:7">
      <c r="G426" s="16"/>
    </row>
    <row r="427" spans="7:7">
      <c r="G427" s="16"/>
    </row>
    <row r="428" spans="7:7">
      <c r="G428" s="16"/>
    </row>
    <row r="429" spans="7:7">
      <c r="G429" s="16"/>
    </row>
    <row r="430" spans="7:7">
      <c r="G430" s="16"/>
    </row>
    <row r="431" spans="7:7">
      <c r="G431" s="16"/>
    </row>
    <row r="432" spans="7:7">
      <c r="G432" s="16"/>
    </row>
    <row r="433" spans="7:7">
      <c r="G433" s="16"/>
    </row>
    <row r="434" spans="7:7">
      <c r="G434" s="16"/>
    </row>
    <row r="435" spans="7:7">
      <c r="G435" s="16"/>
    </row>
    <row r="436" spans="7:7">
      <c r="G436" s="16"/>
    </row>
    <row r="437" spans="7:7">
      <c r="G437" s="16"/>
    </row>
    <row r="438" spans="7:7">
      <c r="G438" s="16"/>
    </row>
    <row r="439" spans="7:7">
      <c r="G439" s="16"/>
    </row>
    <row r="440" spans="7:7">
      <c r="G440" s="16"/>
    </row>
    <row r="441" spans="7:7">
      <c r="G441" s="16"/>
    </row>
    <row r="442" spans="7:7">
      <c r="G442" s="16"/>
    </row>
    <row r="443" spans="7:7">
      <c r="G443" s="16"/>
    </row>
    <row r="444" spans="7:7">
      <c r="G444" s="16"/>
    </row>
    <row r="445" spans="7:7">
      <c r="G445" s="16"/>
    </row>
    <row r="446" spans="7:7">
      <c r="G446" s="16"/>
    </row>
    <row r="447" spans="7:7">
      <c r="G447" s="16"/>
    </row>
    <row r="448" spans="7:7">
      <c r="G448" s="16"/>
    </row>
    <row r="449" spans="7:7">
      <c r="G449" s="16"/>
    </row>
    <row r="450" spans="7:7">
      <c r="G450" s="16"/>
    </row>
    <row r="451" spans="7:7">
      <c r="G451" s="16"/>
    </row>
    <row r="452" spans="7:7">
      <c r="G452" s="16"/>
    </row>
    <row r="453" spans="7:7">
      <c r="G453" s="16"/>
    </row>
    <row r="454" spans="7:7">
      <c r="G454" s="16"/>
    </row>
    <row r="455" spans="7:7">
      <c r="G455" s="16"/>
    </row>
    <row r="456" spans="7:7">
      <c r="G456" s="16"/>
    </row>
    <row r="457" spans="7:7">
      <c r="G457" s="16"/>
    </row>
    <row r="458" spans="7:7">
      <c r="G458" s="16"/>
    </row>
    <row r="459" spans="7:7">
      <c r="G459" s="16"/>
    </row>
    <row r="460" spans="7:7">
      <c r="G460" s="16"/>
    </row>
    <row r="461" spans="7:7">
      <c r="G461" s="16"/>
    </row>
    <row r="462" spans="7:7">
      <c r="G462" s="16"/>
    </row>
    <row r="463" spans="7:7">
      <c r="G463" s="16"/>
    </row>
    <row r="464" spans="7:7">
      <c r="G464" s="16"/>
    </row>
    <row r="465" spans="7:7">
      <c r="G465" s="16"/>
    </row>
    <row r="466" spans="7:7">
      <c r="G466" s="16"/>
    </row>
    <row r="467" spans="7:7">
      <c r="G467" s="16"/>
    </row>
    <row r="468" spans="7:7">
      <c r="G468" s="16"/>
    </row>
    <row r="469" spans="7:7">
      <c r="G469" s="16"/>
    </row>
    <row r="470" spans="7:7">
      <c r="G470" s="16"/>
    </row>
    <row r="471" spans="7:7">
      <c r="G471" s="16"/>
    </row>
    <row r="472" spans="7:7">
      <c r="G472" s="16"/>
    </row>
    <row r="473" spans="7:7">
      <c r="G473" s="16"/>
    </row>
    <row r="474" spans="7:7">
      <c r="G474" s="16"/>
    </row>
    <row r="475" spans="7:7">
      <c r="G475" s="16"/>
    </row>
    <row r="476" spans="7:7">
      <c r="G476" s="16"/>
    </row>
    <row r="477" spans="7:7">
      <c r="G477" s="16"/>
    </row>
    <row r="478" spans="7:7">
      <c r="G478" s="16"/>
    </row>
    <row r="479" spans="7:7">
      <c r="G479" s="16"/>
    </row>
    <row r="480" spans="7:7">
      <c r="G480" s="16"/>
    </row>
    <row r="481" spans="7:7">
      <c r="G481" s="16"/>
    </row>
    <row r="482" spans="7:7">
      <c r="G482" s="16"/>
    </row>
    <row r="483" spans="7:7">
      <c r="G483" s="16"/>
    </row>
    <row r="484" spans="7:7">
      <c r="G484" s="16"/>
    </row>
    <row r="485" spans="7:7">
      <c r="G485" s="16"/>
    </row>
    <row r="486" spans="7:7">
      <c r="G486" s="16"/>
    </row>
    <row r="487" spans="7:7">
      <c r="G487" s="16"/>
    </row>
    <row r="488" spans="7:7">
      <c r="G488" s="16"/>
    </row>
    <row r="489" spans="7:7">
      <c r="G489" s="16"/>
    </row>
    <row r="490" spans="7:7">
      <c r="G490" s="16"/>
    </row>
    <row r="491" spans="7:7">
      <c r="G491" s="16"/>
    </row>
    <row r="492" spans="7:7">
      <c r="G492" s="16"/>
    </row>
    <row r="493" spans="7:7">
      <c r="G493" s="16"/>
    </row>
    <row r="494" spans="7:7">
      <c r="G494" s="16"/>
    </row>
    <row r="495" spans="7:7">
      <c r="G495" s="16"/>
    </row>
    <row r="496" spans="7:7">
      <c r="G496" s="16"/>
    </row>
    <row r="497" spans="7:7">
      <c r="G497" s="16"/>
    </row>
    <row r="498" spans="7:7">
      <c r="G498" s="16"/>
    </row>
    <row r="499" spans="7:7">
      <c r="G499" s="16"/>
    </row>
    <row r="500" spans="7:7">
      <c r="G500" s="16"/>
    </row>
    <row r="501" spans="7:7">
      <c r="G501" s="16"/>
    </row>
    <row r="502" spans="7:7">
      <c r="G502" s="16"/>
    </row>
    <row r="503" spans="7:7">
      <c r="G503" s="16"/>
    </row>
    <row r="504" spans="7:7">
      <c r="G504" s="16"/>
    </row>
    <row r="505" spans="7:7">
      <c r="G505" s="16"/>
    </row>
    <row r="506" spans="7:7">
      <c r="G506" s="16"/>
    </row>
    <row r="507" spans="7:7">
      <c r="G507" s="16"/>
    </row>
    <row r="508" spans="7:7">
      <c r="G508" s="16"/>
    </row>
    <row r="509" spans="7:7">
      <c r="G509" s="16"/>
    </row>
    <row r="510" spans="7:7">
      <c r="G510" s="16"/>
    </row>
    <row r="511" spans="7:7">
      <c r="G511" s="16"/>
    </row>
    <row r="512" spans="7:7">
      <c r="G512" s="16"/>
    </row>
    <row r="513" spans="7:7">
      <c r="G513" s="16"/>
    </row>
    <row r="514" spans="7:7">
      <c r="G514" s="16"/>
    </row>
    <row r="515" spans="7:7">
      <c r="G515" s="16"/>
    </row>
    <row r="516" spans="7:7">
      <c r="G516" s="16"/>
    </row>
    <row r="517" spans="7:7">
      <c r="G517" s="16"/>
    </row>
    <row r="518" spans="7:7">
      <c r="G518" s="16"/>
    </row>
    <row r="519" spans="7:7">
      <c r="G519" s="16"/>
    </row>
    <row r="520" spans="7:7">
      <c r="G520" s="16"/>
    </row>
    <row r="521" spans="7:7">
      <c r="G521" s="16"/>
    </row>
    <row r="522" spans="7:7">
      <c r="G522" s="16"/>
    </row>
    <row r="523" spans="7:7">
      <c r="G523" s="16"/>
    </row>
    <row r="524" spans="7:7">
      <c r="G524" s="16"/>
    </row>
    <row r="525" spans="7:7">
      <c r="G525" s="16"/>
    </row>
    <row r="526" spans="7:7">
      <c r="G526" s="16"/>
    </row>
    <row r="527" spans="7:7">
      <c r="G527" s="16"/>
    </row>
    <row r="528" spans="7:7">
      <c r="G528" s="16"/>
    </row>
    <row r="529" spans="7:7">
      <c r="G529" s="16"/>
    </row>
    <row r="530" spans="7:7">
      <c r="G530" s="16"/>
    </row>
    <row r="531" spans="7:7">
      <c r="G531" s="16"/>
    </row>
    <row r="532" spans="7:7">
      <c r="G532" s="16"/>
    </row>
    <row r="533" spans="7:7">
      <c r="G533" s="16"/>
    </row>
    <row r="534" spans="7:7">
      <c r="G534" s="16"/>
    </row>
    <row r="535" spans="7:7">
      <c r="G535" s="16"/>
    </row>
    <row r="536" spans="7:7">
      <c r="G536" s="16"/>
    </row>
    <row r="537" spans="7:7">
      <c r="G537" s="16"/>
    </row>
    <row r="538" spans="7:7">
      <c r="G538" s="16"/>
    </row>
    <row r="539" spans="7:7">
      <c r="G539" s="16"/>
    </row>
    <row r="540" spans="7:7">
      <c r="G540" s="16"/>
    </row>
    <row r="541" spans="7:7">
      <c r="G541" s="16"/>
    </row>
    <row r="542" spans="7:7">
      <c r="G542" s="16"/>
    </row>
    <row r="543" spans="7:7">
      <c r="G543" s="16"/>
    </row>
    <row r="544" spans="7:7">
      <c r="G544" s="16"/>
    </row>
    <row r="545" spans="7:7">
      <c r="G545" s="16"/>
    </row>
    <row r="546" spans="7:7">
      <c r="G546" s="16"/>
    </row>
    <row r="547" spans="7:7">
      <c r="G547" s="16"/>
    </row>
    <row r="548" spans="7:7">
      <c r="G548" s="16"/>
    </row>
    <row r="549" spans="7:7">
      <c r="G549" s="16"/>
    </row>
    <row r="550" spans="7:7">
      <c r="G550" s="16"/>
    </row>
    <row r="551" spans="7:7">
      <c r="G551" s="16"/>
    </row>
    <row r="552" spans="7:7">
      <c r="G552" s="16"/>
    </row>
    <row r="553" spans="7:7">
      <c r="G553" s="16"/>
    </row>
    <row r="554" spans="7:7">
      <c r="G554" s="16"/>
    </row>
    <row r="555" spans="7:7">
      <c r="G555" s="16"/>
    </row>
    <row r="556" spans="7:7">
      <c r="G556" s="16"/>
    </row>
    <row r="557" spans="7:7">
      <c r="G557" s="16"/>
    </row>
    <row r="558" spans="7:7">
      <c r="G558" s="16"/>
    </row>
    <row r="559" spans="7:7">
      <c r="G559" s="16"/>
    </row>
    <row r="560" spans="7:7">
      <c r="G560" s="16"/>
    </row>
    <row r="561" spans="7:7">
      <c r="G561" s="16"/>
    </row>
    <row r="562" spans="7:7">
      <c r="G562" s="16"/>
    </row>
    <row r="563" spans="7:7">
      <c r="G563" s="16"/>
    </row>
    <row r="564" spans="7:7">
      <c r="G564" s="16"/>
    </row>
    <row r="565" spans="7:7">
      <c r="G565" s="16"/>
    </row>
    <row r="566" spans="7:7">
      <c r="G566" s="16"/>
    </row>
    <row r="567" spans="7:7">
      <c r="G567" s="16"/>
    </row>
    <row r="568" spans="7:7">
      <c r="G568" s="16"/>
    </row>
    <row r="569" spans="7:7">
      <c r="G569" s="16"/>
    </row>
    <row r="570" spans="7:7">
      <c r="G570" s="16"/>
    </row>
    <row r="571" spans="7:7">
      <c r="G571" s="16"/>
    </row>
    <row r="572" spans="7:7">
      <c r="G572" s="16"/>
    </row>
    <row r="573" spans="7:7">
      <c r="G573" s="16"/>
    </row>
    <row r="574" spans="7:7">
      <c r="G574" s="16"/>
    </row>
    <row r="575" spans="7:7">
      <c r="G575" s="16"/>
    </row>
    <row r="576" spans="7:7">
      <c r="G576" s="16"/>
    </row>
    <row r="577" spans="7:7">
      <c r="G577" s="16"/>
    </row>
    <row r="578" spans="7:7">
      <c r="G578" s="16"/>
    </row>
    <row r="579" spans="7:7">
      <c r="G579" s="16"/>
    </row>
    <row r="580" spans="7:7">
      <c r="G580" s="16"/>
    </row>
    <row r="581" spans="7:7">
      <c r="G581" s="16"/>
    </row>
    <row r="582" spans="7:7">
      <c r="G582" s="16"/>
    </row>
    <row r="583" spans="7:7">
      <c r="G583" s="16"/>
    </row>
    <row r="584" spans="7:7">
      <c r="G584" s="16"/>
    </row>
    <row r="585" spans="7:7">
      <c r="G585" s="16"/>
    </row>
    <row r="586" spans="7:7">
      <c r="G586" s="16"/>
    </row>
    <row r="587" spans="7:7">
      <c r="G587" s="16"/>
    </row>
    <row r="588" spans="7:7">
      <c r="G588" s="16"/>
    </row>
    <row r="589" spans="7:7">
      <c r="G589" s="16"/>
    </row>
    <row r="590" spans="7:7">
      <c r="G590" s="16"/>
    </row>
    <row r="591" spans="7:7">
      <c r="G591" s="16"/>
    </row>
    <row r="592" spans="7:7">
      <c r="G592" s="16"/>
    </row>
    <row r="593" spans="7:7">
      <c r="G593" s="16"/>
    </row>
    <row r="594" spans="7:7">
      <c r="G594" s="16"/>
    </row>
    <row r="595" spans="7:7">
      <c r="G595" s="16"/>
    </row>
    <row r="596" spans="7:7">
      <c r="G596" s="16"/>
    </row>
    <row r="597" spans="7:7">
      <c r="G597" s="16"/>
    </row>
    <row r="598" spans="7:7">
      <c r="G598" s="16"/>
    </row>
    <row r="599" spans="7:7">
      <c r="G599" s="16"/>
    </row>
    <row r="600" spans="7:7">
      <c r="G600" s="16"/>
    </row>
  </sheetData>
  <autoFilter ref="A1:O198" xr:uid="{76C92C97-662F-4286-895F-5D54DECBC586}"/>
  <conditionalFormatting sqref="G2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{4F5FEF04-E38C-4D64-B9DA-4E335BC1EB1D}</x14:id>
        </ext>
      </extLst>
    </cfRule>
  </conditionalFormatting>
  <conditionalFormatting sqref="G3:G60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{7F2B02D6-CFAB-4B2A-998C-0A041EA28CF2}</x14:id>
        </ext>
      </extLst>
    </cfRule>
  </conditionalFormatting>
  <conditionalFormatting sqref="H2:H60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{84331E37-695D-405E-9150-8ED365281B28}</x14:id>
        </ext>
      </extLst>
    </cfRule>
  </conditionalFormatting>
  <conditionalFormatting sqref="E2:E600">
    <cfRule type="containsText" dxfId="11" priority="17" operator="containsText" text="Si">
      <formula>NOT(ISERROR(SEARCH("Si",E2)))</formula>
    </cfRule>
  </conditionalFormatting>
  <conditionalFormatting sqref="N2:N600">
    <cfRule type="colorScale" priority="7">
      <colorScale>
        <cfvo type="min"/>
        <cfvo type="max"/>
        <color rgb="FFFFEF9C"/>
        <color rgb="FF63BE7B"/>
      </colorScale>
    </cfRule>
  </conditionalFormatting>
  <conditionalFormatting sqref="P2:Q601">
    <cfRule type="colorScale" priority="6">
      <colorScale>
        <cfvo type="min"/>
        <cfvo type="max"/>
        <color rgb="FFFFEF9C"/>
        <color rgb="FF63BE7B"/>
      </colorScale>
    </cfRule>
  </conditionalFormatting>
  <conditionalFormatting sqref="C2:C600">
    <cfRule type="cellIs" dxfId="10" priority="1" operator="equal">
      <formula>"A"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"P"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FEF04-E38C-4D64-B9DA-4E335BC1EB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</xm:sqref>
        </x14:conditionalFormatting>
        <x14:conditionalFormatting xmlns:xm="http://schemas.microsoft.com/office/excel/2006/main">
          <x14:cfRule type="dataBar" id="{7F2B02D6-CFAB-4B2A-998C-0A041EA28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G3:G600</xm:sqref>
        </x14:conditionalFormatting>
        <x14:conditionalFormatting xmlns:xm="http://schemas.microsoft.com/office/excel/2006/main">
          <x14:cfRule type="dataBar" id="{84331E37-695D-405E-9150-8ED365281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H2:H601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50C82-C722-4E2F-9E81-BF08D0B03161}">
  <sheetPr codeName="Foglio7"/>
  <dimension ref="A1:Z1000"/>
  <sheetViews>
    <sheetView showGridLines="0" workbookViewId="0">
      <selection activeCell="C19" sqref="C19"/>
    </sheetView>
  </sheetViews>
  <sheetFormatPr defaultRowHeight="15"/>
  <cols>
    <col min="1" max="1" width="10.140625" style="14" bestFit="1" customWidth="1"/>
    <col min="2" max="2" width="16" style="14" bestFit="1" customWidth="1"/>
    <col min="3" max="3" width="15" style="14" bestFit="1" customWidth="1"/>
    <col min="4" max="4" width="11.28515625" style="14" bestFit="1" customWidth="1"/>
    <col min="5" max="5" width="11.140625" style="14" bestFit="1" customWidth="1"/>
    <col min="6" max="6" width="9.42578125" style="14" bestFit="1" customWidth="1"/>
    <col min="7" max="7" width="11.28515625" style="14" bestFit="1" customWidth="1"/>
    <col min="8" max="8" width="12.140625" style="14" bestFit="1" customWidth="1"/>
    <col min="9" max="9" width="3.42578125" style="14" bestFit="1" customWidth="1"/>
    <col min="10" max="11" width="3.28515625" style="14" bestFit="1" customWidth="1"/>
    <col min="12" max="12" width="4.28515625" style="14" bestFit="1" customWidth="1"/>
    <col min="13" max="13" width="4" style="14" bestFit="1" customWidth="1"/>
    <col min="14" max="14" width="5" style="14" bestFit="1" customWidth="1"/>
    <col min="15" max="15" width="38.85546875" style="14" bestFit="1" customWidth="1"/>
    <col min="16" max="16" width="8" style="14" bestFit="1" customWidth="1"/>
    <col min="17" max="16384" width="9.140625" style="14"/>
  </cols>
  <sheetData>
    <row r="1" spans="1:26">
      <c r="A1" s="15" t="s">
        <v>550</v>
      </c>
      <c r="B1" s="11" t="s">
        <v>678</v>
      </c>
      <c r="C1" s="11" t="s">
        <v>645</v>
      </c>
      <c r="D1" s="11" t="s">
        <v>715</v>
      </c>
      <c r="E1" s="11" t="s">
        <v>844</v>
      </c>
      <c r="F1" s="11" t="s">
        <v>856</v>
      </c>
      <c r="G1" s="11" t="s">
        <v>855</v>
      </c>
      <c r="H1" s="11" t="s">
        <v>854</v>
      </c>
      <c r="I1" s="11" t="s">
        <v>862</v>
      </c>
      <c r="J1" s="11" t="s">
        <v>861</v>
      </c>
      <c r="K1" s="11" t="s">
        <v>860</v>
      </c>
      <c r="L1" s="11" t="s">
        <v>580</v>
      </c>
      <c r="M1" s="11" t="s">
        <v>548</v>
      </c>
      <c r="N1" s="11" t="s">
        <v>897</v>
      </c>
      <c r="O1" s="11" t="s">
        <v>716</v>
      </c>
      <c r="P1" s="11" t="s">
        <v>857</v>
      </c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>
      <c r="A2" s="10" t="s">
        <v>563</v>
      </c>
      <c r="B2" s="10" t="s">
        <v>707</v>
      </c>
      <c r="C2" s="10" t="s">
        <v>63</v>
      </c>
      <c r="D2" s="10">
        <v>40</v>
      </c>
      <c r="E2" s="10" t="s">
        <v>724</v>
      </c>
      <c r="F2" s="10">
        <v>0</v>
      </c>
      <c r="G2" s="10">
        <v>95</v>
      </c>
      <c r="H2" s="10">
        <v>0</v>
      </c>
      <c r="I2" s="10">
        <v>34</v>
      </c>
      <c r="J2" s="10">
        <v>0</v>
      </c>
      <c r="K2" s="10">
        <v>37</v>
      </c>
      <c r="L2" s="10">
        <v>0</v>
      </c>
      <c r="M2" s="10">
        <v>0</v>
      </c>
      <c r="N2" s="10">
        <v>6.25</v>
      </c>
      <c r="O2" s="10" t="s">
        <v>858</v>
      </c>
      <c r="P2" s="10">
        <v>98</v>
      </c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>
      <c r="A3" s="10" t="s">
        <v>565</v>
      </c>
      <c r="B3" s="10" t="s">
        <v>775</v>
      </c>
      <c r="C3" s="10" t="s">
        <v>63</v>
      </c>
      <c r="D3" s="10">
        <v>20</v>
      </c>
      <c r="E3" s="10" t="s">
        <v>724</v>
      </c>
      <c r="F3" s="10">
        <v>0</v>
      </c>
      <c r="G3" s="10">
        <v>95</v>
      </c>
      <c r="H3" s="10">
        <v>0</v>
      </c>
      <c r="I3" s="10">
        <v>33</v>
      </c>
      <c r="J3" s="10">
        <v>0</v>
      </c>
      <c r="K3" s="10">
        <v>32</v>
      </c>
      <c r="L3" s="10">
        <v>0</v>
      </c>
      <c r="M3" s="10">
        <v>0</v>
      </c>
      <c r="N3" s="10">
        <v>6.35</v>
      </c>
      <c r="O3" s="10" t="s">
        <v>776</v>
      </c>
      <c r="P3" s="10">
        <v>83</v>
      </c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>
      <c r="A4" s="10" t="s">
        <v>573</v>
      </c>
      <c r="C4" s="10" t="s">
        <v>63</v>
      </c>
      <c r="D4" s="10">
        <v>16</v>
      </c>
      <c r="E4" s="10" t="s">
        <v>724</v>
      </c>
      <c r="F4" s="10">
        <v>0</v>
      </c>
      <c r="G4" s="10">
        <v>95</v>
      </c>
      <c r="H4" s="10">
        <v>0</v>
      </c>
      <c r="I4" s="10">
        <v>38</v>
      </c>
      <c r="J4" s="10">
        <v>0</v>
      </c>
      <c r="K4" s="10">
        <v>35</v>
      </c>
      <c r="L4" s="10">
        <v>0</v>
      </c>
      <c r="M4" s="10">
        <v>0</v>
      </c>
      <c r="N4" s="10">
        <v>6.3</v>
      </c>
      <c r="O4" s="10" t="s">
        <v>799</v>
      </c>
      <c r="P4" s="10">
        <v>76</v>
      </c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>
      <c r="A5" s="10" t="s">
        <v>570</v>
      </c>
      <c r="B5" s="10" t="s">
        <v>962</v>
      </c>
      <c r="C5" s="10" t="s">
        <v>63</v>
      </c>
      <c r="D5" s="10">
        <v>16</v>
      </c>
      <c r="E5" s="10" t="s">
        <v>724</v>
      </c>
      <c r="F5" s="10">
        <v>0</v>
      </c>
      <c r="G5" s="10">
        <v>60</v>
      </c>
      <c r="H5" s="10">
        <v>0</v>
      </c>
      <c r="I5" s="10">
        <v>28</v>
      </c>
      <c r="J5" s="10">
        <v>0</v>
      </c>
      <c r="K5" s="10">
        <v>0</v>
      </c>
      <c r="L5" s="10">
        <v>0</v>
      </c>
      <c r="M5" s="10">
        <v>0</v>
      </c>
      <c r="N5" s="10">
        <v>6.2</v>
      </c>
      <c r="O5" s="10" t="s">
        <v>967</v>
      </c>
      <c r="P5" s="10">
        <v>76</v>
      </c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>
      <c r="A6" s="10" t="s">
        <v>566</v>
      </c>
      <c r="B6" s="10" t="s">
        <v>829</v>
      </c>
      <c r="C6" s="10" t="s">
        <v>63</v>
      </c>
      <c r="D6" s="10">
        <v>18</v>
      </c>
      <c r="E6" s="10" t="s">
        <v>724</v>
      </c>
      <c r="F6" s="10">
        <v>0</v>
      </c>
      <c r="G6" s="10">
        <v>95</v>
      </c>
      <c r="H6" s="10">
        <v>0</v>
      </c>
      <c r="I6" s="10">
        <v>38</v>
      </c>
      <c r="J6" s="10">
        <v>0</v>
      </c>
      <c r="K6" s="10">
        <v>39</v>
      </c>
      <c r="L6" s="10">
        <v>0</v>
      </c>
      <c r="M6" s="10">
        <v>0</v>
      </c>
      <c r="N6" s="10">
        <v>6.35</v>
      </c>
      <c r="O6" s="10" t="s">
        <v>830</v>
      </c>
      <c r="P6" s="10">
        <v>74</v>
      </c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>
      <c r="A7" s="10" t="s">
        <v>551</v>
      </c>
      <c r="B7" s="10" t="s">
        <v>679</v>
      </c>
      <c r="C7" s="10" t="s">
        <v>63</v>
      </c>
      <c r="D7" s="10">
        <v>15</v>
      </c>
      <c r="E7" s="10" t="s">
        <v>724</v>
      </c>
      <c r="F7" s="10">
        <v>0</v>
      </c>
      <c r="G7" s="10">
        <v>95</v>
      </c>
      <c r="H7" s="10">
        <v>0</v>
      </c>
      <c r="I7" s="10">
        <v>33</v>
      </c>
      <c r="J7" s="10">
        <v>0</v>
      </c>
      <c r="K7" s="10">
        <v>38</v>
      </c>
      <c r="L7" s="10">
        <v>0</v>
      </c>
      <c r="M7" s="10">
        <v>0</v>
      </c>
      <c r="N7" s="10">
        <v>6.2</v>
      </c>
      <c r="O7" s="10" t="s">
        <v>759</v>
      </c>
      <c r="P7" s="10">
        <v>72</v>
      </c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>
      <c r="A8" s="10" t="s">
        <v>560</v>
      </c>
      <c r="B8" s="10" t="s">
        <v>913</v>
      </c>
      <c r="C8" s="10" t="s">
        <v>63</v>
      </c>
      <c r="D8" s="10">
        <v>10</v>
      </c>
      <c r="E8" s="10" t="s">
        <v>724</v>
      </c>
      <c r="F8" s="10">
        <v>0</v>
      </c>
      <c r="G8" s="10">
        <v>90</v>
      </c>
      <c r="H8" s="10">
        <v>0</v>
      </c>
      <c r="I8" s="10">
        <v>34</v>
      </c>
      <c r="J8" s="10">
        <v>0</v>
      </c>
      <c r="K8" s="10">
        <v>30</v>
      </c>
      <c r="L8" s="10">
        <v>0</v>
      </c>
      <c r="M8" s="10">
        <v>0</v>
      </c>
      <c r="N8" s="10">
        <v>6.2</v>
      </c>
      <c r="O8" s="10" t="s">
        <v>914</v>
      </c>
      <c r="P8" s="10">
        <v>70</v>
      </c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>
      <c r="A9" s="10" t="s">
        <v>553</v>
      </c>
      <c r="B9" s="10" t="s">
        <v>686</v>
      </c>
      <c r="C9" s="10" t="s">
        <v>63</v>
      </c>
      <c r="D9" s="10">
        <v>10</v>
      </c>
      <c r="E9" s="10" t="s">
        <v>724</v>
      </c>
      <c r="F9" s="10">
        <v>0</v>
      </c>
      <c r="G9" s="10">
        <v>95</v>
      </c>
      <c r="H9" s="10">
        <v>0</v>
      </c>
      <c r="I9" s="10">
        <v>36</v>
      </c>
      <c r="J9" s="10">
        <v>0</v>
      </c>
      <c r="K9" s="10">
        <v>45</v>
      </c>
      <c r="L9" s="10">
        <v>0</v>
      </c>
      <c r="M9" s="10">
        <v>0</v>
      </c>
      <c r="N9" s="10">
        <v>6.1</v>
      </c>
      <c r="O9" s="10" t="s">
        <v>922</v>
      </c>
      <c r="P9" s="10">
        <v>60</v>
      </c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>
      <c r="A10" s="10" t="s">
        <v>570</v>
      </c>
      <c r="B10" s="10" t="s">
        <v>961</v>
      </c>
      <c r="C10" s="10" t="s">
        <v>63</v>
      </c>
      <c r="D10" s="10">
        <v>18</v>
      </c>
      <c r="E10" s="10" t="s">
        <v>724</v>
      </c>
      <c r="F10" s="10">
        <v>0</v>
      </c>
      <c r="G10" s="10">
        <v>40</v>
      </c>
      <c r="H10" s="10">
        <v>0</v>
      </c>
      <c r="I10" s="10">
        <v>30</v>
      </c>
      <c r="J10" s="10">
        <v>0</v>
      </c>
      <c r="K10" s="10">
        <v>0</v>
      </c>
      <c r="L10" s="10">
        <v>0</v>
      </c>
      <c r="M10" s="10">
        <v>0</v>
      </c>
      <c r="N10" s="10">
        <v>6.1</v>
      </c>
      <c r="O10" s="10" t="s">
        <v>968</v>
      </c>
      <c r="P10" s="10">
        <v>58</v>
      </c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>
      <c r="A11" s="10" t="s">
        <v>555</v>
      </c>
      <c r="B11" s="10" t="s">
        <v>692</v>
      </c>
      <c r="C11" s="10" t="s">
        <v>63</v>
      </c>
      <c r="D11" s="10">
        <v>9</v>
      </c>
      <c r="E11" s="10" t="s">
        <v>724</v>
      </c>
      <c r="F11" s="10">
        <v>0</v>
      </c>
      <c r="G11" s="10">
        <v>90</v>
      </c>
      <c r="H11" s="10">
        <v>0</v>
      </c>
      <c r="I11" s="10">
        <v>35</v>
      </c>
      <c r="J11" s="10">
        <v>0</v>
      </c>
      <c r="K11" s="10">
        <v>42</v>
      </c>
      <c r="L11" s="10">
        <v>0</v>
      </c>
      <c r="M11" s="10">
        <v>0</v>
      </c>
      <c r="N11" s="10">
        <v>6.1</v>
      </c>
      <c r="O11" s="10" t="s">
        <v>937</v>
      </c>
      <c r="P11" s="10">
        <v>57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>
      <c r="A14" s="11" t="s">
        <v>550</v>
      </c>
      <c r="B14" s="11" t="s">
        <v>678</v>
      </c>
      <c r="C14" s="11" t="s">
        <v>645</v>
      </c>
      <c r="D14" s="11" t="s">
        <v>715</v>
      </c>
      <c r="E14" s="11" t="s">
        <v>844</v>
      </c>
      <c r="F14" s="11" t="s">
        <v>856</v>
      </c>
      <c r="G14" s="11" t="s">
        <v>855</v>
      </c>
      <c r="H14" s="11" t="s">
        <v>854</v>
      </c>
      <c r="I14" s="11" t="s">
        <v>862</v>
      </c>
      <c r="J14" s="11" t="s">
        <v>861</v>
      </c>
      <c r="K14" s="11" t="s">
        <v>860</v>
      </c>
      <c r="L14" s="11" t="s">
        <v>580</v>
      </c>
      <c r="M14" s="11" t="s">
        <v>548</v>
      </c>
      <c r="N14" s="11" t="s">
        <v>897</v>
      </c>
      <c r="O14" s="11" t="s">
        <v>716</v>
      </c>
      <c r="P14" s="11" t="s">
        <v>857</v>
      </c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>
      <c r="A15" s="10" t="s">
        <v>563</v>
      </c>
      <c r="B15" s="10" t="s">
        <v>663</v>
      </c>
      <c r="C15" s="10" t="s">
        <v>41</v>
      </c>
      <c r="D15" s="10">
        <v>18</v>
      </c>
      <c r="E15" s="10" t="s">
        <v>724</v>
      </c>
      <c r="F15" s="10">
        <v>0</v>
      </c>
      <c r="G15" s="10">
        <v>95</v>
      </c>
      <c r="H15" s="10">
        <v>10</v>
      </c>
      <c r="I15" s="10">
        <v>33</v>
      </c>
      <c r="J15" s="10">
        <v>4</v>
      </c>
      <c r="K15" s="10">
        <v>0</v>
      </c>
      <c r="L15" s="10">
        <v>6</v>
      </c>
      <c r="M15" s="10">
        <v>1</v>
      </c>
      <c r="N15" s="10">
        <v>6.7</v>
      </c>
      <c r="O15" s="10" t="s">
        <v>717</v>
      </c>
      <c r="P15" s="10">
        <v>133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>
      <c r="A16" s="10" t="s">
        <v>570</v>
      </c>
      <c r="B16" s="10" t="s">
        <v>972</v>
      </c>
      <c r="C16" s="10" t="s">
        <v>41</v>
      </c>
      <c r="D16" s="10">
        <v>35</v>
      </c>
      <c r="E16" s="10" t="s">
        <v>724</v>
      </c>
      <c r="F16" s="10">
        <v>0</v>
      </c>
      <c r="G16" s="10">
        <v>90</v>
      </c>
      <c r="H16" s="10">
        <v>0</v>
      </c>
      <c r="I16" s="10">
        <v>30</v>
      </c>
      <c r="J16" s="10">
        <v>2</v>
      </c>
      <c r="K16" s="10">
        <v>0</v>
      </c>
      <c r="L16" s="10">
        <v>1</v>
      </c>
      <c r="M16" s="10">
        <v>0</v>
      </c>
      <c r="N16" s="10">
        <v>6.5</v>
      </c>
      <c r="O16" s="10" t="s">
        <v>718</v>
      </c>
      <c r="P16" s="10">
        <v>128</v>
      </c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>
      <c r="A17" s="10" t="s">
        <v>563</v>
      </c>
      <c r="B17" s="10" t="s">
        <v>708</v>
      </c>
      <c r="C17" s="10" t="s">
        <v>41</v>
      </c>
      <c r="D17" s="10">
        <v>25</v>
      </c>
      <c r="E17" s="10" t="s">
        <v>724</v>
      </c>
      <c r="F17" s="10">
        <v>0</v>
      </c>
      <c r="G17" s="10">
        <v>95</v>
      </c>
      <c r="H17" s="10">
        <v>0</v>
      </c>
      <c r="I17" s="10">
        <v>32</v>
      </c>
      <c r="J17" s="10">
        <v>2</v>
      </c>
      <c r="K17" s="10">
        <v>0</v>
      </c>
      <c r="L17" s="10">
        <v>2</v>
      </c>
      <c r="M17" s="10">
        <v>0</v>
      </c>
      <c r="N17" s="10">
        <v>6.35</v>
      </c>
      <c r="O17" s="10" t="s">
        <v>746</v>
      </c>
      <c r="P17" s="10">
        <v>123</v>
      </c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>
      <c r="A18" s="10" t="s">
        <v>570</v>
      </c>
      <c r="B18" s="10" t="s">
        <v>969</v>
      </c>
      <c r="C18" s="10" t="s">
        <v>41</v>
      </c>
      <c r="D18" s="10">
        <v>12</v>
      </c>
      <c r="E18" s="10" t="s">
        <v>724</v>
      </c>
      <c r="F18" s="10">
        <v>0</v>
      </c>
      <c r="G18" s="10">
        <v>90</v>
      </c>
      <c r="H18" s="10">
        <v>10</v>
      </c>
      <c r="I18" s="10">
        <v>36</v>
      </c>
      <c r="J18" s="10">
        <v>2</v>
      </c>
      <c r="K18" s="10">
        <v>0</v>
      </c>
      <c r="L18" s="10">
        <v>4</v>
      </c>
      <c r="M18" s="10">
        <v>1</v>
      </c>
      <c r="N18" s="10">
        <v>6.4</v>
      </c>
      <c r="O18" s="10" t="s">
        <v>717</v>
      </c>
      <c r="P18" s="10">
        <v>118</v>
      </c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>
      <c r="A19" s="10" t="s">
        <v>563</v>
      </c>
      <c r="B19" s="10" t="s">
        <v>727</v>
      </c>
      <c r="C19" s="10" t="s">
        <v>41</v>
      </c>
      <c r="D19" s="10">
        <v>21</v>
      </c>
      <c r="E19" s="10" t="s">
        <v>724</v>
      </c>
      <c r="F19" s="10">
        <v>0</v>
      </c>
      <c r="G19" s="10">
        <v>90</v>
      </c>
      <c r="H19" s="10">
        <v>0</v>
      </c>
      <c r="I19" s="10">
        <v>30</v>
      </c>
      <c r="J19" s="10">
        <v>1</v>
      </c>
      <c r="K19" s="10">
        <v>0</v>
      </c>
      <c r="L19" s="10">
        <v>1</v>
      </c>
      <c r="M19" s="10">
        <v>0</v>
      </c>
      <c r="N19" s="10">
        <v>6.3</v>
      </c>
      <c r="O19" s="10" t="s">
        <v>747</v>
      </c>
      <c r="P19" s="10">
        <v>113</v>
      </c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>
      <c r="A20" s="10" t="s">
        <v>573</v>
      </c>
      <c r="B20" s="10" t="s">
        <v>721</v>
      </c>
      <c r="C20" s="10" t="s">
        <v>41</v>
      </c>
      <c r="D20" s="10">
        <v>20</v>
      </c>
      <c r="E20" s="10" t="s">
        <v>724</v>
      </c>
      <c r="F20" s="10">
        <v>0</v>
      </c>
      <c r="G20" s="10">
        <v>90</v>
      </c>
      <c r="H20" s="10">
        <v>0</v>
      </c>
      <c r="I20" s="10">
        <v>34</v>
      </c>
      <c r="J20" s="10">
        <v>3</v>
      </c>
      <c r="K20" s="10">
        <v>0</v>
      </c>
      <c r="L20" s="10">
        <v>1</v>
      </c>
      <c r="M20" s="10">
        <v>0</v>
      </c>
      <c r="N20" s="10">
        <v>6.4</v>
      </c>
      <c r="O20" s="10" t="s">
        <v>801</v>
      </c>
      <c r="P20" s="10">
        <v>113</v>
      </c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>
      <c r="A21" s="10" t="s">
        <v>565</v>
      </c>
      <c r="B21" s="10" t="s">
        <v>720</v>
      </c>
      <c r="C21" s="10" t="s">
        <v>41</v>
      </c>
      <c r="D21" s="10">
        <v>16</v>
      </c>
      <c r="E21" s="10" t="s">
        <v>724</v>
      </c>
      <c r="F21" s="10">
        <v>0</v>
      </c>
      <c r="G21" s="10">
        <v>90</v>
      </c>
      <c r="H21" s="10">
        <v>0</v>
      </c>
      <c r="I21" s="10">
        <v>34</v>
      </c>
      <c r="J21" s="10">
        <v>3</v>
      </c>
      <c r="K21" s="10">
        <v>0</v>
      </c>
      <c r="L21" s="10">
        <v>4</v>
      </c>
      <c r="M21" s="10">
        <v>0</v>
      </c>
      <c r="N21" s="10">
        <v>6.5</v>
      </c>
      <c r="O21" s="10" t="s">
        <v>717</v>
      </c>
      <c r="P21" s="10">
        <v>112</v>
      </c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>
      <c r="A22" s="10" t="s">
        <v>566</v>
      </c>
      <c r="B22" s="10" t="s">
        <v>832</v>
      </c>
      <c r="C22" s="10" t="s">
        <v>41</v>
      </c>
      <c r="D22" s="10">
        <v>16</v>
      </c>
      <c r="E22" s="10" t="s">
        <v>724</v>
      </c>
      <c r="F22" s="10">
        <v>0</v>
      </c>
      <c r="G22" s="10">
        <v>90</v>
      </c>
      <c r="H22" s="10">
        <v>0</v>
      </c>
      <c r="I22" s="10">
        <v>34</v>
      </c>
      <c r="J22" s="10">
        <v>2</v>
      </c>
      <c r="K22" s="10">
        <v>0</v>
      </c>
      <c r="L22" s="10">
        <v>1</v>
      </c>
      <c r="M22" s="10">
        <v>0</v>
      </c>
      <c r="N22" s="10">
        <v>6.4</v>
      </c>
      <c r="O22" s="10" t="s">
        <v>718</v>
      </c>
      <c r="P22" s="10">
        <v>108</v>
      </c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>
      <c r="A23" s="10" t="s">
        <v>573</v>
      </c>
      <c r="B23" s="10" t="s">
        <v>802</v>
      </c>
      <c r="C23" s="10" t="s">
        <v>41</v>
      </c>
      <c r="D23" s="10">
        <v>14</v>
      </c>
      <c r="E23" s="10" t="s">
        <v>724</v>
      </c>
      <c r="F23" s="10">
        <v>0</v>
      </c>
      <c r="G23" s="10">
        <v>85</v>
      </c>
      <c r="H23" s="10">
        <v>0</v>
      </c>
      <c r="I23" s="10">
        <v>30</v>
      </c>
      <c r="J23" s="10">
        <v>2</v>
      </c>
      <c r="K23" s="10">
        <v>0</v>
      </c>
      <c r="L23" s="10">
        <v>1</v>
      </c>
      <c r="M23" s="10">
        <v>0</v>
      </c>
      <c r="N23" s="10">
        <v>6.25</v>
      </c>
      <c r="O23" s="10" t="s">
        <v>803</v>
      </c>
      <c r="P23" s="10">
        <v>102</v>
      </c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>
      <c r="A24" s="10" t="s">
        <v>553</v>
      </c>
      <c r="B24" s="10" t="s">
        <v>924</v>
      </c>
      <c r="C24" s="10" t="s">
        <v>41</v>
      </c>
      <c r="D24" s="10">
        <v>9</v>
      </c>
      <c r="E24" s="10" t="s">
        <v>724</v>
      </c>
      <c r="F24" s="10">
        <v>0</v>
      </c>
      <c r="G24" s="10">
        <v>90</v>
      </c>
      <c r="H24" s="10">
        <v>0</v>
      </c>
      <c r="I24" s="10">
        <v>34</v>
      </c>
      <c r="J24" s="10">
        <v>2</v>
      </c>
      <c r="K24" s="10">
        <v>0</v>
      </c>
      <c r="L24" s="10">
        <v>2</v>
      </c>
      <c r="M24" s="10">
        <v>0</v>
      </c>
      <c r="N24" s="10">
        <v>6.2</v>
      </c>
      <c r="O24" s="10" t="s">
        <v>925</v>
      </c>
      <c r="P24" s="10">
        <v>102</v>
      </c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>
      <c r="A25" s="10" t="s">
        <v>566</v>
      </c>
      <c r="B25" s="10" t="s">
        <v>900</v>
      </c>
      <c r="C25" s="10" t="s">
        <v>41</v>
      </c>
      <c r="D25" s="10">
        <v>12</v>
      </c>
      <c r="E25" s="10" t="s">
        <v>724</v>
      </c>
      <c r="F25" s="10">
        <v>0</v>
      </c>
      <c r="G25" s="10">
        <v>85</v>
      </c>
      <c r="H25" s="10">
        <v>0</v>
      </c>
      <c r="I25" s="10">
        <v>32</v>
      </c>
      <c r="J25" s="10">
        <v>1</v>
      </c>
      <c r="K25" s="10">
        <v>0</v>
      </c>
      <c r="L25" s="10">
        <v>4</v>
      </c>
      <c r="M25" s="10">
        <v>0</v>
      </c>
      <c r="N25" s="10">
        <v>6.3</v>
      </c>
      <c r="O25" s="10" t="s">
        <v>718</v>
      </c>
      <c r="P25" s="10">
        <v>101</v>
      </c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>
      <c r="A26" s="10" t="s">
        <v>565</v>
      </c>
      <c r="B26" s="10" t="s">
        <v>779</v>
      </c>
      <c r="C26" s="10" t="s">
        <v>41</v>
      </c>
      <c r="D26" s="10">
        <v>14</v>
      </c>
      <c r="E26" s="10" t="s">
        <v>724</v>
      </c>
      <c r="F26" s="10">
        <v>0</v>
      </c>
      <c r="G26" s="10">
        <v>85</v>
      </c>
      <c r="H26" s="10">
        <v>0</v>
      </c>
      <c r="I26" s="10">
        <v>32</v>
      </c>
      <c r="J26" s="10">
        <v>2</v>
      </c>
      <c r="K26" s="10">
        <v>0</v>
      </c>
      <c r="L26" s="10">
        <v>1</v>
      </c>
      <c r="M26" s="10">
        <v>0</v>
      </c>
      <c r="N26" s="10">
        <v>6.3</v>
      </c>
      <c r="O26" s="10" t="s">
        <v>780</v>
      </c>
      <c r="P26" s="10">
        <v>101</v>
      </c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>
      <c r="A27" s="10" t="s">
        <v>570</v>
      </c>
      <c r="B27" s="10" t="s">
        <v>970</v>
      </c>
      <c r="C27" s="10" t="s">
        <v>41</v>
      </c>
      <c r="D27" s="10">
        <v>28</v>
      </c>
      <c r="E27" s="10" t="s">
        <v>724</v>
      </c>
      <c r="F27" s="10">
        <v>0</v>
      </c>
      <c r="G27" s="10">
        <v>70</v>
      </c>
      <c r="H27" s="10">
        <v>0</v>
      </c>
      <c r="I27" s="10">
        <v>32</v>
      </c>
      <c r="J27" s="10">
        <v>1</v>
      </c>
      <c r="K27" s="10">
        <v>0</v>
      </c>
      <c r="L27" s="10">
        <v>2</v>
      </c>
      <c r="M27" s="10">
        <v>0</v>
      </c>
      <c r="N27" s="10">
        <v>6.3</v>
      </c>
      <c r="O27" s="10" t="s">
        <v>971</v>
      </c>
      <c r="P27" s="10">
        <v>100</v>
      </c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>
      <c r="A28" s="10" t="s">
        <v>551</v>
      </c>
      <c r="B28" s="10" t="s">
        <v>659</v>
      </c>
      <c r="C28" s="10" t="s">
        <v>41</v>
      </c>
      <c r="D28" s="10">
        <v>11</v>
      </c>
      <c r="E28" s="10" t="s">
        <v>724</v>
      </c>
      <c r="F28" s="10">
        <v>0</v>
      </c>
      <c r="G28" s="10">
        <v>85</v>
      </c>
      <c r="H28" s="10">
        <v>0</v>
      </c>
      <c r="I28" s="10">
        <v>32</v>
      </c>
      <c r="J28" s="10">
        <v>1</v>
      </c>
      <c r="K28" s="10">
        <v>0</v>
      </c>
      <c r="L28" s="10">
        <v>4</v>
      </c>
      <c r="M28" s="10">
        <v>0</v>
      </c>
      <c r="N28" s="10">
        <v>6.4</v>
      </c>
      <c r="O28" s="10" t="s">
        <v>718</v>
      </c>
      <c r="P28" s="10">
        <v>100</v>
      </c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>
      <c r="A29" s="10" t="s">
        <v>555</v>
      </c>
      <c r="B29" s="10" t="s">
        <v>668</v>
      </c>
      <c r="C29" s="10" t="s">
        <v>41</v>
      </c>
      <c r="D29" s="10">
        <v>8</v>
      </c>
      <c r="E29" s="10" t="s">
        <v>724</v>
      </c>
      <c r="F29" s="10">
        <v>0</v>
      </c>
      <c r="G29" s="10">
        <v>85</v>
      </c>
      <c r="H29" s="10">
        <v>0</v>
      </c>
      <c r="I29" s="10">
        <v>32</v>
      </c>
      <c r="J29" s="10">
        <v>2</v>
      </c>
      <c r="K29" s="10">
        <v>0</v>
      </c>
      <c r="L29" s="10">
        <v>2</v>
      </c>
      <c r="M29" s="10">
        <v>0</v>
      </c>
      <c r="N29" s="10">
        <v>6.2</v>
      </c>
      <c r="O29" s="10" t="s">
        <v>694</v>
      </c>
      <c r="P29" s="10">
        <v>96</v>
      </c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>
      <c r="A30" s="10" t="s">
        <v>560</v>
      </c>
      <c r="B30" s="10" t="s">
        <v>847</v>
      </c>
      <c r="C30" s="10" t="s">
        <v>41</v>
      </c>
      <c r="D30" s="10">
        <v>8</v>
      </c>
      <c r="E30" s="10" t="s">
        <v>724</v>
      </c>
      <c r="F30" s="10">
        <v>0</v>
      </c>
      <c r="G30" s="10">
        <v>85</v>
      </c>
      <c r="H30" s="10">
        <v>0</v>
      </c>
      <c r="I30" s="10">
        <v>32</v>
      </c>
      <c r="J30" s="10">
        <v>1</v>
      </c>
      <c r="K30" s="10">
        <v>0</v>
      </c>
      <c r="L30" s="10">
        <v>3</v>
      </c>
      <c r="M30" s="10">
        <v>0</v>
      </c>
      <c r="N30" s="10">
        <v>6.1</v>
      </c>
      <c r="O30" s="10" t="s">
        <v>915</v>
      </c>
      <c r="P30" s="10">
        <v>96</v>
      </c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>
      <c r="A31" s="10" t="s">
        <v>560</v>
      </c>
      <c r="B31" s="10" t="s">
        <v>703</v>
      </c>
      <c r="C31" s="10" t="s">
        <v>41</v>
      </c>
      <c r="D31" s="10">
        <v>9</v>
      </c>
      <c r="E31" s="10" t="s">
        <v>724</v>
      </c>
      <c r="F31" s="10">
        <v>0</v>
      </c>
      <c r="G31" s="10">
        <v>80</v>
      </c>
      <c r="H31" s="10">
        <v>0</v>
      </c>
      <c r="I31" s="10">
        <v>30</v>
      </c>
      <c r="J31" s="10">
        <v>2</v>
      </c>
      <c r="K31" s="10">
        <v>0</v>
      </c>
      <c r="L31" s="10">
        <v>4</v>
      </c>
      <c r="M31" s="10">
        <v>0</v>
      </c>
      <c r="N31" s="10">
        <v>6.3</v>
      </c>
      <c r="O31" s="10" t="s">
        <v>916</v>
      </c>
      <c r="P31" s="10">
        <v>95</v>
      </c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>
      <c r="A32" s="10" t="s">
        <v>573</v>
      </c>
      <c r="B32" s="10" t="s">
        <v>806</v>
      </c>
      <c r="C32" s="10" t="s">
        <v>41</v>
      </c>
      <c r="D32" s="10">
        <v>10</v>
      </c>
      <c r="E32" s="10" t="s">
        <v>724</v>
      </c>
      <c r="F32" s="10">
        <v>0</v>
      </c>
      <c r="G32" s="10">
        <v>80</v>
      </c>
      <c r="H32" s="10">
        <v>0</v>
      </c>
      <c r="I32" s="10">
        <v>28</v>
      </c>
      <c r="J32" s="10">
        <v>2</v>
      </c>
      <c r="K32" s="10">
        <v>0</v>
      </c>
      <c r="L32" s="10">
        <v>3</v>
      </c>
      <c r="M32" s="10">
        <v>0</v>
      </c>
      <c r="N32" s="10">
        <v>6.3</v>
      </c>
      <c r="O32" s="10" t="s">
        <v>807</v>
      </c>
      <c r="P32" s="10">
        <v>95</v>
      </c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A33" s="10" t="s">
        <v>553</v>
      </c>
      <c r="B33" s="10" t="s">
        <v>687</v>
      </c>
      <c r="C33" s="10" t="s">
        <v>41</v>
      </c>
      <c r="D33" s="10">
        <v>7</v>
      </c>
      <c r="E33" s="10" t="s">
        <v>724</v>
      </c>
      <c r="F33" s="10">
        <v>0</v>
      </c>
      <c r="G33" s="10">
        <v>85</v>
      </c>
      <c r="H33" s="10">
        <v>0</v>
      </c>
      <c r="I33" s="10">
        <v>32</v>
      </c>
      <c r="J33" s="10">
        <v>0</v>
      </c>
      <c r="K33" s="10">
        <v>0</v>
      </c>
      <c r="L33" s="10">
        <v>2</v>
      </c>
      <c r="M33" s="10">
        <v>0</v>
      </c>
      <c r="N33" s="10">
        <v>6</v>
      </c>
      <c r="O33" s="10" t="s">
        <v>723</v>
      </c>
      <c r="P33" s="10">
        <v>94</v>
      </c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A34" s="10" t="s">
        <v>570</v>
      </c>
      <c r="B34" s="10" t="s">
        <v>973</v>
      </c>
      <c r="C34" s="10" t="s">
        <v>41</v>
      </c>
      <c r="D34" s="10">
        <v>20</v>
      </c>
      <c r="E34" s="10" t="s">
        <v>974</v>
      </c>
      <c r="F34" s="10">
        <v>10</v>
      </c>
      <c r="G34" s="10">
        <v>80</v>
      </c>
      <c r="H34" s="10">
        <v>0</v>
      </c>
      <c r="I34" s="10">
        <v>28</v>
      </c>
      <c r="J34" s="10">
        <v>1</v>
      </c>
      <c r="K34" s="10">
        <v>0</v>
      </c>
      <c r="L34" s="10">
        <v>3</v>
      </c>
      <c r="M34" s="10">
        <v>0</v>
      </c>
      <c r="N34" s="10">
        <v>6.2</v>
      </c>
      <c r="O34" s="10" t="s">
        <v>975</v>
      </c>
      <c r="P34" s="10">
        <v>94</v>
      </c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A35" s="10" t="s">
        <v>551</v>
      </c>
      <c r="B35" s="10" t="s">
        <v>681</v>
      </c>
      <c r="C35" s="10" t="s">
        <v>41</v>
      </c>
      <c r="D35" s="10">
        <v>9</v>
      </c>
      <c r="E35" s="10" t="s">
        <v>724</v>
      </c>
      <c r="F35" s="10">
        <v>0</v>
      </c>
      <c r="G35" s="10">
        <v>80</v>
      </c>
      <c r="H35" s="10">
        <v>0</v>
      </c>
      <c r="I35" s="10">
        <v>30</v>
      </c>
      <c r="J35" s="10">
        <v>1</v>
      </c>
      <c r="K35" s="10">
        <v>0</v>
      </c>
      <c r="L35" s="10">
        <v>2</v>
      </c>
      <c r="M35" s="10">
        <v>0</v>
      </c>
      <c r="N35" s="10">
        <v>6.25</v>
      </c>
      <c r="O35" s="10" t="s">
        <v>718</v>
      </c>
      <c r="P35" s="10">
        <v>92</v>
      </c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s="10" t="s">
        <v>553</v>
      </c>
      <c r="B36" s="10" t="s">
        <v>688</v>
      </c>
      <c r="C36" s="10" t="s">
        <v>41</v>
      </c>
      <c r="D36" s="10">
        <v>8</v>
      </c>
      <c r="E36" s="10" t="s">
        <v>724</v>
      </c>
      <c r="F36" s="10">
        <v>0</v>
      </c>
      <c r="G36" s="10">
        <v>80</v>
      </c>
      <c r="H36" s="10">
        <v>0</v>
      </c>
      <c r="I36" s="10">
        <v>30</v>
      </c>
      <c r="J36" s="10">
        <v>1</v>
      </c>
      <c r="K36" s="10">
        <v>0</v>
      </c>
      <c r="L36" s="10">
        <v>3</v>
      </c>
      <c r="M36" s="10">
        <v>0</v>
      </c>
      <c r="N36" s="10">
        <v>6.3</v>
      </c>
      <c r="O36" s="10" t="s">
        <v>926</v>
      </c>
      <c r="P36" s="10">
        <v>92</v>
      </c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A37" s="10" t="s">
        <v>565</v>
      </c>
      <c r="B37" s="10" t="s">
        <v>719</v>
      </c>
      <c r="C37" s="10" t="s">
        <v>41</v>
      </c>
      <c r="D37" s="10">
        <v>22</v>
      </c>
      <c r="E37" s="10" t="s">
        <v>974</v>
      </c>
      <c r="F37" s="10">
        <v>15</v>
      </c>
      <c r="G37" s="10">
        <v>80</v>
      </c>
      <c r="H37" s="10">
        <v>0</v>
      </c>
      <c r="I37" s="10">
        <v>30</v>
      </c>
      <c r="J37" s="10">
        <v>3</v>
      </c>
      <c r="K37" s="10">
        <v>0</v>
      </c>
      <c r="L37" s="10">
        <v>1</v>
      </c>
      <c r="M37" s="10">
        <v>0</v>
      </c>
      <c r="N37" s="10">
        <v>6.45</v>
      </c>
      <c r="O37" s="10" t="s">
        <v>778</v>
      </c>
      <c r="P37" s="10">
        <v>91</v>
      </c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A38" s="10" t="s">
        <v>555</v>
      </c>
      <c r="B38" s="10" t="s">
        <v>694</v>
      </c>
      <c r="C38" s="10" t="s">
        <v>41</v>
      </c>
      <c r="D38" s="10">
        <v>7</v>
      </c>
      <c r="E38" s="10" t="s">
        <v>724</v>
      </c>
      <c r="F38" s="10">
        <v>0</v>
      </c>
      <c r="G38" s="10">
        <v>80</v>
      </c>
      <c r="H38" s="10">
        <v>0</v>
      </c>
      <c r="I38" s="10">
        <v>30</v>
      </c>
      <c r="J38" s="10">
        <v>1</v>
      </c>
      <c r="K38" s="10">
        <v>0</v>
      </c>
      <c r="L38" s="10">
        <v>2</v>
      </c>
      <c r="M38" s="10">
        <v>0</v>
      </c>
      <c r="N38" s="10">
        <v>6</v>
      </c>
      <c r="O38" s="10" t="s">
        <v>668</v>
      </c>
      <c r="P38" s="10">
        <v>90</v>
      </c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A39" s="10" t="s">
        <v>565</v>
      </c>
      <c r="B39" s="10" t="s">
        <v>781</v>
      </c>
      <c r="C39" s="10" t="s">
        <v>41</v>
      </c>
      <c r="D39" s="10">
        <v>12</v>
      </c>
      <c r="E39" s="10" t="s">
        <v>724</v>
      </c>
      <c r="F39" s="10">
        <v>0</v>
      </c>
      <c r="G39" s="10">
        <v>75</v>
      </c>
      <c r="H39" s="10">
        <v>0</v>
      </c>
      <c r="I39" s="10">
        <v>28</v>
      </c>
      <c r="J39" s="10">
        <v>1</v>
      </c>
      <c r="K39" s="10">
        <v>0</v>
      </c>
      <c r="L39" s="10">
        <v>1</v>
      </c>
      <c r="M39" s="10">
        <v>0</v>
      </c>
      <c r="N39" s="10">
        <v>6.25</v>
      </c>
      <c r="O39" s="10" t="s">
        <v>782</v>
      </c>
      <c r="P39" s="10">
        <v>89</v>
      </c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A40" s="10" t="s">
        <v>563</v>
      </c>
      <c r="B40" s="10" t="s">
        <v>731</v>
      </c>
      <c r="C40" s="10" t="s">
        <v>41</v>
      </c>
      <c r="D40" s="10">
        <v>10</v>
      </c>
      <c r="E40" s="10" t="s">
        <v>724</v>
      </c>
      <c r="F40" s="10">
        <v>0</v>
      </c>
      <c r="G40" s="10">
        <v>70</v>
      </c>
      <c r="H40" s="10">
        <v>0</v>
      </c>
      <c r="I40" s="10">
        <v>28</v>
      </c>
      <c r="J40" s="10">
        <v>2</v>
      </c>
      <c r="K40" s="10">
        <v>0</v>
      </c>
      <c r="L40" s="10">
        <v>3</v>
      </c>
      <c r="M40" s="10">
        <v>0</v>
      </c>
      <c r="N40" s="10">
        <v>6.25</v>
      </c>
      <c r="O40" s="10" t="s">
        <v>749</v>
      </c>
      <c r="P40" s="10">
        <v>85</v>
      </c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A41" s="10" t="s">
        <v>553</v>
      </c>
      <c r="B41" s="10" t="s">
        <v>927</v>
      </c>
      <c r="C41" s="10" t="s">
        <v>41</v>
      </c>
      <c r="D41" s="10">
        <v>7</v>
      </c>
      <c r="E41" s="10" t="s">
        <v>724</v>
      </c>
      <c r="F41" s="10">
        <v>0</v>
      </c>
      <c r="G41" s="10">
        <v>75</v>
      </c>
      <c r="H41" s="10">
        <v>0</v>
      </c>
      <c r="I41" s="10">
        <v>28</v>
      </c>
      <c r="J41" s="10">
        <v>1</v>
      </c>
      <c r="K41" s="10">
        <v>0</v>
      </c>
      <c r="L41" s="10">
        <v>2</v>
      </c>
      <c r="M41" s="10">
        <v>0</v>
      </c>
      <c r="N41" s="10">
        <v>6.1</v>
      </c>
      <c r="O41" s="10" t="s">
        <v>928</v>
      </c>
      <c r="P41" s="10">
        <v>85</v>
      </c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>
      <c r="A42" s="10" t="s">
        <v>565</v>
      </c>
      <c r="B42" s="10" t="s">
        <v>872</v>
      </c>
      <c r="C42" s="10" t="s">
        <v>41</v>
      </c>
      <c r="D42" s="10">
        <v>10</v>
      </c>
      <c r="E42" s="10" t="s">
        <v>724</v>
      </c>
      <c r="F42" s="10">
        <v>0</v>
      </c>
      <c r="G42" s="10">
        <v>70</v>
      </c>
      <c r="H42" s="10">
        <v>0</v>
      </c>
      <c r="I42" s="10">
        <v>26</v>
      </c>
      <c r="J42" s="10">
        <v>1</v>
      </c>
      <c r="K42" s="10">
        <v>0</v>
      </c>
      <c r="L42" s="10">
        <v>2</v>
      </c>
      <c r="M42" s="10">
        <v>0</v>
      </c>
      <c r="N42" s="10">
        <v>6.2</v>
      </c>
      <c r="O42" s="10" t="s">
        <v>873</v>
      </c>
      <c r="P42" s="10">
        <v>83</v>
      </c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>
      <c r="A43" s="10" t="s">
        <v>566</v>
      </c>
      <c r="B43" s="10" t="s">
        <v>833</v>
      </c>
      <c r="C43" s="10" t="s">
        <v>41</v>
      </c>
      <c r="D43" s="10">
        <v>10</v>
      </c>
      <c r="E43" s="10" t="s">
        <v>724</v>
      </c>
      <c r="F43" s="10">
        <v>0</v>
      </c>
      <c r="G43" s="10">
        <v>70</v>
      </c>
      <c r="H43" s="10">
        <v>0</v>
      </c>
      <c r="I43" s="10">
        <v>28</v>
      </c>
      <c r="J43" s="10">
        <v>1</v>
      </c>
      <c r="K43" s="10">
        <v>0</v>
      </c>
      <c r="L43" s="10">
        <v>1</v>
      </c>
      <c r="M43" s="10">
        <v>0</v>
      </c>
      <c r="N43" s="10">
        <v>6.25</v>
      </c>
      <c r="O43" s="10" t="s">
        <v>899</v>
      </c>
      <c r="P43" s="10">
        <v>82</v>
      </c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>
      <c r="A44" s="10" t="s">
        <v>555</v>
      </c>
      <c r="B44" s="10" t="s">
        <v>693</v>
      </c>
      <c r="C44" s="10" t="s">
        <v>41</v>
      </c>
      <c r="D44" s="10">
        <v>7</v>
      </c>
      <c r="E44" s="10" t="s">
        <v>724</v>
      </c>
      <c r="F44" s="10">
        <v>0</v>
      </c>
      <c r="G44" s="10">
        <v>70</v>
      </c>
      <c r="H44" s="10">
        <v>0</v>
      </c>
      <c r="I44" s="10">
        <v>30</v>
      </c>
      <c r="J44" s="10">
        <v>1</v>
      </c>
      <c r="K44" s="10">
        <v>0</v>
      </c>
      <c r="L44" s="10">
        <v>2</v>
      </c>
      <c r="M44" s="10">
        <v>0</v>
      </c>
      <c r="N44" s="10">
        <v>5.9</v>
      </c>
      <c r="O44" s="10" t="s">
        <v>938</v>
      </c>
      <c r="P44" s="10">
        <v>80</v>
      </c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>
      <c r="A45" s="10" t="s">
        <v>560</v>
      </c>
      <c r="B45" s="10" t="s">
        <v>701</v>
      </c>
      <c r="C45" s="10" t="s">
        <v>41</v>
      </c>
      <c r="D45" s="10">
        <v>6</v>
      </c>
      <c r="E45" s="10" t="s">
        <v>724</v>
      </c>
      <c r="F45" s="10">
        <v>0</v>
      </c>
      <c r="G45" s="10">
        <v>70</v>
      </c>
      <c r="H45" s="10">
        <v>0</v>
      </c>
      <c r="I45" s="10">
        <v>28</v>
      </c>
      <c r="J45" s="10">
        <v>1</v>
      </c>
      <c r="K45" s="10">
        <v>0</v>
      </c>
      <c r="L45" s="10">
        <v>2</v>
      </c>
      <c r="M45" s="10">
        <v>0</v>
      </c>
      <c r="N45" s="10">
        <v>5.9</v>
      </c>
      <c r="O45" s="10" t="s">
        <v>917</v>
      </c>
      <c r="P45" s="10">
        <v>79</v>
      </c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>
      <c r="A46" s="10" t="s">
        <v>553</v>
      </c>
      <c r="B46" s="10" t="s">
        <v>925</v>
      </c>
      <c r="C46" s="10" t="s">
        <v>41</v>
      </c>
      <c r="D46" s="10">
        <v>6</v>
      </c>
      <c r="E46" s="10" t="s">
        <v>724</v>
      </c>
      <c r="F46" s="10">
        <v>0</v>
      </c>
      <c r="G46" s="10">
        <v>70</v>
      </c>
      <c r="H46" s="10">
        <v>0</v>
      </c>
      <c r="I46" s="10">
        <v>20</v>
      </c>
      <c r="J46" s="10">
        <v>1</v>
      </c>
      <c r="K46" s="10">
        <v>0</v>
      </c>
      <c r="L46" s="10">
        <v>1</v>
      </c>
      <c r="M46" s="10">
        <v>0</v>
      </c>
      <c r="N46" s="10">
        <v>5.9</v>
      </c>
      <c r="O46" s="10" t="s">
        <v>924</v>
      </c>
      <c r="P46" s="10">
        <v>78</v>
      </c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>
      <c r="A47" s="10" t="s">
        <v>551</v>
      </c>
      <c r="B47" s="10" t="s">
        <v>682</v>
      </c>
      <c r="C47" s="10" t="s">
        <v>41</v>
      </c>
      <c r="D47" s="10">
        <v>14</v>
      </c>
      <c r="E47" s="10" t="s">
        <v>724</v>
      </c>
      <c r="F47" s="10">
        <v>0</v>
      </c>
      <c r="G47" s="10">
        <v>55</v>
      </c>
      <c r="H47" s="10">
        <v>0</v>
      </c>
      <c r="I47" s="10">
        <v>28</v>
      </c>
      <c r="J47" s="10">
        <v>2</v>
      </c>
      <c r="K47" s="10">
        <v>0</v>
      </c>
      <c r="L47" s="10">
        <v>3</v>
      </c>
      <c r="M47" s="10">
        <v>0</v>
      </c>
      <c r="N47" s="10">
        <v>6.3</v>
      </c>
      <c r="O47" s="10" t="s">
        <v>762</v>
      </c>
      <c r="P47" s="10">
        <v>74</v>
      </c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>
      <c r="A48" s="10" t="s">
        <v>566</v>
      </c>
      <c r="B48" s="10" t="s">
        <v>903</v>
      </c>
      <c r="C48" s="10" t="s">
        <v>41</v>
      </c>
      <c r="D48" s="10">
        <v>10</v>
      </c>
      <c r="E48" s="10" t="s">
        <v>724</v>
      </c>
      <c r="F48" s="10">
        <v>0</v>
      </c>
      <c r="G48" s="10">
        <v>60</v>
      </c>
      <c r="H48" s="10">
        <v>0</v>
      </c>
      <c r="I48" s="10">
        <v>25</v>
      </c>
      <c r="J48" s="10">
        <v>1</v>
      </c>
      <c r="K48" s="10">
        <v>0</v>
      </c>
      <c r="L48" s="10">
        <v>2</v>
      </c>
      <c r="M48" s="10">
        <v>0</v>
      </c>
      <c r="N48" s="10">
        <v>6.2</v>
      </c>
      <c r="O48" s="10" t="s">
        <v>815</v>
      </c>
      <c r="P48" s="10">
        <v>73</v>
      </c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>
      <c r="A49" s="10" t="s">
        <v>573</v>
      </c>
      <c r="B49" s="10" t="s">
        <v>808</v>
      </c>
      <c r="C49" s="10" t="s">
        <v>41</v>
      </c>
      <c r="D49" s="10">
        <v>8</v>
      </c>
      <c r="E49" s="10" t="s">
        <v>724</v>
      </c>
      <c r="F49" s="10">
        <v>0</v>
      </c>
      <c r="G49" s="10">
        <v>60</v>
      </c>
      <c r="H49" s="10">
        <v>0</v>
      </c>
      <c r="I49" s="10">
        <v>25</v>
      </c>
      <c r="J49" s="10">
        <v>1</v>
      </c>
      <c r="K49" s="10">
        <v>0</v>
      </c>
      <c r="L49" s="10">
        <v>2</v>
      </c>
      <c r="M49" s="10">
        <v>0</v>
      </c>
      <c r="N49" s="10">
        <v>6.2</v>
      </c>
      <c r="O49" s="10" t="s">
        <v>809</v>
      </c>
      <c r="P49" s="10">
        <v>71</v>
      </c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>
      <c r="A50" s="10" t="s">
        <v>563</v>
      </c>
      <c r="B50" s="10" t="s">
        <v>728</v>
      </c>
      <c r="C50" s="10" t="s">
        <v>41</v>
      </c>
      <c r="D50" s="10">
        <v>7</v>
      </c>
      <c r="E50" s="10" t="s">
        <v>724</v>
      </c>
      <c r="F50" s="10">
        <v>0</v>
      </c>
      <c r="G50" s="10">
        <v>60</v>
      </c>
      <c r="H50" s="10">
        <v>0</v>
      </c>
      <c r="I50" s="10">
        <v>25</v>
      </c>
      <c r="J50" s="10">
        <v>1</v>
      </c>
      <c r="K50" s="10">
        <v>0</v>
      </c>
      <c r="L50" s="10">
        <v>2</v>
      </c>
      <c r="M50" s="10">
        <v>0</v>
      </c>
      <c r="N50" s="10">
        <v>6.2</v>
      </c>
      <c r="O50" s="10" t="s">
        <v>745</v>
      </c>
      <c r="P50" s="10">
        <v>70</v>
      </c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>
      <c r="A51" s="10" t="s">
        <v>551</v>
      </c>
      <c r="B51" s="10" t="s">
        <v>680</v>
      </c>
      <c r="C51" s="10" t="s">
        <v>41</v>
      </c>
      <c r="D51" s="10">
        <v>10</v>
      </c>
      <c r="E51" s="10" t="s">
        <v>724</v>
      </c>
      <c r="F51" s="10">
        <v>0</v>
      </c>
      <c r="G51" s="10">
        <v>55</v>
      </c>
      <c r="H51" s="10">
        <v>0</v>
      </c>
      <c r="I51" s="10">
        <v>25</v>
      </c>
      <c r="J51" s="10">
        <v>1</v>
      </c>
      <c r="K51" s="10">
        <v>0</v>
      </c>
      <c r="L51" s="10">
        <v>2</v>
      </c>
      <c r="M51" s="10">
        <v>0</v>
      </c>
      <c r="N51" s="10">
        <v>6.1</v>
      </c>
      <c r="O51" s="10" t="s">
        <v>765</v>
      </c>
      <c r="P51" s="10">
        <v>68</v>
      </c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>
      <c r="A52" s="10" t="s">
        <v>551</v>
      </c>
      <c r="B52" s="10" t="s">
        <v>684</v>
      </c>
      <c r="C52" s="10" t="s">
        <v>41</v>
      </c>
      <c r="D52" s="10">
        <v>8</v>
      </c>
      <c r="E52" s="10" t="s">
        <v>724</v>
      </c>
      <c r="F52" s="10">
        <v>0</v>
      </c>
      <c r="G52" s="10">
        <v>55</v>
      </c>
      <c r="H52" s="10">
        <v>0</v>
      </c>
      <c r="I52" s="10">
        <v>25</v>
      </c>
      <c r="J52" s="10">
        <v>2</v>
      </c>
      <c r="K52" s="10">
        <v>0</v>
      </c>
      <c r="L52" s="10">
        <v>3</v>
      </c>
      <c r="M52" s="10">
        <v>0</v>
      </c>
      <c r="N52" s="10">
        <v>6.35</v>
      </c>
      <c r="O52" s="10" t="s">
        <v>768</v>
      </c>
      <c r="P52" s="10">
        <v>68</v>
      </c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>
      <c r="A53" s="10" t="s">
        <v>553</v>
      </c>
      <c r="B53" s="10" t="s">
        <v>928</v>
      </c>
      <c r="C53" s="10" t="s">
        <v>41</v>
      </c>
      <c r="D53" s="10">
        <v>6</v>
      </c>
      <c r="E53" s="10" t="s">
        <v>724</v>
      </c>
      <c r="F53" s="10">
        <v>0</v>
      </c>
      <c r="G53" s="10">
        <v>60</v>
      </c>
      <c r="H53" s="10">
        <v>0</v>
      </c>
      <c r="I53" s="10">
        <v>25</v>
      </c>
      <c r="J53" s="10">
        <v>0</v>
      </c>
      <c r="K53" s="10">
        <v>0</v>
      </c>
      <c r="L53" s="10">
        <v>1</v>
      </c>
      <c r="M53" s="10">
        <v>0</v>
      </c>
      <c r="N53" s="10">
        <v>5.9</v>
      </c>
      <c r="O53" s="10" t="s">
        <v>927</v>
      </c>
      <c r="P53" s="10">
        <v>67</v>
      </c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>
      <c r="A54" s="10" t="s">
        <v>565</v>
      </c>
      <c r="B54" s="10" t="s">
        <v>874</v>
      </c>
      <c r="C54" s="10" t="s">
        <v>41</v>
      </c>
      <c r="D54" s="10">
        <v>8</v>
      </c>
      <c r="E54" s="10" t="s">
        <v>974</v>
      </c>
      <c r="F54" s="10">
        <v>10</v>
      </c>
      <c r="G54" s="10">
        <v>60</v>
      </c>
      <c r="H54" s="10">
        <v>0</v>
      </c>
      <c r="I54" s="10">
        <v>20</v>
      </c>
      <c r="J54" s="10">
        <v>1</v>
      </c>
      <c r="K54" s="10">
        <v>0</v>
      </c>
      <c r="L54" s="10">
        <v>1</v>
      </c>
      <c r="M54" s="10">
        <v>0</v>
      </c>
      <c r="N54" s="10">
        <v>6.1</v>
      </c>
      <c r="O54" s="10" t="s">
        <v>875</v>
      </c>
      <c r="P54" s="10">
        <v>60</v>
      </c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>
      <c r="A55" s="10" t="s">
        <v>563</v>
      </c>
      <c r="B55" s="10" t="s">
        <v>730</v>
      </c>
      <c r="C55" s="10" t="s">
        <v>41</v>
      </c>
      <c r="D55" s="10">
        <v>6</v>
      </c>
      <c r="E55" s="10" t="s">
        <v>724</v>
      </c>
      <c r="F55" s="10">
        <v>0</v>
      </c>
      <c r="G55" s="10">
        <v>50</v>
      </c>
      <c r="H55" s="10">
        <v>0</v>
      </c>
      <c r="I55" s="10">
        <v>22</v>
      </c>
      <c r="J55" s="10">
        <v>1</v>
      </c>
      <c r="K55" s="10">
        <v>0</v>
      </c>
      <c r="L55" s="10">
        <v>1</v>
      </c>
      <c r="M55" s="10">
        <v>0</v>
      </c>
      <c r="N55" s="10">
        <v>6.1</v>
      </c>
      <c r="O55" s="10" t="s">
        <v>748</v>
      </c>
      <c r="P55" s="10">
        <v>58</v>
      </c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>
      <c r="A56" s="10" t="s">
        <v>555</v>
      </c>
      <c r="B56" s="10" t="s">
        <v>695</v>
      </c>
      <c r="C56" s="10" t="s">
        <v>41</v>
      </c>
      <c r="D56" s="10">
        <v>5</v>
      </c>
      <c r="E56" s="10" t="s">
        <v>724</v>
      </c>
      <c r="F56" s="10">
        <v>0</v>
      </c>
      <c r="G56" s="10">
        <v>51</v>
      </c>
      <c r="H56" s="10">
        <v>0</v>
      </c>
      <c r="I56" s="10">
        <v>20</v>
      </c>
      <c r="J56" s="10">
        <v>0</v>
      </c>
      <c r="K56" s="10">
        <v>0</v>
      </c>
      <c r="L56" s="10">
        <v>1</v>
      </c>
      <c r="M56" s="10">
        <v>0</v>
      </c>
      <c r="N56" s="10">
        <v>5.7</v>
      </c>
      <c r="O56" s="10" t="s">
        <v>940</v>
      </c>
      <c r="P56" s="10">
        <v>57</v>
      </c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>
      <c r="A57" s="10" t="s">
        <v>560</v>
      </c>
      <c r="B57" s="10" t="s">
        <v>699</v>
      </c>
      <c r="C57" s="10" t="s">
        <v>41</v>
      </c>
      <c r="D57" s="10">
        <v>3</v>
      </c>
      <c r="E57" s="10" t="s">
        <v>724</v>
      </c>
      <c r="F57" s="10">
        <v>0</v>
      </c>
      <c r="G57" s="10">
        <v>51</v>
      </c>
      <c r="H57" s="10">
        <v>0</v>
      </c>
      <c r="I57" s="10">
        <v>14</v>
      </c>
      <c r="J57" s="10">
        <v>0</v>
      </c>
      <c r="K57" s="10">
        <v>0</v>
      </c>
      <c r="L57" s="10">
        <v>0</v>
      </c>
      <c r="M57" s="10">
        <v>0</v>
      </c>
      <c r="N57" s="10">
        <v>5.5</v>
      </c>
      <c r="O57" s="10" t="s">
        <v>701</v>
      </c>
      <c r="P57" s="10">
        <v>54</v>
      </c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>
      <c r="A58" s="10" t="s">
        <v>555</v>
      </c>
      <c r="B58" s="10" t="s">
        <v>941</v>
      </c>
      <c r="C58" s="10" t="s">
        <v>41</v>
      </c>
      <c r="D58" s="10">
        <v>5</v>
      </c>
      <c r="E58" s="10" t="s">
        <v>724</v>
      </c>
      <c r="F58" s="10">
        <v>0</v>
      </c>
      <c r="G58" s="10">
        <v>49</v>
      </c>
      <c r="H58" s="10">
        <v>0</v>
      </c>
      <c r="I58" s="10">
        <v>18</v>
      </c>
      <c r="J58" s="10">
        <v>0</v>
      </c>
      <c r="K58" s="10">
        <v>0</v>
      </c>
      <c r="L58" s="10">
        <v>0</v>
      </c>
      <c r="M58" s="10">
        <v>0</v>
      </c>
      <c r="N58" s="10">
        <v>5.5</v>
      </c>
      <c r="O58" s="10" t="s">
        <v>695</v>
      </c>
      <c r="P58" s="10">
        <v>54</v>
      </c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>
      <c r="A59" s="10" t="s">
        <v>570</v>
      </c>
      <c r="B59" s="10" t="s">
        <v>963</v>
      </c>
      <c r="C59" s="10" t="s">
        <v>41</v>
      </c>
      <c r="D59" s="10">
        <v>12</v>
      </c>
      <c r="E59" s="10" t="s">
        <v>724</v>
      </c>
      <c r="F59" s="10">
        <v>0</v>
      </c>
      <c r="G59" s="10">
        <v>40</v>
      </c>
      <c r="H59" s="10">
        <v>0</v>
      </c>
      <c r="I59" s="10">
        <v>26</v>
      </c>
      <c r="J59" s="10">
        <v>1</v>
      </c>
      <c r="K59" s="10">
        <v>0</v>
      </c>
      <c r="L59" s="10">
        <v>1</v>
      </c>
      <c r="M59" s="10">
        <v>0</v>
      </c>
      <c r="N59" s="10">
        <v>6</v>
      </c>
      <c r="O59" s="10" t="s">
        <v>725</v>
      </c>
      <c r="P59" s="10">
        <v>54</v>
      </c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>
      <c r="A60" s="10" t="s">
        <v>560</v>
      </c>
      <c r="B60" s="10" t="s">
        <v>700</v>
      </c>
      <c r="C60" s="10" t="s">
        <v>41</v>
      </c>
      <c r="D60" s="10">
        <v>3</v>
      </c>
      <c r="E60" s="10" t="s">
        <v>724</v>
      </c>
      <c r="F60" s="10">
        <v>0</v>
      </c>
      <c r="G60" s="10">
        <v>49</v>
      </c>
      <c r="H60" s="10">
        <v>0</v>
      </c>
      <c r="I60" s="10">
        <v>12</v>
      </c>
      <c r="J60" s="10">
        <v>0</v>
      </c>
      <c r="K60" s="10">
        <v>0</v>
      </c>
      <c r="L60" s="10">
        <v>0</v>
      </c>
      <c r="M60" s="10">
        <v>0</v>
      </c>
      <c r="N60" s="10">
        <v>5.4</v>
      </c>
      <c r="O60" s="10" t="s">
        <v>701</v>
      </c>
      <c r="P60" s="10">
        <v>52</v>
      </c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>
      <c r="A61" s="10" t="s">
        <v>551</v>
      </c>
      <c r="B61" s="10" t="s">
        <v>766</v>
      </c>
      <c r="C61" s="10" t="s">
        <v>41</v>
      </c>
      <c r="D61" s="10">
        <v>5</v>
      </c>
      <c r="E61" s="10" t="s">
        <v>724</v>
      </c>
      <c r="F61" s="10">
        <v>0</v>
      </c>
      <c r="G61" s="10">
        <v>45</v>
      </c>
      <c r="H61" s="10">
        <v>0</v>
      </c>
      <c r="I61" s="10">
        <v>22</v>
      </c>
      <c r="J61" s="10">
        <v>0</v>
      </c>
      <c r="K61" s="10">
        <v>0</v>
      </c>
      <c r="L61" s="10">
        <v>1</v>
      </c>
      <c r="M61" s="10">
        <v>0</v>
      </c>
      <c r="N61" s="10">
        <v>6</v>
      </c>
      <c r="O61" s="10" t="s">
        <v>767</v>
      </c>
      <c r="P61" s="10">
        <v>51</v>
      </c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>
      <c r="A62" s="10" t="s">
        <v>555</v>
      </c>
      <c r="B62" s="10" t="s">
        <v>942</v>
      </c>
      <c r="C62" s="10" t="s">
        <v>41</v>
      </c>
      <c r="D62" s="10">
        <v>6</v>
      </c>
      <c r="E62" s="10" t="s">
        <v>724</v>
      </c>
      <c r="F62" s="10">
        <v>0</v>
      </c>
      <c r="G62" s="10">
        <v>40</v>
      </c>
      <c r="H62" s="10">
        <v>0</v>
      </c>
      <c r="I62" s="10">
        <v>22</v>
      </c>
      <c r="J62" s="10">
        <v>0</v>
      </c>
      <c r="K62" s="10">
        <v>0</v>
      </c>
      <c r="L62" s="10">
        <v>1</v>
      </c>
      <c r="M62" s="10">
        <v>0</v>
      </c>
      <c r="N62" s="10">
        <v>5.8</v>
      </c>
      <c r="O62" s="10" t="s">
        <v>943</v>
      </c>
      <c r="P62" s="10">
        <v>47</v>
      </c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>
      <c r="A63" s="10" t="s">
        <v>566</v>
      </c>
      <c r="B63" s="10" t="s">
        <v>901</v>
      </c>
      <c r="C63" s="10" t="s">
        <v>41</v>
      </c>
      <c r="D63" s="10">
        <v>6</v>
      </c>
      <c r="E63" s="10" t="s">
        <v>724</v>
      </c>
      <c r="F63" s="10">
        <v>0</v>
      </c>
      <c r="G63" s="10">
        <v>40</v>
      </c>
      <c r="H63" s="10">
        <v>0</v>
      </c>
      <c r="I63" s="10">
        <v>18</v>
      </c>
      <c r="J63" s="10">
        <v>0</v>
      </c>
      <c r="K63" s="10">
        <v>0</v>
      </c>
      <c r="L63" s="10">
        <v>1</v>
      </c>
      <c r="M63" s="10">
        <v>0</v>
      </c>
      <c r="N63" s="10">
        <v>6.1</v>
      </c>
      <c r="O63" s="10" t="s">
        <v>902</v>
      </c>
      <c r="P63" s="10">
        <v>47</v>
      </c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>
      <c r="A64" s="10" t="s">
        <v>551</v>
      </c>
      <c r="B64" s="10" t="s">
        <v>722</v>
      </c>
      <c r="C64" s="10" t="s">
        <v>41</v>
      </c>
      <c r="D64" s="10">
        <v>2</v>
      </c>
      <c r="E64" s="10" t="s">
        <v>724</v>
      </c>
      <c r="F64" s="10">
        <v>0</v>
      </c>
      <c r="G64" s="10">
        <v>45</v>
      </c>
      <c r="H64" s="10">
        <v>0</v>
      </c>
      <c r="I64" s="10">
        <v>12</v>
      </c>
      <c r="J64" s="10">
        <v>0</v>
      </c>
      <c r="K64" s="10">
        <v>0</v>
      </c>
      <c r="L64" s="10">
        <v>0</v>
      </c>
      <c r="M64" s="10">
        <v>0</v>
      </c>
      <c r="N64" s="10">
        <v>5.9</v>
      </c>
      <c r="O64" s="10" t="s">
        <v>769</v>
      </c>
      <c r="P64" s="10">
        <v>47</v>
      </c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>
      <c r="A67" s="11" t="s">
        <v>550</v>
      </c>
      <c r="B67" s="11" t="s">
        <v>678</v>
      </c>
      <c r="C67" s="11" t="s">
        <v>645</v>
      </c>
      <c r="D67" s="11" t="s">
        <v>715</v>
      </c>
      <c r="E67" s="11" t="s">
        <v>844</v>
      </c>
      <c r="F67" s="11" t="s">
        <v>856</v>
      </c>
      <c r="G67" s="11" t="s">
        <v>855</v>
      </c>
      <c r="H67" s="11" t="s">
        <v>854</v>
      </c>
      <c r="I67" s="11" t="s">
        <v>862</v>
      </c>
      <c r="J67" s="11" t="s">
        <v>861</v>
      </c>
      <c r="K67" s="11" t="s">
        <v>860</v>
      </c>
      <c r="L67" s="11" t="s">
        <v>580</v>
      </c>
      <c r="M67" s="11" t="s">
        <v>548</v>
      </c>
      <c r="N67" s="11" t="s">
        <v>897</v>
      </c>
      <c r="O67" s="11" t="s">
        <v>716</v>
      </c>
      <c r="P67" s="11" t="s">
        <v>857</v>
      </c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>
      <c r="A68" s="10" t="s">
        <v>563</v>
      </c>
      <c r="B68" s="10" t="s">
        <v>564</v>
      </c>
      <c r="C68" s="10" t="s">
        <v>12</v>
      </c>
      <c r="D68" s="10">
        <v>26</v>
      </c>
      <c r="E68" s="10" t="s">
        <v>724</v>
      </c>
      <c r="F68" s="10">
        <v>0</v>
      </c>
      <c r="G68" s="10">
        <v>95</v>
      </c>
      <c r="H68" s="10">
        <v>85</v>
      </c>
      <c r="I68" s="10">
        <v>32</v>
      </c>
      <c r="J68" s="10">
        <v>6</v>
      </c>
      <c r="K68" s="10">
        <v>0</v>
      </c>
      <c r="L68" s="10">
        <v>7</v>
      </c>
      <c r="M68" s="10">
        <v>4</v>
      </c>
      <c r="N68" s="10">
        <v>6.65</v>
      </c>
      <c r="O68" s="10" t="s">
        <v>751</v>
      </c>
      <c r="P68" s="10">
        <v>222</v>
      </c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>
      <c r="A69" s="10" t="s">
        <v>570</v>
      </c>
      <c r="B69" s="10" t="s">
        <v>976</v>
      </c>
      <c r="C69" s="10" t="s">
        <v>12</v>
      </c>
      <c r="D69" s="10">
        <v>50</v>
      </c>
      <c r="E69" s="10" t="s">
        <v>724</v>
      </c>
      <c r="F69" s="10">
        <v>0</v>
      </c>
      <c r="G69" s="10">
        <v>90</v>
      </c>
      <c r="H69" s="10">
        <v>60</v>
      </c>
      <c r="I69" s="10">
        <v>30</v>
      </c>
      <c r="J69" s="10">
        <v>6</v>
      </c>
      <c r="K69" s="10">
        <v>0</v>
      </c>
      <c r="L69" s="10">
        <v>12</v>
      </c>
      <c r="M69" s="10">
        <v>2</v>
      </c>
      <c r="N69" s="10">
        <v>6.6</v>
      </c>
      <c r="O69" s="10" t="s">
        <v>977</v>
      </c>
      <c r="P69" s="10">
        <v>220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>
      <c r="A70" s="10" t="s">
        <v>560</v>
      </c>
      <c r="B70" s="10" t="s">
        <v>662</v>
      </c>
      <c r="C70" s="10" t="s">
        <v>12</v>
      </c>
      <c r="D70" s="10">
        <v>15</v>
      </c>
      <c r="E70" s="10" t="s">
        <v>724</v>
      </c>
      <c r="F70" s="10">
        <v>0</v>
      </c>
      <c r="G70" s="10">
        <v>95</v>
      </c>
      <c r="H70" s="10">
        <v>80</v>
      </c>
      <c r="I70" s="10">
        <v>35</v>
      </c>
      <c r="J70" s="10">
        <v>8</v>
      </c>
      <c r="K70" s="10">
        <v>0</v>
      </c>
      <c r="L70" s="10">
        <v>7</v>
      </c>
      <c r="M70" s="10">
        <v>3</v>
      </c>
      <c r="N70" s="10">
        <v>6.8</v>
      </c>
      <c r="O70" s="10" t="s">
        <v>919</v>
      </c>
      <c r="P70" s="10">
        <v>206</v>
      </c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>
      <c r="A71" s="10" t="s">
        <v>570</v>
      </c>
      <c r="B71" s="10" t="s">
        <v>979</v>
      </c>
      <c r="C71" s="10" t="s">
        <v>12</v>
      </c>
      <c r="D71" s="10">
        <v>52</v>
      </c>
      <c r="E71" s="10" t="s">
        <v>724</v>
      </c>
      <c r="F71" s="10">
        <v>0</v>
      </c>
      <c r="G71" s="10">
        <v>90</v>
      </c>
      <c r="H71" s="10">
        <v>30</v>
      </c>
      <c r="I71" s="10">
        <v>35</v>
      </c>
      <c r="J71" s="10">
        <v>12</v>
      </c>
      <c r="K71" s="10">
        <v>0</v>
      </c>
      <c r="L71" s="10">
        <v>4</v>
      </c>
      <c r="M71" s="10">
        <v>1</v>
      </c>
      <c r="N71" s="10">
        <v>6.5</v>
      </c>
      <c r="O71" s="10" t="s">
        <v>717</v>
      </c>
      <c r="P71" s="10">
        <v>187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>
      <c r="A72" s="10" t="s">
        <v>565</v>
      </c>
      <c r="B72" s="10" t="s">
        <v>671</v>
      </c>
      <c r="C72" s="10" t="s">
        <v>12</v>
      </c>
      <c r="D72" s="10">
        <v>26</v>
      </c>
      <c r="E72" s="10" t="s">
        <v>724</v>
      </c>
      <c r="F72" s="10">
        <v>0</v>
      </c>
      <c r="G72" s="10">
        <v>85</v>
      </c>
      <c r="H72" s="10">
        <v>60</v>
      </c>
      <c r="I72" s="10">
        <v>31</v>
      </c>
      <c r="J72" s="10">
        <v>7</v>
      </c>
      <c r="K72" s="10">
        <v>0</v>
      </c>
      <c r="L72" s="10">
        <v>5</v>
      </c>
      <c r="M72" s="10">
        <v>3</v>
      </c>
      <c r="N72" s="10">
        <v>6.6</v>
      </c>
      <c r="O72" s="10" t="s">
        <v>791</v>
      </c>
      <c r="P72" s="10">
        <v>185</v>
      </c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>
      <c r="A73" s="10" t="s">
        <v>566</v>
      </c>
      <c r="B73" s="10" t="s">
        <v>567</v>
      </c>
      <c r="C73" s="10" t="s">
        <v>12</v>
      </c>
      <c r="D73" s="10">
        <v>22</v>
      </c>
      <c r="E73" s="10" t="s">
        <v>724</v>
      </c>
      <c r="F73" s="10">
        <v>0</v>
      </c>
      <c r="G73" s="10">
        <v>90</v>
      </c>
      <c r="H73" s="10">
        <v>40</v>
      </c>
      <c r="I73" s="10">
        <v>34</v>
      </c>
      <c r="J73" s="10">
        <v>7</v>
      </c>
      <c r="K73" s="10">
        <v>0</v>
      </c>
      <c r="L73" s="10">
        <v>5</v>
      </c>
      <c r="M73" s="10">
        <v>2</v>
      </c>
      <c r="N73" s="10">
        <v>6.6</v>
      </c>
      <c r="O73" s="10" t="s">
        <v>840</v>
      </c>
      <c r="P73" s="10">
        <v>165</v>
      </c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>
      <c r="A74" s="10" t="s">
        <v>565</v>
      </c>
      <c r="B74" s="10" t="s">
        <v>877</v>
      </c>
      <c r="C74" s="10" t="s">
        <v>12</v>
      </c>
      <c r="D74" s="10">
        <v>15</v>
      </c>
      <c r="E74" s="10" t="s">
        <v>724</v>
      </c>
      <c r="F74" s="10">
        <v>0</v>
      </c>
      <c r="G74" s="10">
        <v>80</v>
      </c>
      <c r="H74" s="10">
        <v>40</v>
      </c>
      <c r="I74" s="10">
        <v>30</v>
      </c>
      <c r="J74" s="10">
        <v>6</v>
      </c>
      <c r="K74" s="10">
        <v>0</v>
      </c>
      <c r="L74" s="10">
        <v>3</v>
      </c>
      <c r="M74" s="10">
        <v>2</v>
      </c>
      <c r="N74" s="10">
        <v>6.5</v>
      </c>
      <c r="O74" s="10" t="s">
        <v>718</v>
      </c>
      <c r="P74" s="10">
        <v>146</v>
      </c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>
      <c r="A75" s="10" t="s">
        <v>566</v>
      </c>
      <c r="B75" s="10" t="s">
        <v>837</v>
      </c>
      <c r="C75" s="10" t="s">
        <v>12</v>
      </c>
      <c r="D75" s="10">
        <v>14</v>
      </c>
      <c r="E75" s="10" t="s">
        <v>724</v>
      </c>
      <c r="F75" s="10">
        <v>0</v>
      </c>
      <c r="G75" s="10">
        <v>90</v>
      </c>
      <c r="H75" s="10">
        <v>30</v>
      </c>
      <c r="I75" s="10">
        <v>34</v>
      </c>
      <c r="J75" s="10">
        <v>4</v>
      </c>
      <c r="K75" s="10">
        <v>0</v>
      </c>
      <c r="L75" s="10">
        <v>3</v>
      </c>
      <c r="M75" s="10">
        <v>2</v>
      </c>
      <c r="N75" s="10">
        <v>6.45</v>
      </c>
      <c r="O75" s="10" t="s">
        <v>904</v>
      </c>
      <c r="P75" s="10">
        <v>142</v>
      </c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>
      <c r="A76" s="10" t="s">
        <v>563</v>
      </c>
      <c r="B76" s="10" t="s">
        <v>709</v>
      </c>
      <c r="C76" s="10" t="s">
        <v>12</v>
      </c>
      <c r="D76" s="10">
        <v>24</v>
      </c>
      <c r="E76" s="10" t="s">
        <v>724</v>
      </c>
      <c r="F76" s="10">
        <v>0</v>
      </c>
      <c r="G76" s="10">
        <v>95</v>
      </c>
      <c r="H76" s="10">
        <v>10</v>
      </c>
      <c r="I76" s="10">
        <v>34</v>
      </c>
      <c r="J76" s="10">
        <v>5</v>
      </c>
      <c r="K76" s="10">
        <v>0</v>
      </c>
      <c r="L76" s="10">
        <v>6</v>
      </c>
      <c r="M76" s="10">
        <v>0</v>
      </c>
      <c r="N76" s="10">
        <v>6.6</v>
      </c>
      <c r="O76" s="10" t="s">
        <v>717</v>
      </c>
      <c r="P76" s="10">
        <v>139</v>
      </c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>
      <c r="A77" s="10" t="s">
        <v>553</v>
      </c>
      <c r="B77" s="10" t="s">
        <v>674</v>
      </c>
      <c r="C77" s="10" t="s">
        <v>12</v>
      </c>
      <c r="D77" s="10">
        <v>12</v>
      </c>
      <c r="E77" s="10" t="s">
        <v>724</v>
      </c>
      <c r="F77" s="10">
        <v>0</v>
      </c>
      <c r="G77" s="10">
        <v>85</v>
      </c>
      <c r="H77" s="10">
        <v>30</v>
      </c>
      <c r="I77" s="10">
        <v>34</v>
      </c>
      <c r="J77" s="10">
        <v>5</v>
      </c>
      <c r="K77" s="10">
        <v>0</v>
      </c>
      <c r="L77" s="10">
        <v>6</v>
      </c>
      <c r="M77" s="10">
        <v>2</v>
      </c>
      <c r="N77" s="10">
        <v>6.6</v>
      </c>
      <c r="O77" s="10" t="s">
        <v>930</v>
      </c>
      <c r="P77" s="10">
        <v>139</v>
      </c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>
      <c r="A78" s="10" t="s">
        <v>566</v>
      </c>
      <c r="B78" s="10" t="s">
        <v>907</v>
      </c>
      <c r="C78" s="10" t="s">
        <v>12</v>
      </c>
      <c r="D78" s="10">
        <v>20</v>
      </c>
      <c r="E78" s="10" t="s">
        <v>724</v>
      </c>
      <c r="F78" s="10">
        <v>0</v>
      </c>
      <c r="G78" s="10">
        <v>85</v>
      </c>
      <c r="H78" s="10">
        <v>20</v>
      </c>
      <c r="I78" s="10">
        <v>32</v>
      </c>
      <c r="J78" s="10">
        <v>5</v>
      </c>
      <c r="K78" s="10">
        <v>0</v>
      </c>
      <c r="L78" s="10">
        <v>6</v>
      </c>
      <c r="M78" s="10">
        <v>1</v>
      </c>
      <c r="N78" s="10">
        <v>6.5</v>
      </c>
      <c r="O78" s="10" t="s">
        <v>908</v>
      </c>
      <c r="P78" s="10">
        <v>136</v>
      </c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>
      <c r="A79" s="10" t="s">
        <v>553</v>
      </c>
      <c r="B79" s="10" t="s">
        <v>689</v>
      </c>
      <c r="C79" s="10" t="s">
        <v>12</v>
      </c>
      <c r="D79" s="10">
        <v>10</v>
      </c>
      <c r="E79" s="10" t="s">
        <v>724</v>
      </c>
      <c r="F79" s="10">
        <v>0</v>
      </c>
      <c r="G79" s="10">
        <v>90</v>
      </c>
      <c r="H79" s="10">
        <v>20</v>
      </c>
      <c r="I79" s="10">
        <v>35</v>
      </c>
      <c r="J79" s="10">
        <v>2</v>
      </c>
      <c r="K79" s="10">
        <v>0</v>
      </c>
      <c r="L79" s="10">
        <v>4</v>
      </c>
      <c r="M79" s="10">
        <v>1</v>
      </c>
      <c r="N79" s="10">
        <v>6.4</v>
      </c>
      <c r="O79" s="10" t="s">
        <v>929</v>
      </c>
      <c r="P79" s="10">
        <v>126</v>
      </c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>
      <c r="A80" s="10" t="s">
        <v>573</v>
      </c>
      <c r="B80" s="10" t="s">
        <v>816</v>
      </c>
      <c r="C80" s="10" t="s">
        <v>12</v>
      </c>
      <c r="D80" s="10">
        <v>16</v>
      </c>
      <c r="E80" s="10" t="s">
        <v>724</v>
      </c>
      <c r="F80" s="10">
        <v>0</v>
      </c>
      <c r="G80" s="10">
        <v>60</v>
      </c>
      <c r="H80" s="10">
        <v>40</v>
      </c>
      <c r="I80" s="10">
        <v>26</v>
      </c>
      <c r="J80" s="10">
        <v>4</v>
      </c>
      <c r="K80" s="10">
        <v>0</v>
      </c>
      <c r="L80" s="10">
        <v>4</v>
      </c>
      <c r="M80" s="10">
        <v>2</v>
      </c>
      <c r="N80" s="10">
        <v>6.2</v>
      </c>
      <c r="O80" s="10" t="s">
        <v>817</v>
      </c>
      <c r="P80" s="10">
        <v>126</v>
      </c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>
      <c r="A81" s="10" t="s">
        <v>551</v>
      </c>
      <c r="B81" s="10" t="s">
        <v>683</v>
      </c>
      <c r="C81" s="10" t="s">
        <v>12</v>
      </c>
      <c r="D81" s="10">
        <v>20</v>
      </c>
      <c r="E81" s="10" t="s">
        <v>724</v>
      </c>
      <c r="F81" s="10">
        <v>0</v>
      </c>
      <c r="G81" s="10">
        <v>95</v>
      </c>
      <c r="H81" s="10">
        <v>0</v>
      </c>
      <c r="I81" s="10">
        <v>34</v>
      </c>
      <c r="J81" s="10">
        <v>4</v>
      </c>
      <c r="K81" s="10">
        <v>0</v>
      </c>
      <c r="L81" s="10">
        <v>5</v>
      </c>
      <c r="M81" s="10">
        <v>0</v>
      </c>
      <c r="N81" s="10">
        <v>6.5</v>
      </c>
      <c r="O81" s="10" t="s">
        <v>717</v>
      </c>
      <c r="P81" s="10">
        <v>123</v>
      </c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>
      <c r="A82" s="10" t="s">
        <v>565</v>
      </c>
      <c r="B82" s="10" t="s">
        <v>785</v>
      </c>
      <c r="C82" s="10" t="s">
        <v>12</v>
      </c>
      <c r="D82" s="10">
        <v>20</v>
      </c>
      <c r="E82" s="10" t="s">
        <v>724</v>
      </c>
      <c r="F82" s="10">
        <v>0</v>
      </c>
      <c r="G82" s="10">
        <v>80</v>
      </c>
      <c r="H82" s="10">
        <v>10</v>
      </c>
      <c r="I82" s="10">
        <v>30</v>
      </c>
      <c r="J82" s="10">
        <v>4</v>
      </c>
      <c r="K82" s="10">
        <v>0</v>
      </c>
      <c r="L82" s="10">
        <v>3</v>
      </c>
      <c r="M82" s="10">
        <v>1</v>
      </c>
      <c r="N82" s="10">
        <v>6.4</v>
      </c>
      <c r="O82" s="10" t="s">
        <v>786</v>
      </c>
      <c r="P82" s="10">
        <v>118</v>
      </c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>
      <c r="A83" s="10" t="s">
        <v>565</v>
      </c>
      <c r="B83" s="10" t="s">
        <v>790</v>
      </c>
      <c r="C83" s="10" t="s">
        <v>12</v>
      </c>
      <c r="D83" s="10">
        <v>12</v>
      </c>
      <c r="E83" s="10" t="s">
        <v>724</v>
      </c>
      <c r="F83" s="10">
        <v>0</v>
      </c>
      <c r="G83" s="10">
        <v>75</v>
      </c>
      <c r="H83" s="10">
        <v>20</v>
      </c>
      <c r="I83" s="10">
        <v>28</v>
      </c>
      <c r="J83" s="10">
        <v>5</v>
      </c>
      <c r="K83" s="10">
        <v>0</v>
      </c>
      <c r="L83" s="10">
        <v>4</v>
      </c>
      <c r="M83" s="10">
        <v>2</v>
      </c>
      <c r="N83" s="10">
        <v>6.45</v>
      </c>
      <c r="O83" s="10" t="s">
        <v>876</v>
      </c>
      <c r="P83" s="10">
        <v>118</v>
      </c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>
      <c r="A84" s="10" t="s">
        <v>573</v>
      </c>
      <c r="B84" s="10" t="s">
        <v>811</v>
      </c>
      <c r="C84" s="10" t="s">
        <v>12</v>
      </c>
      <c r="D84" s="10">
        <v>18</v>
      </c>
      <c r="E84" s="10" t="s">
        <v>724</v>
      </c>
      <c r="F84" s="10">
        <v>0</v>
      </c>
      <c r="G84" s="10">
        <v>90</v>
      </c>
      <c r="H84" s="10">
        <v>0</v>
      </c>
      <c r="I84" s="10">
        <v>34</v>
      </c>
      <c r="J84" s="10">
        <v>2</v>
      </c>
      <c r="K84" s="10">
        <v>0</v>
      </c>
      <c r="L84" s="10">
        <v>2</v>
      </c>
      <c r="M84" s="10">
        <v>0</v>
      </c>
      <c r="N84" s="10">
        <v>6.35</v>
      </c>
      <c r="O84" s="10" t="s">
        <v>812</v>
      </c>
      <c r="P84" s="10">
        <v>111</v>
      </c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>
      <c r="A85" s="10" t="s">
        <v>563</v>
      </c>
      <c r="B85" s="10" t="s">
        <v>733</v>
      </c>
      <c r="C85" s="10" t="s">
        <v>12</v>
      </c>
      <c r="D85" s="10">
        <v>16</v>
      </c>
      <c r="E85" s="10" t="s">
        <v>724</v>
      </c>
      <c r="F85" s="10">
        <v>0</v>
      </c>
      <c r="G85" s="10">
        <v>75</v>
      </c>
      <c r="H85" s="10">
        <v>10</v>
      </c>
      <c r="I85" s="10">
        <v>28</v>
      </c>
      <c r="J85" s="10">
        <v>3</v>
      </c>
      <c r="K85" s="10">
        <v>0</v>
      </c>
      <c r="L85" s="10">
        <v>5</v>
      </c>
      <c r="M85" s="10">
        <v>1</v>
      </c>
      <c r="N85" s="10">
        <v>6.4</v>
      </c>
      <c r="O85" s="10" t="s">
        <v>753</v>
      </c>
      <c r="P85" s="10">
        <v>110</v>
      </c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>
      <c r="A86" s="10" t="s">
        <v>573</v>
      </c>
      <c r="B86" s="10" t="s">
        <v>714</v>
      </c>
      <c r="C86" s="10" t="s">
        <v>12</v>
      </c>
      <c r="D86" s="10">
        <v>12</v>
      </c>
      <c r="E86" s="10" t="s">
        <v>724</v>
      </c>
      <c r="F86" s="10">
        <v>0</v>
      </c>
      <c r="G86" s="10">
        <v>80</v>
      </c>
      <c r="H86" s="10">
        <v>10</v>
      </c>
      <c r="I86" s="10">
        <v>30</v>
      </c>
      <c r="J86" s="10">
        <v>3</v>
      </c>
      <c r="K86" s="10">
        <v>0</v>
      </c>
      <c r="L86" s="10">
        <v>3</v>
      </c>
      <c r="M86" s="10">
        <v>1</v>
      </c>
      <c r="N86" s="10">
        <v>6.3</v>
      </c>
      <c r="O86" s="10" t="s">
        <v>815</v>
      </c>
      <c r="P86" s="10">
        <v>109</v>
      </c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>
      <c r="A87" s="10" t="s">
        <v>570</v>
      </c>
      <c r="B87" s="10" t="s">
        <v>978</v>
      </c>
      <c r="C87" s="10" t="s">
        <v>12</v>
      </c>
      <c r="D87" s="10">
        <v>25</v>
      </c>
      <c r="E87" s="10" t="s">
        <v>724</v>
      </c>
      <c r="F87" s="10">
        <v>0</v>
      </c>
      <c r="G87" s="10">
        <v>80</v>
      </c>
      <c r="H87" s="10">
        <v>0</v>
      </c>
      <c r="I87" s="10">
        <v>34</v>
      </c>
      <c r="J87" s="10">
        <v>0</v>
      </c>
      <c r="K87" s="10">
        <v>0</v>
      </c>
      <c r="L87" s="10">
        <v>2</v>
      </c>
      <c r="M87" s="10">
        <v>0</v>
      </c>
      <c r="N87" s="10">
        <v>6.3</v>
      </c>
      <c r="O87" s="10" t="s">
        <v>718</v>
      </c>
      <c r="P87" s="10">
        <v>107</v>
      </c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>
      <c r="A88" s="10" t="s">
        <v>565</v>
      </c>
      <c r="B88" s="10" t="s">
        <v>783</v>
      </c>
      <c r="C88" s="10" t="s">
        <v>12</v>
      </c>
      <c r="D88" s="10">
        <v>18</v>
      </c>
      <c r="E88" s="10" t="s">
        <v>724</v>
      </c>
      <c r="F88" s="10">
        <v>0</v>
      </c>
      <c r="G88" s="10">
        <v>85</v>
      </c>
      <c r="H88" s="10">
        <v>0</v>
      </c>
      <c r="I88" s="10">
        <v>32</v>
      </c>
      <c r="J88" s="10">
        <v>2</v>
      </c>
      <c r="K88" s="10">
        <v>0</v>
      </c>
      <c r="L88" s="10">
        <v>2</v>
      </c>
      <c r="M88" s="10">
        <v>0</v>
      </c>
      <c r="N88" s="10">
        <v>6.35</v>
      </c>
      <c r="O88" s="10" t="s">
        <v>784</v>
      </c>
      <c r="P88" s="10">
        <v>106</v>
      </c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>
      <c r="A89" s="10" t="s">
        <v>553</v>
      </c>
      <c r="B89" s="10" t="s">
        <v>690</v>
      </c>
      <c r="C89" s="10" t="s">
        <v>12</v>
      </c>
      <c r="D89" s="10">
        <v>7</v>
      </c>
      <c r="E89" s="10" t="s">
        <v>724</v>
      </c>
      <c r="F89" s="10">
        <v>0</v>
      </c>
      <c r="G89" s="10">
        <v>75</v>
      </c>
      <c r="H89" s="10">
        <v>10</v>
      </c>
      <c r="I89" s="10">
        <v>30</v>
      </c>
      <c r="J89" s="10">
        <v>4</v>
      </c>
      <c r="K89" s="10">
        <v>0</v>
      </c>
      <c r="L89" s="10">
        <v>3</v>
      </c>
      <c r="M89" s="10">
        <v>1</v>
      </c>
      <c r="N89" s="10">
        <v>6.2</v>
      </c>
      <c r="O89" s="10" t="s">
        <v>933</v>
      </c>
      <c r="P89" s="10">
        <v>100</v>
      </c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>
      <c r="A90" s="10" t="s">
        <v>551</v>
      </c>
      <c r="B90" s="10" t="s">
        <v>863</v>
      </c>
      <c r="C90" s="10" t="s">
        <v>12</v>
      </c>
      <c r="D90" s="10">
        <v>9</v>
      </c>
      <c r="E90" s="10" t="s">
        <v>724</v>
      </c>
      <c r="F90" s="10">
        <v>0</v>
      </c>
      <c r="G90" s="10">
        <v>85</v>
      </c>
      <c r="H90" s="10">
        <v>0</v>
      </c>
      <c r="I90" s="10">
        <v>30</v>
      </c>
      <c r="J90" s="10">
        <v>1</v>
      </c>
      <c r="K90" s="10">
        <v>0</v>
      </c>
      <c r="L90" s="10">
        <v>2</v>
      </c>
      <c r="M90" s="10">
        <v>0</v>
      </c>
      <c r="N90" s="10">
        <v>6.25</v>
      </c>
      <c r="O90" s="10" t="s">
        <v>718</v>
      </c>
      <c r="P90" s="10">
        <v>97</v>
      </c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>
      <c r="A91" s="10" t="s">
        <v>563</v>
      </c>
      <c r="B91" s="10" t="s">
        <v>734</v>
      </c>
      <c r="C91" s="10" t="s">
        <v>12</v>
      </c>
      <c r="D91" s="10">
        <v>14</v>
      </c>
      <c r="E91" s="10" t="s">
        <v>724</v>
      </c>
      <c r="F91" s="10">
        <v>0</v>
      </c>
      <c r="G91" s="10">
        <v>70</v>
      </c>
      <c r="H91" s="10">
        <v>5</v>
      </c>
      <c r="I91" s="10">
        <v>27</v>
      </c>
      <c r="J91" s="10">
        <v>2</v>
      </c>
      <c r="K91" s="10">
        <v>0</v>
      </c>
      <c r="L91" s="10">
        <v>4</v>
      </c>
      <c r="M91" s="10">
        <v>0</v>
      </c>
      <c r="N91" s="10">
        <v>6.3</v>
      </c>
      <c r="O91" s="10" t="s">
        <v>859</v>
      </c>
      <c r="P91" s="10">
        <v>95</v>
      </c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>
      <c r="A92" s="10" t="s">
        <v>560</v>
      </c>
      <c r="B92" s="10" t="s">
        <v>677</v>
      </c>
      <c r="C92" s="10" t="s">
        <v>12</v>
      </c>
      <c r="D92" s="10">
        <v>11</v>
      </c>
      <c r="E92" s="10" t="s">
        <v>724</v>
      </c>
      <c r="F92" s="10">
        <v>0</v>
      </c>
      <c r="G92" s="10">
        <v>75</v>
      </c>
      <c r="H92" s="10">
        <v>0</v>
      </c>
      <c r="I92" s="10">
        <v>30</v>
      </c>
      <c r="J92" s="10">
        <v>3</v>
      </c>
      <c r="K92" s="10">
        <v>0</v>
      </c>
      <c r="L92" s="10">
        <v>5</v>
      </c>
      <c r="M92" s="10">
        <v>0</v>
      </c>
      <c r="N92" s="10">
        <v>6.4</v>
      </c>
      <c r="O92" s="10" t="s">
        <v>918</v>
      </c>
      <c r="P92" s="10">
        <v>94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>
      <c r="A93" s="10" t="s">
        <v>570</v>
      </c>
      <c r="B93" s="10" t="s">
        <v>990</v>
      </c>
      <c r="C93" s="10" t="s">
        <v>12</v>
      </c>
      <c r="D93" s="10">
        <v>27</v>
      </c>
      <c r="E93" s="10" t="s">
        <v>724</v>
      </c>
      <c r="F93" s="10">
        <v>0</v>
      </c>
      <c r="G93" s="10">
        <v>60</v>
      </c>
      <c r="H93" s="10">
        <v>0</v>
      </c>
      <c r="I93" s="10">
        <v>30</v>
      </c>
      <c r="J93" s="10">
        <v>2</v>
      </c>
      <c r="K93" s="10">
        <v>0</v>
      </c>
      <c r="L93" s="10">
        <v>3</v>
      </c>
      <c r="M93" s="10">
        <v>0</v>
      </c>
      <c r="N93" s="10">
        <v>6.2</v>
      </c>
      <c r="O93" s="10" t="s">
        <v>991</v>
      </c>
      <c r="P93" s="10">
        <v>92</v>
      </c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>
      <c r="A94" s="10" t="s">
        <v>565</v>
      </c>
      <c r="B94" s="10" t="s">
        <v>711</v>
      </c>
      <c r="C94" s="10" t="s">
        <v>12</v>
      </c>
      <c r="D94" s="10">
        <v>14</v>
      </c>
      <c r="E94" s="10" t="s">
        <v>724</v>
      </c>
      <c r="F94" s="10">
        <v>0</v>
      </c>
      <c r="G94" s="10">
        <v>70</v>
      </c>
      <c r="H94" s="10">
        <v>0</v>
      </c>
      <c r="I94" s="10">
        <v>28</v>
      </c>
      <c r="J94" s="10">
        <v>3</v>
      </c>
      <c r="K94" s="10">
        <v>0</v>
      </c>
      <c r="L94" s="10">
        <v>4</v>
      </c>
      <c r="M94" s="10">
        <v>0</v>
      </c>
      <c r="N94" s="10">
        <v>6.3</v>
      </c>
      <c r="O94" s="10" t="s">
        <v>787</v>
      </c>
      <c r="P94" s="10">
        <v>91</v>
      </c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>
      <c r="A95" s="10" t="s">
        <v>560</v>
      </c>
      <c r="B95" s="10" t="s">
        <v>848</v>
      </c>
      <c r="C95" s="10" t="s">
        <v>12</v>
      </c>
      <c r="D95" s="10">
        <v>10</v>
      </c>
      <c r="E95" s="10" t="s">
        <v>724</v>
      </c>
      <c r="F95" s="10">
        <v>0</v>
      </c>
      <c r="G95" s="10">
        <v>65</v>
      </c>
      <c r="H95" s="10">
        <v>10</v>
      </c>
      <c r="I95" s="10">
        <v>29</v>
      </c>
      <c r="J95" s="10">
        <v>2</v>
      </c>
      <c r="K95" s="10">
        <v>0</v>
      </c>
      <c r="L95" s="10">
        <v>3</v>
      </c>
      <c r="M95" s="10">
        <v>1</v>
      </c>
      <c r="N95" s="10">
        <v>6</v>
      </c>
      <c r="O95" s="10" t="s">
        <v>849</v>
      </c>
      <c r="P95" s="10">
        <v>91</v>
      </c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>
      <c r="A96" s="10" t="s">
        <v>566</v>
      </c>
      <c r="B96" s="10" t="s">
        <v>841</v>
      </c>
      <c r="C96" s="10" t="s">
        <v>12</v>
      </c>
      <c r="D96" s="10">
        <v>12</v>
      </c>
      <c r="E96" s="10" t="s">
        <v>724</v>
      </c>
      <c r="F96" s="10">
        <v>0</v>
      </c>
      <c r="G96" s="10">
        <v>70</v>
      </c>
      <c r="H96" s="10">
        <v>0</v>
      </c>
      <c r="I96" s="10">
        <v>28</v>
      </c>
      <c r="J96" s="10">
        <v>4</v>
      </c>
      <c r="K96" s="10">
        <v>0</v>
      </c>
      <c r="L96" s="10">
        <v>3</v>
      </c>
      <c r="M96" s="10">
        <v>0</v>
      </c>
      <c r="N96" s="10">
        <v>6.3</v>
      </c>
      <c r="O96" s="10" t="s">
        <v>911</v>
      </c>
      <c r="P96" s="10">
        <v>89</v>
      </c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>
      <c r="A97" s="10" t="s">
        <v>551</v>
      </c>
      <c r="B97" s="10" t="s">
        <v>666</v>
      </c>
      <c r="C97" s="10" t="s">
        <v>12</v>
      </c>
      <c r="D97" s="10">
        <v>12</v>
      </c>
      <c r="E97" s="10" t="s">
        <v>724</v>
      </c>
      <c r="F97" s="10">
        <v>0</v>
      </c>
      <c r="G97" s="10">
        <v>70</v>
      </c>
      <c r="H97" s="10">
        <v>0</v>
      </c>
      <c r="I97" s="10">
        <v>28</v>
      </c>
      <c r="J97" s="10">
        <v>3</v>
      </c>
      <c r="K97" s="10">
        <v>0</v>
      </c>
      <c r="L97" s="10">
        <v>3</v>
      </c>
      <c r="M97" s="10">
        <v>0</v>
      </c>
      <c r="N97" s="10">
        <v>6.3</v>
      </c>
      <c r="O97" s="10" t="s">
        <v>864</v>
      </c>
      <c r="P97" s="10">
        <v>88</v>
      </c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>
      <c r="A98" s="10" t="s">
        <v>555</v>
      </c>
      <c r="B98" s="10" t="s">
        <v>676</v>
      </c>
      <c r="C98" s="10" t="s">
        <v>12</v>
      </c>
      <c r="D98" s="10">
        <v>9</v>
      </c>
      <c r="E98" s="10" t="s">
        <v>724</v>
      </c>
      <c r="F98" s="10">
        <v>0</v>
      </c>
      <c r="G98" s="10">
        <v>60</v>
      </c>
      <c r="H98" s="10">
        <v>10</v>
      </c>
      <c r="I98" s="10">
        <v>30</v>
      </c>
      <c r="J98" s="10">
        <v>3</v>
      </c>
      <c r="K98" s="10">
        <v>0</v>
      </c>
      <c r="L98" s="10">
        <v>4</v>
      </c>
      <c r="M98" s="10">
        <v>1</v>
      </c>
      <c r="N98" s="10">
        <v>6.3</v>
      </c>
      <c r="O98" s="10" t="s">
        <v>947</v>
      </c>
      <c r="P98" s="10">
        <v>87</v>
      </c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>
      <c r="A99" s="10" t="s">
        <v>563</v>
      </c>
      <c r="B99" s="10" t="s">
        <v>737</v>
      </c>
      <c r="C99" s="10" t="s">
        <v>12</v>
      </c>
      <c r="D99" s="10">
        <v>6</v>
      </c>
      <c r="E99" s="10" t="s">
        <v>724</v>
      </c>
      <c r="F99" s="10">
        <v>0</v>
      </c>
      <c r="G99" s="10">
        <v>75</v>
      </c>
      <c r="H99" s="10">
        <v>0</v>
      </c>
      <c r="I99" s="10">
        <v>25</v>
      </c>
      <c r="J99" s="10">
        <v>2</v>
      </c>
      <c r="K99" s="10">
        <v>0</v>
      </c>
      <c r="L99" s="10">
        <v>3</v>
      </c>
      <c r="M99" s="10">
        <v>0</v>
      </c>
      <c r="N99" s="10">
        <v>6.1</v>
      </c>
      <c r="O99" s="10" t="s">
        <v>750</v>
      </c>
      <c r="P99" s="10">
        <v>86</v>
      </c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>
      <c r="A100" s="10" t="s">
        <v>555</v>
      </c>
      <c r="B100" s="10" t="s">
        <v>661</v>
      </c>
      <c r="C100" s="10" t="s">
        <v>12</v>
      </c>
      <c r="D100" s="10">
        <v>8</v>
      </c>
      <c r="E100" s="10" t="s">
        <v>724</v>
      </c>
      <c r="F100" s="10">
        <v>0</v>
      </c>
      <c r="G100" s="10">
        <v>40</v>
      </c>
      <c r="H100" s="10">
        <v>30</v>
      </c>
      <c r="I100" s="10">
        <v>25</v>
      </c>
      <c r="J100" s="10">
        <v>3</v>
      </c>
      <c r="K100" s="10">
        <v>0</v>
      </c>
      <c r="L100" s="10">
        <v>3</v>
      </c>
      <c r="M100" s="10">
        <v>1</v>
      </c>
      <c r="N100" s="10">
        <v>6.1</v>
      </c>
      <c r="O100" s="10" t="s">
        <v>949</v>
      </c>
      <c r="P100" s="10">
        <v>85</v>
      </c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>
      <c r="A101" s="10" t="s">
        <v>553</v>
      </c>
      <c r="B101" s="10" t="s">
        <v>934</v>
      </c>
      <c r="C101" s="10" t="s">
        <v>12</v>
      </c>
      <c r="D101" s="10">
        <v>8</v>
      </c>
      <c r="E101" s="10" t="s">
        <v>724</v>
      </c>
      <c r="F101" s="10">
        <v>0</v>
      </c>
      <c r="G101" s="10">
        <v>70</v>
      </c>
      <c r="H101" s="10">
        <v>0</v>
      </c>
      <c r="I101" s="10">
        <v>28</v>
      </c>
      <c r="J101" s="10">
        <v>3</v>
      </c>
      <c r="K101" s="10">
        <v>0</v>
      </c>
      <c r="L101" s="10">
        <v>3</v>
      </c>
      <c r="M101" s="10">
        <v>0</v>
      </c>
      <c r="N101" s="10">
        <v>6</v>
      </c>
      <c r="O101" s="10" t="s">
        <v>935</v>
      </c>
      <c r="P101" s="10">
        <v>84</v>
      </c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>
      <c r="A102" s="10" t="s">
        <v>573</v>
      </c>
      <c r="B102" s="10" t="s">
        <v>813</v>
      </c>
      <c r="C102" s="10" t="s">
        <v>12</v>
      </c>
      <c r="D102" s="10">
        <v>10</v>
      </c>
      <c r="E102" s="10" t="s">
        <v>724</v>
      </c>
      <c r="F102" s="10">
        <v>0</v>
      </c>
      <c r="G102" s="10">
        <v>70</v>
      </c>
      <c r="H102" s="10">
        <v>0</v>
      </c>
      <c r="I102" s="10">
        <v>28</v>
      </c>
      <c r="J102" s="10">
        <v>2</v>
      </c>
      <c r="K102" s="10">
        <v>0</v>
      </c>
      <c r="L102" s="10">
        <v>1</v>
      </c>
      <c r="M102" s="10">
        <v>0</v>
      </c>
      <c r="N102" s="10">
        <v>6.25</v>
      </c>
      <c r="O102" s="10" t="s">
        <v>814</v>
      </c>
      <c r="P102" s="10">
        <v>83</v>
      </c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>
      <c r="A103" s="10" t="s">
        <v>566</v>
      </c>
      <c r="B103" s="10" t="s">
        <v>836</v>
      </c>
      <c r="C103" s="10" t="s">
        <v>12</v>
      </c>
      <c r="D103" s="10">
        <v>10</v>
      </c>
      <c r="E103" s="10" t="s">
        <v>724</v>
      </c>
      <c r="F103" s="10">
        <v>0</v>
      </c>
      <c r="G103" s="10">
        <v>70</v>
      </c>
      <c r="H103" s="10">
        <v>0</v>
      </c>
      <c r="I103" s="10">
        <v>28</v>
      </c>
      <c r="J103" s="10">
        <v>1</v>
      </c>
      <c r="K103" s="10">
        <v>0</v>
      </c>
      <c r="L103" s="10">
        <v>2</v>
      </c>
      <c r="M103" s="10">
        <v>0</v>
      </c>
      <c r="N103" s="10">
        <v>6.25</v>
      </c>
      <c r="O103" s="10" t="s">
        <v>905</v>
      </c>
      <c r="P103" s="10">
        <v>83</v>
      </c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>
      <c r="A104" s="10" t="s">
        <v>553</v>
      </c>
      <c r="B104" s="10" t="s">
        <v>931</v>
      </c>
      <c r="C104" s="10" t="s">
        <v>12</v>
      </c>
      <c r="D104" s="10">
        <v>8</v>
      </c>
      <c r="E104" s="10" t="s">
        <v>724</v>
      </c>
      <c r="F104" s="10">
        <v>0</v>
      </c>
      <c r="G104" s="10">
        <v>70</v>
      </c>
      <c r="H104" s="10">
        <v>0</v>
      </c>
      <c r="I104" s="10">
        <v>30</v>
      </c>
      <c r="J104" s="10">
        <v>1</v>
      </c>
      <c r="K104" s="10">
        <v>0</v>
      </c>
      <c r="L104" s="10">
        <v>2</v>
      </c>
      <c r="M104" s="10">
        <v>0</v>
      </c>
      <c r="N104" s="10">
        <v>5.9</v>
      </c>
      <c r="O104" s="10" t="s">
        <v>932</v>
      </c>
      <c r="P104" s="10">
        <v>81</v>
      </c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>
      <c r="A105" s="10" t="s">
        <v>573</v>
      </c>
      <c r="B105" s="10" t="s">
        <v>735</v>
      </c>
      <c r="C105" s="10" t="s">
        <v>12</v>
      </c>
      <c r="D105" s="10">
        <v>10</v>
      </c>
      <c r="E105" s="10" t="s">
        <v>724</v>
      </c>
      <c r="F105" s="10">
        <v>0</v>
      </c>
      <c r="G105" s="10">
        <v>60</v>
      </c>
      <c r="H105" s="10">
        <v>0</v>
      </c>
      <c r="I105" s="10">
        <v>25</v>
      </c>
      <c r="J105" s="10">
        <v>2</v>
      </c>
      <c r="K105" s="10">
        <v>0</v>
      </c>
      <c r="L105" s="10">
        <v>3</v>
      </c>
      <c r="M105" s="10">
        <v>0</v>
      </c>
      <c r="N105" s="10">
        <v>6.2</v>
      </c>
      <c r="O105" s="10" t="s">
        <v>809</v>
      </c>
      <c r="P105" s="10">
        <v>75</v>
      </c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>
      <c r="A106" s="10" t="s">
        <v>563</v>
      </c>
      <c r="B106" s="10" t="s">
        <v>735</v>
      </c>
      <c r="C106" s="10" t="s">
        <v>12</v>
      </c>
      <c r="D106" s="10">
        <v>10</v>
      </c>
      <c r="E106" s="10" t="s">
        <v>724</v>
      </c>
      <c r="F106" s="10">
        <v>0</v>
      </c>
      <c r="G106" s="10">
        <v>60</v>
      </c>
      <c r="H106" s="10">
        <v>0</v>
      </c>
      <c r="I106" s="10">
        <v>22</v>
      </c>
      <c r="J106" s="10">
        <v>2</v>
      </c>
      <c r="K106" s="10">
        <v>0</v>
      </c>
      <c r="L106" s="10">
        <v>3</v>
      </c>
      <c r="M106" s="10">
        <v>0</v>
      </c>
      <c r="N106" s="10">
        <v>6.2</v>
      </c>
      <c r="O106" s="10" t="s">
        <v>749</v>
      </c>
      <c r="P106" s="10">
        <v>75</v>
      </c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>
      <c r="A107" s="10" t="s">
        <v>553</v>
      </c>
      <c r="B107" s="10" t="s">
        <v>930</v>
      </c>
      <c r="C107" s="10" t="s">
        <v>12</v>
      </c>
      <c r="D107" s="10">
        <v>9</v>
      </c>
      <c r="E107" s="10" t="s">
        <v>724</v>
      </c>
      <c r="F107" s="10">
        <v>0</v>
      </c>
      <c r="G107" s="10">
        <v>60</v>
      </c>
      <c r="H107" s="10">
        <v>0</v>
      </c>
      <c r="I107" s="10">
        <v>26</v>
      </c>
      <c r="J107" s="10">
        <v>2</v>
      </c>
      <c r="K107" s="10">
        <v>0</v>
      </c>
      <c r="L107" s="10">
        <v>3</v>
      </c>
      <c r="M107" s="10">
        <v>0</v>
      </c>
      <c r="N107" s="10">
        <v>6</v>
      </c>
      <c r="O107" s="10" t="s">
        <v>674</v>
      </c>
      <c r="P107" s="10">
        <v>74</v>
      </c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>
      <c r="A108" s="10" t="s">
        <v>555</v>
      </c>
      <c r="B108" s="10" t="s">
        <v>697</v>
      </c>
      <c r="C108" s="10" t="s">
        <v>12</v>
      </c>
      <c r="D108" s="10">
        <v>6</v>
      </c>
      <c r="E108" s="10" t="s">
        <v>724</v>
      </c>
      <c r="F108" s="10">
        <v>0</v>
      </c>
      <c r="G108" s="10">
        <v>65</v>
      </c>
      <c r="H108" s="10">
        <v>0</v>
      </c>
      <c r="I108" s="10">
        <v>28</v>
      </c>
      <c r="J108" s="10">
        <v>1</v>
      </c>
      <c r="K108" s="10">
        <v>0</v>
      </c>
      <c r="L108" s="10">
        <v>2</v>
      </c>
      <c r="M108" s="10">
        <v>0</v>
      </c>
      <c r="N108" s="10">
        <v>5.9</v>
      </c>
      <c r="O108" s="10" t="s">
        <v>945</v>
      </c>
      <c r="P108" s="10">
        <v>74</v>
      </c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>
      <c r="A109" s="10" t="s">
        <v>560</v>
      </c>
      <c r="B109" s="10" t="s">
        <v>702</v>
      </c>
      <c r="C109" s="10" t="s">
        <v>12</v>
      </c>
      <c r="D109" s="10">
        <v>7</v>
      </c>
      <c r="E109" s="10" t="s">
        <v>724</v>
      </c>
      <c r="F109" s="10">
        <v>0</v>
      </c>
      <c r="G109" s="10">
        <v>60</v>
      </c>
      <c r="H109" s="10">
        <v>0</v>
      </c>
      <c r="I109" s="10">
        <v>26</v>
      </c>
      <c r="J109" s="10">
        <v>2</v>
      </c>
      <c r="K109" s="10">
        <v>0</v>
      </c>
      <c r="L109" s="10">
        <v>2</v>
      </c>
      <c r="M109" s="10">
        <v>0</v>
      </c>
      <c r="N109" s="10">
        <v>5.8</v>
      </c>
      <c r="O109" s="10" t="s">
        <v>920</v>
      </c>
      <c r="P109" s="10">
        <v>71</v>
      </c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>
      <c r="A110" s="10" t="s">
        <v>563</v>
      </c>
      <c r="B110" s="10" t="s">
        <v>732</v>
      </c>
      <c r="C110" s="10" t="s">
        <v>12</v>
      </c>
      <c r="D110" s="10">
        <v>18</v>
      </c>
      <c r="E110" s="10" t="s">
        <v>974</v>
      </c>
      <c r="F110" s="10">
        <v>20</v>
      </c>
      <c r="G110" s="10">
        <v>60</v>
      </c>
      <c r="H110" s="10">
        <v>5</v>
      </c>
      <c r="I110" s="10">
        <v>26</v>
      </c>
      <c r="J110" s="10">
        <v>4</v>
      </c>
      <c r="K110" s="10">
        <v>0</v>
      </c>
      <c r="L110" s="10">
        <v>3</v>
      </c>
      <c r="M110" s="10">
        <v>0</v>
      </c>
      <c r="N110" s="10">
        <v>6.35</v>
      </c>
      <c r="O110" s="10" t="s">
        <v>752</v>
      </c>
      <c r="P110" s="10">
        <v>70</v>
      </c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>
      <c r="A111" s="10" t="s">
        <v>553</v>
      </c>
      <c r="B111" s="10" t="s">
        <v>933</v>
      </c>
      <c r="C111" s="10" t="s">
        <v>12</v>
      </c>
      <c r="D111" s="10">
        <v>6</v>
      </c>
      <c r="E111" s="10" t="s">
        <v>724</v>
      </c>
      <c r="F111" s="10">
        <v>0</v>
      </c>
      <c r="G111" s="10">
        <v>60</v>
      </c>
      <c r="H111" s="10">
        <v>0</v>
      </c>
      <c r="I111" s="10">
        <v>22</v>
      </c>
      <c r="J111" s="10">
        <v>2</v>
      </c>
      <c r="K111" s="10">
        <v>0</v>
      </c>
      <c r="L111" s="10">
        <v>2</v>
      </c>
      <c r="M111" s="10">
        <v>0</v>
      </c>
      <c r="N111" s="10">
        <v>5.8</v>
      </c>
      <c r="O111" s="10" t="s">
        <v>690</v>
      </c>
      <c r="P111" s="10">
        <v>70</v>
      </c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>
      <c r="A112" s="10" t="s">
        <v>555</v>
      </c>
      <c r="B112" s="10" t="s">
        <v>696</v>
      </c>
      <c r="C112" s="10" t="s">
        <v>12</v>
      </c>
      <c r="D112" s="10">
        <v>7</v>
      </c>
      <c r="E112" s="10" t="s">
        <v>724</v>
      </c>
      <c r="F112" s="10">
        <v>0</v>
      </c>
      <c r="G112" s="10">
        <v>55</v>
      </c>
      <c r="H112" s="10">
        <v>0</v>
      </c>
      <c r="I112" s="10">
        <v>26</v>
      </c>
      <c r="J112" s="10">
        <v>2</v>
      </c>
      <c r="K112" s="10">
        <v>0</v>
      </c>
      <c r="L112" s="10">
        <v>3</v>
      </c>
      <c r="M112" s="10">
        <v>0</v>
      </c>
      <c r="N112" s="10">
        <v>6</v>
      </c>
      <c r="O112" s="10" t="s">
        <v>946</v>
      </c>
      <c r="P112" s="10">
        <v>67</v>
      </c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>
      <c r="A113" s="10" t="s">
        <v>566</v>
      </c>
      <c r="B113" s="10" t="s">
        <v>909</v>
      </c>
      <c r="C113" s="10" t="s">
        <v>12</v>
      </c>
      <c r="D113" s="10">
        <v>10</v>
      </c>
      <c r="E113" s="10" t="s">
        <v>724</v>
      </c>
      <c r="F113" s="10">
        <v>0</v>
      </c>
      <c r="G113" s="10">
        <v>50</v>
      </c>
      <c r="H113" s="10">
        <v>0</v>
      </c>
      <c r="I113" s="10">
        <v>24</v>
      </c>
      <c r="J113" s="10">
        <v>2</v>
      </c>
      <c r="K113" s="10">
        <v>0</v>
      </c>
      <c r="L113" s="10">
        <v>2</v>
      </c>
      <c r="M113" s="10">
        <v>0</v>
      </c>
      <c r="N113" s="10">
        <v>6.2</v>
      </c>
      <c r="O113" s="10" t="s">
        <v>910</v>
      </c>
      <c r="P113" s="10">
        <v>64</v>
      </c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>
      <c r="A114" s="10" t="s">
        <v>551</v>
      </c>
      <c r="B114" s="10" t="s">
        <v>664</v>
      </c>
      <c r="C114" s="10" t="s">
        <v>12</v>
      </c>
      <c r="D114" s="10">
        <v>10</v>
      </c>
      <c r="E114" s="10" t="s">
        <v>724</v>
      </c>
      <c r="F114" s="10">
        <v>0</v>
      </c>
      <c r="G114" s="10">
        <v>50</v>
      </c>
      <c r="H114" s="10">
        <v>0</v>
      </c>
      <c r="I114" s="10">
        <v>22</v>
      </c>
      <c r="J114" s="10">
        <v>2</v>
      </c>
      <c r="K114" s="10">
        <v>0</v>
      </c>
      <c r="L114" s="10">
        <v>2</v>
      </c>
      <c r="M114" s="10">
        <v>0</v>
      </c>
      <c r="N114" s="10">
        <v>6.2</v>
      </c>
      <c r="O114" s="10" t="s">
        <v>865</v>
      </c>
      <c r="P114" s="10">
        <v>64</v>
      </c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>
      <c r="A115" s="10" t="s">
        <v>570</v>
      </c>
      <c r="B115" s="10" t="s">
        <v>992</v>
      </c>
      <c r="C115" s="10" t="s">
        <v>12</v>
      </c>
      <c r="D115" s="10">
        <v>20</v>
      </c>
      <c r="E115" s="10" t="s">
        <v>724</v>
      </c>
      <c r="F115" s="10">
        <v>0</v>
      </c>
      <c r="G115" s="10">
        <v>40</v>
      </c>
      <c r="H115" s="10">
        <v>0</v>
      </c>
      <c r="I115" s="10">
        <v>24</v>
      </c>
      <c r="J115" s="10">
        <v>1</v>
      </c>
      <c r="K115" s="10">
        <v>0</v>
      </c>
      <c r="L115" s="10">
        <v>2</v>
      </c>
      <c r="M115" s="10">
        <v>0</v>
      </c>
      <c r="N115" s="10">
        <v>6.1</v>
      </c>
      <c r="O115" s="10" t="s">
        <v>725</v>
      </c>
      <c r="P115" s="10">
        <v>63</v>
      </c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>
      <c r="A116" s="10" t="s">
        <v>566</v>
      </c>
      <c r="B116" s="10" t="s">
        <v>838</v>
      </c>
      <c r="C116" s="10" t="s">
        <v>12</v>
      </c>
      <c r="D116" s="10">
        <v>8</v>
      </c>
      <c r="E116" s="10" t="s">
        <v>724</v>
      </c>
      <c r="F116" s="10">
        <v>0</v>
      </c>
      <c r="G116" s="10">
        <v>50</v>
      </c>
      <c r="H116" s="10">
        <v>0</v>
      </c>
      <c r="I116" s="10">
        <v>22</v>
      </c>
      <c r="J116" s="10">
        <v>2</v>
      </c>
      <c r="K116" s="10">
        <v>0</v>
      </c>
      <c r="L116" s="10">
        <v>1</v>
      </c>
      <c r="M116" s="10">
        <v>0</v>
      </c>
      <c r="N116" s="10">
        <v>6.1</v>
      </c>
      <c r="O116" s="10" t="s">
        <v>839</v>
      </c>
      <c r="P116" s="10">
        <v>61</v>
      </c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>
      <c r="A117" s="10" t="s">
        <v>565</v>
      </c>
      <c r="B117" s="10" t="s">
        <v>788</v>
      </c>
      <c r="C117" s="10" t="s">
        <v>12</v>
      </c>
      <c r="D117" s="10">
        <v>8</v>
      </c>
      <c r="E117" s="10" t="s">
        <v>724</v>
      </c>
      <c r="F117" s="10">
        <v>0</v>
      </c>
      <c r="G117" s="10">
        <v>50</v>
      </c>
      <c r="H117" s="10">
        <v>0</v>
      </c>
      <c r="I117" s="10">
        <v>20</v>
      </c>
      <c r="J117" s="10">
        <v>1</v>
      </c>
      <c r="K117" s="10">
        <v>0</v>
      </c>
      <c r="L117" s="10">
        <v>2</v>
      </c>
      <c r="M117" s="10">
        <v>0</v>
      </c>
      <c r="N117" s="10">
        <v>6.1</v>
      </c>
      <c r="O117" s="10" t="s">
        <v>789</v>
      </c>
      <c r="P117" s="10">
        <v>61</v>
      </c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>
      <c r="A120" s="11" t="s">
        <v>550</v>
      </c>
      <c r="B120" s="11" t="s">
        <v>678</v>
      </c>
      <c r="C120" s="11" t="s">
        <v>645</v>
      </c>
      <c r="D120" s="11" t="s">
        <v>715</v>
      </c>
      <c r="E120" s="11" t="s">
        <v>844</v>
      </c>
      <c r="F120" s="11" t="s">
        <v>856</v>
      </c>
      <c r="G120" s="11" t="s">
        <v>855</v>
      </c>
      <c r="H120" s="11" t="s">
        <v>854</v>
      </c>
      <c r="I120" s="11" t="s">
        <v>862</v>
      </c>
      <c r="J120" s="11" t="s">
        <v>861</v>
      </c>
      <c r="K120" s="11" t="s">
        <v>860</v>
      </c>
      <c r="L120" s="11" t="s">
        <v>580</v>
      </c>
      <c r="M120" s="11" t="s">
        <v>548</v>
      </c>
      <c r="N120" s="11" t="s">
        <v>897</v>
      </c>
      <c r="O120" s="11" t="s">
        <v>716</v>
      </c>
      <c r="P120" s="11" t="s">
        <v>857</v>
      </c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>
      <c r="A121" s="10" t="s">
        <v>563</v>
      </c>
      <c r="B121" s="10" t="s">
        <v>670</v>
      </c>
      <c r="C121" s="10" t="s">
        <v>5</v>
      </c>
      <c r="D121" s="10">
        <v>84</v>
      </c>
      <c r="E121" s="10" t="s">
        <v>724</v>
      </c>
      <c r="F121" s="10">
        <v>0</v>
      </c>
      <c r="G121" s="10">
        <v>100</v>
      </c>
      <c r="H121" s="10">
        <v>90</v>
      </c>
      <c r="I121" s="10">
        <v>34</v>
      </c>
      <c r="J121" s="10">
        <v>21</v>
      </c>
      <c r="K121" s="10">
        <v>0</v>
      </c>
      <c r="L121" s="10">
        <v>5</v>
      </c>
      <c r="M121" s="10">
        <v>6</v>
      </c>
      <c r="N121" s="10">
        <v>6.75</v>
      </c>
      <c r="O121" s="10" t="s">
        <v>717</v>
      </c>
      <c r="P121" s="10">
        <v>303</v>
      </c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>
      <c r="A122" s="10" t="s">
        <v>570</v>
      </c>
      <c r="B122" s="10" t="s">
        <v>966</v>
      </c>
      <c r="C122" s="10" t="s">
        <v>5</v>
      </c>
      <c r="D122" s="10">
        <v>77</v>
      </c>
      <c r="E122" s="10" t="s">
        <v>724</v>
      </c>
      <c r="F122" s="10">
        <v>0</v>
      </c>
      <c r="G122" s="10">
        <v>95</v>
      </c>
      <c r="H122" s="10">
        <v>90</v>
      </c>
      <c r="I122" s="10">
        <v>34</v>
      </c>
      <c r="J122" s="10">
        <v>14</v>
      </c>
      <c r="K122" s="10">
        <v>0</v>
      </c>
      <c r="L122" s="10">
        <v>10</v>
      </c>
      <c r="M122" s="10">
        <v>4</v>
      </c>
      <c r="N122" s="10">
        <v>6.5</v>
      </c>
      <c r="O122" s="10" t="s">
        <v>980</v>
      </c>
      <c r="P122" s="10">
        <v>288</v>
      </c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>
      <c r="A123" s="10" t="s">
        <v>573</v>
      </c>
      <c r="B123" s="10" t="s">
        <v>574</v>
      </c>
      <c r="C123" s="10" t="s">
        <v>5</v>
      </c>
      <c r="D123" s="10">
        <v>42</v>
      </c>
      <c r="E123" s="10" t="s">
        <v>724</v>
      </c>
      <c r="F123" s="10">
        <v>0</v>
      </c>
      <c r="G123" s="10">
        <v>90</v>
      </c>
      <c r="H123" s="10">
        <v>90</v>
      </c>
      <c r="I123" s="10">
        <v>30</v>
      </c>
      <c r="J123" s="10">
        <v>12</v>
      </c>
      <c r="K123" s="10">
        <v>0</v>
      </c>
      <c r="L123" s="10">
        <v>6</v>
      </c>
      <c r="M123" s="10">
        <v>4</v>
      </c>
      <c r="N123" s="10">
        <v>6.7</v>
      </c>
      <c r="O123" s="10" t="s">
        <v>820</v>
      </c>
      <c r="P123" s="10">
        <v>244</v>
      </c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>
      <c r="A124" s="10" t="s">
        <v>565</v>
      </c>
      <c r="B124" s="10" t="s">
        <v>793</v>
      </c>
      <c r="C124" s="10" t="s">
        <v>5</v>
      </c>
      <c r="D124" s="10">
        <v>36</v>
      </c>
      <c r="E124" s="10" t="s">
        <v>724</v>
      </c>
      <c r="F124" s="10">
        <v>0</v>
      </c>
      <c r="G124" s="10">
        <v>95</v>
      </c>
      <c r="H124" s="10">
        <v>80</v>
      </c>
      <c r="I124" s="10">
        <v>34</v>
      </c>
      <c r="J124" s="10">
        <v>18</v>
      </c>
      <c r="K124" s="10">
        <v>0</v>
      </c>
      <c r="L124" s="10">
        <v>4</v>
      </c>
      <c r="M124" s="10">
        <v>6</v>
      </c>
      <c r="N124" s="10">
        <v>6.7</v>
      </c>
      <c r="O124" s="10" t="s">
        <v>717</v>
      </c>
      <c r="P124" s="10">
        <v>236</v>
      </c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>
      <c r="A125" s="10" t="s">
        <v>563</v>
      </c>
      <c r="B125" s="10" t="s">
        <v>740</v>
      </c>
      <c r="C125" s="10" t="s">
        <v>5</v>
      </c>
      <c r="D125" s="10">
        <v>28</v>
      </c>
      <c r="E125" s="10" t="s">
        <v>724</v>
      </c>
      <c r="F125" s="10">
        <v>0</v>
      </c>
      <c r="G125" s="10">
        <v>85</v>
      </c>
      <c r="H125" s="10">
        <v>80</v>
      </c>
      <c r="I125" s="10">
        <v>30</v>
      </c>
      <c r="J125" s="10">
        <v>14</v>
      </c>
      <c r="K125" s="10">
        <v>0</v>
      </c>
      <c r="L125" s="10">
        <v>4</v>
      </c>
      <c r="M125" s="10">
        <v>5</v>
      </c>
      <c r="N125" s="10">
        <v>6.55</v>
      </c>
      <c r="O125" s="10" t="s">
        <v>758</v>
      </c>
      <c r="P125" s="10">
        <v>216</v>
      </c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>
      <c r="A126" s="10" t="s">
        <v>566</v>
      </c>
      <c r="B126" s="10" t="s">
        <v>554</v>
      </c>
      <c r="C126" s="10" t="s">
        <v>5</v>
      </c>
      <c r="D126" s="10">
        <v>30</v>
      </c>
      <c r="E126" s="10" t="s">
        <v>724</v>
      </c>
      <c r="F126" s="10">
        <v>0</v>
      </c>
      <c r="G126" s="10">
        <v>85</v>
      </c>
      <c r="H126" s="10">
        <v>80</v>
      </c>
      <c r="I126" s="10">
        <v>30</v>
      </c>
      <c r="J126" s="10">
        <v>10</v>
      </c>
      <c r="K126" s="10">
        <v>0</v>
      </c>
      <c r="L126" s="10">
        <v>3</v>
      </c>
      <c r="M126" s="10">
        <v>3</v>
      </c>
      <c r="N126" s="10">
        <v>6.5</v>
      </c>
      <c r="O126" s="10" t="s">
        <v>820</v>
      </c>
      <c r="P126" s="10">
        <v>211</v>
      </c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>
      <c r="A127" s="10" t="s">
        <v>565</v>
      </c>
      <c r="B127" s="10" t="s">
        <v>792</v>
      </c>
      <c r="C127" s="10" t="s">
        <v>5</v>
      </c>
      <c r="D127" s="10">
        <v>30</v>
      </c>
      <c r="E127" s="10" t="s">
        <v>724</v>
      </c>
      <c r="F127" s="10">
        <v>0</v>
      </c>
      <c r="G127" s="10">
        <v>90</v>
      </c>
      <c r="H127" s="10">
        <v>40</v>
      </c>
      <c r="I127" s="10">
        <v>32</v>
      </c>
      <c r="J127" s="10">
        <v>10</v>
      </c>
      <c r="K127" s="10">
        <v>0</v>
      </c>
      <c r="L127" s="10">
        <v>5</v>
      </c>
      <c r="M127" s="10">
        <v>2</v>
      </c>
      <c r="N127" s="10">
        <v>6.55</v>
      </c>
      <c r="O127" s="10" t="s">
        <v>717</v>
      </c>
      <c r="P127" s="10">
        <v>176</v>
      </c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>
      <c r="A128" s="10" t="s">
        <v>560</v>
      </c>
      <c r="B128" s="10" t="s">
        <v>561</v>
      </c>
      <c r="C128" s="10" t="s">
        <v>5</v>
      </c>
      <c r="D128" s="10">
        <v>14</v>
      </c>
      <c r="E128" s="10" t="s">
        <v>724</v>
      </c>
      <c r="F128" s="10">
        <v>0</v>
      </c>
      <c r="G128" s="10">
        <v>85</v>
      </c>
      <c r="H128" s="10">
        <v>60</v>
      </c>
      <c r="I128" s="10">
        <v>33</v>
      </c>
      <c r="J128" s="10">
        <v>10</v>
      </c>
      <c r="K128" s="10">
        <v>0</v>
      </c>
      <c r="L128" s="10">
        <v>3</v>
      </c>
      <c r="M128" s="10">
        <v>2</v>
      </c>
      <c r="N128" s="10">
        <v>6.5</v>
      </c>
      <c r="O128" s="10" t="s">
        <v>921</v>
      </c>
      <c r="P128" s="10">
        <v>173</v>
      </c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>
      <c r="A129" s="10" t="s">
        <v>570</v>
      </c>
      <c r="B129" s="10" t="s">
        <v>964</v>
      </c>
      <c r="C129" s="10" t="s">
        <v>5</v>
      </c>
      <c r="D129" s="10">
        <v>43</v>
      </c>
      <c r="E129" s="10" t="s">
        <v>724</v>
      </c>
      <c r="F129" s="10">
        <v>0</v>
      </c>
      <c r="G129" s="10">
        <v>85</v>
      </c>
      <c r="H129" s="10">
        <v>20</v>
      </c>
      <c r="I129" s="10">
        <v>32</v>
      </c>
      <c r="J129" s="10">
        <v>11</v>
      </c>
      <c r="K129" s="10">
        <v>0</v>
      </c>
      <c r="L129" s="10">
        <v>10</v>
      </c>
      <c r="M129" s="10">
        <v>1</v>
      </c>
      <c r="N129" s="10">
        <v>6.3</v>
      </c>
      <c r="O129" s="10" t="s">
        <v>981</v>
      </c>
      <c r="P129" s="10">
        <v>169</v>
      </c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>
      <c r="A130" s="10" t="s">
        <v>573</v>
      </c>
      <c r="B130" s="10" t="s">
        <v>823</v>
      </c>
      <c r="C130" s="10" t="s">
        <v>5</v>
      </c>
      <c r="D130" s="10">
        <v>28</v>
      </c>
      <c r="E130" s="10" t="s">
        <v>724</v>
      </c>
      <c r="F130" s="10">
        <v>0</v>
      </c>
      <c r="G130" s="10">
        <v>85</v>
      </c>
      <c r="H130" s="10">
        <v>40</v>
      </c>
      <c r="I130" s="10">
        <v>32</v>
      </c>
      <c r="J130" s="10">
        <v>9</v>
      </c>
      <c r="K130" s="10">
        <v>0</v>
      </c>
      <c r="L130" s="10">
        <v>3</v>
      </c>
      <c r="M130" s="10">
        <v>2</v>
      </c>
      <c r="N130" s="10">
        <v>6.45</v>
      </c>
      <c r="O130" s="10" t="s">
        <v>824</v>
      </c>
      <c r="P130" s="10">
        <v>166</v>
      </c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>
      <c r="A131" s="10" t="s">
        <v>555</v>
      </c>
      <c r="B131" s="10" t="s">
        <v>556</v>
      </c>
      <c r="C131" s="10" t="s">
        <v>5</v>
      </c>
      <c r="D131" s="10">
        <v>11</v>
      </c>
      <c r="E131" s="10" t="s">
        <v>724</v>
      </c>
      <c r="F131" s="10">
        <v>0</v>
      </c>
      <c r="G131" s="10">
        <v>85</v>
      </c>
      <c r="H131" s="10">
        <v>50</v>
      </c>
      <c r="I131" s="10">
        <v>34</v>
      </c>
      <c r="J131" s="10">
        <v>9</v>
      </c>
      <c r="K131" s="10">
        <v>0</v>
      </c>
      <c r="L131" s="10">
        <v>4</v>
      </c>
      <c r="M131" s="10">
        <v>2</v>
      </c>
      <c r="N131" s="10">
        <v>6.4</v>
      </c>
      <c r="O131" s="10" t="s">
        <v>675</v>
      </c>
      <c r="P131" s="10">
        <v>159</v>
      </c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>
      <c r="A132" s="10" t="s">
        <v>553</v>
      </c>
      <c r="B132" s="10" t="s">
        <v>667</v>
      </c>
      <c r="C132" s="10" t="s">
        <v>5</v>
      </c>
      <c r="D132" s="10">
        <v>13</v>
      </c>
      <c r="E132" s="10" t="s">
        <v>724</v>
      </c>
      <c r="F132" s="10">
        <v>0</v>
      </c>
      <c r="G132" s="10">
        <v>90</v>
      </c>
      <c r="H132" s="10">
        <v>40</v>
      </c>
      <c r="I132" s="10">
        <v>36</v>
      </c>
      <c r="J132" s="10">
        <v>10</v>
      </c>
      <c r="K132" s="10">
        <v>0</v>
      </c>
      <c r="L132" s="10">
        <v>5</v>
      </c>
      <c r="M132" s="10">
        <v>2</v>
      </c>
      <c r="N132" s="10">
        <v>6.5</v>
      </c>
      <c r="O132" s="10" t="s">
        <v>660</v>
      </c>
      <c r="P132" s="10">
        <v>158</v>
      </c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>
      <c r="A133" s="10" t="s">
        <v>563</v>
      </c>
      <c r="B133" s="10" t="s">
        <v>739</v>
      </c>
      <c r="C133" s="10" t="s">
        <v>5</v>
      </c>
      <c r="D133" s="10">
        <v>38</v>
      </c>
      <c r="E133" s="10" t="s">
        <v>724</v>
      </c>
      <c r="F133" s="10">
        <v>0</v>
      </c>
      <c r="G133" s="10">
        <v>90</v>
      </c>
      <c r="H133" s="10">
        <v>10</v>
      </c>
      <c r="I133" s="10">
        <v>33</v>
      </c>
      <c r="J133" s="10">
        <v>10</v>
      </c>
      <c r="K133" s="10">
        <v>0</v>
      </c>
      <c r="L133" s="10">
        <v>7</v>
      </c>
      <c r="M133" s="10">
        <v>0</v>
      </c>
      <c r="N133" s="10">
        <v>6.5</v>
      </c>
      <c r="O133" s="10" t="s">
        <v>757</v>
      </c>
      <c r="P133" s="10">
        <v>154</v>
      </c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>
      <c r="A134" s="10" t="s">
        <v>551</v>
      </c>
      <c r="B134" s="10" t="s">
        <v>552</v>
      </c>
      <c r="C134" s="10" t="s">
        <v>5</v>
      </c>
      <c r="D134" s="10">
        <v>30</v>
      </c>
      <c r="E134" s="10" t="s">
        <v>724</v>
      </c>
      <c r="F134" s="10">
        <v>0</v>
      </c>
      <c r="G134" s="10">
        <v>50</v>
      </c>
      <c r="H134" s="10">
        <v>50</v>
      </c>
      <c r="I134" s="10">
        <v>32</v>
      </c>
      <c r="J134" s="10">
        <v>13</v>
      </c>
      <c r="K134" s="10">
        <v>0</v>
      </c>
      <c r="L134" s="10">
        <v>5</v>
      </c>
      <c r="M134" s="10">
        <v>2</v>
      </c>
      <c r="N134" s="10">
        <v>6.6</v>
      </c>
      <c r="O134" s="10" t="s">
        <v>870</v>
      </c>
      <c r="P134" s="10">
        <v>149</v>
      </c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>
      <c r="A135" s="10" t="s">
        <v>551</v>
      </c>
      <c r="B135" s="10" t="s">
        <v>685</v>
      </c>
      <c r="C135" s="10" t="s">
        <v>5</v>
      </c>
      <c r="D135" s="10">
        <v>28</v>
      </c>
      <c r="E135" s="10" t="s">
        <v>724</v>
      </c>
      <c r="F135" s="10">
        <v>0</v>
      </c>
      <c r="G135" s="10">
        <v>85</v>
      </c>
      <c r="H135" s="10">
        <v>20</v>
      </c>
      <c r="I135" s="10">
        <v>31</v>
      </c>
      <c r="J135" s="10">
        <v>11</v>
      </c>
      <c r="K135" s="10">
        <v>0</v>
      </c>
      <c r="L135" s="10">
        <v>3</v>
      </c>
      <c r="M135" s="10">
        <v>1</v>
      </c>
      <c r="N135" s="10">
        <v>6.55</v>
      </c>
      <c r="O135" s="10" t="s">
        <v>718</v>
      </c>
      <c r="P135" s="10">
        <v>147</v>
      </c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>
      <c r="A136" s="10" t="s">
        <v>570</v>
      </c>
      <c r="B136" s="10" t="s">
        <v>965</v>
      </c>
      <c r="C136" s="10" t="s">
        <v>5</v>
      </c>
      <c r="D136" s="10">
        <v>10</v>
      </c>
      <c r="E136" s="10" t="s">
        <v>724</v>
      </c>
      <c r="F136" s="10">
        <v>0</v>
      </c>
      <c r="G136" s="10">
        <v>80</v>
      </c>
      <c r="H136" s="10">
        <v>40</v>
      </c>
      <c r="I136" s="10">
        <v>33</v>
      </c>
      <c r="J136" s="10">
        <v>6</v>
      </c>
      <c r="K136" s="10">
        <v>0</v>
      </c>
      <c r="L136" s="10">
        <v>6</v>
      </c>
      <c r="M136" s="10">
        <v>2</v>
      </c>
      <c r="N136" s="10">
        <v>6.4</v>
      </c>
      <c r="O136" s="10" t="s">
        <v>977</v>
      </c>
      <c r="P136" s="10">
        <v>143</v>
      </c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>
      <c r="A137" s="10" t="s">
        <v>553</v>
      </c>
      <c r="B137" s="10" t="s">
        <v>691</v>
      </c>
      <c r="C137" s="10" t="s">
        <v>5</v>
      </c>
      <c r="D137" s="10">
        <v>14</v>
      </c>
      <c r="E137" s="10" t="s">
        <v>724</v>
      </c>
      <c r="F137" s="10">
        <v>0</v>
      </c>
      <c r="G137" s="10">
        <v>85</v>
      </c>
      <c r="H137" s="10">
        <v>30</v>
      </c>
      <c r="I137" s="10">
        <v>34</v>
      </c>
      <c r="J137" s="10">
        <v>9</v>
      </c>
      <c r="K137" s="10">
        <v>0</v>
      </c>
      <c r="L137" s="10">
        <v>4</v>
      </c>
      <c r="M137" s="10">
        <v>2</v>
      </c>
      <c r="N137" s="10">
        <v>6.4</v>
      </c>
      <c r="O137" s="10" t="s">
        <v>936</v>
      </c>
      <c r="P137" s="10">
        <v>142</v>
      </c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>
      <c r="A138" s="10" t="s">
        <v>565</v>
      </c>
      <c r="B138" s="10" t="s">
        <v>794</v>
      </c>
      <c r="C138" s="10" t="s">
        <v>5</v>
      </c>
      <c r="D138" s="10">
        <v>28</v>
      </c>
      <c r="E138" s="10" t="s">
        <v>724</v>
      </c>
      <c r="F138" s="10">
        <v>0</v>
      </c>
      <c r="G138" s="10">
        <v>80</v>
      </c>
      <c r="H138" s="10">
        <v>10</v>
      </c>
      <c r="I138" s="10">
        <v>30</v>
      </c>
      <c r="J138" s="10">
        <v>7</v>
      </c>
      <c r="K138" s="10">
        <v>0</v>
      </c>
      <c r="L138" s="10">
        <v>6</v>
      </c>
      <c r="M138" s="10">
        <v>0</v>
      </c>
      <c r="N138" s="10">
        <v>6.4</v>
      </c>
      <c r="O138" s="10" t="s">
        <v>795</v>
      </c>
      <c r="P138" s="10">
        <v>131</v>
      </c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>
      <c r="A139" s="10" t="s">
        <v>560</v>
      </c>
      <c r="B139" s="10" t="s">
        <v>669</v>
      </c>
      <c r="C139" s="10" t="s">
        <v>5</v>
      </c>
      <c r="D139" s="10">
        <v>12</v>
      </c>
      <c r="E139" s="10" t="s">
        <v>724</v>
      </c>
      <c r="F139" s="10">
        <v>0</v>
      </c>
      <c r="G139" s="10">
        <v>60</v>
      </c>
      <c r="H139" s="10">
        <v>40</v>
      </c>
      <c r="I139" s="10">
        <v>28</v>
      </c>
      <c r="J139" s="10">
        <v>7</v>
      </c>
      <c r="K139" s="10">
        <v>0</v>
      </c>
      <c r="L139" s="10">
        <v>2</v>
      </c>
      <c r="M139" s="10">
        <v>1</v>
      </c>
      <c r="N139" s="10">
        <v>6.1</v>
      </c>
      <c r="O139" s="10" t="s">
        <v>853</v>
      </c>
      <c r="P139" s="10">
        <v>122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>
      <c r="A140" s="10" t="s">
        <v>553</v>
      </c>
      <c r="B140" s="10" t="s">
        <v>554</v>
      </c>
      <c r="C140" s="10" t="s">
        <v>5</v>
      </c>
      <c r="D140" s="10">
        <v>10</v>
      </c>
      <c r="E140" s="10" t="s">
        <v>724</v>
      </c>
      <c r="F140" s="10">
        <v>0</v>
      </c>
      <c r="G140" s="10">
        <v>50</v>
      </c>
      <c r="H140" s="10">
        <v>50</v>
      </c>
      <c r="I140" s="10">
        <v>22</v>
      </c>
      <c r="J140" s="10">
        <v>5</v>
      </c>
      <c r="K140" s="10">
        <v>0</v>
      </c>
      <c r="L140" s="10">
        <v>1</v>
      </c>
      <c r="M140" s="10">
        <v>2</v>
      </c>
      <c r="N140" s="10">
        <v>5.9</v>
      </c>
      <c r="O140" s="10" t="s">
        <v>691</v>
      </c>
      <c r="P140" s="10">
        <v>119</v>
      </c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conditionalFormatting sqref="G1:G6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{07632051-411A-4B7D-BD3D-15D07C5AD174}</x14:id>
        </ext>
      </extLst>
    </cfRule>
  </conditionalFormatting>
  <conditionalFormatting sqref="H1:H6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{1ED795EC-7106-458D-BA38-4F10B163A149}</x14:id>
        </ext>
      </extLst>
    </cfRule>
  </conditionalFormatting>
  <conditionalFormatting sqref="E1:E600">
    <cfRule type="containsText" dxfId="6" priority="3" operator="containsText" text="Sì">
      <formula>NOT(ISERROR(SEARCH("Sì",E1)))</formula>
    </cfRule>
  </conditionalFormatting>
  <conditionalFormatting sqref="N1:N60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32051-411A-4B7D-BD3D-15D07C5AD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G1:G600</xm:sqref>
        </x14:conditionalFormatting>
        <x14:conditionalFormatting xmlns:xm="http://schemas.microsoft.com/office/excel/2006/main">
          <x14:cfRule type="dataBar" id="{1ED795EC-7106-458D-BA38-4F10B163A1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H1:H600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ADE8-8F40-4DC6-82C6-D45972388EA1}">
  <sheetPr codeName="Foglio10"/>
  <dimension ref="A1:Z1000"/>
  <sheetViews>
    <sheetView showGridLines="0" workbookViewId="0">
      <selection activeCell="F26" sqref="F26"/>
    </sheetView>
  </sheetViews>
  <sheetFormatPr defaultRowHeight="15"/>
  <cols>
    <col min="1" max="1" width="10.140625" style="14" bestFit="1" customWidth="1"/>
    <col min="2" max="2" width="16" style="14" bestFit="1" customWidth="1"/>
    <col min="3" max="3" width="6.140625" style="14" bestFit="1" customWidth="1"/>
    <col min="4" max="4" width="11.28515625" style="14" bestFit="1" customWidth="1"/>
    <col min="5" max="5" width="11.140625" style="14" bestFit="1" customWidth="1"/>
    <col min="6" max="6" width="9.42578125" style="14" bestFit="1" customWidth="1"/>
    <col min="7" max="7" width="11.28515625" style="14" bestFit="1" customWidth="1"/>
    <col min="8" max="8" width="12.140625" style="14" bestFit="1" customWidth="1"/>
    <col min="9" max="9" width="3.42578125" style="14" bestFit="1" customWidth="1"/>
    <col min="10" max="11" width="3.28515625" style="14" bestFit="1" customWidth="1"/>
    <col min="12" max="12" width="4.28515625" style="14" bestFit="1" customWidth="1"/>
    <col min="13" max="13" width="4" style="14" bestFit="1" customWidth="1"/>
    <col min="14" max="14" width="5" style="14" bestFit="1" customWidth="1"/>
    <col min="15" max="15" width="38.85546875" style="14" bestFit="1" customWidth="1"/>
    <col min="16" max="16" width="8" style="14" bestFit="1" customWidth="1"/>
    <col min="17" max="16384" width="9.140625" style="14"/>
  </cols>
  <sheetData>
    <row r="1" spans="1:26">
      <c r="A1" s="15" t="s">
        <v>550</v>
      </c>
      <c r="B1" s="11" t="s">
        <v>678</v>
      </c>
      <c r="C1" s="11" t="s">
        <v>645</v>
      </c>
      <c r="D1" s="11" t="s">
        <v>715</v>
      </c>
      <c r="E1" s="11" t="s">
        <v>844</v>
      </c>
      <c r="F1" s="11" t="s">
        <v>856</v>
      </c>
      <c r="G1" s="11" t="s">
        <v>855</v>
      </c>
      <c r="H1" s="11" t="s">
        <v>854</v>
      </c>
      <c r="I1" s="11" t="s">
        <v>862</v>
      </c>
      <c r="J1" s="11" t="s">
        <v>861</v>
      </c>
      <c r="K1" s="11" t="s">
        <v>860</v>
      </c>
      <c r="L1" s="11" t="s">
        <v>580</v>
      </c>
      <c r="M1" s="11" t="s">
        <v>548</v>
      </c>
      <c r="N1" s="11" t="s">
        <v>897</v>
      </c>
      <c r="O1" s="11" t="s">
        <v>716</v>
      </c>
      <c r="P1" s="11" t="s">
        <v>857</v>
      </c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>
      <c r="A2" s="10" t="s">
        <v>555</v>
      </c>
      <c r="B2" s="10" t="s">
        <v>692</v>
      </c>
      <c r="C2" s="10" t="s">
        <v>63</v>
      </c>
      <c r="D2" s="10">
        <v>9</v>
      </c>
      <c r="E2" s="10" t="s">
        <v>724</v>
      </c>
      <c r="F2" s="10">
        <v>0</v>
      </c>
      <c r="G2" s="10">
        <v>90</v>
      </c>
      <c r="H2" s="10">
        <v>0</v>
      </c>
      <c r="I2" s="10">
        <v>35</v>
      </c>
      <c r="J2" s="10">
        <v>0</v>
      </c>
      <c r="K2" s="10">
        <v>42</v>
      </c>
      <c r="L2" s="10">
        <v>0</v>
      </c>
      <c r="M2" s="10">
        <v>0</v>
      </c>
      <c r="N2" s="10">
        <v>6.1</v>
      </c>
      <c r="O2" s="10" t="s">
        <v>937</v>
      </c>
      <c r="P2" s="10">
        <v>48</v>
      </c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>
      <c r="A3" s="10" t="s">
        <v>560</v>
      </c>
      <c r="B3" s="10" t="s">
        <v>845</v>
      </c>
      <c r="C3" s="10" t="s">
        <v>63</v>
      </c>
      <c r="D3" s="10">
        <v>4</v>
      </c>
      <c r="E3" s="10" t="s">
        <v>724</v>
      </c>
      <c r="F3" s="10">
        <v>0</v>
      </c>
      <c r="G3" s="10">
        <v>10</v>
      </c>
      <c r="H3" s="10">
        <v>0</v>
      </c>
      <c r="I3" s="10">
        <v>5</v>
      </c>
      <c r="J3" s="10">
        <v>0</v>
      </c>
      <c r="K3" s="10">
        <v>0</v>
      </c>
      <c r="L3" s="10">
        <v>0</v>
      </c>
      <c r="M3" s="10">
        <v>0</v>
      </c>
      <c r="N3" s="10">
        <v>5.5</v>
      </c>
      <c r="O3" s="10" t="s">
        <v>744</v>
      </c>
      <c r="P3" s="10">
        <v>10</v>
      </c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>
      <c r="A4" s="10" t="s">
        <v>555</v>
      </c>
      <c r="B4" s="10" t="s">
        <v>937</v>
      </c>
      <c r="C4" s="10" t="s">
        <v>63</v>
      </c>
      <c r="D4" s="10">
        <v>4</v>
      </c>
      <c r="E4" s="10" t="s">
        <v>724</v>
      </c>
      <c r="F4" s="10">
        <v>0</v>
      </c>
      <c r="G4" s="10">
        <v>10</v>
      </c>
      <c r="H4" s="10">
        <v>0</v>
      </c>
      <c r="I4" s="10">
        <v>5</v>
      </c>
      <c r="J4" s="10">
        <v>0</v>
      </c>
      <c r="K4" s="10">
        <v>0</v>
      </c>
      <c r="L4" s="10">
        <v>0</v>
      </c>
      <c r="M4" s="10">
        <v>0</v>
      </c>
      <c r="N4" s="10">
        <v>5.4</v>
      </c>
      <c r="O4" s="10" t="s">
        <v>923</v>
      </c>
      <c r="P4" s="10">
        <v>10</v>
      </c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>
      <c r="A5" s="10" t="s">
        <v>560</v>
      </c>
      <c r="B5" s="10" t="s">
        <v>846</v>
      </c>
      <c r="C5" s="10" t="s">
        <v>63</v>
      </c>
      <c r="D5" s="10">
        <v>3</v>
      </c>
      <c r="E5" s="10" t="s">
        <v>724</v>
      </c>
      <c r="F5" s="10">
        <v>0</v>
      </c>
      <c r="G5" s="10">
        <v>5</v>
      </c>
      <c r="H5" s="10">
        <v>0</v>
      </c>
      <c r="I5" s="10">
        <v>2</v>
      </c>
      <c r="J5" s="10">
        <v>0</v>
      </c>
      <c r="K5" s="10">
        <v>0</v>
      </c>
      <c r="L5" s="10">
        <v>0</v>
      </c>
      <c r="M5" s="10">
        <v>0</v>
      </c>
      <c r="N5" s="10">
        <v>5.3</v>
      </c>
      <c r="O5" s="10" t="s">
        <v>744</v>
      </c>
      <c r="P5" s="10">
        <v>5</v>
      </c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>
      <c r="A6" s="10" t="s">
        <v>553</v>
      </c>
      <c r="B6" s="10" t="s">
        <v>922</v>
      </c>
      <c r="C6" s="10" t="s">
        <v>63</v>
      </c>
      <c r="D6" s="10">
        <v>4</v>
      </c>
      <c r="E6" s="10" t="s">
        <v>724</v>
      </c>
      <c r="F6" s="10">
        <v>0</v>
      </c>
      <c r="G6" s="10">
        <v>5</v>
      </c>
      <c r="H6" s="10">
        <v>0</v>
      </c>
      <c r="I6" s="10">
        <v>2</v>
      </c>
      <c r="J6" s="10">
        <v>0</v>
      </c>
      <c r="K6" s="10">
        <v>0</v>
      </c>
      <c r="L6" s="10">
        <v>0</v>
      </c>
      <c r="M6" s="10">
        <v>0</v>
      </c>
      <c r="N6" s="10">
        <v>5.5</v>
      </c>
      <c r="O6" s="10" t="s">
        <v>953</v>
      </c>
      <c r="P6" s="10">
        <v>5</v>
      </c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>
      <c r="A7" s="10" t="s">
        <v>566</v>
      </c>
      <c r="B7" s="10" t="s">
        <v>831</v>
      </c>
      <c r="C7" s="10" t="s">
        <v>63</v>
      </c>
      <c r="D7" s="10">
        <v>6</v>
      </c>
      <c r="E7" s="10" t="s">
        <v>724</v>
      </c>
      <c r="F7" s="10">
        <v>0</v>
      </c>
      <c r="G7" s="10">
        <v>5</v>
      </c>
      <c r="H7" s="10">
        <v>0</v>
      </c>
      <c r="I7" s="10">
        <v>2</v>
      </c>
      <c r="J7" s="10">
        <v>0</v>
      </c>
      <c r="K7" s="10">
        <v>3</v>
      </c>
      <c r="L7" s="10">
        <v>0</v>
      </c>
      <c r="M7" s="10">
        <v>0</v>
      </c>
      <c r="N7" s="10">
        <v>6.1</v>
      </c>
      <c r="O7" s="10" t="s">
        <v>725</v>
      </c>
      <c r="P7" s="10">
        <v>2</v>
      </c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>
      <c r="A8" s="10" t="s">
        <v>573</v>
      </c>
      <c r="B8" s="10" t="s">
        <v>800</v>
      </c>
      <c r="C8" s="10" t="s">
        <v>63</v>
      </c>
      <c r="D8" s="10">
        <v>3</v>
      </c>
      <c r="E8" s="10" t="s">
        <v>724</v>
      </c>
      <c r="F8" s="10">
        <v>0</v>
      </c>
      <c r="G8" s="10">
        <v>5</v>
      </c>
      <c r="H8" s="10">
        <v>0</v>
      </c>
      <c r="I8" s="10">
        <v>2</v>
      </c>
      <c r="J8" s="10">
        <v>0</v>
      </c>
      <c r="K8" s="10">
        <v>3</v>
      </c>
      <c r="L8" s="10">
        <v>0</v>
      </c>
      <c r="M8" s="10">
        <v>0</v>
      </c>
      <c r="N8" s="10">
        <v>6</v>
      </c>
      <c r="O8" s="10" t="s">
        <v>725</v>
      </c>
      <c r="P8" s="10">
        <v>2</v>
      </c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>
      <c r="A9" s="10" t="s">
        <v>551</v>
      </c>
      <c r="B9" s="10" t="s">
        <v>760</v>
      </c>
      <c r="C9" s="10" t="s">
        <v>63</v>
      </c>
      <c r="D9" s="10">
        <v>4</v>
      </c>
      <c r="E9" s="10" t="s">
        <v>724</v>
      </c>
      <c r="F9" s="10">
        <v>0</v>
      </c>
      <c r="G9" s="10">
        <v>5</v>
      </c>
      <c r="H9" s="10">
        <v>0</v>
      </c>
      <c r="I9" s="10">
        <v>3</v>
      </c>
      <c r="J9" s="10">
        <v>0</v>
      </c>
      <c r="K9" s="10">
        <v>4</v>
      </c>
      <c r="L9" s="10">
        <v>0</v>
      </c>
      <c r="M9" s="10">
        <v>0</v>
      </c>
      <c r="N9" s="10">
        <v>6</v>
      </c>
      <c r="O9" s="10" t="s">
        <v>725</v>
      </c>
      <c r="P9" s="10">
        <v>1</v>
      </c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>
      <c r="A10" s="10" t="s">
        <v>563</v>
      </c>
      <c r="B10" s="10" t="s">
        <v>698</v>
      </c>
      <c r="C10" s="10" t="s">
        <v>63</v>
      </c>
      <c r="D10" s="10">
        <v>6</v>
      </c>
      <c r="E10" s="10" t="s">
        <v>724</v>
      </c>
      <c r="F10" s="10">
        <v>0</v>
      </c>
      <c r="G10" s="10">
        <v>5</v>
      </c>
      <c r="H10" s="10">
        <v>0</v>
      </c>
      <c r="I10" s="10">
        <v>2</v>
      </c>
      <c r="J10" s="10">
        <v>0</v>
      </c>
      <c r="K10" s="10">
        <v>4</v>
      </c>
      <c r="L10" s="10">
        <v>0</v>
      </c>
      <c r="M10" s="10">
        <v>0</v>
      </c>
      <c r="N10" s="10">
        <v>6</v>
      </c>
      <c r="O10" s="10" t="s">
        <v>725</v>
      </c>
      <c r="P10" s="10">
        <v>1</v>
      </c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>
      <c r="A11" s="10" t="s">
        <v>551</v>
      </c>
      <c r="B11" s="10" t="s">
        <v>761</v>
      </c>
      <c r="C11" s="10" t="s">
        <v>63</v>
      </c>
      <c r="D11" s="10">
        <v>1</v>
      </c>
      <c r="E11" s="10" t="s">
        <v>724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5.8</v>
      </c>
      <c r="O11" s="10" t="s">
        <v>952</v>
      </c>
      <c r="P11" s="10">
        <v>0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>
      <c r="A14" s="11" t="s">
        <v>550</v>
      </c>
      <c r="B14" s="11" t="s">
        <v>678</v>
      </c>
      <c r="C14" s="11" t="s">
        <v>645</v>
      </c>
      <c r="D14" s="11" t="s">
        <v>715</v>
      </c>
      <c r="E14" s="11" t="s">
        <v>844</v>
      </c>
      <c r="F14" s="11" t="s">
        <v>856</v>
      </c>
      <c r="G14" s="11" t="s">
        <v>855</v>
      </c>
      <c r="H14" s="11" t="s">
        <v>854</v>
      </c>
      <c r="I14" s="11" t="s">
        <v>862</v>
      </c>
      <c r="J14" s="11" t="s">
        <v>861</v>
      </c>
      <c r="K14" s="11" t="s">
        <v>860</v>
      </c>
      <c r="L14" s="11" t="s">
        <v>580</v>
      </c>
      <c r="M14" s="11" t="s">
        <v>548</v>
      </c>
      <c r="N14" s="11" t="s">
        <v>897</v>
      </c>
      <c r="O14" s="11" t="s">
        <v>716</v>
      </c>
      <c r="P14" s="11" t="s">
        <v>857</v>
      </c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>
      <c r="A15" s="10" t="s">
        <v>553</v>
      </c>
      <c r="B15" s="10" t="s">
        <v>924</v>
      </c>
      <c r="C15" s="10" t="s">
        <v>41</v>
      </c>
      <c r="D15" s="10">
        <v>9</v>
      </c>
      <c r="E15" s="10" t="s">
        <v>724</v>
      </c>
      <c r="F15" s="10">
        <v>0</v>
      </c>
      <c r="G15" s="10">
        <v>90</v>
      </c>
      <c r="H15" s="10">
        <v>0</v>
      </c>
      <c r="I15" s="10">
        <v>34</v>
      </c>
      <c r="J15" s="10">
        <v>2</v>
      </c>
      <c r="K15" s="10">
        <v>0</v>
      </c>
      <c r="L15" s="10">
        <v>2</v>
      </c>
      <c r="M15" s="10">
        <v>0</v>
      </c>
      <c r="N15" s="10">
        <v>6.2</v>
      </c>
      <c r="O15" s="10" t="s">
        <v>925</v>
      </c>
      <c r="P15" s="10">
        <v>93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>
      <c r="A16" s="10" t="s">
        <v>560</v>
      </c>
      <c r="B16" s="10" t="s">
        <v>847</v>
      </c>
      <c r="C16" s="10" t="s">
        <v>41</v>
      </c>
      <c r="D16" s="10">
        <v>8</v>
      </c>
      <c r="E16" s="10" t="s">
        <v>724</v>
      </c>
      <c r="F16" s="10">
        <v>0</v>
      </c>
      <c r="G16" s="10">
        <v>85</v>
      </c>
      <c r="H16" s="10">
        <v>0</v>
      </c>
      <c r="I16" s="10">
        <v>32</v>
      </c>
      <c r="J16" s="10">
        <v>1</v>
      </c>
      <c r="K16" s="10">
        <v>0</v>
      </c>
      <c r="L16" s="10">
        <v>3</v>
      </c>
      <c r="M16" s="10">
        <v>0</v>
      </c>
      <c r="N16" s="10">
        <v>6.1</v>
      </c>
      <c r="O16" s="10" t="s">
        <v>915</v>
      </c>
      <c r="P16" s="10">
        <v>88</v>
      </c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>
      <c r="A17" s="10" t="s">
        <v>555</v>
      </c>
      <c r="B17" s="10" t="s">
        <v>668</v>
      </c>
      <c r="C17" s="10" t="s">
        <v>41</v>
      </c>
      <c r="D17" s="10">
        <v>8</v>
      </c>
      <c r="E17" s="10" t="s">
        <v>724</v>
      </c>
      <c r="F17" s="10">
        <v>0</v>
      </c>
      <c r="G17" s="10">
        <v>85</v>
      </c>
      <c r="H17" s="10">
        <v>0</v>
      </c>
      <c r="I17" s="10">
        <v>32</v>
      </c>
      <c r="J17" s="10">
        <v>2</v>
      </c>
      <c r="K17" s="10">
        <v>0</v>
      </c>
      <c r="L17" s="10">
        <v>2</v>
      </c>
      <c r="M17" s="10">
        <v>0</v>
      </c>
      <c r="N17" s="10">
        <v>6.2</v>
      </c>
      <c r="O17" s="10" t="s">
        <v>694</v>
      </c>
      <c r="P17" s="10">
        <v>88</v>
      </c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>
      <c r="A18" s="10" t="s">
        <v>553</v>
      </c>
      <c r="B18" s="10" t="s">
        <v>687</v>
      </c>
      <c r="C18" s="10" t="s">
        <v>41</v>
      </c>
      <c r="D18" s="10">
        <v>7</v>
      </c>
      <c r="E18" s="10" t="s">
        <v>724</v>
      </c>
      <c r="F18" s="10">
        <v>0</v>
      </c>
      <c r="G18" s="10">
        <v>85</v>
      </c>
      <c r="H18" s="10">
        <v>0</v>
      </c>
      <c r="I18" s="10">
        <v>32</v>
      </c>
      <c r="J18" s="10">
        <v>0</v>
      </c>
      <c r="K18" s="10">
        <v>0</v>
      </c>
      <c r="L18" s="10">
        <v>2</v>
      </c>
      <c r="M18" s="10">
        <v>0</v>
      </c>
      <c r="N18" s="10">
        <v>6</v>
      </c>
      <c r="O18" s="10" t="s">
        <v>723</v>
      </c>
      <c r="P18" s="10">
        <v>87</v>
      </c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>
      <c r="A19" s="10" t="s">
        <v>560</v>
      </c>
      <c r="B19" s="10" t="s">
        <v>703</v>
      </c>
      <c r="C19" s="10" t="s">
        <v>41</v>
      </c>
      <c r="D19" s="10">
        <v>9</v>
      </c>
      <c r="E19" s="10" t="s">
        <v>724</v>
      </c>
      <c r="F19" s="10">
        <v>0</v>
      </c>
      <c r="G19" s="10">
        <v>80</v>
      </c>
      <c r="H19" s="10">
        <v>0</v>
      </c>
      <c r="I19" s="10">
        <v>30</v>
      </c>
      <c r="J19" s="10">
        <v>2</v>
      </c>
      <c r="K19" s="10">
        <v>0</v>
      </c>
      <c r="L19" s="10">
        <v>4</v>
      </c>
      <c r="M19" s="10">
        <v>0</v>
      </c>
      <c r="N19" s="10">
        <v>6.3</v>
      </c>
      <c r="O19" s="10" t="s">
        <v>916</v>
      </c>
      <c r="P19" s="10">
        <v>86</v>
      </c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>
      <c r="A20" s="10" t="s">
        <v>553</v>
      </c>
      <c r="B20" s="10" t="s">
        <v>688</v>
      </c>
      <c r="C20" s="10" t="s">
        <v>41</v>
      </c>
      <c r="D20" s="10">
        <v>8</v>
      </c>
      <c r="E20" s="10" t="s">
        <v>724</v>
      </c>
      <c r="F20" s="10">
        <v>0</v>
      </c>
      <c r="G20" s="10">
        <v>80</v>
      </c>
      <c r="H20" s="10">
        <v>0</v>
      </c>
      <c r="I20" s="10">
        <v>30</v>
      </c>
      <c r="J20" s="10">
        <v>1</v>
      </c>
      <c r="K20" s="10">
        <v>0</v>
      </c>
      <c r="L20" s="10">
        <v>3</v>
      </c>
      <c r="M20" s="10">
        <v>0</v>
      </c>
      <c r="N20" s="10">
        <v>6.3</v>
      </c>
      <c r="O20" s="10" t="s">
        <v>926</v>
      </c>
      <c r="P20" s="10">
        <v>84</v>
      </c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>
      <c r="A21" s="10" t="s">
        <v>551</v>
      </c>
      <c r="B21" s="10" t="s">
        <v>681</v>
      </c>
      <c r="C21" s="10" t="s">
        <v>41</v>
      </c>
      <c r="D21" s="10">
        <v>9</v>
      </c>
      <c r="E21" s="10" t="s">
        <v>724</v>
      </c>
      <c r="F21" s="10">
        <v>0</v>
      </c>
      <c r="G21" s="10">
        <v>80</v>
      </c>
      <c r="H21" s="10">
        <v>0</v>
      </c>
      <c r="I21" s="10">
        <v>30</v>
      </c>
      <c r="J21" s="10">
        <v>1</v>
      </c>
      <c r="K21" s="10">
        <v>0</v>
      </c>
      <c r="L21" s="10">
        <v>2</v>
      </c>
      <c r="M21" s="10">
        <v>0</v>
      </c>
      <c r="N21" s="10">
        <v>6.25</v>
      </c>
      <c r="O21" s="10" t="s">
        <v>718</v>
      </c>
      <c r="P21" s="10">
        <v>83</v>
      </c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>
      <c r="A22" s="10" t="s">
        <v>555</v>
      </c>
      <c r="B22" s="10" t="s">
        <v>694</v>
      </c>
      <c r="C22" s="10" t="s">
        <v>41</v>
      </c>
      <c r="D22" s="10">
        <v>7</v>
      </c>
      <c r="E22" s="10" t="s">
        <v>724</v>
      </c>
      <c r="F22" s="10">
        <v>0</v>
      </c>
      <c r="G22" s="10">
        <v>80</v>
      </c>
      <c r="H22" s="10">
        <v>0</v>
      </c>
      <c r="I22" s="10">
        <v>30</v>
      </c>
      <c r="J22" s="10">
        <v>1</v>
      </c>
      <c r="K22" s="10">
        <v>0</v>
      </c>
      <c r="L22" s="10">
        <v>2</v>
      </c>
      <c r="M22" s="10">
        <v>0</v>
      </c>
      <c r="N22" s="10">
        <v>6</v>
      </c>
      <c r="O22" s="10" t="s">
        <v>668</v>
      </c>
      <c r="P22" s="10">
        <v>83</v>
      </c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>
      <c r="A23" s="10" t="s">
        <v>553</v>
      </c>
      <c r="B23" s="10" t="s">
        <v>927</v>
      </c>
      <c r="C23" s="10" t="s">
        <v>41</v>
      </c>
      <c r="D23" s="10">
        <v>7</v>
      </c>
      <c r="E23" s="10" t="s">
        <v>724</v>
      </c>
      <c r="F23" s="10">
        <v>0</v>
      </c>
      <c r="G23" s="10">
        <v>75</v>
      </c>
      <c r="H23" s="10">
        <v>0</v>
      </c>
      <c r="I23" s="10">
        <v>28</v>
      </c>
      <c r="J23" s="10">
        <v>1</v>
      </c>
      <c r="K23" s="10">
        <v>0</v>
      </c>
      <c r="L23" s="10">
        <v>2</v>
      </c>
      <c r="M23" s="10">
        <v>0</v>
      </c>
      <c r="N23" s="10">
        <v>6.1</v>
      </c>
      <c r="O23" s="10" t="s">
        <v>928</v>
      </c>
      <c r="P23" s="10">
        <v>78</v>
      </c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>
      <c r="A24" s="10" t="s">
        <v>560</v>
      </c>
      <c r="B24" s="10" t="s">
        <v>701</v>
      </c>
      <c r="C24" s="10" t="s">
        <v>41</v>
      </c>
      <c r="D24" s="10">
        <v>6</v>
      </c>
      <c r="E24" s="10" t="s">
        <v>724</v>
      </c>
      <c r="F24" s="10">
        <v>0</v>
      </c>
      <c r="G24" s="10">
        <v>70</v>
      </c>
      <c r="H24" s="10">
        <v>0</v>
      </c>
      <c r="I24" s="10">
        <v>28</v>
      </c>
      <c r="J24" s="10">
        <v>1</v>
      </c>
      <c r="K24" s="10">
        <v>0</v>
      </c>
      <c r="L24" s="10">
        <v>2</v>
      </c>
      <c r="M24" s="10">
        <v>0</v>
      </c>
      <c r="N24" s="10">
        <v>5.9</v>
      </c>
      <c r="O24" s="10" t="s">
        <v>917</v>
      </c>
      <c r="P24" s="10">
        <v>73</v>
      </c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>
      <c r="A25" s="10" t="s">
        <v>555</v>
      </c>
      <c r="B25" s="10" t="s">
        <v>693</v>
      </c>
      <c r="C25" s="10" t="s">
        <v>41</v>
      </c>
      <c r="D25" s="10">
        <v>7</v>
      </c>
      <c r="E25" s="10" t="s">
        <v>724</v>
      </c>
      <c r="F25" s="10">
        <v>0</v>
      </c>
      <c r="G25" s="10">
        <v>70</v>
      </c>
      <c r="H25" s="10">
        <v>0</v>
      </c>
      <c r="I25" s="10">
        <v>30</v>
      </c>
      <c r="J25" s="10">
        <v>1</v>
      </c>
      <c r="K25" s="10">
        <v>0</v>
      </c>
      <c r="L25" s="10">
        <v>2</v>
      </c>
      <c r="M25" s="10">
        <v>0</v>
      </c>
      <c r="N25" s="10">
        <v>5.9</v>
      </c>
      <c r="O25" s="10" t="s">
        <v>938</v>
      </c>
      <c r="P25" s="10">
        <v>73</v>
      </c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>
      <c r="A26" s="10" t="s">
        <v>553</v>
      </c>
      <c r="B26" s="10" t="s">
        <v>925</v>
      </c>
      <c r="C26" s="10" t="s">
        <v>41</v>
      </c>
      <c r="D26" s="10">
        <v>6</v>
      </c>
      <c r="E26" s="10" t="s">
        <v>724</v>
      </c>
      <c r="F26" s="10">
        <v>0</v>
      </c>
      <c r="G26" s="10">
        <v>70</v>
      </c>
      <c r="H26" s="10">
        <v>0</v>
      </c>
      <c r="I26" s="10">
        <v>20</v>
      </c>
      <c r="J26" s="10">
        <v>1</v>
      </c>
      <c r="K26" s="10">
        <v>0</v>
      </c>
      <c r="L26" s="10">
        <v>1</v>
      </c>
      <c r="M26" s="10">
        <v>0</v>
      </c>
      <c r="N26" s="10">
        <v>5.9</v>
      </c>
      <c r="O26" s="10" t="s">
        <v>924</v>
      </c>
      <c r="P26" s="10">
        <v>72</v>
      </c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>
      <c r="A27" s="10" t="s">
        <v>573</v>
      </c>
      <c r="B27" s="10" t="s">
        <v>808</v>
      </c>
      <c r="C27" s="10" t="s">
        <v>41</v>
      </c>
      <c r="D27" s="10">
        <v>8</v>
      </c>
      <c r="E27" s="10" t="s">
        <v>724</v>
      </c>
      <c r="F27" s="10">
        <v>0</v>
      </c>
      <c r="G27" s="10">
        <v>60</v>
      </c>
      <c r="H27" s="10">
        <v>0</v>
      </c>
      <c r="I27" s="10">
        <v>25</v>
      </c>
      <c r="J27" s="10">
        <v>1</v>
      </c>
      <c r="K27" s="10">
        <v>0</v>
      </c>
      <c r="L27" s="10">
        <v>2</v>
      </c>
      <c r="M27" s="10">
        <v>0</v>
      </c>
      <c r="N27" s="10">
        <v>6.2</v>
      </c>
      <c r="O27" s="10" t="s">
        <v>809</v>
      </c>
      <c r="P27" s="10">
        <v>63</v>
      </c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>
      <c r="A28" s="10" t="s">
        <v>563</v>
      </c>
      <c r="B28" s="10" t="s">
        <v>728</v>
      </c>
      <c r="C28" s="10" t="s">
        <v>41</v>
      </c>
      <c r="D28" s="10">
        <v>7</v>
      </c>
      <c r="E28" s="10" t="s">
        <v>724</v>
      </c>
      <c r="F28" s="10">
        <v>0</v>
      </c>
      <c r="G28" s="10">
        <v>60</v>
      </c>
      <c r="H28" s="10">
        <v>0</v>
      </c>
      <c r="I28" s="10">
        <v>25</v>
      </c>
      <c r="J28" s="10">
        <v>1</v>
      </c>
      <c r="K28" s="10">
        <v>0</v>
      </c>
      <c r="L28" s="10">
        <v>2</v>
      </c>
      <c r="M28" s="10">
        <v>0</v>
      </c>
      <c r="N28" s="10">
        <v>6.2</v>
      </c>
      <c r="O28" s="10" t="s">
        <v>745</v>
      </c>
      <c r="P28" s="10">
        <v>63</v>
      </c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>
      <c r="A29" s="10" t="s">
        <v>553</v>
      </c>
      <c r="B29" s="10" t="s">
        <v>928</v>
      </c>
      <c r="C29" s="10" t="s">
        <v>41</v>
      </c>
      <c r="D29" s="10">
        <v>6</v>
      </c>
      <c r="E29" s="10" t="s">
        <v>724</v>
      </c>
      <c r="F29" s="10">
        <v>0</v>
      </c>
      <c r="G29" s="10">
        <v>60</v>
      </c>
      <c r="H29" s="10">
        <v>0</v>
      </c>
      <c r="I29" s="10">
        <v>25</v>
      </c>
      <c r="J29" s="10">
        <v>0</v>
      </c>
      <c r="K29" s="10">
        <v>0</v>
      </c>
      <c r="L29" s="10">
        <v>1</v>
      </c>
      <c r="M29" s="10">
        <v>0</v>
      </c>
      <c r="N29" s="10">
        <v>5.9</v>
      </c>
      <c r="O29" s="10" t="s">
        <v>927</v>
      </c>
      <c r="P29" s="10">
        <v>61</v>
      </c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>
      <c r="A30" s="10" t="s">
        <v>551</v>
      </c>
      <c r="B30" s="10" t="s">
        <v>684</v>
      </c>
      <c r="C30" s="10" t="s">
        <v>41</v>
      </c>
      <c r="D30" s="10">
        <v>8</v>
      </c>
      <c r="E30" s="10" t="s">
        <v>724</v>
      </c>
      <c r="F30" s="10">
        <v>0</v>
      </c>
      <c r="G30" s="10">
        <v>55</v>
      </c>
      <c r="H30" s="10">
        <v>0</v>
      </c>
      <c r="I30" s="10">
        <v>25</v>
      </c>
      <c r="J30" s="10">
        <v>2</v>
      </c>
      <c r="K30" s="10">
        <v>0</v>
      </c>
      <c r="L30" s="10">
        <v>3</v>
      </c>
      <c r="M30" s="10">
        <v>0</v>
      </c>
      <c r="N30" s="10">
        <v>6.35</v>
      </c>
      <c r="O30" s="10" t="s">
        <v>768</v>
      </c>
      <c r="P30" s="10">
        <v>60</v>
      </c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>
      <c r="A31" s="10" t="s">
        <v>565</v>
      </c>
      <c r="B31" s="10" t="s">
        <v>874</v>
      </c>
      <c r="C31" s="10" t="s">
        <v>41</v>
      </c>
      <c r="D31" s="10">
        <v>8</v>
      </c>
      <c r="E31" s="10" t="s">
        <v>974</v>
      </c>
      <c r="F31" s="10">
        <v>10</v>
      </c>
      <c r="G31" s="10">
        <v>60</v>
      </c>
      <c r="H31" s="10">
        <v>0</v>
      </c>
      <c r="I31" s="10">
        <v>20</v>
      </c>
      <c r="J31" s="10">
        <v>1</v>
      </c>
      <c r="K31" s="10">
        <v>0</v>
      </c>
      <c r="L31" s="10">
        <v>1</v>
      </c>
      <c r="M31" s="10">
        <v>0</v>
      </c>
      <c r="N31" s="10">
        <v>6.1</v>
      </c>
      <c r="O31" s="10" t="s">
        <v>875</v>
      </c>
      <c r="P31" s="10">
        <v>52</v>
      </c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>
      <c r="A32" s="10" t="s">
        <v>563</v>
      </c>
      <c r="B32" s="10" t="s">
        <v>730</v>
      </c>
      <c r="C32" s="10" t="s">
        <v>41</v>
      </c>
      <c r="D32" s="10">
        <v>6</v>
      </c>
      <c r="E32" s="10" t="s">
        <v>724</v>
      </c>
      <c r="F32" s="10">
        <v>0</v>
      </c>
      <c r="G32" s="10">
        <v>50</v>
      </c>
      <c r="H32" s="10">
        <v>0</v>
      </c>
      <c r="I32" s="10">
        <v>22</v>
      </c>
      <c r="J32" s="10">
        <v>1</v>
      </c>
      <c r="K32" s="10">
        <v>0</v>
      </c>
      <c r="L32" s="10">
        <v>1</v>
      </c>
      <c r="M32" s="10">
        <v>0</v>
      </c>
      <c r="N32" s="10">
        <v>6.1</v>
      </c>
      <c r="O32" s="10" t="s">
        <v>748</v>
      </c>
      <c r="P32" s="10">
        <v>52</v>
      </c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A33" s="10" t="s">
        <v>555</v>
      </c>
      <c r="B33" s="10" t="s">
        <v>695</v>
      </c>
      <c r="C33" s="10" t="s">
        <v>41</v>
      </c>
      <c r="D33" s="10">
        <v>5</v>
      </c>
      <c r="E33" s="10" t="s">
        <v>724</v>
      </c>
      <c r="F33" s="10">
        <v>0</v>
      </c>
      <c r="G33" s="10">
        <v>51</v>
      </c>
      <c r="H33" s="10">
        <v>0</v>
      </c>
      <c r="I33" s="10">
        <v>20</v>
      </c>
      <c r="J33" s="10">
        <v>0</v>
      </c>
      <c r="K33" s="10">
        <v>0</v>
      </c>
      <c r="L33" s="10">
        <v>1</v>
      </c>
      <c r="M33" s="10">
        <v>0</v>
      </c>
      <c r="N33" s="10">
        <v>5.7</v>
      </c>
      <c r="O33" s="10" t="s">
        <v>940</v>
      </c>
      <c r="P33" s="10">
        <v>52</v>
      </c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A34" s="10" t="s">
        <v>560</v>
      </c>
      <c r="B34" s="10" t="s">
        <v>699</v>
      </c>
      <c r="C34" s="10" t="s">
        <v>41</v>
      </c>
      <c r="D34" s="10">
        <v>3</v>
      </c>
      <c r="E34" s="10" t="s">
        <v>724</v>
      </c>
      <c r="F34" s="10">
        <v>0</v>
      </c>
      <c r="G34" s="10">
        <v>51</v>
      </c>
      <c r="H34" s="10">
        <v>0</v>
      </c>
      <c r="I34" s="10">
        <v>14</v>
      </c>
      <c r="J34" s="10">
        <v>0</v>
      </c>
      <c r="K34" s="10">
        <v>0</v>
      </c>
      <c r="L34" s="10">
        <v>0</v>
      </c>
      <c r="M34" s="10">
        <v>0</v>
      </c>
      <c r="N34" s="10">
        <v>5.5</v>
      </c>
      <c r="O34" s="10" t="s">
        <v>701</v>
      </c>
      <c r="P34" s="10">
        <v>51</v>
      </c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A35" s="10" t="s">
        <v>560</v>
      </c>
      <c r="B35" s="10" t="s">
        <v>700</v>
      </c>
      <c r="C35" s="10" t="s">
        <v>41</v>
      </c>
      <c r="D35" s="10">
        <v>3</v>
      </c>
      <c r="E35" s="10" t="s">
        <v>724</v>
      </c>
      <c r="F35" s="10">
        <v>0</v>
      </c>
      <c r="G35" s="10">
        <v>49</v>
      </c>
      <c r="H35" s="10">
        <v>0</v>
      </c>
      <c r="I35" s="10">
        <v>12</v>
      </c>
      <c r="J35" s="10">
        <v>0</v>
      </c>
      <c r="K35" s="10">
        <v>0</v>
      </c>
      <c r="L35" s="10">
        <v>0</v>
      </c>
      <c r="M35" s="10">
        <v>0</v>
      </c>
      <c r="N35" s="10">
        <v>5.4</v>
      </c>
      <c r="O35" s="10" t="s">
        <v>701</v>
      </c>
      <c r="P35" s="10">
        <v>49</v>
      </c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s="10" t="s">
        <v>555</v>
      </c>
      <c r="B36" s="10" t="s">
        <v>941</v>
      </c>
      <c r="C36" s="10" t="s">
        <v>41</v>
      </c>
      <c r="D36" s="10">
        <v>5</v>
      </c>
      <c r="E36" s="10" t="s">
        <v>724</v>
      </c>
      <c r="F36" s="10">
        <v>0</v>
      </c>
      <c r="G36" s="10">
        <v>49</v>
      </c>
      <c r="H36" s="10">
        <v>0</v>
      </c>
      <c r="I36" s="10">
        <v>18</v>
      </c>
      <c r="J36" s="10">
        <v>0</v>
      </c>
      <c r="K36" s="10">
        <v>0</v>
      </c>
      <c r="L36" s="10">
        <v>0</v>
      </c>
      <c r="M36" s="10">
        <v>0</v>
      </c>
      <c r="N36" s="10">
        <v>5.5</v>
      </c>
      <c r="O36" s="10" t="s">
        <v>695</v>
      </c>
      <c r="P36" s="10">
        <v>49</v>
      </c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A37" s="10" t="s">
        <v>551</v>
      </c>
      <c r="B37" s="10" t="s">
        <v>766</v>
      </c>
      <c r="C37" s="10" t="s">
        <v>41</v>
      </c>
      <c r="D37" s="10">
        <v>5</v>
      </c>
      <c r="E37" s="10" t="s">
        <v>724</v>
      </c>
      <c r="F37" s="10">
        <v>0</v>
      </c>
      <c r="G37" s="10">
        <v>45</v>
      </c>
      <c r="H37" s="10">
        <v>0</v>
      </c>
      <c r="I37" s="10">
        <v>22</v>
      </c>
      <c r="J37" s="10">
        <v>0</v>
      </c>
      <c r="K37" s="10">
        <v>0</v>
      </c>
      <c r="L37" s="10">
        <v>1</v>
      </c>
      <c r="M37" s="10">
        <v>0</v>
      </c>
      <c r="N37" s="10">
        <v>6</v>
      </c>
      <c r="O37" s="10" t="s">
        <v>767</v>
      </c>
      <c r="P37" s="10">
        <v>46</v>
      </c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A38" s="10" t="s">
        <v>551</v>
      </c>
      <c r="B38" s="10" t="s">
        <v>722</v>
      </c>
      <c r="C38" s="10" t="s">
        <v>41</v>
      </c>
      <c r="D38" s="10">
        <v>2</v>
      </c>
      <c r="E38" s="10" t="s">
        <v>724</v>
      </c>
      <c r="F38" s="10">
        <v>0</v>
      </c>
      <c r="G38" s="10">
        <v>45</v>
      </c>
      <c r="H38" s="10">
        <v>0</v>
      </c>
      <c r="I38" s="10">
        <v>12</v>
      </c>
      <c r="J38" s="10">
        <v>0</v>
      </c>
      <c r="K38" s="10">
        <v>0</v>
      </c>
      <c r="L38" s="10">
        <v>0</v>
      </c>
      <c r="M38" s="10">
        <v>0</v>
      </c>
      <c r="N38" s="10">
        <v>5.9</v>
      </c>
      <c r="O38" s="10" t="s">
        <v>769</v>
      </c>
      <c r="P38" s="10">
        <v>45</v>
      </c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A39" s="10" t="s">
        <v>566</v>
      </c>
      <c r="B39" s="10" t="s">
        <v>901</v>
      </c>
      <c r="C39" s="10" t="s">
        <v>41</v>
      </c>
      <c r="D39" s="10">
        <v>6</v>
      </c>
      <c r="E39" s="10" t="s">
        <v>724</v>
      </c>
      <c r="F39" s="10">
        <v>0</v>
      </c>
      <c r="G39" s="10">
        <v>40</v>
      </c>
      <c r="H39" s="10">
        <v>0</v>
      </c>
      <c r="I39" s="10">
        <v>18</v>
      </c>
      <c r="J39" s="10">
        <v>0</v>
      </c>
      <c r="K39" s="10">
        <v>0</v>
      </c>
      <c r="L39" s="10">
        <v>1</v>
      </c>
      <c r="M39" s="10">
        <v>0</v>
      </c>
      <c r="N39" s="10">
        <v>6.1</v>
      </c>
      <c r="O39" s="10" t="s">
        <v>902</v>
      </c>
      <c r="P39" s="10">
        <v>41</v>
      </c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A40" s="10" t="s">
        <v>563</v>
      </c>
      <c r="B40" s="10" t="s">
        <v>729</v>
      </c>
      <c r="C40" s="10" t="s">
        <v>41</v>
      </c>
      <c r="D40" s="10">
        <v>5</v>
      </c>
      <c r="E40" s="10" t="s">
        <v>724</v>
      </c>
      <c r="F40" s="10">
        <v>0</v>
      </c>
      <c r="G40" s="10">
        <v>40</v>
      </c>
      <c r="H40" s="10">
        <v>0</v>
      </c>
      <c r="I40" s="10">
        <v>18</v>
      </c>
      <c r="J40" s="10">
        <v>0</v>
      </c>
      <c r="K40" s="10">
        <v>0</v>
      </c>
      <c r="L40" s="10">
        <v>1</v>
      </c>
      <c r="M40" s="10">
        <v>0</v>
      </c>
      <c r="N40" s="10">
        <v>6</v>
      </c>
      <c r="O40" s="10" t="s">
        <v>725</v>
      </c>
      <c r="P40" s="10">
        <v>41</v>
      </c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A41" s="10" t="s">
        <v>560</v>
      </c>
      <c r="B41" s="10" t="s">
        <v>915</v>
      </c>
      <c r="C41" s="10" t="s">
        <v>41</v>
      </c>
      <c r="D41" s="10">
        <v>5</v>
      </c>
      <c r="E41" s="10" t="s">
        <v>724</v>
      </c>
      <c r="F41" s="10">
        <v>0</v>
      </c>
      <c r="G41" s="10">
        <v>40</v>
      </c>
      <c r="H41" s="10">
        <v>0</v>
      </c>
      <c r="I41" s="10">
        <v>20</v>
      </c>
      <c r="J41" s="10">
        <v>0</v>
      </c>
      <c r="K41" s="10">
        <v>0</v>
      </c>
      <c r="L41" s="10">
        <v>1</v>
      </c>
      <c r="M41" s="10">
        <v>0</v>
      </c>
      <c r="N41" s="10">
        <v>5.7</v>
      </c>
      <c r="O41" s="10" t="s">
        <v>847</v>
      </c>
      <c r="P41" s="10">
        <v>41</v>
      </c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>
      <c r="A42" s="10" t="s">
        <v>553</v>
      </c>
      <c r="B42" s="10" t="s">
        <v>926</v>
      </c>
      <c r="C42" s="10" t="s">
        <v>41</v>
      </c>
      <c r="D42" s="10">
        <v>5</v>
      </c>
      <c r="E42" s="10" t="s">
        <v>724</v>
      </c>
      <c r="F42" s="10">
        <v>0</v>
      </c>
      <c r="G42" s="10">
        <v>40</v>
      </c>
      <c r="H42" s="10">
        <v>0</v>
      </c>
      <c r="I42" s="10">
        <v>18</v>
      </c>
      <c r="J42" s="10">
        <v>0</v>
      </c>
      <c r="K42" s="10">
        <v>0</v>
      </c>
      <c r="L42" s="10">
        <v>1</v>
      </c>
      <c r="M42" s="10">
        <v>0</v>
      </c>
      <c r="N42" s="10">
        <v>5.8</v>
      </c>
      <c r="O42" s="10" t="s">
        <v>688</v>
      </c>
      <c r="P42" s="10">
        <v>41</v>
      </c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>
      <c r="A43" s="10" t="s">
        <v>555</v>
      </c>
      <c r="B43" s="10" t="s">
        <v>942</v>
      </c>
      <c r="C43" s="10" t="s">
        <v>41</v>
      </c>
      <c r="D43" s="10">
        <v>6</v>
      </c>
      <c r="E43" s="10" t="s">
        <v>724</v>
      </c>
      <c r="F43" s="10">
        <v>0</v>
      </c>
      <c r="G43" s="10">
        <v>40</v>
      </c>
      <c r="H43" s="10">
        <v>0</v>
      </c>
      <c r="I43" s="10">
        <v>22</v>
      </c>
      <c r="J43" s="10">
        <v>0</v>
      </c>
      <c r="K43" s="10">
        <v>0</v>
      </c>
      <c r="L43" s="10">
        <v>1</v>
      </c>
      <c r="M43" s="10">
        <v>0</v>
      </c>
      <c r="N43" s="10">
        <v>5.8</v>
      </c>
      <c r="O43" s="10" t="s">
        <v>943</v>
      </c>
      <c r="P43" s="10">
        <v>41</v>
      </c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>
      <c r="A44" s="10" t="s">
        <v>551</v>
      </c>
      <c r="B44" s="10" t="s">
        <v>763</v>
      </c>
      <c r="C44" s="10" t="s">
        <v>41</v>
      </c>
      <c r="D44" s="10">
        <v>6</v>
      </c>
      <c r="E44" s="10" t="s">
        <v>974</v>
      </c>
      <c r="F44" s="10">
        <v>15</v>
      </c>
      <c r="G44" s="10">
        <v>45</v>
      </c>
      <c r="H44" s="10">
        <v>0</v>
      </c>
      <c r="I44" s="10">
        <v>20</v>
      </c>
      <c r="J44" s="10">
        <v>1</v>
      </c>
      <c r="K44" s="10">
        <v>0</v>
      </c>
      <c r="L44" s="10">
        <v>1</v>
      </c>
      <c r="M44" s="10">
        <v>0</v>
      </c>
      <c r="N44" s="10">
        <v>6.1</v>
      </c>
      <c r="O44" s="10" t="s">
        <v>764</v>
      </c>
      <c r="P44" s="10">
        <v>32</v>
      </c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>
      <c r="A45" s="10" t="s">
        <v>555</v>
      </c>
      <c r="B45" s="10" t="s">
        <v>939</v>
      </c>
      <c r="C45" s="10" t="s">
        <v>41</v>
      </c>
      <c r="D45" s="10">
        <v>4</v>
      </c>
      <c r="E45" s="10" t="s">
        <v>724</v>
      </c>
      <c r="F45" s="10">
        <v>0</v>
      </c>
      <c r="G45" s="10">
        <v>30</v>
      </c>
      <c r="H45" s="10">
        <v>0</v>
      </c>
      <c r="I45" s="10">
        <v>18</v>
      </c>
      <c r="J45" s="10">
        <v>0</v>
      </c>
      <c r="K45" s="10">
        <v>0</v>
      </c>
      <c r="L45" s="10">
        <v>1</v>
      </c>
      <c r="M45" s="10">
        <v>0</v>
      </c>
      <c r="N45" s="10">
        <v>5.6</v>
      </c>
      <c r="O45" s="10" t="s">
        <v>693</v>
      </c>
      <c r="P45" s="10">
        <v>31</v>
      </c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>
      <c r="A46" s="10" t="s">
        <v>573</v>
      </c>
      <c r="B46" s="10" t="s">
        <v>810</v>
      </c>
      <c r="C46" s="10" t="s">
        <v>41</v>
      </c>
      <c r="D46" s="10">
        <v>5</v>
      </c>
      <c r="E46" s="10" t="s">
        <v>724</v>
      </c>
      <c r="F46" s="10">
        <v>0</v>
      </c>
      <c r="G46" s="10">
        <v>30</v>
      </c>
      <c r="H46" s="10">
        <v>0</v>
      </c>
      <c r="I46" s="10">
        <v>20</v>
      </c>
      <c r="J46" s="10">
        <v>0</v>
      </c>
      <c r="K46" s="10">
        <v>0</v>
      </c>
      <c r="L46" s="10">
        <v>1</v>
      </c>
      <c r="M46" s="10">
        <v>0</v>
      </c>
      <c r="N46" s="10">
        <v>6</v>
      </c>
      <c r="O46" s="10" t="s">
        <v>754</v>
      </c>
      <c r="P46" s="10">
        <v>31</v>
      </c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>
      <c r="A47" s="10" t="s">
        <v>560</v>
      </c>
      <c r="B47" s="10" t="s">
        <v>916</v>
      </c>
      <c r="C47" s="10" t="s">
        <v>41</v>
      </c>
      <c r="D47" s="10">
        <v>4</v>
      </c>
      <c r="E47" s="10" t="s">
        <v>724</v>
      </c>
      <c r="F47" s="10">
        <v>0</v>
      </c>
      <c r="G47" s="10">
        <v>30</v>
      </c>
      <c r="H47" s="10">
        <v>0</v>
      </c>
      <c r="I47" s="10">
        <v>18</v>
      </c>
      <c r="J47" s="10">
        <v>0</v>
      </c>
      <c r="K47" s="10">
        <v>0</v>
      </c>
      <c r="L47" s="10">
        <v>0</v>
      </c>
      <c r="M47" s="10">
        <v>0</v>
      </c>
      <c r="N47" s="10">
        <v>5.6</v>
      </c>
      <c r="O47" s="10" t="s">
        <v>703</v>
      </c>
      <c r="P47" s="10">
        <v>30</v>
      </c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>
      <c r="A48" s="10" t="s">
        <v>566</v>
      </c>
      <c r="B48" s="10" t="s">
        <v>834</v>
      </c>
      <c r="C48" s="10" t="s">
        <v>41</v>
      </c>
      <c r="D48" s="10">
        <v>8</v>
      </c>
      <c r="E48" s="10" t="s">
        <v>974</v>
      </c>
      <c r="F48" s="10">
        <v>15</v>
      </c>
      <c r="G48" s="10">
        <v>40</v>
      </c>
      <c r="H48" s="10">
        <v>0</v>
      </c>
      <c r="I48" s="10">
        <v>20</v>
      </c>
      <c r="J48" s="10">
        <v>1</v>
      </c>
      <c r="K48" s="10">
        <v>0</v>
      </c>
      <c r="L48" s="10">
        <v>1</v>
      </c>
      <c r="M48" s="10">
        <v>0</v>
      </c>
      <c r="N48" s="10">
        <v>6.2</v>
      </c>
      <c r="O48" s="10" t="s">
        <v>898</v>
      </c>
      <c r="P48" s="10">
        <v>27</v>
      </c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>
      <c r="A49" s="10" t="s">
        <v>573</v>
      </c>
      <c r="B49" s="10" t="s">
        <v>713</v>
      </c>
      <c r="C49" s="10" t="s">
        <v>41</v>
      </c>
      <c r="D49" s="10">
        <v>6</v>
      </c>
      <c r="E49" s="10" t="s">
        <v>724</v>
      </c>
      <c r="F49" s="10">
        <v>0</v>
      </c>
      <c r="G49" s="10">
        <v>20</v>
      </c>
      <c r="H49" s="10">
        <v>0</v>
      </c>
      <c r="I49" s="10">
        <v>15</v>
      </c>
      <c r="J49" s="10">
        <v>1</v>
      </c>
      <c r="K49" s="10">
        <v>0</v>
      </c>
      <c r="L49" s="10">
        <v>1</v>
      </c>
      <c r="M49" s="10">
        <v>0</v>
      </c>
      <c r="N49" s="10">
        <v>6.1</v>
      </c>
      <c r="O49" s="10" t="s">
        <v>754</v>
      </c>
      <c r="P49" s="10">
        <v>23</v>
      </c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>
      <c r="A50" s="10" t="s">
        <v>573</v>
      </c>
      <c r="B50" s="10" t="s">
        <v>804</v>
      </c>
      <c r="C50" s="10" t="s">
        <v>41</v>
      </c>
      <c r="D50" s="10">
        <v>6</v>
      </c>
      <c r="E50" s="10" t="s">
        <v>974</v>
      </c>
      <c r="F50" s="10">
        <v>20</v>
      </c>
      <c r="G50" s="10">
        <v>40</v>
      </c>
      <c r="H50" s="10">
        <v>0</v>
      </c>
      <c r="I50" s="10">
        <v>18</v>
      </c>
      <c r="J50" s="10">
        <v>1</v>
      </c>
      <c r="K50" s="10">
        <v>0</v>
      </c>
      <c r="L50" s="10">
        <v>0</v>
      </c>
      <c r="M50" s="10">
        <v>0</v>
      </c>
      <c r="N50" s="10">
        <v>6.1</v>
      </c>
      <c r="O50" s="10" t="s">
        <v>805</v>
      </c>
      <c r="P50" s="10">
        <v>21</v>
      </c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>
      <c r="A51" s="10" t="s">
        <v>555</v>
      </c>
      <c r="B51" s="10" t="s">
        <v>944</v>
      </c>
      <c r="C51" s="10" t="s">
        <v>41</v>
      </c>
      <c r="D51" s="10">
        <v>3</v>
      </c>
      <c r="E51" s="10" t="s">
        <v>724</v>
      </c>
      <c r="F51" s="10">
        <v>0</v>
      </c>
      <c r="G51" s="10">
        <v>20</v>
      </c>
      <c r="H51" s="10">
        <v>0</v>
      </c>
      <c r="I51" s="10">
        <v>10</v>
      </c>
      <c r="J51" s="10">
        <v>0</v>
      </c>
      <c r="K51" s="10">
        <v>0</v>
      </c>
      <c r="L51" s="10">
        <v>0</v>
      </c>
      <c r="M51" s="10">
        <v>0</v>
      </c>
      <c r="N51" s="10">
        <v>5.3</v>
      </c>
      <c r="O51" s="10" t="s">
        <v>869</v>
      </c>
      <c r="P51" s="10">
        <v>20</v>
      </c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>
      <c r="A52" s="10" t="s">
        <v>553</v>
      </c>
      <c r="B52" s="10" t="s">
        <v>723</v>
      </c>
      <c r="C52" s="10" t="s">
        <v>41</v>
      </c>
      <c r="D52" s="10">
        <v>3</v>
      </c>
      <c r="E52" s="10" t="s">
        <v>724</v>
      </c>
      <c r="F52" s="10">
        <v>0</v>
      </c>
      <c r="G52" s="10">
        <v>10</v>
      </c>
      <c r="H52" s="10">
        <v>0</v>
      </c>
      <c r="I52" s="10">
        <v>6</v>
      </c>
      <c r="J52" s="10">
        <v>0</v>
      </c>
      <c r="K52" s="10">
        <v>0</v>
      </c>
      <c r="L52" s="10">
        <v>0</v>
      </c>
      <c r="M52" s="10">
        <v>0</v>
      </c>
      <c r="N52" s="10">
        <v>5.4</v>
      </c>
      <c r="O52" s="10" t="s">
        <v>869</v>
      </c>
      <c r="P52" s="10">
        <v>10</v>
      </c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>
      <c r="A55" s="11" t="s">
        <v>550</v>
      </c>
      <c r="B55" s="11" t="s">
        <v>678</v>
      </c>
      <c r="C55" s="11" t="s">
        <v>645</v>
      </c>
      <c r="D55" s="11" t="s">
        <v>715</v>
      </c>
      <c r="E55" s="11" t="s">
        <v>844</v>
      </c>
      <c r="F55" s="11" t="s">
        <v>856</v>
      </c>
      <c r="G55" s="11" t="s">
        <v>855</v>
      </c>
      <c r="H55" s="11" t="s">
        <v>854</v>
      </c>
      <c r="I55" s="11" t="s">
        <v>862</v>
      </c>
      <c r="J55" s="11" t="s">
        <v>861</v>
      </c>
      <c r="K55" s="11" t="s">
        <v>860</v>
      </c>
      <c r="L55" s="11" t="s">
        <v>580</v>
      </c>
      <c r="M55" s="11" t="s">
        <v>548</v>
      </c>
      <c r="N55" s="11" t="s">
        <v>897</v>
      </c>
      <c r="O55" s="11" t="s">
        <v>716</v>
      </c>
      <c r="P55" s="11" t="s">
        <v>857</v>
      </c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>
      <c r="A56" s="10" t="s">
        <v>566</v>
      </c>
      <c r="B56" s="10" t="s">
        <v>837</v>
      </c>
      <c r="C56" s="10" t="s">
        <v>12</v>
      </c>
      <c r="D56" s="10">
        <v>14</v>
      </c>
      <c r="E56" s="10" t="s">
        <v>724</v>
      </c>
      <c r="F56" s="10">
        <v>0</v>
      </c>
      <c r="G56" s="10">
        <v>90</v>
      </c>
      <c r="H56" s="10">
        <v>30</v>
      </c>
      <c r="I56" s="10">
        <v>34</v>
      </c>
      <c r="J56" s="10">
        <v>4</v>
      </c>
      <c r="K56" s="10">
        <v>0</v>
      </c>
      <c r="L56" s="10">
        <v>3</v>
      </c>
      <c r="M56" s="10">
        <v>2</v>
      </c>
      <c r="N56" s="10">
        <v>6.45</v>
      </c>
      <c r="O56" s="10" t="s">
        <v>904</v>
      </c>
      <c r="P56" s="10">
        <v>128</v>
      </c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>
      <c r="A57" s="10" t="s">
        <v>553</v>
      </c>
      <c r="B57" s="10" t="s">
        <v>674</v>
      </c>
      <c r="C57" s="10" t="s">
        <v>12</v>
      </c>
      <c r="D57" s="10">
        <v>12</v>
      </c>
      <c r="E57" s="10" t="s">
        <v>724</v>
      </c>
      <c r="F57" s="10">
        <v>0</v>
      </c>
      <c r="G57" s="10">
        <v>85</v>
      </c>
      <c r="H57" s="10">
        <v>30</v>
      </c>
      <c r="I57" s="10">
        <v>34</v>
      </c>
      <c r="J57" s="10">
        <v>5</v>
      </c>
      <c r="K57" s="10">
        <v>0</v>
      </c>
      <c r="L57" s="10">
        <v>6</v>
      </c>
      <c r="M57" s="10">
        <v>2</v>
      </c>
      <c r="N57" s="10">
        <v>6.6</v>
      </c>
      <c r="O57" s="10" t="s">
        <v>930</v>
      </c>
      <c r="P57" s="10">
        <v>127</v>
      </c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>
      <c r="A58" s="10" t="s">
        <v>553</v>
      </c>
      <c r="B58" s="10" t="s">
        <v>689</v>
      </c>
      <c r="C58" s="10" t="s">
        <v>12</v>
      </c>
      <c r="D58" s="10">
        <v>10</v>
      </c>
      <c r="E58" s="10" t="s">
        <v>724</v>
      </c>
      <c r="F58" s="10">
        <v>0</v>
      </c>
      <c r="G58" s="10">
        <v>90</v>
      </c>
      <c r="H58" s="10">
        <v>20</v>
      </c>
      <c r="I58" s="10">
        <v>35</v>
      </c>
      <c r="J58" s="10">
        <v>2</v>
      </c>
      <c r="K58" s="10">
        <v>0</v>
      </c>
      <c r="L58" s="10">
        <v>4</v>
      </c>
      <c r="M58" s="10">
        <v>1</v>
      </c>
      <c r="N58" s="10">
        <v>6.4</v>
      </c>
      <c r="O58" s="10" t="s">
        <v>929</v>
      </c>
      <c r="P58" s="10">
        <v>116</v>
      </c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>
      <c r="A59" s="10" t="s">
        <v>565</v>
      </c>
      <c r="B59" s="10" t="s">
        <v>790</v>
      </c>
      <c r="C59" s="10" t="s">
        <v>12</v>
      </c>
      <c r="D59" s="10">
        <v>12</v>
      </c>
      <c r="E59" s="10" t="s">
        <v>724</v>
      </c>
      <c r="F59" s="10">
        <v>0</v>
      </c>
      <c r="G59" s="10">
        <v>75</v>
      </c>
      <c r="H59" s="10">
        <v>20</v>
      </c>
      <c r="I59" s="10">
        <v>28</v>
      </c>
      <c r="J59" s="10">
        <v>5</v>
      </c>
      <c r="K59" s="10">
        <v>0</v>
      </c>
      <c r="L59" s="10">
        <v>4</v>
      </c>
      <c r="M59" s="10">
        <v>2</v>
      </c>
      <c r="N59" s="10">
        <v>6.45</v>
      </c>
      <c r="O59" s="10" t="s">
        <v>876</v>
      </c>
      <c r="P59" s="10">
        <v>106</v>
      </c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>
      <c r="A60" s="10" t="s">
        <v>573</v>
      </c>
      <c r="B60" s="10" t="s">
        <v>714</v>
      </c>
      <c r="C60" s="10" t="s">
        <v>12</v>
      </c>
      <c r="D60" s="10">
        <v>12</v>
      </c>
      <c r="E60" s="10" t="s">
        <v>724</v>
      </c>
      <c r="F60" s="10">
        <v>0</v>
      </c>
      <c r="G60" s="10">
        <v>80</v>
      </c>
      <c r="H60" s="10">
        <v>10</v>
      </c>
      <c r="I60" s="10">
        <v>30</v>
      </c>
      <c r="J60" s="10">
        <v>3</v>
      </c>
      <c r="K60" s="10">
        <v>0</v>
      </c>
      <c r="L60" s="10">
        <v>3</v>
      </c>
      <c r="M60" s="10">
        <v>1</v>
      </c>
      <c r="N60" s="10">
        <v>6.3</v>
      </c>
      <c r="O60" s="10" t="s">
        <v>815</v>
      </c>
      <c r="P60" s="10">
        <v>97</v>
      </c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>
      <c r="A61" s="10" t="s">
        <v>553</v>
      </c>
      <c r="B61" s="10" t="s">
        <v>690</v>
      </c>
      <c r="C61" s="10" t="s">
        <v>12</v>
      </c>
      <c r="D61" s="10">
        <v>7</v>
      </c>
      <c r="E61" s="10" t="s">
        <v>724</v>
      </c>
      <c r="F61" s="10">
        <v>0</v>
      </c>
      <c r="G61" s="10">
        <v>75</v>
      </c>
      <c r="H61" s="10">
        <v>10</v>
      </c>
      <c r="I61" s="10">
        <v>30</v>
      </c>
      <c r="J61" s="10">
        <v>4</v>
      </c>
      <c r="K61" s="10">
        <v>0</v>
      </c>
      <c r="L61" s="10">
        <v>3</v>
      </c>
      <c r="M61" s="10">
        <v>1</v>
      </c>
      <c r="N61" s="10">
        <v>6.2</v>
      </c>
      <c r="O61" s="10" t="s">
        <v>933</v>
      </c>
      <c r="P61" s="10">
        <v>93</v>
      </c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>
      <c r="A62" s="10" t="s">
        <v>551</v>
      </c>
      <c r="B62" s="10" t="s">
        <v>863</v>
      </c>
      <c r="C62" s="10" t="s">
        <v>12</v>
      </c>
      <c r="D62" s="10">
        <v>9</v>
      </c>
      <c r="E62" s="10" t="s">
        <v>724</v>
      </c>
      <c r="F62" s="10">
        <v>0</v>
      </c>
      <c r="G62" s="10">
        <v>85</v>
      </c>
      <c r="H62" s="10">
        <v>0</v>
      </c>
      <c r="I62" s="10">
        <v>30</v>
      </c>
      <c r="J62" s="10">
        <v>1</v>
      </c>
      <c r="K62" s="10">
        <v>0</v>
      </c>
      <c r="L62" s="10">
        <v>2</v>
      </c>
      <c r="M62" s="10">
        <v>0</v>
      </c>
      <c r="N62" s="10">
        <v>6.25</v>
      </c>
      <c r="O62" s="10" t="s">
        <v>718</v>
      </c>
      <c r="P62" s="10">
        <v>88</v>
      </c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>
      <c r="A63" s="10" t="s">
        <v>560</v>
      </c>
      <c r="B63" s="10" t="s">
        <v>677</v>
      </c>
      <c r="C63" s="10" t="s">
        <v>12</v>
      </c>
      <c r="D63" s="10">
        <v>11</v>
      </c>
      <c r="E63" s="10" t="s">
        <v>724</v>
      </c>
      <c r="F63" s="10">
        <v>0</v>
      </c>
      <c r="G63" s="10">
        <v>75</v>
      </c>
      <c r="H63" s="10">
        <v>0</v>
      </c>
      <c r="I63" s="10">
        <v>30</v>
      </c>
      <c r="J63" s="10">
        <v>3</v>
      </c>
      <c r="K63" s="10">
        <v>0</v>
      </c>
      <c r="L63" s="10">
        <v>5</v>
      </c>
      <c r="M63" s="10">
        <v>0</v>
      </c>
      <c r="N63" s="10">
        <v>6.4</v>
      </c>
      <c r="O63" s="10" t="s">
        <v>918</v>
      </c>
      <c r="P63" s="10">
        <v>83</v>
      </c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>
      <c r="A64" s="10" t="s">
        <v>560</v>
      </c>
      <c r="B64" s="10" t="s">
        <v>848</v>
      </c>
      <c r="C64" s="10" t="s">
        <v>12</v>
      </c>
      <c r="D64" s="10">
        <v>10</v>
      </c>
      <c r="E64" s="10" t="s">
        <v>724</v>
      </c>
      <c r="F64" s="10">
        <v>0</v>
      </c>
      <c r="G64" s="10">
        <v>65</v>
      </c>
      <c r="H64" s="10">
        <v>10</v>
      </c>
      <c r="I64" s="10">
        <v>29</v>
      </c>
      <c r="J64" s="10">
        <v>2</v>
      </c>
      <c r="K64" s="10">
        <v>0</v>
      </c>
      <c r="L64" s="10">
        <v>3</v>
      </c>
      <c r="M64" s="10">
        <v>1</v>
      </c>
      <c r="N64" s="10">
        <v>6</v>
      </c>
      <c r="O64" s="10" t="s">
        <v>849</v>
      </c>
      <c r="P64" s="10">
        <v>81</v>
      </c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>
      <c r="A65" s="10" t="s">
        <v>563</v>
      </c>
      <c r="B65" s="10" t="s">
        <v>734</v>
      </c>
      <c r="C65" s="10" t="s">
        <v>12</v>
      </c>
      <c r="D65" s="10">
        <v>14</v>
      </c>
      <c r="E65" s="10" t="s">
        <v>724</v>
      </c>
      <c r="F65" s="10">
        <v>0</v>
      </c>
      <c r="G65" s="10">
        <v>70</v>
      </c>
      <c r="H65" s="10">
        <v>5</v>
      </c>
      <c r="I65" s="10">
        <v>27</v>
      </c>
      <c r="J65" s="10">
        <v>2</v>
      </c>
      <c r="K65" s="10">
        <v>0</v>
      </c>
      <c r="L65" s="10">
        <v>4</v>
      </c>
      <c r="M65" s="10">
        <v>0</v>
      </c>
      <c r="N65" s="10">
        <v>6.3</v>
      </c>
      <c r="O65" s="10" t="s">
        <v>859</v>
      </c>
      <c r="P65" s="10">
        <v>81</v>
      </c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>
      <c r="A66" s="10" t="s">
        <v>563</v>
      </c>
      <c r="B66" s="10" t="s">
        <v>737</v>
      </c>
      <c r="C66" s="10" t="s">
        <v>12</v>
      </c>
      <c r="D66" s="10">
        <v>6</v>
      </c>
      <c r="E66" s="10" t="s">
        <v>724</v>
      </c>
      <c r="F66" s="10">
        <v>0</v>
      </c>
      <c r="G66" s="10">
        <v>75</v>
      </c>
      <c r="H66" s="10">
        <v>0</v>
      </c>
      <c r="I66" s="10">
        <v>25</v>
      </c>
      <c r="J66" s="10">
        <v>2</v>
      </c>
      <c r="K66" s="10">
        <v>0</v>
      </c>
      <c r="L66" s="10">
        <v>3</v>
      </c>
      <c r="M66" s="10">
        <v>0</v>
      </c>
      <c r="N66" s="10">
        <v>6.1</v>
      </c>
      <c r="O66" s="10" t="s">
        <v>750</v>
      </c>
      <c r="P66" s="10">
        <v>80</v>
      </c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>
      <c r="A67" s="10" t="s">
        <v>555</v>
      </c>
      <c r="B67" s="10" t="s">
        <v>676</v>
      </c>
      <c r="C67" s="10" t="s">
        <v>12</v>
      </c>
      <c r="D67" s="10">
        <v>9</v>
      </c>
      <c r="E67" s="10" t="s">
        <v>724</v>
      </c>
      <c r="F67" s="10">
        <v>0</v>
      </c>
      <c r="G67" s="10">
        <v>60</v>
      </c>
      <c r="H67" s="10">
        <v>10</v>
      </c>
      <c r="I67" s="10">
        <v>30</v>
      </c>
      <c r="J67" s="10">
        <v>3</v>
      </c>
      <c r="K67" s="10">
        <v>0</v>
      </c>
      <c r="L67" s="10">
        <v>4</v>
      </c>
      <c r="M67" s="10">
        <v>1</v>
      </c>
      <c r="N67" s="10">
        <v>6.3</v>
      </c>
      <c r="O67" s="10" t="s">
        <v>947</v>
      </c>
      <c r="P67" s="10">
        <v>78</v>
      </c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>
      <c r="A68" s="10" t="s">
        <v>565</v>
      </c>
      <c r="B68" s="10" t="s">
        <v>711</v>
      </c>
      <c r="C68" s="10" t="s">
        <v>12</v>
      </c>
      <c r="D68" s="10">
        <v>14</v>
      </c>
      <c r="E68" s="10" t="s">
        <v>724</v>
      </c>
      <c r="F68" s="10">
        <v>0</v>
      </c>
      <c r="G68" s="10">
        <v>70</v>
      </c>
      <c r="H68" s="10">
        <v>0</v>
      </c>
      <c r="I68" s="10">
        <v>28</v>
      </c>
      <c r="J68" s="10">
        <v>3</v>
      </c>
      <c r="K68" s="10">
        <v>0</v>
      </c>
      <c r="L68" s="10">
        <v>4</v>
      </c>
      <c r="M68" s="10">
        <v>0</v>
      </c>
      <c r="N68" s="10">
        <v>6.3</v>
      </c>
      <c r="O68" s="10" t="s">
        <v>787</v>
      </c>
      <c r="P68" s="10">
        <v>77</v>
      </c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>
      <c r="A69" s="10" t="s">
        <v>566</v>
      </c>
      <c r="B69" s="10" t="s">
        <v>841</v>
      </c>
      <c r="C69" s="10" t="s">
        <v>12</v>
      </c>
      <c r="D69" s="10">
        <v>12</v>
      </c>
      <c r="E69" s="10" t="s">
        <v>724</v>
      </c>
      <c r="F69" s="10">
        <v>0</v>
      </c>
      <c r="G69" s="10">
        <v>70</v>
      </c>
      <c r="H69" s="10">
        <v>0</v>
      </c>
      <c r="I69" s="10">
        <v>28</v>
      </c>
      <c r="J69" s="10">
        <v>4</v>
      </c>
      <c r="K69" s="10">
        <v>0</v>
      </c>
      <c r="L69" s="10">
        <v>3</v>
      </c>
      <c r="M69" s="10">
        <v>0</v>
      </c>
      <c r="N69" s="10">
        <v>6.3</v>
      </c>
      <c r="O69" s="10" t="s">
        <v>911</v>
      </c>
      <c r="P69" s="10">
        <v>77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>
      <c r="A70" s="10" t="s">
        <v>555</v>
      </c>
      <c r="B70" s="10" t="s">
        <v>661</v>
      </c>
      <c r="C70" s="10" t="s">
        <v>12</v>
      </c>
      <c r="D70" s="10">
        <v>8</v>
      </c>
      <c r="E70" s="10" t="s">
        <v>724</v>
      </c>
      <c r="F70" s="10">
        <v>0</v>
      </c>
      <c r="G70" s="10">
        <v>40</v>
      </c>
      <c r="H70" s="10">
        <v>30</v>
      </c>
      <c r="I70" s="10">
        <v>25</v>
      </c>
      <c r="J70" s="10">
        <v>3</v>
      </c>
      <c r="K70" s="10">
        <v>0</v>
      </c>
      <c r="L70" s="10">
        <v>3</v>
      </c>
      <c r="M70" s="10">
        <v>1</v>
      </c>
      <c r="N70" s="10">
        <v>6.1</v>
      </c>
      <c r="O70" s="10" t="s">
        <v>949</v>
      </c>
      <c r="P70" s="10">
        <v>77</v>
      </c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>
      <c r="A71" s="10" t="s">
        <v>551</v>
      </c>
      <c r="B71" s="10" t="s">
        <v>666</v>
      </c>
      <c r="C71" s="10" t="s">
        <v>12</v>
      </c>
      <c r="D71" s="10">
        <v>12</v>
      </c>
      <c r="E71" s="10" t="s">
        <v>724</v>
      </c>
      <c r="F71" s="10">
        <v>0</v>
      </c>
      <c r="G71" s="10">
        <v>70</v>
      </c>
      <c r="H71" s="10">
        <v>0</v>
      </c>
      <c r="I71" s="10">
        <v>28</v>
      </c>
      <c r="J71" s="10">
        <v>3</v>
      </c>
      <c r="K71" s="10">
        <v>0</v>
      </c>
      <c r="L71" s="10">
        <v>3</v>
      </c>
      <c r="M71" s="10">
        <v>0</v>
      </c>
      <c r="N71" s="10">
        <v>6.3</v>
      </c>
      <c r="O71" s="10" t="s">
        <v>864</v>
      </c>
      <c r="P71" s="10">
        <v>76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>
      <c r="A72" s="10" t="s">
        <v>553</v>
      </c>
      <c r="B72" s="10" t="s">
        <v>934</v>
      </c>
      <c r="C72" s="10" t="s">
        <v>12</v>
      </c>
      <c r="D72" s="10">
        <v>8</v>
      </c>
      <c r="E72" s="10" t="s">
        <v>724</v>
      </c>
      <c r="F72" s="10">
        <v>0</v>
      </c>
      <c r="G72" s="10">
        <v>70</v>
      </c>
      <c r="H72" s="10">
        <v>0</v>
      </c>
      <c r="I72" s="10">
        <v>28</v>
      </c>
      <c r="J72" s="10">
        <v>3</v>
      </c>
      <c r="K72" s="10">
        <v>0</v>
      </c>
      <c r="L72" s="10">
        <v>3</v>
      </c>
      <c r="M72" s="10">
        <v>0</v>
      </c>
      <c r="N72" s="10">
        <v>6</v>
      </c>
      <c r="O72" s="10" t="s">
        <v>935</v>
      </c>
      <c r="P72" s="10">
        <v>76</v>
      </c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>
      <c r="A73" s="10" t="s">
        <v>573</v>
      </c>
      <c r="B73" s="10" t="s">
        <v>813</v>
      </c>
      <c r="C73" s="10" t="s">
        <v>12</v>
      </c>
      <c r="D73" s="10">
        <v>10</v>
      </c>
      <c r="E73" s="10" t="s">
        <v>724</v>
      </c>
      <c r="F73" s="10">
        <v>0</v>
      </c>
      <c r="G73" s="10">
        <v>70</v>
      </c>
      <c r="H73" s="10">
        <v>0</v>
      </c>
      <c r="I73" s="10">
        <v>28</v>
      </c>
      <c r="J73" s="10">
        <v>2</v>
      </c>
      <c r="K73" s="10">
        <v>0</v>
      </c>
      <c r="L73" s="10">
        <v>1</v>
      </c>
      <c r="M73" s="10">
        <v>0</v>
      </c>
      <c r="N73" s="10">
        <v>6.25</v>
      </c>
      <c r="O73" s="10" t="s">
        <v>814</v>
      </c>
      <c r="P73" s="10">
        <v>73</v>
      </c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>
      <c r="A74" s="10" t="s">
        <v>553</v>
      </c>
      <c r="B74" s="10" t="s">
        <v>931</v>
      </c>
      <c r="C74" s="10" t="s">
        <v>12</v>
      </c>
      <c r="D74" s="10">
        <v>8</v>
      </c>
      <c r="E74" s="10" t="s">
        <v>724</v>
      </c>
      <c r="F74" s="10">
        <v>0</v>
      </c>
      <c r="G74" s="10">
        <v>70</v>
      </c>
      <c r="H74" s="10">
        <v>0</v>
      </c>
      <c r="I74" s="10">
        <v>30</v>
      </c>
      <c r="J74" s="10">
        <v>1</v>
      </c>
      <c r="K74" s="10">
        <v>0</v>
      </c>
      <c r="L74" s="10">
        <v>2</v>
      </c>
      <c r="M74" s="10">
        <v>0</v>
      </c>
      <c r="N74" s="10">
        <v>5.9</v>
      </c>
      <c r="O74" s="10" t="s">
        <v>932</v>
      </c>
      <c r="P74" s="10">
        <v>73</v>
      </c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>
      <c r="A75" s="10" t="s">
        <v>566</v>
      </c>
      <c r="B75" s="10" t="s">
        <v>836</v>
      </c>
      <c r="C75" s="10" t="s">
        <v>12</v>
      </c>
      <c r="D75" s="10">
        <v>10</v>
      </c>
      <c r="E75" s="10" t="s">
        <v>724</v>
      </c>
      <c r="F75" s="10">
        <v>0</v>
      </c>
      <c r="G75" s="10">
        <v>70</v>
      </c>
      <c r="H75" s="10">
        <v>0</v>
      </c>
      <c r="I75" s="10">
        <v>28</v>
      </c>
      <c r="J75" s="10">
        <v>1</v>
      </c>
      <c r="K75" s="10">
        <v>0</v>
      </c>
      <c r="L75" s="10">
        <v>2</v>
      </c>
      <c r="M75" s="10">
        <v>0</v>
      </c>
      <c r="N75" s="10">
        <v>6.25</v>
      </c>
      <c r="O75" s="10" t="s">
        <v>905</v>
      </c>
      <c r="P75" s="10">
        <v>73</v>
      </c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>
      <c r="A76" s="10" t="s">
        <v>555</v>
      </c>
      <c r="B76" s="10" t="s">
        <v>697</v>
      </c>
      <c r="C76" s="10" t="s">
        <v>12</v>
      </c>
      <c r="D76" s="10">
        <v>6</v>
      </c>
      <c r="E76" s="10" t="s">
        <v>724</v>
      </c>
      <c r="F76" s="10">
        <v>0</v>
      </c>
      <c r="G76" s="10">
        <v>65</v>
      </c>
      <c r="H76" s="10">
        <v>0</v>
      </c>
      <c r="I76" s="10">
        <v>28</v>
      </c>
      <c r="J76" s="10">
        <v>1</v>
      </c>
      <c r="K76" s="10">
        <v>0</v>
      </c>
      <c r="L76" s="10">
        <v>2</v>
      </c>
      <c r="M76" s="10">
        <v>0</v>
      </c>
      <c r="N76" s="10">
        <v>5.9</v>
      </c>
      <c r="O76" s="10" t="s">
        <v>945</v>
      </c>
      <c r="P76" s="10">
        <v>68</v>
      </c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>
      <c r="A77" s="10" t="s">
        <v>573</v>
      </c>
      <c r="B77" s="10" t="s">
        <v>735</v>
      </c>
      <c r="C77" s="10" t="s">
        <v>12</v>
      </c>
      <c r="D77" s="10">
        <v>10</v>
      </c>
      <c r="E77" s="10" t="s">
        <v>724</v>
      </c>
      <c r="F77" s="10">
        <v>0</v>
      </c>
      <c r="G77" s="10">
        <v>60</v>
      </c>
      <c r="H77" s="10">
        <v>0</v>
      </c>
      <c r="I77" s="10">
        <v>25</v>
      </c>
      <c r="J77" s="10">
        <v>2</v>
      </c>
      <c r="K77" s="10">
        <v>0</v>
      </c>
      <c r="L77" s="10">
        <v>3</v>
      </c>
      <c r="M77" s="10">
        <v>0</v>
      </c>
      <c r="N77" s="10">
        <v>6.2</v>
      </c>
      <c r="O77" s="10" t="s">
        <v>809</v>
      </c>
      <c r="P77" s="10">
        <v>65</v>
      </c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>
      <c r="A78" s="10" t="s">
        <v>563</v>
      </c>
      <c r="B78" s="10" t="s">
        <v>735</v>
      </c>
      <c r="C78" s="10" t="s">
        <v>12</v>
      </c>
      <c r="D78" s="10">
        <v>10</v>
      </c>
      <c r="E78" s="10" t="s">
        <v>724</v>
      </c>
      <c r="F78" s="10">
        <v>0</v>
      </c>
      <c r="G78" s="10">
        <v>60</v>
      </c>
      <c r="H78" s="10">
        <v>0</v>
      </c>
      <c r="I78" s="10">
        <v>22</v>
      </c>
      <c r="J78" s="10">
        <v>2</v>
      </c>
      <c r="K78" s="10">
        <v>0</v>
      </c>
      <c r="L78" s="10">
        <v>3</v>
      </c>
      <c r="M78" s="10">
        <v>0</v>
      </c>
      <c r="N78" s="10">
        <v>6.2</v>
      </c>
      <c r="O78" s="10" t="s">
        <v>749</v>
      </c>
      <c r="P78" s="10">
        <v>65</v>
      </c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>
      <c r="A79" s="10" t="s">
        <v>553</v>
      </c>
      <c r="B79" s="10" t="s">
        <v>930</v>
      </c>
      <c r="C79" s="10" t="s">
        <v>12</v>
      </c>
      <c r="D79" s="10">
        <v>9</v>
      </c>
      <c r="E79" s="10" t="s">
        <v>724</v>
      </c>
      <c r="F79" s="10">
        <v>0</v>
      </c>
      <c r="G79" s="10">
        <v>60</v>
      </c>
      <c r="H79" s="10">
        <v>0</v>
      </c>
      <c r="I79" s="10">
        <v>26</v>
      </c>
      <c r="J79" s="10">
        <v>2</v>
      </c>
      <c r="K79" s="10">
        <v>0</v>
      </c>
      <c r="L79" s="10">
        <v>3</v>
      </c>
      <c r="M79" s="10">
        <v>0</v>
      </c>
      <c r="N79" s="10">
        <v>6</v>
      </c>
      <c r="O79" s="10" t="s">
        <v>674</v>
      </c>
      <c r="P79" s="10">
        <v>65</v>
      </c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>
      <c r="A80" s="10" t="s">
        <v>560</v>
      </c>
      <c r="B80" s="10" t="s">
        <v>702</v>
      </c>
      <c r="C80" s="10" t="s">
        <v>12</v>
      </c>
      <c r="D80" s="10">
        <v>7</v>
      </c>
      <c r="E80" s="10" t="s">
        <v>724</v>
      </c>
      <c r="F80" s="10">
        <v>0</v>
      </c>
      <c r="G80" s="10">
        <v>60</v>
      </c>
      <c r="H80" s="10">
        <v>0</v>
      </c>
      <c r="I80" s="10">
        <v>26</v>
      </c>
      <c r="J80" s="10">
        <v>2</v>
      </c>
      <c r="K80" s="10">
        <v>0</v>
      </c>
      <c r="L80" s="10">
        <v>2</v>
      </c>
      <c r="M80" s="10">
        <v>0</v>
      </c>
      <c r="N80" s="10">
        <v>5.8</v>
      </c>
      <c r="O80" s="10" t="s">
        <v>920</v>
      </c>
      <c r="P80" s="10">
        <v>64</v>
      </c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>
      <c r="A81" s="10" t="s">
        <v>553</v>
      </c>
      <c r="B81" s="10" t="s">
        <v>933</v>
      </c>
      <c r="C81" s="10" t="s">
        <v>12</v>
      </c>
      <c r="D81" s="10">
        <v>6</v>
      </c>
      <c r="E81" s="10" t="s">
        <v>724</v>
      </c>
      <c r="F81" s="10">
        <v>0</v>
      </c>
      <c r="G81" s="10">
        <v>60</v>
      </c>
      <c r="H81" s="10">
        <v>0</v>
      </c>
      <c r="I81" s="10">
        <v>22</v>
      </c>
      <c r="J81" s="10">
        <v>2</v>
      </c>
      <c r="K81" s="10">
        <v>0</v>
      </c>
      <c r="L81" s="10">
        <v>2</v>
      </c>
      <c r="M81" s="10">
        <v>0</v>
      </c>
      <c r="N81" s="10">
        <v>5.8</v>
      </c>
      <c r="O81" s="10" t="s">
        <v>690</v>
      </c>
      <c r="P81" s="10">
        <v>64</v>
      </c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>
      <c r="A82" s="10" t="s">
        <v>555</v>
      </c>
      <c r="B82" s="10" t="s">
        <v>696</v>
      </c>
      <c r="C82" s="10" t="s">
        <v>12</v>
      </c>
      <c r="D82" s="10">
        <v>7</v>
      </c>
      <c r="E82" s="10" t="s">
        <v>724</v>
      </c>
      <c r="F82" s="10">
        <v>0</v>
      </c>
      <c r="G82" s="10">
        <v>55</v>
      </c>
      <c r="H82" s="10">
        <v>0</v>
      </c>
      <c r="I82" s="10">
        <v>26</v>
      </c>
      <c r="J82" s="10">
        <v>2</v>
      </c>
      <c r="K82" s="10">
        <v>0</v>
      </c>
      <c r="L82" s="10">
        <v>3</v>
      </c>
      <c r="M82" s="10">
        <v>0</v>
      </c>
      <c r="N82" s="10">
        <v>6</v>
      </c>
      <c r="O82" s="10" t="s">
        <v>946</v>
      </c>
      <c r="P82" s="10">
        <v>60</v>
      </c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>
      <c r="A83" s="10" t="s">
        <v>563</v>
      </c>
      <c r="B83" s="10" t="s">
        <v>738</v>
      </c>
      <c r="C83" s="10" t="s">
        <v>12</v>
      </c>
      <c r="D83" s="10">
        <v>5</v>
      </c>
      <c r="E83" s="10" t="s">
        <v>724</v>
      </c>
      <c r="F83" s="10">
        <v>0</v>
      </c>
      <c r="G83" s="10">
        <v>50</v>
      </c>
      <c r="H83" s="10">
        <v>0</v>
      </c>
      <c r="I83" s="10">
        <v>20</v>
      </c>
      <c r="J83" s="10">
        <v>2</v>
      </c>
      <c r="K83" s="10">
        <v>0</v>
      </c>
      <c r="L83" s="10">
        <v>2</v>
      </c>
      <c r="M83" s="10">
        <v>0</v>
      </c>
      <c r="N83" s="10">
        <v>6.1</v>
      </c>
      <c r="O83" s="10" t="s">
        <v>756</v>
      </c>
      <c r="P83" s="10">
        <v>55</v>
      </c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>
      <c r="A84" s="10" t="s">
        <v>566</v>
      </c>
      <c r="B84" s="10" t="s">
        <v>909</v>
      </c>
      <c r="C84" s="10" t="s">
        <v>12</v>
      </c>
      <c r="D84" s="10">
        <v>10</v>
      </c>
      <c r="E84" s="10" t="s">
        <v>724</v>
      </c>
      <c r="F84" s="10">
        <v>0</v>
      </c>
      <c r="G84" s="10">
        <v>50</v>
      </c>
      <c r="H84" s="10">
        <v>0</v>
      </c>
      <c r="I84" s="10">
        <v>24</v>
      </c>
      <c r="J84" s="10">
        <v>2</v>
      </c>
      <c r="K84" s="10">
        <v>0</v>
      </c>
      <c r="L84" s="10">
        <v>2</v>
      </c>
      <c r="M84" s="10">
        <v>0</v>
      </c>
      <c r="N84" s="10">
        <v>6.2</v>
      </c>
      <c r="O84" s="10" t="s">
        <v>910</v>
      </c>
      <c r="P84" s="10">
        <v>54</v>
      </c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>
      <c r="A85" s="10" t="s">
        <v>551</v>
      </c>
      <c r="B85" s="10" t="s">
        <v>664</v>
      </c>
      <c r="C85" s="10" t="s">
        <v>12</v>
      </c>
      <c r="D85" s="10">
        <v>10</v>
      </c>
      <c r="E85" s="10" t="s">
        <v>724</v>
      </c>
      <c r="F85" s="10">
        <v>0</v>
      </c>
      <c r="G85" s="10">
        <v>50</v>
      </c>
      <c r="H85" s="10">
        <v>0</v>
      </c>
      <c r="I85" s="10">
        <v>22</v>
      </c>
      <c r="J85" s="10">
        <v>2</v>
      </c>
      <c r="K85" s="10">
        <v>0</v>
      </c>
      <c r="L85" s="10">
        <v>2</v>
      </c>
      <c r="M85" s="10">
        <v>0</v>
      </c>
      <c r="N85" s="10">
        <v>6.2</v>
      </c>
      <c r="O85" s="10" t="s">
        <v>865</v>
      </c>
      <c r="P85" s="10">
        <v>54</v>
      </c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>
      <c r="A86" s="10" t="s">
        <v>566</v>
      </c>
      <c r="B86" s="10" t="s">
        <v>838</v>
      </c>
      <c r="C86" s="10" t="s">
        <v>12</v>
      </c>
      <c r="D86" s="10">
        <v>8</v>
      </c>
      <c r="E86" s="10" t="s">
        <v>724</v>
      </c>
      <c r="F86" s="10">
        <v>0</v>
      </c>
      <c r="G86" s="10">
        <v>50</v>
      </c>
      <c r="H86" s="10">
        <v>0</v>
      </c>
      <c r="I86" s="10">
        <v>22</v>
      </c>
      <c r="J86" s="10">
        <v>2</v>
      </c>
      <c r="K86" s="10">
        <v>0</v>
      </c>
      <c r="L86" s="10">
        <v>1</v>
      </c>
      <c r="M86" s="10">
        <v>0</v>
      </c>
      <c r="N86" s="10">
        <v>6.1</v>
      </c>
      <c r="O86" s="10" t="s">
        <v>839</v>
      </c>
      <c r="P86" s="10">
        <v>53</v>
      </c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>
      <c r="A87" s="10" t="s">
        <v>565</v>
      </c>
      <c r="B87" s="10" t="s">
        <v>788</v>
      </c>
      <c r="C87" s="10" t="s">
        <v>12</v>
      </c>
      <c r="D87" s="10">
        <v>8</v>
      </c>
      <c r="E87" s="10" t="s">
        <v>724</v>
      </c>
      <c r="F87" s="10">
        <v>0</v>
      </c>
      <c r="G87" s="10">
        <v>50</v>
      </c>
      <c r="H87" s="10">
        <v>0</v>
      </c>
      <c r="I87" s="10">
        <v>20</v>
      </c>
      <c r="J87" s="10">
        <v>1</v>
      </c>
      <c r="K87" s="10">
        <v>0</v>
      </c>
      <c r="L87" s="10">
        <v>2</v>
      </c>
      <c r="M87" s="10">
        <v>0</v>
      </c>
      <c r="N87" s="10">
        <v>6.1</v>
      </c>
      <c r="O87" s="10" t="s">
        <v>789</v>
      </c>
      <c r="P87" s="10">
        <v>53</v>
      </c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>
      <c r="A88" s="10" t="s">
        <v>553</v>
      </c>
      <c r="B88" s="10" t="s">
        <v>935</v>
      </c>
      <c r="C88" s="10" t="s">
        <v>12</v>
      </c>
      <c r="D88" s="10">
        <v>6</v>
      </c>
      <c r="E88" s="10" t="s">
        <v>724</v>
      </c>
      <c r="F88" s="10">
        <v>0</v>
      </c>
      <c r="G88" s="10">
        <v>50</v>
      </c>
      <c r="H88" s="10">
        <v>0</v>
      </c>
      <c r="I88" s="10">
        <v>20</v>
      </c>
      <c r="J88" s="10">
        <v>1</v>
      </c>
      <c r="K88" s="10">
        <v>0</v>
      </c>
      <c r="L88" s="10">
        <v>1</v>
      </c>
      <c r="M88" s="10">
        <v>0</v>
      </c>
      <c r="N88" s="10">
        <v>5.7</v>
      </c>
      <c r="O88" s="10" t="s">
        <v>934</v>
      </c>
      <c r="P88" s="10">
        <v>52</v>
      </c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>
      <c r="A89" s="10" t="s">
        <v>555</v>
      </c>
      <c r="B89" s="10" t="s">
        <v>948</v>
      </c>
      <c r="C89" s="10" t="s">
        <v>12</v>
      </c>
      <c r="D89" s="10">
        <v>8</v>
      </c>
      <c r="E89" s="10" t="s">
        <v>724</v>
      </c>
      <c r="F89" s="10">
        <v>0</v>
      </c>
      <c r="G89" s="10">
        <v>45</v>
      </c>
      <c r="H89" s="10">
        <v>0</v>
      </c>
      <c r="I89" s="10">
        <v>24</v>
      </c>
      <c r="J89" s="10">
        <v>2</v>
      </c>
      <c r="K89" s="10">
        <v>0</v>
      </c>
      <c r="L89" s="10">
        <v>2</v>
      </c>
      <c r="M89" s="10">
        <v>0</v>
      </c>
      <c r="N89" s="10">
        <v>5.8</v>
      </c>
      <c r="O89" s="10" t="s">
        <v>696</v>
      </c>
      <c r="P89" s="10">
        <v>49</v>
      </c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>
      <c r="A90" s="10" t="s">
        <v>565</v>
      </c>
      <c r="B90" s="10" t="s">
        <v>677</v>
      </c>
      <c r="C90" s="10" t="s">
        <v>12</v>
      </c>
      <c r="D90" s="10">
        <v>6</v>
      </c>
      <c r="E90" s="10" t="s">
        <v>724</v>
      </c>
      <c r="F90" s="10">
        <v>0</v>
      </c>
      <c r="G90" s="10">
        <v>40</v>
      </c>
      <c r="H90" s="10">
        <v>0</v>
      </c>
      <c r="I90" s="10">
        <v>15</v>
      </c>
      <c r="J90" s="10">
        <v>1</v>
      </c>
      <c r="K90" s="10">
        <v>0</v>
      </c>
      <c r="L90" s="10">
        <v>1</v>
      </c>
      <c r="M90" s="10">
        <v>0</v>
      </c>
      <c r="N90" s="10">
        <v>6</v>
      </c>
      <c r="O90" s="10" t="s">
        <v>754</v>
      </c>
      <c r="P90" s="10">
        <v>43</v>
      </c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>
      <c r="A91" s="10" t="s">
        <v>560</v>
      </c>
      <c r="B91" s="10" t="s">
        <v>849</v>
      </c>
      <c r="C91" s="10" t="s">
        <v>12</v>
      </c>
      <c r="D91" s="10">
        <v>6</v>
      </c>
      <c r="E91" s="10" t="s">
        <v>724</v>
      </c>
      <c r="F91" s="10">
        <v>0</v>
      </c>
      <c r="G91" s="10">
        <v>40</v>
      </c>
      <c r="H91" s="10">
        <v>0</v>
      </c>
      <c r="I91" s="10">
        <v>15</v>
      </c>
      <c r="J91" s="10">
        <v>1</v>
      </c>
      <c r="K91" s="10">
        <v>0</v>
      </c>
      <c r="L91" s="10">
        <v>1</v>
      </c>
      <c r="M91" s="10">
        <v>0</v>
      </c>
      <c r="N91" s="10">
        <v>5.9</v>
      </c>
      <c r="O91" s="10" t="s">
        <v>848</v>
      </c>
      <c r="P91" s="10">
        <v>43</v>
      </c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>
      <c r="A92" s="10" t="s">
        <v>573</v>
      </c>
      <c r="B92" s="10" t="s">
        <v>819</v>
      </c>
      <c r="C92" s="10" t="s">
        <v>12</v>
      </c>
      <c r="D92" s="10">
        <v>8</v>
      </c>
      <c r="E92" s="10" t="s">
        <v>724</v>
      </c>
      <c r="F92" s="10">
        <v>0</v>
      </c>
      <c r="G92" s="10">
        <v>40</v>
      </c>
      <c r="H92" s="10">
        <v>0</v>
      </c>
      <c r="I92" s="10">
        <v>20</v>
      </c>
      <c r="J92" s="10">
        <v>1</v>
      </c>
      <c r="K92" s="10">
        <v>0</v>
      </c>
      <c r="L92" s="10">
        <v>2</v>
      </c>
      <c r="M92" s="10">
        <v>0</v>
      </c>
      <c r="N92" s="10">
        <v>6.1</v>
      </c>
      <c r="O92" s="10" t="s">
        <v>754</v>
      </c>
      <c r="P92" s="10">
        <v>43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>
      <c r="A93" s="10" t="s">
        <v>563</v>
      </c>
      <c r="B93" s="10" t="s">
        <v>736</v>
      </c>
      <c r="C93" s="10" t="s">
        <v>12</v>
      </c>
      <c r="D93" s="10">
        <v>4</v>
      </c>
      <c r="E93" s="10" t="s">
        <v>724</v>
      </c>
      <c r="F93" s="10">
        <v>0</v>
      </c>
      <c r="G93" s="10">
        <v>40</v>
      </c>
      <c r="H93" s="10">
        <v>0</v>
      </c>
      <c r="I93" s="10">
        <v>18</v>
      </c>
      <c r="J93" s="10">
        <v>1</v>
      </c>
      <c r="K93" s="10">
        <v>0</v>
      </c>
      <c r="L93" s="10">
        <v>1</v>
      </c>
      <c r="M93" s="10">
        <v>0</v>
      </c>
      <c r="N93" s="10">
        <v>6.05</v>
      </c>
      <c r="O93" s="10" t="s">
        <v>755</v>
      </c>
      <c r="P93" s="10">
        <v>42</v>
      </c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>
      <c r="A94" s="10" t="s">
        <v>551</v>
      </c>
      <c r="B94" s="10" t="s">
        <v>868</v>
      </c>
      <c r="C94" s="10" t="s">
        <v>12</v>
      </c>
      <c r="D94" s="10">
        <v>4</v>
      </c>
      <c r="E94" s="10" t="s">
        <v>724</v>
      </c>
      <c r="F94" s="10">
        <v>0</v>
      </c>
      <c r="G94" s="10">
        <v>40</v>
      </c>
      <c r="H94" s="10">
        <v>0</v>
      </c>
      <c r="I94" s="10">
        <v>18</v>
      </c>
      <c r="J94" s="10">
        <v>1</v>
      </c>
      <c r="K94" s="10">
        <v>0</v>
      </c>
      <c r="L94" s="10">
        <v>1</v>
      </c>
      <c r="M94" s="10">
        <v>0</v>
      </c>
      <c r="N94" s="10">
        <v>6</v>
      </c>
      <c r="O94" s="10" t="s">
        <v>869</v>
      </c>
      <c r="P94" s="10">
        <v>42</v>
      </c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>
      <c r="A95" s="10" t="s">
        <v>553</v>
      </c>
      <c r="B95" s="10" t="s">
        <v>932</v>
      </c>
      <c r="C95" s="10" t="s">
        <v>12</v>
      </c>
      <c r="D95" s="10">
        <v>5</v>
      </c>
      <c r="E95" s="10" t="s">
        <v>724</v>
      </c>
      <c r="F95" s="10">
        <v>0</v>
      </c>
      <c r="G95" s="10">
        <v>40</v>
      </c>
      <c r="H95" s="10">
        <v>0</v>
      </c>
      <c r="I95" s="10">
        <v>18</v>
      </c>
      <c r="J95" s="10">
        <v>0</v>
      </c>
      <c r="K95" s="10">
        <v>0</v>
      </c>
      <c r="L95" s="10">
        <v>1</v>
      </c>
      <c r="M95" s="10">
        <v>0</v>
      </c>
      <c r="N95" s="10">
        <v>5.6</v>
      </c>
      <c r="O95" s="10" t="s">
        <v>931</v>
      </c>
      <c r="P95" s="10">
        <v>41</v>
      </c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>
      <c r="A96" s="10" t="s">
        <v>566</v>
      </c>
      <c r="B96" s="10" t="s">
        <v>835</v>
      </c>
      <c r="C96" s="10" t="s">
        <v>12</v>
      </c>
      <c r="D96" s="10">
        <v>6</v>
      </c>
      <c r="E96" s="10" t="s">
        <v>724</v>
      </c>
      <c r="F96" s="10">
        <v>0</v>
      </c>
      <c r="G96" s="10">
        <v>40</v>
      </c>
      <c r="H96" s="10">
        <v>0</v>
      </c>
      <c r="I96" s="10">
        <v>20</v>
      </c>
      <c r="J96" s="10">
        <v>0</v>
      </c>
      <c r="K96" s="10">
        <v>0</v>
      </c>
      <c r="L96" s="10">
        <v>1</v>
      </c>
      <c r="M96" s="10">
        <v>0</v>
      </c>
      <c r="N96" s="10">
        <v>6</v>
      </c>
      <c r="O96" s="10" t="s">
        <v>906</v>
      </c>
      <c r="P96" s="10">
        <v>41</v>
      </c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>
      <c r="A97" s="10" t="s">
        <v>555</v>
      </c>
      <c r="B97" s="10" t="s">
        <v>951</v>
      </c>
      <c r="C97" s="10" t="s">
        <v>12</v>
      </c>
      <c r="D97" s="10">
        <v>5</v>
      </c>
      <c r="E97" s="10" t="s">
        <v>724</v>
      </c>
      <c r="F97" s="10">
        <v>0</v>
      </c>
      <c r="G97" s="10">
        <v>40</v>
      </c>
      <c r="H97" s="10">
        <v>0</v>
      </c>
      <c r="I97" s="10">
        <v>18</v>
      </c>
      <c r="J97" s="10">
        <v>0</v>
      </c>
      <c r="K97" s="10">
        <v>0</v>
      </c>
      <c r="L97" s="10">
        <v>1</v>
      </c>
      <c r="M97" s="10">
        <v>0</v>
      </c>
      <c r="N97" s="10">
        <v>5.6</v>
      </c>
      <c r="O97" s="10" t="s">
        <v>676</v>
      </c>
      <c r="P97" s="10">
        <v>41</v>
      </c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>
      <c r="A98" s="10" t="s">
        <v>551</v>
      </c>
      <c r="B98" s="10" t="s">
        <v>771</v>
      </c>
      <c r="C98" s="10" t="s">
        <v>12</v>
      </c>
      <c r="D98" s="10">
        <v>6</v>
      </c>
      <c r="E98" s="10" t="s">
        <v>724</v>
      </c>
      <c r="F98" s="10">
        <v>0</v>
      </c>
      <c r="G98" s="10">
        <v>33</v>
      </c>
      <c r="H98" s="10">
        <v>0</v>
      </c>
      <c r="I98" s="10">
        <v>20</v>
      </c>
      <c r="J98" s="10">
        <v>1</v>
      </c>
      <c r="K98" s="10">
        <v>0</v>
      </c>
      <c r="L98" s="10">
        <v>1</v>
      </c>
      <c r="M98" s="10">
        <v>0</v>
      </c>
      <c r="N98" s="10">
        <v>6.1</v>
      </c>
      <c r="O98" s="10" t="s">
        <v>866</v>
      </c>
      <c r="P98" s="10">
        <v>35</v>
      </c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>
      <c r="A99" s="10" t="s">
        <v>551</v>
      </c>
      <c r="B99" s="10" t="s">
        <v>772</v>
      </c>
      <c r="C99" s="10" t="s">
        <v>12</v>
      </c>
      <c r="D99" s="10">
        <v>6</v>
      </c>
      <c r="E99" s="10" t="s">
        <v>724</v>
      </c>
      <c r="F99" s="10">
        <v>0</v>
      </c>
      <c r="G99" s="10">
        <v>33</v>
      </c>
      <c r="H99" s="10">
        <v>0</v>
      </c>
      <c r="I99" s="10">
        <v>20</v>
      </c>
      <c r="J99" s="10">
        <v>1</v>
      </c>
      <c r="K99" s="10">
        <v>0</v>
      </c>
      <c r="L99" s="10">
        <v>1</v>
      </c>
      <c r="M99" s="10">
        <v>0</v>
      </c>
      <c r="N99" s="10">
        <v>6.1</v>
      </c>
      <c r="O99" s="10" t="s">
        <v>867</v>
      </c>
      <c r="P99" s="10">
        <v>35</v>
      </c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>
      <c r="A100" s="10" t="s">
        <v>555</v>
      </c>
      <c r="B100" s="10" t="s">
        <v>945</v>
      </c>
      <c r="C100" s="10" t="s">
        <v>12</v>
      </c>
      <c r="D100" s="10">
        <v>4</v>
      </c>
      <c r="E100" s="10" t="s">
        <v>724</v>
      </c>
      <c r="F100" s="10">
        <v>0</v>
      </c>
      <c r="G100" s="10">
        <v>35</v>
      </c>
      <c r="H100" s="10">
        <v>0</v>
      </c>
      <c r="I100" s="10">
        <v>15</v>
      </c>
      <c r="J100" s="10">
        <v>0</v>
      </c>
      <c r="K100" s="10">
        <v>0</v>
      </c>
      <c r="L100" s="10">
        <v>0</v>
      </c>
      <c r="M100" s="10">
        <v>0</v>
      </c>
      <c r="N100" s="10">
        <v>5.4</v>
      </c>
      <c r="O100" s="10" t="s">
        <v>697</v>
      </c>
      <c r="P100" s="10">
        <v>35</v>
      </c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>
      <c r="A101" s="10" t="s">
        <v>555</v>
      </c>
      <c r="B101" s="10" t="s">
        <v>950</v>
      </c>
      <c r="C101" s="10" t="s">
        <v>12</v>
      </c>
      <c r="D101" s="10">
        <v>5</v>
      </c>
      <c r="E101" s="10" t="s">
        <v>724</v>
      </c>
      <c r="F101" s="10">
        <v>0</v>
      </c>
      <c r="G101" s="10">
        <v>30</v>
      </c>
      <c r="H101" s="10">
        <v>0</v>
      </c>
      <c r="I101" s="10">
        <v>20</v>
      </c>
      <c r="J101" s="10">
        <v>1</v>
      </c>
      <c r="K101" s="10">
        <v>0</v>
      </c>
      <c r="L101" s="10">
        <v>1</v>
      </c>
      <c r="M101" s="10">
        <v>0</v>
      </c>
      <c r="N101" s="10">
        <v>5.7</v>
      </c>
      <c r="O101" s="10" t="s">
        <v>661</v>
      </c>
      <c r="P101" s="10">
        <v>32</v>
      </c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>
      <c r="A102" s="10" t="s">
        <v>560</v>
      </c>
      <c r="B102" s="10" t="s">
        <v>850</v>
      </c>
      <c r="C102" s="10" t="s">
        <v>12</v>
      </c>
      <c r="D102" s="10">
        <v>5</v>
      </c>
      <c r="E102" s="10" t="s">
        <v>724</v>
      </c>
      <c r="F102" s="10">
        <v>0</v>
      </c>
      <c r="G102" s="10">
        <v>20</v>
      </c>
      <c r="H102" s="10">
        <v>0</v>
      </c>
      <c r="I102" s="10">
        <v>10</v>
      </c>
      <c r="J102" s="10">
        <v>0</v>
      </c>
      <c r="K102" s="10">
        <v>0</v>
      </c>
      <c r="L102" s="10">
        <v>0</v>
      </c>
      <c r="M102" s="10">
        <v>0</v>
      </c>
      <c r="N102" s="10">
        <v>5.4</v>
      </c>
      <c r="O102" s="10" t="s">
        <v>869</v>
      </c>
      <c r="P102" s="10">
        <v>20</v>
      </c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>
      <c r="A103" s="10" t="s">
        <v>560</v>
      </c>
      <c r="B103" s="10" t="s">
        <v>851</v>
      </c>
      <c r="C103" s="10" t="s">
        <v>12</v>
      </c>
      <c r="D103" s="10">
        <v>4</v>
      </c>
      <c r="E103" s="10" t="s">
        <v>724</v>
      </c>
      <c r="F103" s="10">
        <v>0</v>
      </c>
      <c r="G103" s="10">
        <v>15</v>
      </c>
      <c r="H103" s="10">
        <v>0</v>
      </c>
      <c r="I103" s="10">
        <v>8</v>
      </c>
      <c r="J103" s="10">
        <v>0</v>
      </c>
      <c r="K103" s="10">
        <v>0</v>
      </c>
      <c r="L103" s="10">
        <v>0</v>
      </c>
      <c r="M103" s="10">
        <v>0</v>
      </c>
      <c r="N103" s="10">
        <v>5.2</v>
      </c>
      <c r="O103" s="10" t="s">
        <v>869</v>
      </c>
      <c r="P103" s="10">
        <v>15</v>
      </c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>
      <c r="A104" s="10" t="s">
        <v>560</v>
      </c>
      <c r="B104" s="10" t="s">
        <v>852</v>
      </c>
      <c r="C104" s="10" t="s">
        <v>12</v>
      </c>
      <c r="D104" s="10">
        <v>4</v>
      </c>
      <c r="E104" s="10" t="s">
        <v>724</v>
      </c>
      <c r="F104" s="10">
        <v>0</v>
      </c>
      <c r="G104" s="10">
        <v>10</v>
      </c>
      <c r="H104" s="10">
        <v>0</v>
      </c>
      <c r="I104" s="10">
        <v>6</v>
      </c>
      <c r="J104" s="10">
        <v>0</v>
      </c>
      <c r="K104" s="10">
        <v>0</v>
      </c>
      <c r="L104" s="10">
        <v>0</v>
      </c>
      <c r="M104" s="10">
        <v>0</v>
      </c>
      <c r="N104" s="10">
        <v>5.0999999999999996</v>
      </c>
      <c r="O104" s="10" t="s">
        <v>869</v>
      </c>
      <c r="P104" s="10">
        <v>10</v>
      </c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>
      <c r="A105" s="10" t="s">
        <v>573</v>
      </c>
      <c r="B105" s="10" t="s">
        <v>818</v>
      </c>
      <c r="C105" s="10" t="s">
        <v>12</v>
      </c>
      <c r="D105" s="10">
        <v>6</v>
      </c>
      <c r="E105" s="10" t="s">
        <v>974</v>
      </c>
      <c r="F105" s="10">
        <v>30</v>
      </c>
      <c r="G105" s="10">
        <v>30</v>
      </c>
      <c r="H105" s="10">
        <v>0</v>
      </c>
      <c r="I105" s="10">
        <v>12</v>
      </c>
      <c r="J105" s="10">
        <v>1</v>
      </c>
      <c r="K105" s="10">
        <v>0</v>
      </c>
      <c r="L105" s="10">
        <v>1</v>
      </c>
      <c r="M105" s="10">
        <v>0</v>
      </c>
      <c r="N105" s="10">
        <v>6</v>
      </c>
      <c r="O105" s="10" t="s">
        <v>754</v>
      </c>
      <c r="P105" s="10">
        <v>3</v>
      </c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>
      <c r="A108" s="11" t="s">
        <v>550</v>
      </c>
      <c r="B108" s="11" t="s">
        <v>678</v>
      </c>
      <c r="C108" s="11" t="s">
        <v>645</v>
      </c>
      <c r="D108" s="11" t="s">
        <v>715</v>
      </c>
      <c r="E108" s="11" t="s">
        <v>844</v>
      </c>
      <c r="F108" s="11" t="s">
        <v>856</v>
      </c>
      <c r="G108" s="11" t="s">
        <v>855</v>
      </c>
      <c r="H108" s="11" t="s">
        <v>854</v>
      </c>
      <c r="I108" s="11" t="s">
        <v>862</v>
      </c>
      <c r="J108" s="11" t="s">
        <v>861</v>
      </c>
      <c r="K108" s="11" t="s">
        <v>860</v>
      </c>
      <c r="L108" s="11" t="s">
        <v>580</v>
      </c>
      <c r="M108" s="11" t="s">
        <v>548</v>
      </c>
      <c r="N108" s="11" t="s">
        <v>897</v>
      </c>
      <c r="O108" s="11" t="s">
        <v>716</v>
      </c>
      <c r="P108" s="11" t="s">
        <v>857</v>
      </c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>
      <c r="A109" s="10" t="s">
        <v>563</v>
      </c>
      <c r="B109" s="10" t="s">
        <v>740</v>
      </c>
      <c r="C109" s="10" t="s">
        <v>5</v>
      </c>
      <c r="D109" s="10">
        <v>28</v>
      </c>
      <c r="E109" s="10" t="s">
        <v>724</v>
      </c>
      <c r="F109" s="10">
        <v>0</v>
      </c>
      <c r="G109" s="10">
        <v>85</v>
      </c>
      <c r="H109" s="10">
        <v>80</v>
      </c>
      <c r="I109" s="10">
        <v>30</v>
      </c>
      <c r="J109" s="10">
        <v>14</v>
      </c>
      <c r="K109" s="10">
        <v>0</v>
      </c>
      <c r="L109" s="10">
        <v>4</v>
      </c>
      <c r="M109" s="10">
        <v>5</v>
      </c>
      <c r="N109" s="10">
        <v>6.55</v>
      </c>
      <c r="O109" s="10" t="s">
        <v>758</v>
      </c>
      <c r="P109" s="10">
        <v>188</v>
      </c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>
      <c r="A110" s="10" t="s">
        <v>560</v>
      </c>
      <c r="B110" s="10" t="s">
        <v>561</v>
      </c>
      <c r="C110" s="10" t="s">
        <v>5</v>
      </c>
      <c r="D110" s="10">
        <v>14</v>
      </c>
      <c r="E110" s="10" t="s">
        <v>724</v>
      </c>
      <c r="F110" s="10">
        <v>0</v>
      </c>
      <c r="G110" s="10">
        <v>85</v>
      </c>
      <c r="H110" s="10">
        <v>60</v>
      </c>
      <c r="I110" s="10">
        <v>33</v>
      </c>
      <c r="J110" s="10">
        <v>10</v>
      </c>
      <c r="K110" s="10">
        <v>0</v>
      </c>
      <c r="L110" s="10">
        <v>3</v>
      </c>
      <c r="M110" s="10">
        <v>2</v>
      </c>
      <c r="N110" s="10">
        <v>6.5</v>
      </c>
      <c r="O110" s="10" t="s">
        <v>921</v>
      </c>
      <c r="P110" s="10">
        <v>159</v>
      </c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>
      <c r="A111" s="10" t="s">
        <v>555</v>
      </c>
      <c r="B111" s="10" t="s">
        <v>556</v>
      </c>
      <c r="C111" s="10" t="s">
        <v>5</v>
      </c>
      <c r="D111" s="10">
        <v>11</v>
      </c>
      <c r="E111" s="10" t="s">
        <v>724</v>
      </c>
      <c r="F111" s="10">
        <v>0</v>
      </c>
      <c r="G111" s="10">
        <v>85</v>
      </c>
      <c r="H111" s="10">
        <v>50</v>
      </c>
      <c r="I111" s="10">
        <v>34</v>
      </c>
      <c r="J111" s="10">
        <v>9</v>
      </c>
      <c r="K111" s="10">
        <v>0</v>
      </c>
      <c r="L111" s="10">
        <v>4</v>
      </c>
      <c r="M111" s="10">
        <v>2</v>
      </c>
      <c r="N111" s="10">
        <v>6.4</v>
      </c>
      <c r="O111" s="10" t="s">
        <v>675</v>
      </c>
      <c r="P111" s="10">
        <v>148</v>
      </c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>
      <c r="A112" s="10" t="s">
        <v>553</v>
      </c>
      <c r="B112" s="10" t="s">
        <v>667</v>
      </c>
      <c r="C112" s="10" t="s">
        <v>5</v>
      </c>
      <c r="D112" s="10">
        <v>13</v>
      </c>
      <c r="E112" s="10" t="s">
        <v>724</v>
      </c>
      <c r="F112" s="10">
        <v>0</v>
      </c>
      <c r="G112" s="10">
        <v>90</v>
      </c>
      <c r="H112" s="10">
        <v>40</v>
      </c>
      <c r="I112" s="10">
        <v>36</v>
      </c>
      <c r="J112" s="10">
        <v>10</v>
      </c>
      <c r="K112" s="10">
        <v>0</v>
      </c>
      <c r="L112" s="10">
        <v>5</v>
      </c>
      <c r="M112" s="10">
        <v>2</v>
      </c>
      <c r="N112" s="10">
        <v>6.5</v>
      </c>
      <c r="O112" s="10" t="s">
        <v>660</v>
      </c>
      <c r="P112" s="10">
        <v>145</v>
      </c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>
      <c r="A113" s="10" t="s">
        <v>573</v>
      </c>
      <c r="B113" s="10" t="s">
        <v>823</v>
      </c>
      <c r="C113" s="10" t="s">
        <v>5</v>
      </c>
      <c r="D113" s="10">
        <v>28</v>
      </c>
      <c r="E113" s="10" t="s">
        <v>724</v>
      </c>
      <c r="F113" s="10">
        <v>0</v>
      </c>
      <c r="G113" s="10">
        <v>85</v>
      </c>
      <c r="H113" s="10">
        <v>40</v>
      </c>
      <c r="I113" s="10">
        <v>32</v>
      </c>
      <c r="J113" s="10">
        <v>9</v>
      </c>
      <c r="K113" s="10">
        <v>0</v>
      </c>
      <c r="L113" s="10">
        <v>3</v>
      </c>
      <c r="M113" s="10">
        <v>2</v>
      </c>
      <c r="N113" s="10">
        <v>6.45</v>
      </c>
      <c r="O113" s="10" t="s">
        <v>824</v>
      </c>
      <c r="P113" s="10">
        <v>138</v>
      </c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>
      <c r="A114" s="10" t="s">
        <v>570</v>
      </c>
      <c r="B114" s="10" t="s">
        <v>965</v>
      </c>
      <c r="C114" s="10" t="s">
        <v>5</v>
      </c>
      <c r="D114" s="10">
        <v>10</v>
      </c>
      <c r="E114" s="10" t="s">
        <v>724</v>
      </c>
      <c r="F114" s="10">
        <v>0</v>
      </c>
      <c r="G114" s="10">
        <v>80</v>
      </c>
      <c r="H114" s="10">
        <v>40</v>
      </c>
      <c r="I114" s="10">
        <v>33</v>
      </c>
      <c r="J114" s="10">
        <v>6</v>
      </c>
      <c r="K114" s="10">
        <v>0</v>
      </c>
      <c r="L114" s="10">
        <v>6</v>
      </c>
      <c r="M114" s="10">
        <v>2</v>
      </c>
      <c r="N114" s="10">
        <v>6.4</v>
      </c>
      <c r="O114" s="10" t="s">
        <v>977</v>
      </c>
      <c r="P114" s="10">
        <v>133</v>
      </c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>
      <c r="A115" s="10" t="s">
        <v>553</v>
      </c>
      <c r="B115" s="10" t="s">
        <v>691</v>
      </c>
      <c r="C115" s="10" t="s">
        <v>5</v>
      </c>
      <c r="D115" s="10">
        <v>14</v>
      </c>
      <c r="E115" s="10" t="s">
        <v>724</v>
      </c>
      <c r="F115" s="10">
        <v>0</v>
      </c>
      <c r="G115" s="10">
        <v>85</v>
      </c>
      <c r="H115" s="10">
        <v>30</v>
      </c>
      <c r="I115" s="10">
        <v>34</v>
      </c>
      <c r="J115" s="10">
        <v>9</v>
      </c>
      <c r="K115" s="10">
        <v>0</v>
      </c>
      <c r="L115" s="10">
        <v>4</v>
      </c>
      <c r="M115" s="10">
        <v>2</v>
      </c>
      <c r="N115" s="10">
        <v>6.4</v>
      </c>
      <c r="O115" s="10" t="s">
        <v>936</v>
      </c>
      <c r="P115" s="10">
        <v>128</v>
      </c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>
      <c r="A116" s="10" t="s">
        <v>551</v>
      </c>
      <c r="B116" s="10" t="s">
        <v>685</v>
      </c>
      <c r="C116" s="10" t="s">
        <v>5</v>
      </c>
      <c r="D116" s="10">
        <v>28</v>
      </c>
      <c r="E116" s="10" t="s">
        <v>724</v>
      </c>
      <c r="F116" s="10">
        <v>0</v>
      </c>
      <c r="G116" s="10">
        <v>85</v>
      </c>
      <c r="H116" s="10">
        <v>20</v>
      </c>
      <c r="I116" s="10">
        <v>31</v>
      </c>
      <c r="J116" s="10">
        <v>11</v>
      </c>
      <c r="K116" s="10">
        <v>0</v>
      </c>
      <c r="L116" s="10">
        <v>3</v>
      </c>
      <c r="M116" s="10">
        <v>1</v>
      </c>
      <c r="N116" s="10">
        <v>6.55</v>
      </c>
      <c r="O116" s="10" t="s">
        <v>718</v>
      </c>
      <c r="P116" s="10">
        <v>119</v>
      </c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>
      <c r="A117" s="10" t="s">
        <v>560</v>
      </c>
      <c r="B117" s="10" t="s">
        <v>669</v>
      </c>
      <c r="C117" s="10" t="s">
        <v>5</v>
      </c>
      <c r="D117" s="10">
        <v>12</v>
      </c>
      <c r="E117" s="10" t="s">
        <v>724</v>
      </c>
      <c r="F117" s="10">
        <v>0</v>
      </c>
      <c r="G117" s="10">
        <v>60</v>
      </c>
      <c r="H117" s="10">
        <v>40</v>
      </c>
      <c r="I117" s="10">
        <v>28</v>
      </c>
      <c r="J117" s="10">
        <v>7</v>
      </c>
      <c r="K117" s="10">
        <v>0</v>
      </c>
      <c r="L117" s="10">
        <v>2</v>
      </c>
      <c r="M117" s="10">
        <v>1</v>
      </c>
      <c r="N117" s="10">
        <v>6.1</v>
      </c>
      <c r="O117" s="10" t="s">
        <v>853</v>
      </c>
      <c r="P117" s="10">
        <v>110</v>
      </c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>
      <c r="A118" s="10" t="s">
        <v>553</v>
      </c>
      <c r="B118" s="10" t="s">
        <v>554</v>
      </c>
      <c r="C118" s="10" t="s">
        <v>5</v>
      </c>
      <c r="D118" s="10">
        <v>10</v>
      </c>
      <c r="E118" s="10" t="s">
        <v>724</v>
      </c>
      <c r="F118" s="10">
        <v>0</v>
      </c>
      <c r="G118" s="10">
        <v>50</v>
      </c>
      <c r="H118" s="10">
        <v>50</v>
      </c>
      <c r="I118" s="10">
        <v>22</v>
      </c>
      <c r="J118" s="10">
        <v>5</v>
      </c>
      <c r="K118" s="10">
        <v>0</v>
      </c>
      <c r="L118" s="10">
        <v>1</v>
      </c>
      <c r="M118" s="10">
        <v>2</v>
      </c>
      <c r="N118" s="10">
        <v>5.9</v>
      </c>
      <c r="O118" s="10" t="s">
        <v>691</v>
      </c>
      <c r="P118" s="10">
        <v>109</v>
      </c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>
      <c r="A119" s="10" t="s">
        <v>565</v>
      </c>
      <c r="B119" s="10" t="s">
        <v>794</v>
      </c>
      <c r="C119" s="10" t="s">
        <v>5</v>
      </c>
      <c r="D119" s="10">
        <v>28</v>
      </c>
      <c r="E119" s="10" t="s">
        <v>724</v>
      </c>
      <c r="F119" s="10">
        <v>0</v>
      </c>
      <c r="G119" s="10">
        <v>80</v>
      </c>
      <c r="H119" s="10">
        <v>10</v>
      </c>
      <c r="I119" s="10">
        <v>30</v>
      </c>
      <c r="J119" s="10">
        <v>7</v>
      </c>
      <c r="K119" s="10">
        <v>0</v>
      </c>
      <c r="L119" s="10">
        <v>6</v>
      </c>
      <c r="M119" s="10">
        <v>0</v>
      </c>
      <c r="N119" s="10">
        <v>6.4</v>
      </c>
      <c r="O119" s="10" t="s">
        <v>795</v>
      </c>
      <c r="P119" s="10">
        <v>103</v>
      </c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>
      <c r="A120" s="10" t="s">
        <v>555</v>
      </c>
      <c r="B120" s="10" t="s">
        <v>675</v>
      </c>
      <c r="C120" s="10" t="s">
        <v>5</v>
      </c>
      <c r="D120" s="10">
        <v>10</v>
      </c>
      <c r="E120" s="10" t="s">
        <v>724</v>
      </c>
      <c r="F120" s="10">
        <v>0</v>
      </c>
      <c r="G120" s="10">
        <v>75</v>
      </c>
      <c r="H120" s="10">
        <v>10</v>
      </c>
      <c r="I120" s="10">
        <v>32</v>
      </c>
      <c r="J120" s="10">
        <v>6</v>
      </c>
      <c r="K120" s="10">
        <v>0</v>
      </c>
      <c r="L120" s="10">
        <v>3</v>
      </c>
      <c r="M120" s="10">
        <v>1</v>
      </c>
      <c r="N120" s="10">
        <v>6.2</v>
      </c>
      <c r="O120" s="10" t="s">
        <v>556</v>
      </c>
      <c r="P120" s="10">
        <v>94</v>
      </c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>
      <c r="A121" s="10" t="s">
        <v>553</v>
      </c>
      <c r="B121" s="10" t="s">
        <v>936</v>
      </c>
      <c r="C121" s="10" t="s">
        <v>5</v>
      </c>
      <c r="D121" s="10">
        <v>11</v>
      </c>
      <c r="E121" s="10" t="s">
        <v>724</v>
      </c>
      <c r="F121" s="10">
        <v>0</v>
      </c>
      <c r="G121" s="10">
        <v>70</v>
      </c>
      <c r="H121" s="10">
        <v>10</v>
      </c>
      <c r="I121" s="10">
        <v>28</v>
      </c>
      <c r="J121" s="10">
        <v>6</v>
      </c>
      <c r="K121" s="10">
        <v>0</v>
      </c>
      <c r="L121" s="10">
        <v>2</v>
      </c>
      <c r="M121" s="10">
        <v>1</v>
      </c>
      <c r="N121" s="10">
        <v>6.1</v>
      </c>
      <c r="O121" s="10" t="s">
        <v>691</v>
      </c>
      <c r="P121" s="10">
        <v>89</v>
      </c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>
      <c r="A122" s="10" t="s">
        <v>553</v>
      </c>
      <c r="B122" s="10" t="s">
        <v>660</v>
      </c>
      <c r="C122" s="10" t="s">
        <v>5</v>
      </c>
      <c r="D122" s="10">
        <v>9</v>
      </c>
      <c r="E122" s="10" t="s">
        <v>724</v>
      </c>
      <c r="F122" s="10">
        <v>0</v>
      </c>
      <c r="G122" s="10">
        <v>60</v>
      </c>
      <c r="H122" s="10">
        <v>20</v>
      </c>
      <c r="I122" s="10">
        <v>26</v>
      </c>
      <c r="J122" s="10">
        <v>4</v>
      </c>
      <c r="K122" s="10">
        <v>0</v>
      </c>
      <c r="L122" s="10">
        <v>2</v>
      </c>
      <c r="M122" s="10">
        <v>1</v>
      </c>
      <c r="N122" s="10">
        <v>6</v>
      </c>
      <c r="O122" s="10" t="s">
        <v>667</v>
      </c>
      <c r="P122" s="10">
        <v>87</v>
      </c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>
      <c r="A123" s="10" t="s">
        <v>566</v>
      </c>
      <c r="B123" s="10" t="s">
        <v>672</v>
      </c>
      <c r="C123" s="10" t="s">
        <v>5</v>
      </c>
      <c r="D123" s="10">
        <v>14</v>
      </c>
      <c r="E123" s="10" t="s">
        <v>724</v>
      </c>
      <c r="F123" s="10">
        <v>0</v>
      </c>
      <c r="G123" s="10">
        <v>60</v>
      </c>
      <c r="H123" s="10">
        <v>10</v>
      </c>
      <c r="I123" s="10">
        <v>26</v>
      </c>
      <c r="J123" s="10">
        <v>6</v>
      </c>
      <c r="K123" s="10">
        <v>0</v>
      </c>
      <c r="L123" s="10">
        <v>2</v>
      </c>
      <c r="M123" s="10">
        <v>1</v>
      </c>
      <c r="N123" s="10">
        <v>6.35</v>
      </c>
      <c r="O123" s="10" t="s">
        <v>912</v>
      </c>
      <c r="P123" s="10">
        <v>79</v>
      </c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>
      <c r="A124" s="10" t="s">
        <v>573</v>
      </c>
      <c r="B124" s="10" t="s">
        <v>827</v>
      </c>
      <c r="C124" s="10" t="s">
        <v>5</v>
      </c>
      <c r="D124" s="10">
        <v>12</v>
      </c>
      <c r="E124" s="10" t="s">
        <v>724</v>
      </c>
      <c r="F124" s="10">
        <v>0</v>
      </c>
      <c r="G124" s="10">
        <v>70</v>
      </c>
      <c r="H124" s="10">
        <v>0</v>
      </c>
      <c r="I124" s="10">
        <v>28</v>
      </c>
      <c r="J124" s="10">
        <v>5</v>
      </c>
      <c r="K124" s="10">
        <v>0</v>
      </c>
      <c r="L124" s="10">
        <v>3</v>
      </c>
      <c r="M124" s="10">
        <v>0</v>
      </c>
      <c r="N124" s="10">
        <v>6.3</v>
      </c>
      <c r="O124" s="10" t="s">
        <v>828</v>
      </c>
      <c r="P124" s="10">
        <v>78</v>
      </c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>
      <c r="A125" s="10" t="s">
        <v>573</v>
      </c>
      <c r="B125" s="10" t="s">
        <v>821</v>
      </c>
      <c r="C125" s="10" t="s">
        <v>5</v>
      </c>
      <c r="D125" s="10">
        <v>10</v>
      </c>
      <c r="E125" s="10" t="s">
        <v>724</v>
      </c>
      <c r="F125" s="10">
        <v>0</v>
      </c>
      <c r="G125" s="10">
        <v>60</v>
      </c>
      <c r="H125" s="10">
        <v>10</v>
      </c>
      <c r="I125" s="10">
        <v>22</v>
      </c>
      <c r="J125" s="10">
        <v>4</v>
      </c>
      <c r="K125" s="10">
        <v>0</v>
      </c>
      <c r="L125" s="10">
        <v>2</v>
      </c>
      <c r="M125" s="10">
        <v>1</v>
      </c>
      <c r="N125" s="10">
        <v>6.2</v>
      </c>
      <c r="O125" s="10" t="s">
        <v>822</v>
      </c>
      <c r="P125" s="10">
        <v>78</v>
      </c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>
      <c r="A126" s="10" t="s">
        <v>555</v>
      </c>
      <c r="B126" s="10" t="s">
        <v>955</v>
      </c>
      <c r="C126" s="10" t="s">
        <v>5</v>
      </c>
      <c r="D126" s="10">
        <v>5</v>
      </c>
      <c r="E126" s="10" t="s">
        <v>724</v>
      </c>
      <c r="F126" s="10">
        <v>0</v>
      </c>
      <c r="G126" s="10">
        <v>30</v>
      </c>
      <c r="H126" s="10">
        <v>40</v>
      </c>
      <c r="I126" s="10">
        <v>18</v>
      </c>
      <c r="J126" s="10">
        <v>4</v>
      </c>
      <c r="K126" s="10">
        <v>0</v>
      </c>
      <c r="L126" s="10">
        <v>1</v>
      </c>
      <c r="M126" s="10">
        <v>1</v>
      </c>
      <c r="N126" s="10">
        <v>5.9</v>
      </c>
      <c r="O126" s="10" t="s">
        <v>954</v>
      </c>
      <c r="P126" s="10">
        <v>78</v>
      </c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>
      <c r="A127" s="10" t="s">
        <v>551</v>
      </c>
      <c r="B127" s="10" t="s">
        <v>665</v>
      </c>
      <c r="C127" s="10" t="s">
        <v>5</v>
      </c>
      <c r="D127" s="10">
        <v>22</v>
      </c>
      <c r="E127" s="10" t="s">
        <v>724</v>
      </c>
      <c r="F127" s="10">
        <v>0</v>
      </c>
      <c r="G127" s="10">
        <v>34</v>
      </c>
      <c r="H127" s="10">
        <v>30</v>
      </c>
      <c r="I127" s="10">
        <v>30</v>
      </c>
      <c r="J127" s="10">
        <v>7</v>
      </c>
      <c r="K127" s="10">
        <v>0</v>
      </c>
      <c r="L127" s="10">
        <v>4</v>
      </c>
      <c r="M127" s="10">
        <v>3</v>
      </c>
      <c r="N127" s="10">
        <v>6.45</v>
      </c>
      <c r="O127" s="10" t="s">
        <v>773</v>
      </c>
      <c r="P127" s="10">
        <v>78</v>
      </c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>
      <c r="A128" s="10" t="s">
        <v>566</v>
      </c>
      <c r="B128" s="10" t="s">
        <v>843</v>
      </c>
      <c r="C128" s="10" t="s">
        <v>5</v>
      </c>
      <c r="D128" s="10">
        <v>10</v>
      </c>
      <c r="E128" s="10" t="s">
        <v>724</v>
      </c>
      <c r="F128" s="10">
        <v>0</v>
      </c>
      <c r="G128" s="10">
        <v>50</v>
      </c>
      <c r="H128" s="10">
        <v>0</v>
      </c>
      <c r="I128" s="10">
        <v>22</v>
      </c>
      <c r="J128" s="10">
        <v>3</v>
      </c>
      <c r="K128" s="10">
        <v>0</v>
      </c>
      <c r="L128" s="10">
        <v>2</v>
      </c>
      <c r="M128" s="10">
        <v>0</v>
      </c>
      <c r="N128" s="10">
        <v>6.1</v>
      </c>
      <c r="O128" s="10" t="s">
        <v>842</v>
      </c>
      <c r="P128" s="10">
        <v>56</v>
      </c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conditionalFormatting sqref="H1:H1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{3E9122D9-0309-41B5-B987-F81C3D92872E}</x14:id>
        </ext>
      </extLst>
    </cfRule>
  </conditionalFormatting>
  <conditionalFormatting sqref="G1:G6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{A496B964-52AE-449C-842C-1B46E81DFC95}</x14:id>
        </ext>
      </extLst>
    </cfRule>
  </conditionalFormatting>
  <conditionalFormatting sqref="E1:E600">
    <cfRule type="containsText" dxfId="5" priority="2" operator="containsText" text="Sì">
      <formula>NOT(ISERROR(SEARCH("Sì",E1)))</formula>
    </cfRule>
  </conditionalFormatting>
  <conditionalFormatting sqref="N1:N52 N55:N60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9122D9-0309-41B5-B987-F81C3D928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H1:H176</xm:sqref>
        </x14:conditionalFormatting>
        <x14:conditionalFormatting xmlns:xm="http://schemas.microsoft.com/office/excel/2006/main">
          <x14:cfRule type="dataBar" id="{A496B964-52AE-449C-842C-1B46E81DFC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G1:G600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DB16-F18C-4080-8A3D-E4E0D34B090A}">
  <sheetPr codeName="Foglio2"/>
  <dimension ref="A1:B7"/>
  <sheetViews>
    <sheetView workbookViewId="0">
      <selection activeCell="B13" sqref="B13"/>
    </sheetView>
  </sheetViews>
  <sheetFormatPr defaultRowHeight="15"/>
  <cols>
    <col min="1" max="1" width="11.5703125" bestFit="1" customWidth="1"/>
  </cols>
  <sheetData>
    <row r="1" spans="1:2">
      <c r="A1" t="s">
        <v>959</v>
      </c>
    </row>
    <row r="2" spans="1:2">
      <c r="A2" t="s">
        <v>960</v>
      </c>
      <c r="B2" t="s">
        <v>563</v>
      </c>
    </row>
    <row r="3" spans="1:2">
      <c r="A3" t="s">
        <v>994</v>
      </c>
      <c r="B3" t="s">
        <v>570</v>
      </c>
    </row>
    <row r="4" spans="1:2">
      <c r="A4" s="10" t="s">
        <v>712</v>
      </c>
      <c r="B4" t="s">
        <v>573</v>
      </c>
    </row>
    <row r="5" spans="1:2">
      <c r="A5" s="10" t="s">
        <v>679</v>
      </c>
      <c r="B5" t="s">
        <v>551</v>
      </c>
    </row>
    <row r="7" spans="1:2">
      <c r="A7" t="s">
        <v>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D1C1A-9E86-4D79-B8D1-37DD53A457ED}">
  <sheetPr codeName="Foglio1" filterMode="1"/>
  <dimension ref="A1:S520"/>
  <sheetViews>
    <sheetView workbookViewId="0">
      <selection activeCell="V214" sqref="V214"/>
    </sheetView>
  </sheetViews>
  <sheetFormatPr defaultRowHeight="15"/>
  <cols>
    <col min="1" max="1" width="9.42578125" bestFit="1" customWidth="1"/>
    <col min="2" max="2" width="20" bestFit="1" customWidth="1"/>
    <col min="3" max="3" width="12" bestFit="1" customWidth="1"/>
    <col min="4" max="4" width="7.28515625" bestFit="1" customWidth="1"/>
    <col min="5" max="5" width="8.28515625" bestFit="1" customWidth="1"/>
    <col min="6" max="6" width="6.28515625" bestFit="1" customWidth="1"/>
    <col min="7" max="7" width="6.5703125" bestFit="1" customWidth="1"/>
    <col min="8" max="8" width="5.140625" bestFit="1" customWidth="1"/>
    <col min="9" max="9" width="5" bestFit="1" customWidth="1"/>
    <col min="10" max="10" width="7.7109375" bestFit="1" customWidth="1"/>
    <col min="11" max="11" width="6.28515625" bestFit="1" customWidth="1"/>
    <col min="12" max="12" width="6" bestFit="1" customWidth="1"/>
    <col min="13" max="13" width="6.28515625" bestFit="1" customWidth="1"/>
    <col min="14" max="14" width="6.42578125" bestFit="1" customWidth="1"/>
    <col min="15" max="15" width="6.7109375" bestFit="1" customWidth="1"/>
    <col min="16" max="16" width="6.5703125" bestFit="1" customWidth="1"/>
    <col min="17" max="17" width="5.28515625" bestFit="1" customWidth="1"/>
    <col min="18" max="18" width="7.140625" bestFit="1" customWidth="1"/>
    <col min="19" max="19" width="7.28515625" bestFit="1" customWidth="1"/>
  </cols>
  <sheetData>
    <row r="1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548</v>
      </c>
      <c r="G1" s="1" t="s">
        <v>580</v>
      </c>
      <c r="H1" s="9" t="s">
        <v>647</v>
      </c>
      <c r="I1" s="9" t="s">
        <v>648</v>
      </c>
      <c r="J1" s="9" t="s">
        <v>649</v>
      </c>
      <c r="K1" s="9" t="s">
        <v>650</v>
      </c>
      <c r="L1" s="9" t="s">
        <v>651</v>
      </c>
      <c r="M1" s="9" t="s">
        <v>652</v>
      </c>
      <c r="N1" s="9" t="s">
        <v>655</v>
      </c>
      <c r="O1" s="9" t="s">
        <v>653</v>
      </c>
      <c r="P1" s="9" t="s">
        <v>654</v>
      </c>
      <c r="Q1" s="9" t="s">
        <v>656</v>
      </c>
      <c r="R1" s="9" t="s">
        <v>657</v>
      </c>
      <c r="S1" s="9" t="s">
        <v>658</v>
      </c>
    </row>
    <row r="2" spans="1:19" hidden="1">
      <c r="A2" s="2" t="s">
        <v>5</v>
      </c>
      <c r="B2" s="2" t="s">
        <v>6</v>
      </c>
      <c r="C2" s="2" t="s">
        <v>7</v>
      </c>
      <c r="D2" s="2">
        <v>34</v>
      </c>
      <c r="E2" s="2">
        <v>34</v>
      </c>
      <c r="F2" s="2">
        <v>20</v>
      </c>
      <c r="G2" s="2"/>
      <c r="H2" s="2" t="s">
        <v>582</v>
      </c>
      <c r="I2" s="2">
        <v>12</v>
      </c>
      <c r="J2" s="2">
        <v>1</v>
      </c>
      <c r="K2" s="2" t="s">
        <v>582</v>
      </c>
      <c r="L2" s="2">
        <v>3</v>
      </c>
      <c r="M2" s="2" t="s">
        <v>582</v>
      </c>
      <c r="N2" s="2" t="s">
        <v>582</v>
      </c>
      <c r="O2" s="2" t="s">
        <v>582</v>
      </c>
      <c r="P2" s="2">
        <v>31</v>
      </c>
      <c r="Q2" s="2">
        <v>30</v>
      </c>
      <c r="R2" s="2">
        <v>6.1</v>
      </c>
      <c r="S2" s="2">
        <v>7.3</v>
      </c>
    </row>
    <row r="3" spans="1:19" hidden="1">
      <c r="A3" s="2" t="s">
        <v>5</v>
      </c>
      <c r="B3" s="2" t="s">
        <v>8</v>
      </c>
      <c r="C3" s="2" t="s">
        <v>9</v>
      </c>
      <c r="D3" s="2">
        <v>33</v>
      </c>
      <c r="E3" s="2">
        <v>33</v>
      </c>
      <c r="F3" s="2">
        <v>50</v>
      </c>
      <c r="G3" s="2"/>
      <c r="H3" s="2" t="s">
        <v>582</v>
      </c>
      <c r="I3" s="2">
        <v>19</v>
      </c>
      <c r="J3" s="2">
        <v>6</v>
      </c>
      <c r="K3" s="2" t="s">
        <v>582</v>
      </c>
      <c r="L3" s="2">
        <v>3</v>
      </c>
      <c r="M3" s="2">
        <v>1</v>
      </c>
      <c r="N3" s="2">
        <v>1</v>
      </c>
      <c r="O3" s="2" t="s">
        <v>582</v>
      </c>
      <c r="P3" s="2">
        <v>32</v>
      </c>
      <c r="Q3" s="2">
        <v>28</v>
      </c>
      <c r="R3" s="2">
        <v>6.5</v>
      </c>
      <c r="S3" s="2">
        <v>8.1999999999999993</v>
      </c>
    </row>
    <row r="4" spans="1:19" hidden="1">
      <c r="A4" s="2" t="s">
        <v>5</v>
      </c>
      <c r="B4" s="2" t="s">
        <v>10</v>
      </c>
      <c r="C4" s="2" t="s">
        <v>11</v>
      </c>
      <c r="D4" s="2">
        <v>31</v>
      </c>
      <c r="E4" s="2">
        <v>31</v>
      </c>
      <c r="F4" s="2">
        <v>65</v>
      </c>
      <c r="G4" s="2"/>
      <c r="H4" s="2" t="s">
        <v>582</v>
      </c>
      <c r="I4" s="2">
        <v>14</v>
      </c>
      <c r="J4" s="2">
        <v>4</v>
      </c>
      <c r="K4" s="2" t="s">
        <v>582</v>
      </c>
      <c r="L4" s="2">
        <v>10</v>
      </c>
      <c r="M4" s="2">
        <v>3</v>
      </c>
      <c r="N4" s="2">
        <v>1</v>
      </c>
      <c r="O4" s="2" t="s">
        <v>582</v>
      </c>
      <c r="P4" s="2">
        <v>36</v>
      </c>
      <c r="Q4" s="2">
        <v>33</v>
      </c>
      <c r="R4" s="2">
        <v>6.2</v>
      </c>
      <c r="S4" s="2">
        <v>7.5</v>
      </c>
    </row>
    <row r="5" spans="1:19" hidden="1">
      <c r="A5" s="2" t="s">
        <v>5</v>
      </c>
      <c r="B5" s="2" t="s">
        <v>15</v>
      </c>
      <c r="C5" s="2" t="s">
        <v>16</v>
      </c>
      <c r="D5" s="2">
        <v>29</v>
      </c>
      <c r="E5" s="2">
        <v>29</v>
      </c>
      <c r="F5" s="10">
        <v>70</v>
      </c>
      <c r="G5" s="2"/>
      <c r="H5" s="2" t="s">
        <v>582</v>
      </c>
      <c r="I5" s="2">
        <v>15</v>
      </c>
      <c r="J5" s="2">
        <v>4</v>
      </c>
      <c r="K5" s="2" t="s">
        <v>582</v>
      </c>
      <c r="L5" s="2">
        <v>5</v>
      </c>
      <c r="M5" s="2">
        <v>1</v>
      </c>
      <c r="N5" s="2" t="s">
        <v>582</v>
      </c>
      <c r="O5" s="2" t="s">
        <v>582</v>
      </c>
      <c r="P5" s="2">
        <v>31</v>
      </c>
      <c r="Q5" s="2">
        <v>28</v>
      </c>
      <c r="R5" s="2">
        <v>6.4</v>
      </c>
      <c r="S5" s="2">
        <v>7.9</v>
      </c>
    </row>
    <row r="6" spans="1:19" hidden="1">
      <c r="A6" s="2" t="s">
        <v>5</v>
      </c>
      <c r="B6" s="2" t="s">
        <v>17</v>
      </c>
      <c r="C6" s="2" t="s">
        <v>7</v>
      </c>
      <c r="D6" s="2">
        <v>29</v>
      </c>
      <c r="E6" s="2">
        <v>29</v>
      </c>
      <c r="F6" s="2"/>
      <c r="G6" s="2"/>
      <c r="H6" s="2" t="s">
        <v>582</v>
      </c>
      <c r="I6" s="2">
        <v>14</v>
      </c>
      <c r="J6" s="2">
        <v>1</v>
      </c>
      <c r="K6" s="2" t="s">
        <v>582</v>
      </c>
      <c r="L6" s="2">
        <v>4</v>
      </c>
      <c r="M6" s="2" t="s">
        <v>582</v>
      </c>
      <c r="N6" s="2" t="s">
        <v>582</v>
      </c>
      <c r="O6" s="2" t="s">
        <v>582</v>
      </c>
      <c r="P6" s="2">
        <v>32</v>
      </c>
      <c r="Q6" s="2">
        <v>25</v>
      </c>
      <c r="R6" s="2">
        <v>6.3</v>
      </c>
      <c r="S6" s="2">
        <v>7.7</v>
      </c>
    </row>
    <row r="7" spans="1:19" hidden="1">
      <c r="A7" s="2" t="s">
        <v>5</v>
      </c>
      <c r="B7" s="2" t="s">
        <v>20</v>
      </c>
      <c r="C7" s="2" t="s">
        <v>21</v>
      </c>
      <c r="D7" s="2">
        <v>27</v>
      </c>
      <c r="E7" s="2">
        <v>27</v>
      </c>
      <c r="F7" s="2">
        <v>60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idden="1">
      <c r="A8" s="2" t="s">
        <v>5</v>
      </c>
      <c r="B8" s="2" t="s">
        <v>25</v>
      </c>
      <c r="C8" s="2" t="s">
        <v>26</v>
      </c>
      <c r="D8" s="2">
        <v>26</v>
      </c>
      <c r="E8" s="2">
        <v>26</v>
      </c>
      <c r="F8" s="2">
        <v>75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idden="1">
      <c r="A9" s="2" t="s">
        <v>5</v>
      </c>
      <c r="B9" s="2" t="s">
        <v>27</v>
      </c>
      <c r="C9" s="2" t="s">
        <v>19</v>
      </c>
      <c r="D9" s="2">
        <v>25</v>
      </c>
      <c r="E9" s="2">
        <v>25</v>
      </c>
      <c r="F9" s="2"/>
      <c r="G9" s="2"/>
      <c r="H9" s="2" t="s">
        <v>582</v>
      </c>
      <c r="I9" s="2">
        <v>5</v>
      </c>
      <c r="J9" s="2">
        <v>3</v>
      </c>
      <c r="K9" s="2">
        <v>1</v>
      </c>
      <c r="L9" s="2">
        <v>2</v>
      </c>
      <c r="M9" s="2" t="s">
        <v>582</v>
      </c>
      <c r="N9" s="2">
        <v>1</v>
      </c>
      <c r="O9" s="2" t="s">
        <v>582</v>
      </c>
      <c r="P9" s="2">
        <v>13</v>
      </c>
      <c r="Q9" s="2">
        <v>6</v>
      </c>
      <c r="R9" s="2">
        <v>5.7</v>
      </c>
      <c r="S9" s="2">
        <v>6.6</v>
      </c>
    </row>
    <row r="10" spans="1:19" hidden="1">
      <c r="A10" s="2" t="s">
        <v>5</v>
      </c>
      <c r="B10" s="2" t="s">
        <v>29</v>
      </c>
      <c r="C10" s="2" t="s">
        <v>21</v>
      </c>
      <c r="D10" s="2">
        <v>24</v>
      </c>
      <c r="E10" s="2">
        <v>24</v>
      </c>
      <c r="F10" s="2"/>
      <c r="G10" s="2"/>
      <c r="H10" s="2" t="s">
        <v>582</v>
      </c>
      <c r="I10" s="2">
        <v>7</v>
      </c>
      <c r="J10" s="2">
        <v>2</v>
      </c>
      <c r="K10" s="2">
        <v>1</v>
      </c>
      <c r="L10" s="2">
        <v>4</v>
      </c>
      <c r="M10" s="2" t="s">
        <v>582</v>
      </c>
      <c r="N10" s="2" t="s">
        <v>582</v>
      </c>
      <c r="O10" s="2" t="s">
        <v>582</v>
      </c>
      <c r="P10" s="2">
        <v>35</v>
      </c>
      <c r="Q10" s="2">
        <v>26</v>
      </c>
      <c r="R10" s="2">
        <v>6.2</v>
      </c>
      <c r="S10" s="2">
        <v>6.8</v>
      </c>
    </row>
    <row r="11" spans="1:19" hidden="1">
      <c r="A11" s="2" t="s">
        <v>5</v>
      </c>
      <c r="B11" s="2" t="s">
        <v>30</v>
      </c>
      <c r="C11" s="2" t="s">
        <v>21</v>
      </c>
      <c r="D11" s="2">
        <v>24</v>
      </c>
      <c r="E11" s="2">
        <v>24</v>
      </c>
      <c r="F11" s="2">
        <v>15</v>
      </c>
      <c r="G11" s="2"/>
      <c r="H11" s="2" t="s">
        <v>582</v>
      </c>
      <c r="I11" s="2">
        <v>10</v>
      </c>
      <c r="J11" s="2">
        <v>3</v>
      </c>
      <c r="K11" s="2" t="s">
        <v>582</v>
      </c>
      <c r="L11" s="2">
        <v>4</v>
      </c>
      <c r="M11" s="2">
        <v>4</v>
      </c>
      <c r="N11" s="2" t="s">
        <v>582</v>
      </c>
      <c r="O11" s="2" t="s">
        <v>582</v>
      </c>
      <c r="P11" s="2">
        <v>27</v>
      </c>
      <c r="Q11" s="2">
        <v>21</v>
      </c>
      <c r="R11" s="2">
        <v>5.8</v>
      </c>
      <c r="S11" s="2">
        <v>7</v>
      </c>
    </row>
    <row r="12" spans="1:19" hidden="1">
      <c r="A12" s="2" t="s">
        <v>5</v>
      </c>
      <c r="B12" s="2" t="s">
        <v>31</v>
      </c>
      <c r="C12" s="2" t="s">
        <v>19</v>
      </c>
      <c r="D12" s="2">
        <v>24</v>
      </c>
      <c r="E12" s="2">
        <v>24</v>
      </c>
      <c r="F12" s="2"/>
      <c r="G12" s="2"/>
      <c r="H12" s="2" t="s">
        <v>582</v>
      </c>
      <c r="I12" s="2">
        <v>8</v>
      </c>
      <c r="J12" s="2">
        <v>5</v>
      </c>
      <c r="K12" s="2" t="s">
        <v>582</v>
      </c>
      <c r="L12" s="2">
        <v>8</v>
      </c>
      <c r="M12" s="2" t="s">
        <v>582</v>
      </c>
      <c r="N12" s="2" t="s">
        <v>582</v>
      </c>
      <c r="O12" s="2" t="s">
        <v>582</v>
      </c>
      <c r="P12" s="2">
        <v>34</v>
      </c>
      <c r="Q12" s="2">
        <v>24</v>
      </c>
      <c r="R12" s="2">
        <v>6</v>
      </c>
      <c r="S12" s="2">
        <v>6.8</v>
      </c>
    </row>
    <row r="13" spans="1:19" hidden="1">
      <c r="A13" s="2" t="s">
        <v>5</v>
      </c>
      <c r="B13" s="2" t="s">
        <v>34</v>
      </c>
      <c r="C13" s="2" t="s">
        <v>16</v>
      </c>
      <c r="D13" s="2">
        <v>22</v>
      </c>
      <c r="E13" s="2">
        <v>22</v>
      </c>
      <c r="F13" s="2">
        <v>20</v>
      </c>
      <c r="G13" s="2"/>
      <c r="H13" s="2" t="s">
        <v>582</v>
      </c>
      <c r="I13" s="2">
        <v>7</v>
      </c>
      <c r="J13" s="2">
        <v>1</v>
      </c>
      <c r="K13" s="2" t="s">
        <v>582</v>
      </c>
      <c r="L13" s="2">
        <v>6</v>
      </c>
      <c r="M13" s="2" t="s">
        <v>582</v>
      </c>
      <c r="N13" s="2" t="s">
        <v>582</v>
      </c>
      <c r="O13" s="2" t="s">
        <v>582</v>
      </c>
      <c r="P13" s="2">
        <v>35</v>
      </c>
      <c r="Q13" s="2">
        <v>24</v>
      </c>
      <c r="R13" s="2">
        <v>6.1</v>
      </c>
      <c r="S13" s="2">
        <v>6.9</v>
      </c>
    </row>
    <row r="14" spans="1:19" hidden="1">
      <c r="A14" s="2" t="s">
        <v>5</v>
      </c>
      <c r="B14" s="2" t="s">
        <v>35</v>
      </c>
      <c r="C14" s="2" t="s">
        <v>23</v>
      </c>
      <c r="D14" s="2">
        <v>21</v>
      </c>
      <c r="E14" s="2">
        <v>21</v>
      </c>
      <c r="F14" s="2">
        <v>30</v>
      </c>
      <c r="G14" s="2"/>
      <c r="H14" s="2" t="s">
        <v>582</v>
      </c>
      <c r="I14" s="2">
        <v>10</v>
      </c>
      <c r="J14" s="2">
        <v>7</v>
      </c>
      <c r="K14" s="2">
        <v>1</v>
      </c>
      <c r="L14" s="2">
        <v>3</v>
      </c>
      <c r="M14" s="2">
        <v>2</v>
      </c>
      <c r="N14" s="2">
        <v>1</v>
      </c>
      <c r="O14" s="2" t="s">
        <v>582</v>
      </c>
      <c r="P14" s="2">
        <v>29</v>
      </c>
      <c r="Q14" s="2">
        <v>26</v>
      </c>
      <c r="R14" s="2">
        <v>6.3</v>
      </c>
      <c r="S14" s="2">
        <v>7.1</v>
      </c>
    </row>
    <row r="15" spans="1:19" hidden="1">
      <c r="A15" s="2" t="s">
        <v>5</v>
      </c>
      <c r="B15" s="2" t="s">
        <v>36</v>
      </c>
      <c r="C15" s="2" t="s">
        <v>26</v>
      </c>
      <c r="D15" s="2">
        <v>21</v>
      </c>
      <c r="E15" s="2">
        <v>21</v>
      </c>
      <c r="F15" s="2">
        <v>15</v>
      </c>
      <c r="G15" s="2"/>
      <c r="H15" s="2" t="s">
        <v>582</v>
      </c>
      <c r="I15" s="2">
        <v>12</v>
      </c>
      <c r="J15" s="2" t="s">
        <v>582</v>
      </c>
      <c r="K15" s="2" t="s">
        <v>582</v>
      </c>
      <c r="L15" s="2">
        <v>2</v>
      </c>
      <c r="M15" s="2">
        <v>2</v>
      </c>
      <c r="N15" s="2" t="s">
        <v>582</v>
      </c>
      <c r="O15" s="2" t="s">
        <v>582</v>
      </c>
      <c r="P15" s="2">
        <v>32</v>
      </c>
      <c r="Q15" s="2">
        <v>27</v>
      </c>
      <c r="R15" s="2">
        <v>5.9</v>
      </c>
      <c r="S15" s="2">
        <v>7.1</v>
      </c>
    </row>
    <row r="16" spans="1:19" hidden="1">
      <c r="A16" s="2" t="s">
        <v>5</v>
      </c>
      <c r="B16" s="2" t="s">
        <v>37</v>
      </c>
      <c r="C16" s="2" t="s">
        <v>38</v>
      </c>
      <c r="D16" s="2">
        <v>21</v>
      </c>
      <c r="E16" s="2">
        <v>21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idden="1">
      <c r="A17" s="2" t="s">
        <v>5</v>
      </c>
      <c r="B17" s="2" t="s">
        <v>43</v>
      </c>
      <c r="C17" s="2" t="s">
        <v>23</v>
      </c>
      <c r="D17" s="2">
        <v>20</v>
      </c>
      <c r="E17" s="2">
        <v>20</v>
      </c>
      <c r="F17" s="2">
        <v>15</v>
      </c>
      <c r="G17" s="2"/>
      <c r="H17" s="2" t="s">
        <v>582</v>
      </c>
      <c r="I17" s="2">
        <v>9</v>
      </c>
      <c r="J17" s="2">
        <v>2</v>
      </c>
      <c r="K17" s="2" t="s">
        <v>582</v>
      </c>
      <c r="L17" s="2">
        <v>3</v>
      </c>
      <c r="M17" s="2" t="s">
        <v>582</v>
      </c>
      <c r="N17" s="2" t="s">
        <v>582</v>
      </c>
      <c r="O17" s="2" t="s">
        <v>582</v>
      </c>
      <c r="P17" s="2">
        <v>35</v>
      </c>
      <c r="Q17" s="2">
        <v>25</v>
      </c>
      <c r="R17" s="2">
        <v>5.9</v>
      </c>
      <c r="S17" s="2">
        <v>6.8</v>
      </c>
    </row>
    <row r="18" spans="1:19" hidden="1">
      <c r="A18" s="2" t="s">
        <v>5</v>
      </c>
      <c r="B18" s="2" t="s">
        <v>44</v>
      </c>
      <c r="C18" s="2" t="s">
        <v>45</v>
      </c>
      <c r="D18" s="2">
        <v>20</v>
      </c>
      <c r="E18" s="2">
        <v>20</v>
      </c>
      <c r="F18" s="2">
        <v>60</v>
      </c>
      <c r="G18" s="2"/>
      <c r="H18" s="2" t="s">
        <v>582</v>
      </c>
      <c r="I18" s="2">
        <v>11</v>
      </c>
      <c r="J18" s="2">
        <v>5</v>
      </c>
      <c r="K18" s="2" t="s">
        <v>582</v>
      </c>
      <c r="L18" s="2">
        <v>5</v>
      </c>
      <c r="M18" s="2">
        <v>1</v>
      </c>
      <c r="N18" s="2">
        <v>1</v>
      </c>
      <c r="O18" s="2" t="s">
        <v>582</v>
      </c>
      <c r="P18" s="2">
        <v>37</v>
      </c>
      <c r="Q18" s="2">
        <v>35</v>
      </c>
      <c r="R18" s="2">
        <v>6</v>
      </c>
      <c r="S18" s="2">
        <v>6.9</v>
      </c>
    </row>
    <row r="19" spans="1:19" hidden="1">
      <c r="A19" s="2" t="s">
        <v>5</v>
      </c>
      <c r="B19" s="2" t="s">
        <v>46</v>
      </c>
      <c r="C19" s="2" t="s">
        <v>26</v>
      </c>
      <c r="D19" s="2">
        <v>20</v>
      </c>
      <c r="E19" s="2">
        <v>20</v>
      </c>
      <c r="F19" s="2">
        <v>10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idden="1">
      <c r="A20" s="2" t="s">
        <v>5</v>
      </c>
      <c r="B20" s="2" t="s">
        <v>47</v>
      </c>
      <c r="C20" s="2" t="s">
        <v>48</v>
      </c>
      <c r="D20" s="2">
        <v>20</v>
      </c>
      <c r="E20" s="2">
        <v>20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idden="1">
      <c r="A21" s="2" t="s">
        <v>5</v>
      </c>
      <c r="B21" s="2" t="s">
        <v>49</v>
      </c>
      <c r="C21" s="2" t="s">
        <v>16</v>
      </c>
      <c r="D21" s="2">
        <v>19</v>
      </c>
      <c r="E21" s="2">
        <v>19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hidden="1">
      <c r="A22" s="2" t="s">
        <v>5</v>
      </c>
      <c r="B22" s="2" t="s">
        <v>51</v>
      </c>
      <c r="C22" s="2" t="s">
        <v>14</v>
      </c>
      <c r="D22" s="2">
        <v>19</v>
      </c>
      <c r="E22" s="2">
        <v>19</v>
      </c>
      <c r="F22" s="2"/>
      <c r="G22" s="2"/>
      <c r="H22" s="2" t="s">
        <v>582</v>
      </c>
      <c r="I22" s="2">
        <v>8</v>
      </c>
      <c r="J22" s="2">
        <v>8</v>
      </c>
      <c r="K22" s="2" t="s">
        <v>582</v>
      </c>
      <c r="L22" s="2">
        <v>4</v>
      </c>
      <c r="M22" s="2" t="s">
        <v>582</v>
      </c>
      <c r="N22" s="2">
        <v>1</v>
      </c>
      <c r="O22" s="2" t="s">
        <v>582</v>
      </c>
      <c r="P22" s="2">
        <v>35</v>
      </c>
      <c r="Q22" s="2">
        <v>24</v>
      </c>
      <c r="R22" s="2">
        <v>6.1</v>
      </c>
      <c r="S22" s="2">
        <v>6.6</v>
      </c>
    </row>
    <row r="23" spans="1:19" hidden="1">
      <c r="A23" s="2" t="s">
        <v>5</v>
      </c>
      <c r="B23" s="2" t="s">
        <v>52</v>
      </c>
      <c r="C23" s="2" t="s">
        <v>14</v>
      </c>
      <c r="D23" s="2">
        <v>19</v>
      </c>
      <c r="E23" s="2">
        <v>19</v>
      </c>
      <c r="F23" s="2">
        <v>60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hidden="1">
      <c r="A24" s="2" t="s">
        <v>5</v>
      </c>
      <c r="B24" s="2" t="s">
        <v>54</v>
      </c>
      <c r="C24" s="2" t="s">
        <v>11</v>
      </c>
      <c r="D24" s="2">
        <v>19</v>
      </c>
      <c r="E24" s="2">
        <v>19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idden="1">
      <c r="A25" s="2" t="s">
        <v>5</v>
      </c>
      <c r="B25" s="2" t="s">
        <v>55</v>
      </c>
      <c r="C25" s="2" t="s">
        <v>26</v>
      </c>
      <c r="D25" s="2">
        <v>19</v>
      </c>
      <c r="E25" s="2">
        <v>19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idden="1">
      <c r="A26" s="2" t="s">
        <v>5</v>
      </c>
      <c r="B26" s="2" t="s">
        <v>58</v>
      </c>
      <c r="C26" s="2" t="s">
        <v>59</v>
      </c>
      <c r="D26" s="2">
        <v>17</v>
      </c>
      <c r="E26" s="2">
        <v>17</v>
      </c>
      <c r="F26" s="2">
        <v>65</v>
      </c>
      <c r="G26" s="2"/>
      <c r="H26" s="2" t="s">
        <v>582</v>
      </c>
      <c r="I26" s="2">
        <v>10</v>
      </c>
      <c r="J26" s="2">
        <v>6</v>
      </c>
      <c r="K26" s="2" t="s">
        <v>582</v>
      </c>
      <c r="L26" s="2">
        <v>1</v>
      </c>
      <c r="M26" s="2">
        <v>1</v>
      </c>
      <c r="N26" s="2" t="s">
        <v>582</v>
      </c>
      <c r="O26" s="2" t="s">
        <v>582</v>
      </c>
      <c r="P26" s="2">
        <v>37</v>
      </c>
      <c r="Q26" s="2">
        <v>35</v>
      </c>
      <c r="R26" s="2">
        <v>6</v>
      </c>
      <c r="S26" s="2">
        <v>6.8</v>
      </c>
    </row>
    <row r="27" spans="1:19" hidden="1">
      <c r="A27" s="2" t="s">
        <v>5</v>
      </c>
      <c r="B27" s="2" t="s">
        <v>60</v>
      </c>
      <c r="C27" s="2" t="s">
        <v>40</v>
      </c>
      <c r="D27" s="2">
        <v>17</v>
      </c>
      <c r="E27" s="2">
        <v>17</v>
      </c>
      <c r="F27" s="2"/>
      <c r="G27" s="2"/>
      <c r="H27" s="2" t="s">
        <v>582</v>
      </c>
      <c r="I27" s="2">
        <v>8</v>
      </c>
      <c r="J27" s="2">
        <v>2</v>
      </c>
      <c r="K27" s="2" t="s">
        <v>582</v>
      </c>
      <c r="L27" s="2">
        <v>1</v>
      </c>
      <c r="M27" s="2" t="s">
        <v>582</v>
      </c>
      <c r="N27" s="2" t="s">
        <v>582</v>
      </c>
      <c r="O27" s="2" t="s">
        <v>582</v>
      </c>
      <c r="P27" s="2">
        <v>15</v>
      </c>
      <c r="Q27" s="2">
        <v>14</v>
      </c>
      <c r="R27" s="2">
        <v>6.5</v>
      </c>
      <c r="S27" s="2">
        <v>8.1</v>
      </c>
    </row>
    <row r="28" spans="1:19" hidden="1">
      <c r="A28" s="2" t="s">
        <v>5</v>
      </c>
      <c r="B28" s="2" t="s">
        <v>70</v>
      </c>
      <c r="C28" s="2" t="s">
        <v>38</v>
      </c>
      <c r="D28" s="2">
        <v>16</v>
      </c>
      <c r="E28" s="2">
        <v>16</v>
      </c>
      <c r="F28" s="2">
        <v>70</v>
      </c>
      <c r="G28" s="2"/>
      <c r="H28" s="2" t="s">
        <v>582</v>
      </c>
      <c r="I28" s="2">
        <v>10</v>
      </c>
      <c r="J28" s="2">
        <v>4</v>
      </c>
      <c r="K28" s="2" t="s">
        <v>582</v>
      </c>
      <c r="L28" s="2">
        <v>1</v>
      </c>
      <c r="M28" s="2" t="s">
        <v>582</v>
      </c>
      <c r="N28" s="2">
        <v>1</v>
      </c>
      <c r="O28" s="2" t="s">
        <v>582</v>
      </c>
      <c r="P28" s="2">
        <v>36</v>
      </c>
      <c r="Q28" s="2">
        <v>32</v>
      </c>
      <c r="R28" s="2">
        <v>5.9</v>
      </c>
      <c r="S28" s="2">
        <v>6.6</v>
      </c>
    </row>
    <row r="29" spans="1:19" hidden="1">
      <c r="A29" s="2" t="s">
        <v>5</v>
      </c>
      <c r="B29" s="2" t="s">
        <v>71</v>
      </c>
      <c r="C29" s="2" t="s">
        <v>72</v>
      </c>
      <c r="D29" s="2">
        <v>16</v>
      </c>
      <c r="E29" s="2">
        <v>16</v>
      </c>
      <c r="F29" s="2">
        <v>25</v>
      </c>
      <c r="G29" s="2"/>
      <c r="H29" s="2" t="s">
        <v>582</v>
      </c>
      <c r="I29" s="2">
        <v>8</v>
      </c>
      <c r="J29" s="2" t="s">
        <v>582</v>
      </c>
      <c r="K29" s="2" t="s">
        <v>582</v>
      </c>
      <c r="L29" s="2">
        <v>3</v>
      </c>
      <c r="M29" s="2">
        <v>1</v>
      </c>
      <c r="N29" s="2">
        <v>2</v>
      </c>
      <c r="O29" s="2" t="s">
        <v>582</v>
      </c>
      <c r="P29" s="2">
        <v>25</v>
      </c>
      <c r="Q29" s="2">
        <v>24</v>
      </c>
      <c r="R29" s="2">
        <v>6.3</v>
      </c>
      <c r="S29" s="2">
        <v>7.1</v>
      </c>
    </row>
    <row r="30" spans="1:19" hidden="1">
      <c r="A30" s="2" t="s">
        <v>5</v>
      </c>
      <c r="B30" s="2" t="s">
        <v>74</v>
      </c>
      <c r="C30" s="2" t="s">
        <v>9</v>
      </c>
      <c r="D30" s="2">
        <v>15</v>
      </c>
      <c r="E30" s="2">
        <v>15</v>
      </c>
      <c r="F30" s="2">
        <v>20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idden="1">
      <c r="A31" s="2" t="s">
        <v>5</v>
      </c>
      <c r="B31" s="2" t="s">
        <v>78</v>
      </c>
      <c r="C31" s="2" t="s">
        <v>11</v>
      </c>
      <c r="D31" s="2">
        <v>15</v>
      </c>
      <c r="E31" s="2">
        <v>15</v>
      </c>
      <c r="F31" s="2"/>
      <c r="G31" s="2"/>
      <c r="H31" s="2" t="s">
        <v>582</v>
      </c>
      <c r="I31" s="2">
        <v>12</v>
      </c>
      <c r="J31" s="2">
        <v>10</v>
      </c>
      <c r="K31" s="2" t="s">
        <v>582</v>
      </c>
      <c r="L31" s="2">
        <v>1</v>
      </c>
      <c r="M31" s="2">
        <v>1</v>
      </c>
      <c r="N31" s="2" t="s">
        <v>582</v>
      </c>
      <c r="O31" s="2" t="s">
        <v>582</v>
      </c>
      <c r="P31" s="2">
        <v>33</v>
      </c>
      <c r="Q31" s="2">
        <v>26</v>
      </c>
      <c r="R31" s="2">
        <v>6.1</v>
      </c>
      <c r="S31" s="2">
        <v>7</v>
      </c>
    </row>
    <row r="32" spans="1:19" hidden="1">
      <c r="A32" s="2" t="s">
        <v>5</v>
      </c>
      <c r="B32" s="2" t="s">
        <v>81</v>
      </c>
      <c r="C32" s="2" t="s">
        <v>38</v>
      </c>
      <c r="D32" s="2">
        <v>15</v>
      </c>
      <c r="E32" s="2">
        <v>15</v>
      </c>
      <c r="F32" s="2">
        <v>10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idden="1">
      <c r="A33" s="2" t="s">
        <v>5</v>
      </c>
      <c r="B33" s="2" t="s">
        <v>85</v>
      </c>
      <c r="C33" s="2" t="s">
        <v>40</v>
      </c>
      <c r="D33" s="2">
        <v>14</v>
      </c>
      <c r="E33" s="2">
        <v>14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idden="1">
      <c r="A34" s="2" t="s">
        <v>5</v>
      </c>
      <c r="B34" s="2" t="s">
        <v>95</v>
      </c>
      <c r="C34" s="2" t="s">
        <v>48</v>
      </c>
      <c r="D34" s="2">
        <v>14</v>
      </c>
      <c r="E34" s="2">
        <v>14</v>
      </c>
      <c r="F34" s="2"/>
      <c r="G34" s="2"/>
      <c r="H34" s="2" t="s">
        <v>582</v>
      </c>
      <c r="I34" s="2">
        <v>9</v>
      </c>
      <c r="J34" s="2">
        <v>2</v>
      </c>
      <c r="K34" s="2" t="s">
        <v>582</v>
      </c>
      <c r="L34" s="2">
        <v>3</v>
      </c>
      <c r="M34" s="2" t="s">
        <v>582</v>
      </c>
      <c r="N34" s="2">
        <v>1</v>
      </c>
      <c r="O34" s="2" t="s">
        <v>582</v>
      </c>
      <c r="P34" s="2">
        <v>36</v>
      </c>
      <c r="Q34" s="2">
        <v>28</v>
      </c>
      <c r="R34" s="2">
        <v>6</v>
      </c>
      <c r="S34" s="2">
        <v>6.7</v>
      </c>
    </row>
    <row r="35" spans="1:19" hidden="1">
      <c r="A35" s="2" t="s">
        <v>5</v>
      </c>
      <c r="B35" s="2" t="s">
        <v>99</v>
      </c>
      <c r="C35" s="2" t="s">
        <v>23</v>
      </c>
      <c r="D35" s="2">
        <v>13</v>
      </c>
      <c r="E35" s="2">
        <v>13</v>
      </c>
      <c r="F35" s="2"/>
      <c r="G35" s="2"/>
      <c r="H35" s="2" t="s">
        <v>582</v>
      </c>
      <c r="I35" s="2">
        <v>10</v>
      </c>
      <c r="J35" s="2">
        <v>2</v>
      </c>
      <c r="K35" s="2" t="s">
        <v>582</v>
      </c>
      <c r="L35" s="2">
        <v>1</v>
      </c>
      <c r="M35" s="2">
        <v>2</v>
      </c>
      <c r="N35" s="2" t="s">
        <v>582</v>
      </c>
      <c r="O35" s="2" t="s">
        <v>582</v>
      </c>
      <c r="P35" s="2">
        <v>28</v>
      </c>
      <c r="Q35" s="2">
        <v>6</v>
      </c>
      <c r="R35" s="2">
        <v>6.2</v>
      </c>
      <c r="S35" s="2">
        <v>7.3</v>
      </c>
    </row>
    <row r="36" spans="1:19" hidden="1">
      <c r="A36" s="2" t="s">
        <v>5</v>
      </c>
      <c r="B36" s="2" t="s">
        <v>102</v>
      </c>
      <c r="C36" s="2" t="s">
        <v>11</v>
      </c>
      <c r="D36" s="2">
        <v>13</v>
      </c>
      <c r="E36" s="2">
        <v>13</v>
      </c>
      <c r="F36" s="2"/>
      <c r="G36" s="2"/>
      <c r="H36" s="2" t="s">
        <v>582</v>
      </c>
      <c r="I36" s="2">
        <v>6</v>
      </c>
      <c r="J36" s="2">
        <v>1</v>
      </c>
      <c r="K36" s="2" t="s">
        <v>582</v>
      </c>
      <c r="L36" s="2">
        <v>1</v>
      </c>
      <c r="M36" s="2" t="s">
        <v>582</v>
      </c>
      <c r="N36" s="2" t="s">
        <v>582</v>
      </c>
      <c r="O36" s="2" t="s">
        <v>582</v>
      </c>
      <c r="P36" s="2">
        <v>21</v>
      </c>
      <c r="Q36" s="2">
        <v>9</v>
      </c>
      <c r="R36" s="2">
        <v>6.1</v>
      </c>
      <c r="S36" s="2">
        <v>7</v>
      </c>
    </row>
    <row r="37" spans="1:19" hidden="1">
      <c r="A37" s="2" t="s">
        <v>5</v>
      </c>
      <c r="B37" s="2" t="s">
        <v>105</v>
      </c>
      <c r="C37" s="2" t="s">
        <v>104</v>
      </c>
      <c r="D37" s="2">
        <v>13</v>
      </c>
      <c r="E37" s="2">
        <v>13</v>
      </c>
      <c r="F37" s="2"/>
      <c r="G37" s="2"/>
      <c r="H37" s="2" t="s">
        <v>582</v>
      </c>
      <c r="I37" s="2">
        <v>3</v>
      </c>
      <c r="J37" s="2">
        <v>2</v>
      </c>
      <c r="K37" s="2" t="s">
        <v>582</v>
      </c>
      <c r="L37" s="2">
        <v>1</v>
      </c>
      <c r="M37" s="2" t="s">
        <v>582</v>
      </c>
      <c r="N37" s="2" t="s">
        <v>582</v>
      </c>
      <c r="O37" s="2" t="s">
        <v>582</v>
      </c>
      <c r="P37" s="2">
        <v>12</v>
      </c>
      <c r="Q37" s="2">
        <v>6</v>
      </c>
      <c r="R37" s="2">
        <v>6.1</v>
      </c>
      <c r="S37" s="2">
        <v>6.8</v>
      </c>
    </row>
    <row r="38" spans="1:19" hidden="1">
      <c r="A38" s="2" t="s">
        <v>5</v>
      </c>
      <c r="B38" s="2" t="s">
        <v>108</v>
      </c>
      <c r="C38" s="2" t="s">
        <v>59</v>
      </c>
      <c r="D38" s="2">
        <v>12</v>
      </c>
      <c r="E38" s="2">
        <v>12</v>
      </c>
      <c r="F38" s="2"/>
      <c r="G38" s="2"/>
      <c r="H38" s="2" t="s">
        <v>582</v>
      </c>
      <c r="I38" s="2">
        <v>2</v>
      </c>
      <c r="J38" s="2">
        <v>2</v>
      </c>
      <c r="K38" s="2" t="s">
        <v>582</v>
      </c>
      <c r="L38" s="2">
        <v>2</v>
      </c>
      <c r="M38" s="2" t="s">
        <v>582</v>
      </c>
      <c r="N38" s="2" t="s">
        <v>582</v>
      </c>
      <c r="O38" s="2" t="s">
        <v>582</v>
      </c>
      <c r="P38" s="2">
        <v>26</v>
      </c>
      <c r="Q38" s="2">
        <v>18</v>
      </c>
      <c r="R38" s="2">
        <v>6</v>
      </c>
      <c r="S38" s="2">
        <v>6.3</v>
      </c>
    </row>
    <row r="39" spans="1:19">
      <c r="A39" s="2" t="s">
        <v>5</v>
      </c>
      <c r="B39" s="2" t="s">
        <v>115</v>
      </c>
      <c r="C39" s="2" t="s">
        <v>114</v>
      </c>
      <c r="D39" s="2">
        <v>12</v>
      </c>
      <c r="E39" s="2">
        <v>12</v>
      </c>
      <c r="F39" s="2">
        <v>50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>
      <c r="A40" s="2" t="s">
        <v>5</v>
      </c>
      <c r="B40" s="2" t="s">
        <v>116</v>
      </c>
      <c r="C40" s="2" t="s">
        <v>114</v>
      </c>
      <c r="D40" s="2">
        <v>12</v>
      </c>
      <c r="E40" s="2">
        <v>12</v>
      </c>
      <c r="F40" s="2">
        <v>20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hidden="1">
      <c r="A41" s="2" t="s">
        <v>5</v>
      </c>
      <c r="B41" s="2" t="s">
        <v>118</v>
      </c>
      <c r="C41" s="2" t="s">
        <v>21</v>
      </c>
      <c r="D41" s="2">
        <v>12</v>
      </c>
      <c r="E41" s="2">
        <v>12</v>
      </c>
      <c r="F41" s="2"/>
      <c r="G41" s="2"/>
      <c r="H41" s="2" t="s">
        <v>582</v>
      </c>
      <c r="I41" s="2">
        <v>3</v>
      </c>
      <c r="J41" s="2">
        <v>3</v>
      </c>
      <c r="K41" s="2" t="s">
        <v>582</v>
      </c>
      <c r="L41" s="2">
        <v>2</v>
      </c>
      <c r="M41" s="2" t="s">
        <v>582</v>
      </c>
      <c r="N41" s="2" t="s">
        <v>582</v>
      </c>
      <c r="O41" s="2" t="s">
        <v>582</v>
      </c>
      <c r="P41" s="2">
        <v>25</v>
      </c>
      <c r="Q41" s="2">
        <v>21</v>
      </c>
      <c r="R41" s="2">
        <v>5.8</v>
      </c>
      <c r="S41" s="2">
        <v>6.2</v>
      </c>
    </row>
    <row r="42" spans="1:19" hidden="1">
      <c r="A42" s="2" t="s">
        <v>5</v>
      </c>
      <c r="B42" s="2" t="s">
        <v>121</v>
      </c>
      <c r="C42" s="2" t="s">
        <v>45</v>
      </c>
      <c r="D42" s="2">
        <v>12</v>
      </c>
      <c r="E42" s="2">
        <v>12</v>
      </c>
      <c r="F42" s="2">
        <v>25</v>
      </c>
      <c r="G42" s="2"/>
      <c r="H42" s="2" t="s">
        <v>582</v>
      </c>
      <c r="I42" s="2" t="s">
        <v>582</v>
      </c>
      <c r="J42" s="2" t="s">
        <v>582</v>
      </c>
      <c r="K42" s="2" t="s">
        <v>582</v>
      </c>
      <c r="L42" s="2" t="s">
        <v>582</v>
      </c>
      <c r="M42" s="2" t="s">
        <v>582</v>
      </c>
      <c r="N42" s="2" t="s">
        <v>582</v>
      </c>
      <c r="O42" s="2" t="s">
        <v>582</v>
      </c>
      <c r="P42" s="2">
        <v>6</v>
      </c>
      <c r="Q42" s="2">
        <v>1</v>
      </c>
      <c r="R42" s="2">
        <v>6</v>
      </c>
      <c r="S42" s="2">
        <v>6</v>
      </c>
    </row>
    <row r="43" spans="1:19" hidden="1">
      <c r="A43" s="2" t="s">
        <v>5</v>
      </c>
      <c r="B43" s="2" t="s">
        <v>128</v>
      </c>
      <c r="C43" s="2" t="s">
        <v>72</v>
      </c>
      <c r="D43" s="2">
        <v>12</v>
      </c>
      <c r="E43" s="2">
        <v>12</v>
      </c>
      <c r="F43" s="2">
        <v>15</v>
      </c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hidden="1">
      <c r="A44" s="2" t="s">
        <v>5</v>
      </c>
      <c r="B44" s="2" t="s">
        <v>132</v>
      </c>
      <c r="C44" s="2" t="s">
        <v>14</v>
      </c>
      <c r="D44" s="2">
        <v>11</v>
      </c>
      <c r="E44" s="2">
        <v>11</v>
      </c>
      <c r="F44" s="2"/>
      <c r="G44" s="2"/>
      <c r="H44" s="2" t="s">
        <v>582</v>
      </c>
      <c r="I44" s="2">
        <v>1</v>
      </c>
      <c r="J44" s="2" t="s">
        <v>582</v>
      </c>
      <c r="K44" s="2" t="s">
        <v>582</v>
      </c>
      <c r="L44" s="2">
        <v>3</v>
      </c>
      <c r="M44" s="2" t="s">
        <v>582</v>
      </c>
      <c r="N44" s="2" t="s">
        <v>582</v>
      </c>
      <c r="O44" s="2" t="s">
        <v>582</v>
      </c>
      <c r="P44" s="2">
        <v>17</v>
      </c>
      <c r="Q44" s="2">
        <v>3</v>
      </c>
      <c r="R44" s="2">
        <v>6.2</v>
      </c>
      <c r="S44" s="2">
        <v>6.6</v>
      </c>
    </row>
    <row r="45" spans="1:19" hidden="1">
      <c r="A45" s="2" t="s">
        <v>5</v>
      </c>
      <c r="B45" s="2" t="s">
        <v>148</v>
      </c>
      <c r="C45" s="2" t="s">
        <v>14</v>
      </c>
      <c r="D45" s="2">
        <v>10</v>
      </c>
      <c r="E45" s="2">
        <v>10</v>
      </c>
      <c r="F45" s="2"/>
      <c r="G45" s="2"/>
      <c r="H45" s="2" t="s">
        <v>582</v>
      </c>
      <c r="I45" s="2">
        <v>3</v>
      </c>
      <c r="J45" s="2">
        <v>1</v>
      </c>
      <c r="K45" s="2" t="s">
        <v>582</v>
      </c>
      <c r="L45" s="2">
        <v>2</v>
      </c>
      <c r="M45" s="2" t="s">
        <v>582</v>
      </c>
      <c r="N45" s="2" t="s">
        <v>582</v>
      </c>
      <c r="O45" s="2" t="s">
        <v>582</v>
      </c>
      <c r="P45" s="2">
        <v>26</v>
      </c>
      <c r="Q45" s="2">
        <v>11</v>
      </c>
      <c r="R45" s="2">
        <v>5.8</v>
      </c>
      <c r="S45" s="2">
        <v>6.2</v>
      </c>
    </row>
    <row r="46" spans="1:19" hidden="1">
      <c r="A46" s="2" t="s">
        <v>5</v>
      </c>
      <c r="B46" s="2" t="s">
        <v>150</v>
      </c>
      <c r="C46" s="2" t="s">
        <v>40</v>
      </c>
      <c r="D46" s="2">
        <v>10</v>
      </c>
      <c r="E46" s="2">
        <v>10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hidden="1">
      <c r="A47" s="2" t="s">
        <v>5</v>
      </c>
      <c r="B47" s="2" t="s">
        <v>166</v>
      </c>
      <c r="C47" s="2" t="s">
        <v>16</v>
      </c>
      <c r="D47" s="2">
        <v>9</v>
      </c>
      <c r="E47" s="2">
        <v>9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hidden="1">
      <c r="A48" s="2" t="s">
        <v>5</v>
      </c>
      <c r="B48" s="2" t="s">
        <v>169</v>
      </c>
      <c r="C48" s="2" t="s">
        <v>14</v>
      </c>
      <c r="D48" s="2">
        <v>9</v>
      </c>
      <c r="E48" s="2">
        <v>9</v>
      </c>
      <c r="F48" s="2"/>
      <c r="G48" s="2"/>
      <c r="H48" s="2" t="s">
        <v>582</v>
      </c>
      <c r="I48" s="2">
        <v>3</v>
      </c>
      <c r="J48" s="2" t="s">
        <v>582</v>
      </c>
      <c r="K48" s="2" t="s">
        <v>582</v>
      </c>
      <c r="L48" s="2">
        <v>2</v>
      </c>
      <c r="M48" s="2" t="s">
        <v>582</v>
      </c>
      <c r="N48" s="2" t="s">
        <v>582</v>
      </c>
      <c r="O48" s="2" t="s">
        <v>582</v>
      </c>
      <c r="P48" s="2">
        <v>20</v>
      </c>
      <c r="Q48" s="2">
        <v>15</v>
      </c>
      <c r="R48" s="2">
        <v>6.3</v>
      </c>
      <c r="S48" s="2">
        <v>6.9</v>
      </c>
    </row>
    <row r="49" spans="1:19" hidden="1">
      <c r="A49" s="2" t="s">
        <v>5</v>
      </c>
      <c r="B49" s="2" t="s">
        <v>183</v>
      </c>
      <c r="C49" s="2" t="s">
        <v>104</v>
      </c>
      <c r="D49" s="2">
        <v>9</v>
      </c>
      <c r="E49" s="2">
        <v>9</v>
      </c>
      <c r="F49" s="2"/>
      <c r="G49" s="2"/>
      <c r="H49" s="2" t="s">
        <v>582</v>
      </c>
      <c r="I49" s="2">
        <v>5</v>
      </c>
      <c r="J49" s="2">
        <v>4</v>
      </c>
      <c r="K49" s="2" t="s">
        <v>582</v>
      </c>
      <c r="L49" s="2">
        <v>1</v>
      </c>
      <c r="M49" s="2" t="s">
        <v>582</v>
      </c>
      <c r="N49" s="2" t="s">
        <v>582</v>
      </c>
      <c r="O49" s="2" t="s">
        <v>582</v>
      </c>
      <c r="P49" s="2">
        <v>23</v>
      </c>
      <c r="Q49" s="2">
        <v>16</v>
      </c>
      <c r="R49" s="2">
        <v>5.9</v>
      </c>
      <c r="S49" s="2">
        <v>6.5</v>
      </c>
    </row>
    <row r="50" spans="1:19" hidden="1">
      <c r="A50" s="2" t="s">
        <v>5</v>
      </c>
      <c r="B50" s="2" t="s">
        <v>187</v>
      </c>
      <c r="C50" s="2" t="s">
        <v>48</v>
      </c>
      <c r="D50" s="2">
        <v>9</v>
      </c>
      <c r="E50" s="2">
        <v>9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hidden="1">
      <c r="A51" s="2" t="s">
        <v>5</v>
      </c>
      <c r="B51" s="2" t="s">
        <v>191</v>
      </c>
      <c r="C51" s="2" t="s">
        <v>48</v>
      </c>
      <c r="D51" s="2">
        <v>9</v>
      </c>
      <c r="E51" s="2">
        <v>9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hidden="1">
      <c r="A52" s="2" t="s">
        <v>5</v>
      </c>
      <c r="B52" s="2" t="s">
        <v>201</v>
      </c>
      <c r="C52" s="2" t="s">
        <v>40</v>
      </c>
      <c r="D52" s="2">
        <v>8</v>
      </c>
      <c r="E52" s="2">
        <v>8</v>
      </c>
      <c r="F52" s="2"/>
      <c r="G52" s="2"/>
      <c r="H52" s="2" t="s">
        <v>582</v>
      </c>
      <c r="I52" s="2">
        <v>2</v>
      </c>
      <c r="J52" s="2">
        <v>1</v>
      </c>
      <c r="K52" s="2" t="s">
        <v>582</v>
      </c>
      <c r="L52" s="2">
        <v>2</v>
      </c>
      <c r="M52" s="2" t="s">
        <v>582</v>
      </c>
      <c r="N52" s="2" t="s">
        <v>582</v>
      </c>
      <c r="O52" s="2" t="s">
        <v>582</v>
      </c>
      <c r="P52" s="2">
        <v>12</v>
      </c>
      <c r="Q52" s="2">
        <v>4</v>
      </c>
      <c r="R52" s="2">
        <v>6</v>
      </c>
      <c r="S52" s="2">
        <v>6.7</v>
      </c>
    </row>
    <row r="53" spans="1:19" hidden="1">
      <c r="A53" s="2" t="s">
        <v>5</v>
      </c>
      <c r="B53" s="2" t="s">
        <v>203</v>
      </c>
      <c r="C53" s="2" t="s">
        <v>112</v>
      </c>
      <c r="D53" s="2">
        <v>8</v>
      </c>
      <c r="E53" s="2">
        <v>8</v>
      </c>
      <c r="F53" s="2">
        <v>30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hidden="1">
      <c r="A54" s="2" t="s">
        <v>5</v>
      </c>
      <c r="B54" s="2" t="s">
        <v>221</v>
      </c>
      <c r="C54" s="2" t="s">
        <v>11</v>
      </c>
      <c r="D54" s="2">
        <v>8</v>
      </c>
      <c r="E54" s="2">
        <v>8</v>
      </c>
      <c r="F54" s="2"/>
      <c r="G54" s="2"/>
      <c r="H54" s="2" t="s">
        <v>582</v>
      </c>
      <c r="I54" s="2">
        <v>1</v>
      </c>
      <c r="J54" s="2">
        <v>1</v>
      </c>
      <c r="K54" s="2" t="s">
        <v>582</v>
      </c>
      <c r="L54" s="2">
        <v>1</v>
      </c>
      <c r="M54" s="2" t="s">
        <v>582</v>
      </c>
      <c r="N54" s="2" t="s">
        <v>582</v>
      </c>
      <c r="O54" s="2" t="s">
        <v>582</v>
      </c>
      <c r="P54" s="2">
        <v>20</v>
      </c>
      <c r="Q54" s="2">
        <v>1</v>
      </c>
      <c r="R54" s="2">
        <v>5.7</v>
      </c>
      <c r="S54" s="2">
        <v>5.9</v>
      </c>
    </row>
    <row r="55" spans="1:19" hidden="1">
      <c r="A55" s="2" t="s">
        <v>5</v>
      </c>
      <c r="B55" s="2" t="s">
        <v>230</v>
      </c>
      <c r="C55" s="2" t="s">
        <v>190</v>
      </c>
      <c r="D55" s="2">
        <v>8</v>
      </c>
      <c r="E55" s="2">
        <v>8</v>
      </c>
      <c r="F55" s="2"/>
      <c r="G55" s="2"/>
      <c r="H55" s="2" t="s">
        <v>582</v>
      </c>
      <c r="I55" s="2">
        <v>4</v>
      </c>
      <c r="J55" s="2">
        <v>1</v>
      </c>
      <c r="K55" s="2" t="s">
        <v>582</v>
      </c>
      <c r="L55" s="2">
        <v>1</v>
      </c>
      <c r="M55" s="2" t="s">
        <v>582</v>
      </c>
      <c r="N55" s="2" t="s">
        <v>582</v>
      </c>
      <c r="O55" s="2" t="s">
        <v>582</v>
      </c>
      <c r="P55" s="2">
        <v>29</v>
      </c>
      <c r="Q55" s="2">
        <v>23</v>
      </c>
      <c r="R55" s="2">
        <v>5.6</v>
      </c>
      <c r="S55" s="2">
        <v>6.1</v>
      </c>
    </row>
    <row r="56" spans="1:19" hidden="1">
      <c r="A56" s="2" t="s">
        <v>5</v>
      </c>
      <c r="B56" s="2" t="s">
        <v>232</v>
      </c>
      <c r="C56" s="2" t="s">
        <v>16</v>
      </c>
      <c r="D56" s="2">
        <v>7</v>
      </c>
      <c r="E56" s="2">
        <v>7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hidden="1">
      <c r="A57" s="2" t="s">
        <v>5</v>
      </c>
      <c r="B57" s="2" t="s">
        <v>236</v>
      </c>
      <c r="C57" s="2" t="s">
        <v>40</v>
      </c>
      <c r="D57" s="2">
        <v>7</v>
      </c>
      <c r="E57" s="2">
        <v>7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hidden="1">
      <c r="A58" s="2" t="s">
        <v>5</v>
      </c>
      <c r="B58" s="2" t="s">
        <v>238</v>
      </c>
      <c r="C58" s="2" t="s">
        <v>112</v>
      </c>
      <c r="D58" s="2">
        <v>7</v>
      </c>
      <c r="E58" s="2">
        <v>7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hidden="1">
      <c r="A59" s="2" t="s">
        <v>5</v>
      </c>
      <c r="B59" s="2" t="s">
        <v>242</v>
      </c>
      <c r="C59" s="2" t="s">
        <v>9</v>
      </c>
      <c r="D59" s="2">
        <v>7</v>
      </c>
      <c r="E59" s="2">
        <v>7</v>
      </c>
      <c r="F59" s="2"/>
      <c r="G59" s="2"/>
      <c r="H59" s="2" t="s">
        <v>582</v>
      </c>
      <c r="I59" s="2">
        <v>5</v>
      </c>
      <c r="J59" s="2">
        <v>6</v>
      </c>
      <c r="K59" s="2" t="s">
        <v>582</v>
      </c>
      <c r="L59" s="2">
        <v>4</v>
      </c>
      <c r="M59" s="2">
        <v>2</v>
      </c>
      <c r="N59" s="2">
        <v>1</v>
      </c>
      <c r="O59" s="2" t="s">
        <v>582</v>
      </c>
      <c r="P59" s="2">
        <v>31</v>
      </c>
      <c r="Q59" s="2">
        <v>19</v>
      </c>
      <c r="R59" s="2">
        <v>5.9</v>
      </c>
      <c r="S59" s="2">
        <v>6.4</v>
      </c>
    </row>
    <row r="60" spans="1:19" hidden="1">
      <c r="A60" s="2" t="s">
        <v>5</v>
      </c>
      <c r="B60" s="2" t="s">
        <v>244</v>
      </c>
      <c r="C60" s="2" t="s">
        <v>7</v>
      </c>
      <c r="D60" s="2">
        <v>7</v>
      </c>
      <c r="E60" s="2">
        <v>7</v>
      </c>
      <c r="F60" s="2"/>
      <c r="G60" s="2"/>
      <c r="H60" s="2" t="s">
        <v>582</v>
      </c>
      <c r="I60" s="2">
        <v>8</v>
      </c>
      <c r="J60" s="2">
        <v>1</v>
      </c>
      <c r="K60" s="2" t="s">
        <v>582</v>
      </c>
      <c r="L60" s="2" t="s">
        <v>582</v>
      </c>
      <c r="M60" s="2">
        <v>1</v>
      </c>
      <c r="N60" s="2">
        <v>1</v>
      </c>
      <c r="O60" s="2" t="s">
        <v>582</v>
      </c>
      <c r="P60" s="2">
        <v>33</v>
      </c>
      <c r="Q60" s="2">
        <v>25</v>
      </c>
      <c r="R60" s="2">
        <v>6</v>
      </c>
      <c r="S60" s="2">
        <v>6.6</v>
      </c>
    </row>
    <row r="61" spans="1:19" hidden="1">
      <c r="A61" s="2" t="s">
        <v>5</v>
      </c>
      <c r="B61" s="2" t="s">
        <v>245</v>
      </c>
      <c r="C61" s="2" t="s">
        <v>7</v>
      </c>
      <c r="D61" s="2">
        <v>7</v>
      </c>
      <c r="E61" s="2">
        <v>7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hidden="1">
      <c r="A62" s="2" t="s">
        <v>5</v>
      </c>
      <c r="B62" s="2" t="s">
        <v>248</v>
      </c>
      <c r="C62" s="2" t="s">
        <v>23</v>
      </c>
      <c r="D62" s="2">
        <v>7</v>
      </c>
      <c r="E62" s="2">
        <v>7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hidden="1">
      <c r="A63" s="2" t="s">
        <v>5</v>
      </c>
      <c r="B63" s="2" t="s">
        <v>262</v>
      </c>
      <c r="C63" s="2" t="s">
        <v>48</v>
      </c>
      <c r="D63" s="2">
        <v>7</v>
      </c>
      <c r="E63" s="2">
        <v>7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hidden="1">
      <c r="A64" s="2" t="s">
        <v>5</v>
      </c>
      <c r="B64" s="2" t="s">
        <v>264</v>
      </c>
      <c r="C64" s="2" t="s">
        <v>72</v>
      </c>
      <c r="D64" s="2">
        <v>7</v>
      </c>
      <c r="E64" s="2">
        <v>7</v>
      </c>
      <c r="F64" s="2">
        <v>60</v>
      </c>
      <c r="G64" s="2"/>
      <c r="H64" s="2" t="s">
        <v>582</v>
      </c>
      <c r="I64" s="2" t="s">
        <v>582</v>
      </c>
      <c r="J64" s="2" t="s">
        <v>582</v>
      </c>
      <c r="K64" s="2" t="s">
        <v>582</v>
      </c>
      <c r="L64" s="2" t="s">
        <v>582</v>
      </c>
      <c r="M64" s="2" t="s">
        <v>582</v>
      </c>
      <c r="N64" s="2" t="s">
        <v>582</v>
      </c>
      <c r="O64" s="2" t="s">
        <v>582</v>
      </c>
      <c r="P64" s="2">
        <v>11</v>
      </c>
      <c r="Q64" s="2">
        <v>5</v>
      </c>
      <c r="R64" s="2">
        <v>5.7</v>
      </c>
      <c r="S64" s="2">
        <v>5.7</v>
      </c>
    </row>
    <row r="65" spans="1:19" hidden="1">
      <c r="A65" s="2" t="s">
        <v>5</v>
      </c>
      <c r="B65" s="2" t="s">
        <v>291</v>
      </c>
      <c r="C65" s="2" t="s">
        <v>72</v>
      </c>
      <c r="D65" s="2">
        <v>6</v>
      </c>
      <c r="E65" s="2">
        <v>6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hidden="1">
      <c r="A66" s="2" t="s">
        <v>5</v>
      </c>
      <c r="B66" s="2" t="s">
        <v>292</v>
      </c>
      <c r="C66" s="2" t="s">
        <v>190</v>
      </c>
      <c r="D66" s="2">
        <v>6</v>
      </c>
      <c r="E66" s="2">
        <v>6</v>
      </c>
      <c r="F66" s="2">
        <v>30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hidden="1">
      <c r="A67" s="2" t="s">
        <v>5</v>
      </c>
      <c r="B67" s="2" t="s">
        <v>297</v>
      </c>
      <c r="C67" s="2" t="s">
        <v>59</v>
      </c>
      <c r="D67" s="2">
        <v>5</v>
      </c>
      <c r="E67" s="2">
        <v>5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hidden="1">
      <c r="A68" s="2" t="s">
        <v>5</v>
      </c>
      <c r="B68" s="2" t="s">
        <v>299</v>
      </c>
      <c r="C68" s="2" t="s">
        <v>40</v>
      </c>
      <c r="D68" s="2">
        <v>5</v>
      </c>
      <c r="E68" s="2">
        <v>5</v>
      </c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hidden="1">
      <c r="A69" s="2" t="s">
        <v>5</v>
      </c>
      <c r="B69" s="2" t="s">
        <v>304</v>
      </c>
      <c r="C69" s="2" t="s">
        <v>112</v>
      </c>
      <c r="D69" s="2">
        <v>5</v>
      </c>
      <c r="E69" s="2">
        <v>5</v>
      </c>
      <c r="F69" s="2">
        <v>20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hidden="1">
      <c r="A70" s="2" t="s">
        <v>5</v>
      </c>
      <c r="B70" s="2" t="s">
        <v>311</v>
      </c>
      <c r="C70" s="2" t="s">
        <v>7</v>
      </c>
      <c r="D70" s="2">
        <v>5</v>
      </c>
      <c r="E70" s="2">
        <v>5</v>
      </c>
      <c r="F70" s="2"/>
      <c r="G70" s="2"/>
      <c r="H70" s="2" t="s">
        <v>582</v>
      </c>
      <c r="I70" s="2">
        <v>6</v>
      </c>
      <c r="J70" s="2">
        <v>2</v>
      </c>
      <c r="K70" s="2" t="s">
        <v>582</v>
      </c>
      <c r="L70" s="2">
        <v>4</v>
      </c>
      <c r="M70" s="2">
        <v>2</v>
      </c>
      <c r="N70" s="2">
        <v>1</v>
      </c>
      <c r="O70" s="2" t="s">
        <v>582</v>
      </c>
      <c r="P70" s="2">
        <v>37</v>
      </c>
      <c r="Q70" s="2">
        <v>28</v>
      </c>
      <c r="R70" s="2">
        <v>6</v>
      </c>
      <c r="S70" s="2">
        <v>6.5</v>
      </c>
    </row>
    <row r="71" spans="1:19" hidden="1">
      <c r="A71" s="2" t="s">
        <v>5</v>
      </c>
      <c r="B71" s="2" t="s">
        <v>316</v>
      </c>
      <c r="C71" s="2" t="s">
        <v>45</v>
      </c>
      <c r="D71" s="2">
        <v>5</v>
      </c>
      <c r="E71" s="2">
        <v>5</v>
      </c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hidden="1">
      <c r="A72" s="2" t="s">
        <v>5</v>
      </c>
      <c r="B72" s="2" t="s">
        <v>317</v>
      </c>
      <c r="C72" s="2" t="s">
        <v>45</v>
      </c>
      <c r="D72" s="2">
        <v>5</v>
      </c>
      <c r="E72" s="2">
        <v>5</v>
      </c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hidden="1">
      <c r="A73" s="2" t="s">
        <v>5</v>
      </c>
      <c r="B73" s="2" t="s">
        <v>322</v>
      </c>
      <c r="C73" s="2" t="s">
        <v>579</v>
      </c>
      <c r="D73" s="2">
        <v>5</v>
      </c>
      <c r="E73" s="2">
        <v>5</v>
      </c>
      <c r="F73" s="2">
        <v>20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hidden="1">
      <c r="A74" s="2" t="s">
        <v>5</v>
      </c>
      <c r="B74" s="2" t="s">
        <v>327</v>
      </c>
      <c r="C74" s="2" t="s">
        <v>38</v>
      </c>
      <c r="D74" s="2">
        <v>5</v>
      </c>
      <c r="E74" s="2">
        <v>5</v>
      </c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hidden="1">
      <c r="A75" s="2" t="s">
        <v>5</v>
      </c>
      <c r="B75" s="2" t="s">
        <v>328</v>
      </c>
      <c r="C75" s="2" t="s">
        <v>38</v>
      </c>
      <c r="D75" s="2">
        <v>5</v>
      </c>
      <c r="E75" s="2">
        <v>5</v>
      </c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hidden="1">
      <c r="A76" s="2" t="s">
        <v>5</v>
      </c>
      <c r="B76" s="2" t="s">
        <v>355</v>
      </c>
      <c r="C76" s="2" t="s">
        <v>7</v>
      </c>
      <c r="D76" s="2">
        <v>4</v>
      </c>
      <c r="E76" s="2">
        <v>4</v>
      </c>
      <c r="F76" s="2"/>
      <c r="G76" s="2"/>
      <c r="H76" s="2" t="s">
        <v>582</v>
      </c>
      <c r="I76" s="2">
        <v>1</v>
      </c>
      <c r="J76" s="2">
        <v>1</v>
      </c>
      <c r="K76" s="2" t="s">
        <v>582</v>
      </c>
      <c r="L76" s="2">
        <v>2</v>
      </c>
      <c r="M76" s="2">
        <v>1</v>
      </c>
      <c r="N76" s="2" t="s">
        <v>582</v>
      </c>
      <c r="O76" s="2" t="s">
        <v>582</v>
      </c>
      <c r="P76" s="2">
        <v>19</v>
      </c>
      <c r="Q76" s="2">
        <v>5</v>
      </c>
      <c r="R76" s="2">
        <v>5.7</v>
      </c>
      <c r="S76" s="2">
        <v>5.9</v>
      </c>
    </row>
    <row r="77" spans="1:19" hidden="1">
      <c r="A77" s="2" t="s">
        <v>5</v>
      </c>
      <c r="B77" s="2" t="s">
        <v>364</v>
      </c>
      <c r="C77" s="2" t="s">
        <v>19</v>
      </c>
      <c r="D77" s="2">
        <v>4</v>
      </c>
      <c r="E77" s="2">
        <v>4</v>
      </c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hidden="1">
      <c r="A78" s="2" t="s">
        <v>5</v>
      </c>
      <c r="B78" s="2" t="s">
        <v>367</v>
      </c>
      <c r="C78" s="2" t="s">
        <v>104</v>
      </c>
      <c r="D78" s="2">
        <v>4</v>
      </c>
      <c r="E78" s="2">
        <v>4</v>
      </c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hidden="1">
      <c r="A79" s="2" t="s">
        <v>5</v>
      </c>
      <c r="B79" s="2" t="s">
        <v>370</v>
      </c>
      <c r="C79" s="2" t="s">
        <v>579</v>
      </c>
      <c r="D79" s="2">
        <v>4</v>
      </c>
      <c r="E79" s="2">
        <v>4</v>
      </c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hidden="1">
      <c r="A80" s="2" t="s">
        <v>5</v>
      </c>
      <c r="B80" s="2" t="s">
        <v>378</v>
      </c>
      <c r="C80" s="2" t="s">
        <v>72</v>
      </c>
      <c r="D80" s="2">
        <v>4</v>
      </c>
      <c r="E80" s="2">
        <v>4</v>
      </c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hidden="1">
      <c r="A81" s="2" t="s">
        <v>5</v>
      </c>
      <c r="B81" s="2" t="s">
        <v>390</v>
      </c>
      <c r="C81" s="2" t="s">
        <v>14</v>
      </c>
      <c r="D81" s="2">
        <v>3</v>
      </c>
      <c r="E81" s="2">
        <v>3</v>
      </c>
      <c r="F81" s="2"/>
      <c r="G81" s="2"/>
      <c r="H81" s="2" t="s">
        <v>582</v>
      </c>
      <c r="I81" s="2">
        <v>2</v>
      </c>
      <c r="J81" s="2">
        <v>3</v>
      </c>
      <c r="K81" s="2" t="s">
        <v>582</v>
      </c>
      <c r="L81" s="2" t="s">
        <v>582</v>
      </c>
      <c r="M81" s="2">
        <v>1</v>
      </c>
      <c r="N81" s="2" t="s">
        <v>582</v>
      </c>
      <c r="O81" s="2" t="s">
        <v>582</v>
      </c>
      <c r="P81" s="2">
        <v>16</v>
      </c>
      <c r="Q81" s="2">
        <v>8</v>
      </c>
      <c r="R81" s="2">
        <v>5.6</v>
      </c>
      <c r="S81" s="2">
        <v>5.9</v>
      </c>
    </row>
    <row r="82" spans="1:19" hidden="1">
      <c r="A82" s="2" t="s">
        <v>5</v>
      </c>
      <c r="B82" s="2" t="s">
        <v>410</v>
      </c>
      <c r="C82" s="2" t="s">
        <v>23</v>
      </c>
      <c r="D82" s="2">
        <v>3</v>
      </c>
      <c r="E82" s="2">
        <v>3</v>
      </c>
      <c r="F82" s="2"/>
      <c r="G82" s="2"/>
      <c r="H82" s="2" t="s">
        <v>582</v>
      </c>
      <c r="I82" s="2">
        <v>3</v>
      </c>
      <c r="J82" s="2">
        <v>2</v>
      </c>
      <c r="K82" s="2">
        <v>1</v>
      </c>
      <c r="L82" s="2" t="s">
        <v>582</v>
      </c>
      <c r="M82" s="2" t="s">
        <v>582</v>
      </c>
      <c r="N82" s="2" t="s">
        <v>582</v>
      </c>
      <c r="O82" s="2" t="s">
        <v>582</v>
      </c>
      <c r="P82" s="2">
        <v>25</v>
      </c>
      <c r="Q82" s="2">
        <v>19</v>
      </c>
      <c r="R82" s="2">
        <v>5.6</v>
      </c>
      <c r="S82" s="2">
        <v>5.9</v>
      </c>
    </row>
    <row r="83" spans="1:19" hidden="1">
      <c r="A83" s="2" t="s">
        <v>5</v>
      </c>
      <c r="B83" s="2" t="s">
        <v>436</v>
      </c>
      <c r="C83" s="2" t="s">
        <v>72</v>
      </c>
      <c r="D83" s="2">
        <v>3</v>
      </c>
      <c r="E83" s="2">
        <v>3</v>
      </c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hidden="1">
      <c r="A84" s="2" t="s">
        <v>5</v>
      </c>
      <c r="B84" s="2" t="s">
        <v>439</v>
      </c>
      <c r="C84" s="2" t="s">
        <v>190</v>
      </c>
      <c r="D84" s="2">
        <v>3</v>
      </c>
      <c r="E84" s="2">
        <v>3</v>
      </c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>
      <c r="A85" s="2" t="s">
        <v>5</v>
      </c>
      <c r="B85" s="2" t="s">
        <v>450</v>
      </c>
      <c r="C85" s="2" t="s">
        <v>114</v>
      </c>
      <c r="D85" s="2">
        <v>2</v>
      </c>
      <c r="E85" s="2">
        <v>2</v>
      </c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hidden="1">
      <c r="A86" s="2" t="s">
        <v>5</v>
      </c>
      <c r="B86" s="2" t="s">
        <v>458</v>
      </c>
      <c r="C86" s="2" t="s">
        <v>579</v>
      </c>
      <c r="D86" s="2">
        <v>2</v>
      </c>
      <c r="E86" s="2">
        <v>2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hidden="1">
      <c r="A87" s="2" t="s">
        <v>5</v>
      </c>
      <c r="B87" s="2" t="s">
        <v>462</v>
      </c>
      <c r="C87" s="2" t="s">
        <v>38</v>
      </c>
      <c r="D87" s="2">
        <v>2</v>
      </c>
      <c r="E87" s="2">
        <v>2</v>
      </c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hidden="1">
      <c r="A88" s="2" t="s">
        <v>5</v>
      </c>
      <c r="B88" s="2" t="s">
        <v>477</v>
      </c>
      <c r="C88" s="2" t="s">
        <v>59</v>
      </c>
      <c r="D88" s="2">
        <v>1</v>
      </c>
      <c r="E88" s="2">
        <v>1</v>
      </c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hidden="1">
      <c r="A89" s="2" t="s">
        <v>5</v>
      </c>
      <c r="B89" s="2" t="s">
        <v>481</v>
      </c>
      <c r="C89" s="2" t="s">
        <v>40</v>
      </c>
      <c r="D89" s="2">
        <v>1</v>
      </c>
      <c r="E89" s="2">
        <v>1</v>
      </c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hidden="1">
      <c r="A90" s="2" t="s">
        <v>5</v>
      </c>
      <c r="B90" s="2" t="s">
        <v>482</v>
      </c>
      <c r="C90" s="2" t="s">
        <v>40</v>
      </c>
      <c r="D90" s="2">
        <v>1</v>
      </c>
      <c r="E90" s="2">
        <v>1</v>
      </c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hidden="1">
      <c r="A91" s="2" t="s">
        <v>5</v>
      </c>
      <c r="B91" s="2" t="s">
        <v>486</v>
      </c>
      <c r="C91" s="2" t="s">
        <v>112</v>
      </c>
      <c r="D91" s="2">
        <v>1</v>
      </c>
      <c r="E91" s="2">
        <v>1</v>
      </c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hidden="1">
      <c r="A92" s="2" t="s">
        <v>5</v>
      </c>
      <c r="B92" s="2" t="s">
        <v>487</v>
      </c>
      <c r="C92" s="2" t="s">
        <v>112</v>
      </c>
      <c r="D92" s="2">
        <v>1</v>
      </c>
      <c r="E92" s="2">
        <v>1</v>
      </c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>
      <c r="A93" s="2" t="s">
        <v>5</v>
      </c>
      <c r="B93" s="2" t="s">
        <v>493</v>
      </c>
      <c r="C93" s="2" t="s">
        <v>114</v>
      </c>
      <c r="D93" s="2">
        <v>1</v>
      </c>
      <c r="E93" s="2">
        <v>1</v>
      </c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hidden="1">
      <c r="A94" s="2" t="s">
        <v>5</v>
      </c>
      <c r="B94" s="2" t="s">
        <v>498</v>
      </c>
      <c r="C94" s="2" t="s">
        <v>21</v>
      </c>
      <c r="D94" s="2">
        <v>1</v>
      </c>
      <c r="E94" s="2">
        <v>1</v>
      </c>
      <c r="F94" s="2"/>
      <c r="G94" s="2"/>
      <c r="H94" s="2" t="s">
        <v>582</v>
      </c>
      <c r="I94" s="2" t="s">
        <v>582</v>
      </c>
      <c r="J94" s="2" t="s">
        <v>582</v>
      </c>
      <c r="K94" s="2" t="s">
        <v>582</v>
      </c>
      <c r="L94" s="2" t="s">
        <v>582</v>
      </c>
      <c r="M94" s="2" t="s">
        <v>582</v>
      </c>
      <c r="N94" s="2" t="s">
        <v>582</v>
      </c>
      <c r="O94" s="2" t="s">
        <v>582</v>
      </c>
      <c r="P94" s="2" t="s">
        <v>582</v>
      </c>
      <c r="Q94" s="2" t="s">
        <v>582</v>
      </c>
      <c r="R94" s="2" t="s">
        <v>582</v>
      </c>
      <c r="S94" s="2" t="s">
        <v>582</v>
      </c>
    </row>
    <row r="95" spans="1:19" hidden="1">
      <c r="A95" s="2" t="s">
        <v>5</v>
      </c>
      <c r="B95" s="2" t="s">
        <v>515</v>
      </c>
      <c r="C95" s="2" t="s">
        <v>104</v>
      </c>
      <c r="D95" s="2">
        <v>1</v>
      </c>
      <c r="E95" s="2">
        <v>1</v>
      </c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hidden="1">
      <c r="A96" s="2" t="s">
        <v>5</v>
      </c>
      <c r="B96" s="2" t="s">
        <v>522</v>
      </c>
      <c r="C96" s="2" t="s">
        <v>579</v>
      </c>
      <c r="D96" s="2">
        <v>1</v>
      </c>
      <c r="E96" s="2">
        <v>1</v>
      </c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hidden="1">
      <c r="A97" s="2" t="s">
        <v>5</v>
      </c>
      <c r="B97" s="2" t="s">
        <v>523</v>
      </c>
      <c r="C97" s="2" t="s">
        <v>579</v>
      </c>
      <c r="D97" s="2">
        <v>1</v>
      </c>
      <c r="E97" s="2">
        <v>1</v>
      </c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hidden="1">
      <c r="A98" s="2" t="s">
        <v>5</v>
      </c>
      <c r="B98" s="2" t="s">
        <v>531</v>
      </c>
      <c r="C98" s="2" t="s">
        <v>38</v>
      </c>
      <c r="D98" s="2">
        <v>1</v>
      </c>
      <c r="E98" s="2">
        <v>1</v>
      </c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hidden="1">
      <c r="A99" s="2" t="s">
        <v>5</v>
      </c>
      <c r="B99" s="2" t="s">
        <v>532</v>
      </c>
      <c r="C99" s="2" t="s">
        <v>38</v>
      </c>
      <c r="D99" s="2">
        <v>1</v>
      </c>
      <c r="E99" s="2">
        <v>1</v>
      </c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hidden="1">
      <c r="A100" s="2" t="s">
        <v>5</v>
      </c>
      <c r="B100" s="2" t="s">
        <v>537</v>
      </c>
      <c r="C100" s="2" t="s">
        <v>48</v>
      </c>
      <c r="D100" s="2">
        <v>1</v>
      </c>
      <c r="E100" s="2">
        <v>1</v>
      </c>
      <c r="F100" s="2"/>
      <c r="G100" s="2"/>
      <c r="H100" s="2" t="s">
        <v>582</v>
      </c>
      <c r="I100" s="2">
        <v>1</v>
      </c>
      <c r="J100" s="2">
        <v>1</v>
      </c>
      <c r="K100" s="2" t="s">
        <v>582</v>
      </c>
      <c r="L100" s="2" t="s">
        <v>582</v>
      </c>
      <c r="M100" s="2" t="s">
        <v>582</v>
      </c>
      <c r="N100" s="2" t="s">
        <v>582</v>
      </c>
      <c r="O100" s="2" t="s">
        <v>582</v>
      </c>
      <c r="P100" s="2">
        <v>11</v>
      </c>
      <c r="Q100" s="2" t="s">
        <v>582</v>
      </c>
      <c r="R100" s="2">
        <v>6</v>
      </c>
      <c r="S100" s="2">
        <v>6.3</v>
      </c>
    </row>
    <row r="101" spans="1:19" hidden="1">
      <c r="A101" s="2" t="s">
        <v>5</v>
      </c>
      <c r="B101" s="2" t="s">
        <v>541</v>
      </c>
      <c r="C101" s="2" t="s">
        <v>72</v>
      </c>
      <c r="D101" s="2">
        <v>1</v>
      </c>
      <c r="E101" s="2">
        <v>1</v>
      </c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hidden="1">
      <c r="A102" s="2" t="s">
        <v>5</v>
      </c>
      <c r="B102" s="2" t="s">
        <v>544</v>
      </c>
      <c r="C102" s="2" t="s">
        <v>190</v>
      </c>
      <c r="D102" s="2">
        <v>1</v>
      </c>
      <c r="E102" s="2">
        <v>1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hidden="1">
      <c r="A103" s="2" t="s">
        <v>12</v>
      </c>
      <c r="B103" s="2" t="s">
        <v>13</v>
      </c>
      <c r="C103" s="2" t="s">
        <v>14</v>
      </c>
      <c r="D103" s="2">
        <v>30</v>
      </c>
      <c r="E103" s="2">
        <v>30</v>
      </c>
      <c r="F103" s="2">
        <v>30</v>
      </c>
      <c r="G103" s="2"/>
      <c r="H103" s="2" t="s">
        <v>582</v>
      </c>
      <c r="I103" s="2">
        <v>15</v>
      </c>
      <c r="J103" s="2">
        <v>2</v>
      </c>
      <c r="K103" s="2" t="s">
        <v>582</v>
      </c>
      <c r="L103" s="2">
        <v>4</v>
      </c>
      <c r="M103" s="2">
        <v>3</v>
      </c>
      <c r="N103" s="2" t="s">
        <v>582</v>
      </c>
      <c r="O103" s="2" t="s">
        <v>582</v>
      </c>
      <c r="P103" s="2">
        <v>29</v>
      </c>
      <c r="Q103" s="2">
        <v>22</v>
      </c>
      <c r="R103" s="2">
        <v>6.4</v>
      </c>
      <c r="S103" s="2">
        <v>8.1</v>
      </c>
    </row>
    <row r="104" spans="1:19" hidden="1">
      <c r="A104" s="2" t="s">
        <v>12</v>
      </c>
      <c r="B104" s="2" t="s">
        <v>18</v>
      </c>
      <c r="C104" s="2" t="s">
        <v>19</v>
      </c>
      <c r="D104" s="2">
        <v>28</v>
      </c>
      <c r="E104" s="2">
        <v>28</v>
      </c>
      <c r="F104" s="2">
        <v>70</v>
      </c>
      <c r="G104" s="2"/>
      <c r="H104" s="2" t="s">
        <v>582</v>
      </c>
      <c r="I104" s="2">
        <v>11</v>
      </c>
      <c r="J104" s="2">
        <v>1</v>
      </c>
      <c r="K104" s="2" t="s">
        <v>582</v>
      </c>
      <c r="L104" s="2">
        <v>9</v>
      </c>
      <c r="M104" s="2">
        <v>3</v>
      </c>
      <c r="N104" s="2">
        <v>1</v>
      </c>
      <c r="O104" s="2" t="s">
        <v>582</v>
      </c>
      <c r="P104" s="2">
        <v>34</v>
      </c>
      <c r="Q104" s="2">
        <v>27</v>
      </c>
      <c r="R104" s="2">
        <v>6.2</v>
      </c>
      <c r="S104" s="2">
        <v>7.3</v>
      </c>
    </row>
    <row r="105" spans="1:19" hidden="1">
      <c r="A105" s="2" t="s">
        <v>12</v>
      </c>
      <c r="B105" s="2" t="s">
        <v>22</v>
      </c>
      <c r="C105" s="2" t="s">
        <v>23</v>
      </c>
      <c r="D105" s="2">
        <v>26</v>
      </c>
      <c r="E105" s="2">
        <v>26</v>
      </c>
      <c r="F105" s="2">
        <v>55</v>
      </c>
      <c r="G105" s="2"/>
      <c r="H105" s="2" t="s">
        <v>582</v>
      </c>
      <c r="I105" s="2">
        <v>8</v>
      </c>
      <c r="J105" s="2">
        <v>10</v>
      </c>
      <c r="K105" s="2" t="s">
        <v>582</v>
      </c>
      <c r="L105" s="2">
        <v>6</v>
      </c>
      <c r="M105" s="2">
        <v>2</v>
      </c>
      <c r="N105" s="2" t="s">
        <v>582</v>
      </c>
      <c r="O105" s="2" t="s">
        <v>582</v>
      </c>
      <c r="P105" s="2">
        <v>34</v>
      </c>
      <c r="Q105" s="2">
        <v>32</v>
      </c>
      <c r="R105" s="2">
        <v>6.2</v>
      </c>
      <c r="S105" s="2">
        <v>6.9</v>
      </c>
    </row>
    <row r="106" spans="1:19" hidden="1">
      <c r="A106" s="2" t="s">
        <v>12</v>
      </c>
      <c r="B106" s="2" t="s">
        <v>24</v>
      </c>
      <c r="C106" s="2" t="s">
        <v>11</v>
      </c>
      <c r="D106" s="2">
        <v>26</v>
      </c>
      <c r="E106" s="2">
        <v>26</v>
      </c>
      <c r="F106" s="2">
        <v>10</v>
      </c>
      <c r="G106" s="2"/>
      <c r="H106" s="2" t="s">
        <v>582</v>
      </c>
      <c r="I106" s="2">
        <v>12</v>
      </c>
      <c r="J106" s="2">
        <v>3</v>
      </c>
      <c r="K106" s="2" t="s">
        <v>582</v>
      </c>
      <c r="L106" s="2">
        <v>4</v>
      </c>
      <c r="M106" s="2" t="s">
        <v>582</v>
      </c>
      <c r="N106" s="2" t="s">
        <v>582</v>
      </c>
      <c r="O106" s="2" t="s">
        <v>582</v>
      </c>
      <c r="P106" s="2">
        <v>34</v>
      </c>
      <c r="Q106" s="2">
        <v>31</v>
      </c>
      <c r="R106" s="2">
        <v>6.5</v>
      </c>
      <c r="S106" s="2">
        <v>7.7</v>
      </c>
    </row>
    <row r="107" spans="1:19" hidden="1">
      <c r="A107" s="2" t="s">
        <v>12</v>
      </c>
      <c r="B107" s="2" t="s">
        <v>28</v>
      </c>
      <c r="C107" s="2" t="s">
        <v>9</v>
      </c>
      <c r="D107" s="2">
        <v>24</v>
      </c>
      <c r="E107" s="2">
        <v>24</v>
      </c>
      <c r="F107" s="2">
        <v>30</v>
      </c>
      <c r="G107" s="2" t="s">
        <v>549</v>
      </c>
      <c r="H107" s="2" t="s">
        <v>582</v>
      </c>
      <c r="I107" s="2">
        <v>6</v>
      </c>
      <c r="J107" s="2">
        <v>2</v>
      </c>
      <c r="K107" s="2" t="s">
        <v>582</v>
      </c>
      <c r="L107" s="2">
        <v>1</v>
      </c>
      <c r="M107" s="2">
        <v>2</v>
      </c>
      <c r="N107" s="2" t="s">
        <v>582</v>
      </c>
      <c r="O107" s="2" t="s">
        <v>582</v>
      </c>
      <c r="P107" s="2">
        <v>22</v>
      </c>
      <c r="Q107" s="2">
        <v>16</v>
      </c>
      <c r="R107" s="2">
        <v>6</v>
      </c>
      <c r="S107" s="2">
        <v>6.8</v>
      </c>
    </row>
    <row r="108" spans="1:19" hidden="1">
      <c r="A108" s="2" t="s">
        <v>12</v>
      </c>
      <c r="B108" s="2" t="s">
        <v>32</v>
      </c>
      <c r="C108" s="2" t="s">
        <v>7</v>
      </c>
      <c r="D108" s="2">
        <v>23</v>
      </c>
      <c r="E108" s="2">
        <v>23</v>
      </c>
      <c r="F108" s="2">
        <v>80</v>
      </c>
      <c r="G108" s="2"/>
      <c r="H108" s="2" t="s">
        <v>582</v>
      </c>
      <c r="I108" s="2">
        <v>5</v>
      </c>
      <c r="J108" s="2">
        <v>5</v>
      </c>
      <c r="K108" s="2" t="s">
        <v>582</v>
      </c>
      <c r="L108" s="2">
        <v>6</v>
      </c>
      <c r="M108" s="2">
        <v>3</v>
      </c>
      <c r="N108" s="2">
        <v>1</v>
      </c>
      <c r="O108" s="2" t="s">
        <v>582</v>
      </c>
      <c r="P108" s="2">
        <v>28</v>
      </c>
      <c r="Q108" s="2">
        <v>22</v>
      </c>
      <c r="R108" s="2">
        <v>6.1</v>
      </c>
      <c r="S108" s="2">
        <v>6.6</v>
      </c>
    </row>
    <row r="109" spans="1:19" hidden="1">
      <c r="A109" s="2" t="s">
        <v>12</v>
      </c>
      <c r="B109" s="2" t="s">
        <v>33</v>
      </c>
      <c r="C109" s="2" t="s">
        <v>11</v>
      </c>
      <c r="D109" s="2">
        <v>23</v>
      </c>
      <c r="E109" s="2">
        <v>23</v>
      </c>
      <c r="F109" s="2">
        <v>25</v>
      </c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hidden="1">
      <c r="A110" s="2" t="s">
        <v>12</v>
      </c>
      <c r="B110" s="2" t="s">
        <v>39</v>
      </c>
      <c r="C110" s="2" t="s">
        <v>40</v>
      </c>
      <c r="D110" s="2">
        <v>20</v>
      </c>
      <c r="E110" s="2">
        <v>20</v>
      </c>
      <c r="F110" s="2">
        <v>60</v>
      </c>
      <c r="G110" s="2" t="s">
        <v>549</v>
      </c>
      <c r="H110" s="2" t="s">
        <v>582</v>
      </c>
      <c r="I110" s="2">
        <v>6</v>
      </c>
      <c r="J110" s="2">
        <v>6</v>
      </c>
      <c r="K110" s="2" t="s">
        <v>582</v>
      </c>
      <c r="L110" s="2">
        <v>8</v>
      </c>
      <c r="M110" s="2" t="s">
        <v>582</v>
      </c>
      <c r="N110" s="2">
        <v>1</v>
      </c>
      <c r="O110" s="2" t="s">
        <v>582</v>
      </c>
      <c r="P110" s="2">
        <v>34</v>
      </c>
      <c r="Q110" s="2">
        <v>28</v>
      </c>
      <c r="R110" s="2">
        <v>6.4</v>
      </c>
      <c r="S110" s="2">
        <v>7</v>
      </c>
    </row>
    <row r="111" spans="1:19" hidden="1">
      <c r="A111" s="2" t="s">
        <v>12</v>
      </c>
      <c r="B111" s="2" t="s">
        <v>50</v>
      </c>
      <c r="C111" s="2" t="s">
        <v>14</v>
      </c>
      <c r="D111" s="2">
        <v>19</v>
      </c>
      <c r="E111" s="2">
        <v>19</v>
      </c>
      <c r="F111" s="2"/>
      <c r="G111" s="2"/>
      <c r="H111" s="2" t="s">
        <v>582</v>
      </c>
      <c r="I111" s="2">
        <v>8</v>
      </c>
      <c r="J111" s="2">
        <v>4</v>
      </c>
      <c r="K111" s="2" t="s">
        <v>582</v>
      </c>
      <c r="L111" s="2">
        <v>4</v>
      </c>
      <c r="M111" s="2">
        <v>2</v>
      </c>
      <c r="N111" s="2" t="s">
        <v>582</v>
      </c>
      <c r="O111" s="2" t="s">
        <v>582</v>
      </c>
      <c r="P111" s="2">
        <v>29</v>
      </c>
      <c r="Q111" s="2">
        <v>23</v>
      </c>
      <c r="R111" s="2">
        <v>6.4</v>
      </c>
      <c r="S111" s="2">
        <v>7.3</v>
      </c>
    </row>
    <row r="112" spans="1:19" hidden="1">
      <c r="A112" s="2" t="s">
        <v>12</v>
      </c>
      <c r="B112" s="2" t="s">
        <v>57</v>
      </c>
      <c r="C112" s="2" t="s">
        <v>21</v>
      </c>
      <c r="D112" s="2">
        <v>18</v>
      </c>
      <c r="E112" s="2">
        <v>18</v>
      </c>
      <c r="F112" s="2"/>
      <c r="G112" s="2"/>
      <c r="H112" s="2" t="s">
        <v>582</v>
      </c>
      <c r="I112" s="2">
        <v>3</v>
      </c>
      <c r="J112" s="2">
        <v>3</v>
      </c>
      <c r="K112" s="2">
        <v>1</v>
      </c>
      <c r="L112" s="2">
        <v>3</v>
      </c>
      <c r="M112" s="2" t="s">
        <v>582</v>
      </c>
      <c r="N112" s="2" t="s">
        <v>582</v>
      </c>
      <c r="O112" s="2" t="s">
        <v>582</v>
      </c>
      <c r="P112" s="2">
        <v>26</v>
      </c>
      <c r="Q112" s="2">
        <v>11</v>
      </c>
      <c r="R112" s="2">
        <v>6.2</v>
      </c>
      <c r="S112" s="2">
        <v>6.5</v>
      </c>
    </row>
    <row r="113" spans="1:19" hidden="1">
      <c r="A113" s="2" t="s">
        <v>12</v>
      </c>
      <c r="B113" s="2" t="s">
        <v>61</v>
      </c>
      <c r="C113" s="2" t="s">
        <v>14</v>
      </c>
      <c r="D113" s="2">
        <v>16</v>
      </c>
      <c r="E113" s="2">
        <v>16</v>
      </c>
      <c r="F113" s="2"/>
      <c r="G113" s="2"/>
      <c r="H113" s="2" t="s">
        <v>582</v>
      </c>
      <c r="I113" s="2">
        <v>6</v>
      </c>
      <c r="J113" s="2">
        <v>1</v>
      </c>
      <c r="K113" s="2" t="s">
        <v>582</v>
      </c>
      <c r="L113" s="2">
        <v>1</v>
      </c>
      <c r="M113" s="2" t="s">
        <v>582</v>
      </c>
      <c r="N113" s="2" t="s">
        <v>582</v>
      </c>
      <c r="O113" s="2" t="s">
        <v>582</v>
      </c>
      <c r="P113" s="2">
        <v>28</v>
      </c>
      <c r="Q113" s="2">
        <v>24</v>
      </c>
      <c r="R113" s="2">
        <v>6.4</v>
      </c>
      <c r="S113" s="2">
        <v>7.1</v>
      </c>
    </row>
    <row r="114" spans="1:19" hidden="1">
      <c r="A114" s="2" t="s">
        <v>12</v>
      </c>
      <c r="B114" s="2" t="s">
        <v>67</v>
      </c>
      <c r="C114" s="2" t="s">
        <v>21</v>
      </c>
      <c r="D114" s="2">
        <v>16</v>
      </c>
      <c r="E114" s="2">
        <v>16</v>
      </c>
      <c r="F114" s="2"/>
      <c r="G114" s="2"/>
      <c r="H114" s="2" t="s">
        <v>582</v>
      </c>
      <c r="I114" s="2">
        <v>4</v>
      </c>
      <c r="J114" s="2">
        <v>5</v>
      </c>
      <c r="K114" s="2" t="s">
        <v>582</v>
      </c>
      <c r="L114" s="2">
        <v>5</v>
      </c>
      <c r="M114" s="2" t="s">
        <v>582</v>
      </c>
      <c r="N114" s="2" t="s">
        <v>582</v>
      </c>
      <c r="O114" s="2" t="s">
        <v>582</v>
      </c>
      <c r="P114" s="2">
        <v>34</v>
      </c>
      <c r="Q114" s="2">
        <v>25</v>
      </c>
      <c r="R114" s="2">
        <v>6.2</v>
      </c>
      <c r="S114" s="2">
        <v>6.7</v>
      </c>
    </row>
    <row r="115" spans="1:19" hidden="1">
      <c r="A115" s="2" t="s">
        <v>12</v>
      </c>
      <c r="B115" s="2" t="s">
        <v>73</v>
      </c>
      <c r="C115" s="2" t="s">
        <v>16</v>
      </c>
      <c r="D115" s="2">
        <v>15</v>
      </c>
      <c r="E115" s="2">
        <v>15</v>
      </c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hidden="1">
      <c r="A116" s="2" t="s">
        <v>12</v>
      </c>
      <c r="B116" s="2" t="s">
        <v>76</v>
      </c>
      <c r="C116" s="2" t="s">
        <v>11</v>
      </c>
      <c r="D116" s="2">
        <v>15</v>
      </c>
      <c r="E116" s="2">
        <v>15</v>
      </c>
      <c r="F116" s="2"/>
      <c r="G116" s="2"/>
      <c r="H116" s="2" t="s">
        <v>582</v>
      </c>
      <c r="I116" s="2">
        <v>6</v>
      </c>
      <c r="J116" s="2">
        <v>5</v>
      </c>
      <c r="K116" s="2" t="s">
        <v>582</v>
      </c>
      <c r="L116" s="2">
        <v>4</v>
      </c>
      <c r="M116" s="2" t="s">
        <v>582</v>
      </c>
      <c r="N116" s="2" t="s">
        <v>582</v>
      </c>
      <c r="O116" s="2" t="s">
        <v>582</v>
      </c>
      <c r="P116" s="2">
        <v>35</v>
      </c>
      <c r="Q116" s="2">
        <v>30</v>
      </c>
      <c r="R116" s="2">
        <v>6.4</v>
      </c>
      <c r="S116" s="2">
        <v>7</v>
      </c>
    </row>
    <row r="117" spans="1:19" hidden="1">
      <c r="A117" s="2" t="s">
        <v>12</v>
      </c>
      <c r="B117" s="2" t="s">
        <v>77</v>
      </c>
      <c r="C117" s="2" t="s">
        <v>11</v>
      </c>
      <c r="D117" s="2">
        <v>15</v>
      </c>
      <c r="E117" s="2">
        <v>15</v>
      </c>
      <c r="F117" s="2"/>
      <c r="G117" s="2"/>
      <c r="H117" s="2" t="s">
        <v>582</v>
      </c>
      <c r="I117" s="2">
        <v>3</v>
      </c>
      <c r="J117" s="2">
        <v>3</v>
      </c>
      <c r="K117" s="2" t="s">
        <v>582</v>
      </c>
      <c r="L117" s="2">
        <v>4</v>
      </c>
      <c r="M117" s="2" t="s">
        <v>582</v>
      </c>
      <c r="N117" s="2" t="s">
        <v>582</v>
      </c>
      <c r="O117" s="2" t="s">
        <v>582</v>
      </c>
      <c r="P117" s="2">
        <v>37</v>
      </c>
      <c r="Q117" s="2">
        <v>32</v>
      </c>
      <c r="R117" s="2">
        <v>6.2</v>
      </c>
      <c r="S117" s="2">
        <v>6.5</v>
      </c>
    </row>
    <row r="118" spans="1:19" hidden="1">
      <c r="A118" s="2" t="s">
        <v>12</v>
      </c>
      <c r="B118" s="2" t="s">
        <v>82</v>
      </c>
      <c r="C118" s="2" t="s">
        <v>48</v>
      </c>
      <c r="D118" s="2">
        <v>15</v>
      </c>
      <c r="E118" s="2">
        <v>15</v>
      </c>
      <c r="F118" s="2">
        <v>30</v>
      </c>
      <c r="G118" s="2"/>
      <c r="H118" s="2" t="s">
        <v>582</v>
      </c>
      <c r="I118" s="2">
        <v>5</v>
      </c>
      <c r="J118" s="2" t="s">
        <v>582</v>
      </c>
      <c r="K118" s="2" t="s">
        <v>582</v>
      </c>
      <c r="L118" s="2">
        <v>4</v>
      </c>
      <c r="M118" s="2">
        <v>1</v>
      </c>
      <c r="N118" s="2" t="s">
        <v>582</v>
      </c>
      <c r="O118" s="2" t="s">
        <v>582</v>
      </c>
      <c r="P118" s="2">
        <v>30</v>
      </c>
      <c r="Q118" s="2">
        <v>21</v>
      </c>
      <c r="R118" s="2">
        <v>6</v>
      </c>
      <c r="S118" s="2">
        <v>6.6</v>
      </c>
    </row>
    <row r="119" spans="1:19" hidden="1">
      <c r="A119" s="2" t="s">
        <v>12</v>
      </c>
      <c r="B119" s="2" t="s">
        <v>84</v>
      </c>
      <c r="C119" s="2" t="s">
        <v>40</v>
      </c>
      <c r="D119" s="2">
        <v>14</v>
      </c>
      <c r="E119" s="2">
        <v>14</v>
      </c>
      <c r="F119" s="2">
        <v>30</v>
      </c>
      <c r="G119" s="2"/>
      <c r="H119" s="2" t="s">
        <v>582</v>
      </c>
      <c r="I119" s="2">
        <v>6</v>
      </c>
      <c r="J119" s="2">
        <v>5</v>
      </c>
      <c r="K119" s="2" t="s">
        <v>582</v>
      </c>
      <c r="L119" s="2">
        <v>4</v>
      </c>
      <c r="M119" s="2" t="s">
        <v>582</v>
      </c>
      <c r="N119" s="2" t="s">
        <v>582</v>
      </c>
      <c r="O119" s="2" t="s">
        <v>582</v>
      </c>
      <c r="P119" s="2">
        <v>37</v>
      </c>
      <c r="Q119" s="2">
        <v>30</v>
      </c>
      <c r="R119" s="2">
        <v>6.2</v>
      </c>
      <c r="S119" s="2">
        <v>6.7</v>
      </c>
    </row>
    <row r="120" spans="1:19" hidden="1">
      <c r="A120" s="2" t="s">
        <v>12</v>
      </c>
      <c r="B120" s="2" t="s">
        <v>87</v>
      </c>
      <c r="C120" s="2" t="s">
        <v>9</v>
      </c>
      <c r="D120" s="2">
        <v>14</v>
      </c>
      <c r="E120" s="2">
        <v>14</v>
      </c>
      <c r="F120" s="2"/>
      <c r="G120" s="2"/>
      <c r="H120" s="2" t="s">
        <v>582</v>
      </c>
      <c r="I120" s="2">
        <v>4</v>
      </c>
      <c r="J120" s="2">
        <v>7</v>
      </c>
      <c r="K120" s="2" t="s">
        <v>582</v>
      </c>
      <c r="L120" s="2">
        <v>3</v>
      </c>
      <c r="M120" s="2">
        <v>1</v>
      </c>
      <c r="N120" s="2" t="s">
        <v>582</v>
      </c>
      <c r="O120" s="2" t="s">
        <v>582</v>
      </c>
      <c r="P120" s="2">
        <v>28</v>
      </c>
      <c r="Q120" s="2">
        <v>20</v>
      </c>
      <c r="R120" s="2">
        <v>6.2</v>
      </c>
      <c r="S120" s="2">
        <v>6.6</v>
      </c>
    </row>
    <row r="121" spans="1:19" hidden="1">
      <c r="A121" s="2" t="s">
        <v>12</v>
      </c>
      <c r="B121" s="2" t="s">
        <v>88</v>
      </c>
      <c r="C121" s="2" t="s">
        <v>7</v>
      </c>
      <c r="D121" s="2">
        <v>14</v>
      </c>
      <c r="E121" s="2">
        <v>14</v>
      </c>
      <c r="F121" s="2"/>
      <c r="G121" s="2"/>
      <c r="H121" s="2" t="s">
        <v>582</v>
      </c>
      <c r="I121" s="2">
        <v>3</v>
      </c>
      <c r="J121" s="2">
        <v>4</v>
      </c>
      <c r="K121" s="2" t="s">
        <v>582</v>
      </c>
      <c r="L121" s="2">
        <v>6</v>
      </c>
      <c r="M121" s="2" t="s">
        <v>582</v>
      </c>
      <c r="N121" s="2" t="s">
        <v>582</v>
      </c>
      <c r="O121" s="2" t="s">
        <v>582</v>
      </c>
      <c r="P121" s="2">
        <v>33</v>
      </c>
      <c r="Q121" s="2">
        <v>27</v>
      </c>
      <c r="R121" s="2">
        <v>6.3</v>
      </c>
      <c r="S121" s="2">
        <v>6.7</v>
      </c>
    </row>
    <row r="122" spans="1:19" hidden="1">
      <c r="A122" s="2" t="s">
        <v>12</v>
      </c>
      <c r="B122" s="2" t="s">
        <v>89</v>
      </c>
      <c r="C122" s="2" t="s">
        <v>7</v>
      </c>
      <c r="D122" s="2">
        <v>14</v>
      </c>
      <c r="E122" s="2">
        <v>14</v>
      </c>
      <c r="F122" s="2"/>
      <c r="G122" s="2"/>
      <c r="H122" s="2" t="s">
        <v>582</v>
      </c>
      <c r="I122" s="2">
        <v>5</v>
      </c>
      <c r="J122" s="2" t="s">
        <v>582</v>
      </c>
      <c r="K122" s="2" t="s">
        <v>582</v>
      </c>
      <c r="L122" s="2">
        <v>1</v>
      </c>
      <c r="M122" s="2" t="s">
        <v>582</v>
      </c>
      <c r="N122" s="2" t="s">
        <v>582</v>
      </c>
      <c r="O122" s="2" t="s">
        <v>582</v>
      </c>
      <c r="P122" s="2">
        <v>25</v>
      </c>
      <c r="Q122" s="2">
        <v>9</v>
      </c>
      <c r="R122" s="2">
        <v>5.9</v>
      </c>
      <c r="S122" s="2">
        <v>6.5</v>
      </c>
    </row>
    <row r="123" spans="1:19" hidden="1">
      <c r="A123" s="2" t="s">
        <v>12</v>
      </c>
      <c r="B123" s="2" t="s">
        <v>90</v>
      </c>
      <c r="C123" s="2" t="s">
        <v>21</v>
      </c>
      <c r="D123" s="2">
        <v>14</v>
      </c>
      <c r="E123" s="2">
        <v>14</v>
      </c>
      <c r="F123" s="2">
        <v>25</v>
      </c>
      <c r="G123" s="2"/>
      <c r="H123" s="2" t="s">
        <v>582</v>
      </c>
      <c r="I123" s="2">
        <v>3</v>
      </c>
      <c r="J123" s="2">
        <v>3</v>
      </c>
      <c r="K123" s="2" t="s">
        <v>582</v>
      </c>
      <c r="L123" s="2">
        <v>3</v>
      </c>
      <c r="M123" s="2" t="s">
        <v>582</v>
      </c>
      <c r="N123" s="2" t="s">
        <v>582</v>
      </c>
      <c r="O123" s="2" t="s">
        <v>582</v>
      </c>
      <c r="P123" s="2">
        <v>28</v>
      </c>
      <c r="Q123" s="2">
        <v>23</v>
      </c>
      <c r="R123" s="2">
        <v>5.8</v>
      </c>
      <c r="S123" s="2">
        <v>6.1</v>
      </c>
    </row>
    <row r="124" spans="1:19" hidden="1">
      <c r="A124" s="2" t="s">
        <v>12</v>
      </c>
      <c r="B124" s="2" t="s">
        <v>91</v>
      </c>
      <c r="C124" s="2" t="s">
        <v>23</v>
      </c>
      <c r="D124" s="2">
        <v>14</v>
      </c>
      <c r="E124" s="2">
        <v>14</v>
      </c>
      <c r="F124" s="2"/>
      <c r="G124" s="2"/>
      <c r="H124" s="2" t="s">
        <v>582</v>
      </c>
      <c r="I124" s="2">
        <v>4</v>
      </c>
      <c r="J124" s="2">
        <v>5</v>
      </c>
      <c r="K124" s="2" t="s">
        <v>582</v>
      </c>
      <c r="L124" s="2">
        <v>2</v>
      </c>
      <c r="M124" s="2" t="s">
        <v>582</v>
      </c>
      <c r="N124" s="2" t="s">
        <v>582</v>
      </c>
      <c r="O124" s="2" t="s">
        <v>582</v>
      </c>
      <c r="P124" s="2">
        <v>37</v>
      </c>
      <c r="Q124" s="2">
        <v>27</v>
      </c>
      <c r="R124" s="2">
        <v>5.9</v>
      </c>
      <c r="S124" s="2">
        <v>6.2</v>
      </c>
    </row>
    <row r="125" spans="1:19" hidden="1">
      <c r="A125" s="2" t="s">
        <v>12</v>
      </c>
      <c r="B125" s="2" t="s">
        <v>94</v>
      </c>
      <c r="C125" s="2" t="s">
        <v>26</v>
      </c>
      <c r="D125" s="2">
        <v>14</v>
      </c>
      <c r="E125" s="2">
        <v>14</v>
      </c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hidden="1">
      <c r="A126" s="2" t="s">
        <v>12</v>
      </c>
      <c r="B126" s="2" t="s">
        <v>101</v>
      </c>
      <c r="C126" s="2" t="s">
        <v>11</v>
      </c>
      <c r="D126" s="2">
        <v>13</v>
      </c>
      <c r="E126" s="2">
        <v>13</v>
      </c>
      <c r="F126" s="2"/>
      <c r="G126" s="2"/>
      <c r="H126" s="2" t="s">
        <v>582</v>
      </c>
      <c r="I126" s="2">
        <v>2</v>
      </c>
      <c r="J126" s="2">
        <v>2</v>
      </c>
      <c r="K126" s="2" t="s">
        <v>582</v>
      </c>
      <c r="L126" s="2">
        <v>4</v>
      </c>
      <c r="M126" s="2" t="s">
        <v>582</v>
      </c>
      <c r="N126" s="2" t="s">
        <v>582</v>
      </c>
      <c r="O126" s="2" t="s">
        <v>582</v>
      </c>
      <c r="P126" s="2">
        <v>28</v>
      </c>
      <c r="Q126" s="2">
        <v>13</v>
      </c>
      <c r="R126" s="2">
        <v>6.2</v>
      </c>
      <c r="S126" s="2">
        <v>6.5</v>
      </c>
    </row>
    <row r="127" spans="1:19" hidden="1">
      <c r="A127" s="2" t="s">
        <v>12</v>
      </c>
      <c r="B127" s="2" t="s">
        <v>103</v>
      </c>
      <c r="C127" s="2" t="s">
        <v>104</v>
      </c>
      <c r="D127" s="2">
        <v>13</v>
      </c>
      <c r="E127" s="2">
        <v>13</v>
      </c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hidden="1">
      <c r="A128" s="2" t="s">
        <v>12</v>
      </c>
      <c r="B128" s="2" t="s">
        <v>106</v>
      </c>
      <c r="C128" s="2" t="s">
        <v>16</v>
      </c>
      <c r="D128" s="2">
        <v>12</v>
      </c>
      <c r="E128" s="2">
        <v>12</v>
      </c>
      <c r="F128" s="2"/>
      <c r="G128" s="2"/>
      <c r="H128" s="2" t="s">
        <v>582</v>
      </c>
      <c r="I128" s="2">
        <v>4</v>
      </c>
      <c r="J128" s="2">
        <v>5</v>
      </c>
      <c r="K128" s="2" t="s">
        <v>582</v>
      </c>
      <c r="L128" s="2">
        <v>4</v>
      </c>
      <c r="M128" s="2" t="s">
        <v>582</v>
      </c>
      <c r="N128" s="2" t="s">
        <v>582</v>
      </c>
      <c r="O128" s="2" t="s">
        <v>582</v>
      </c>
      <c r="P128" s="2">
        <v>36</v>
      </c>
      <c r="Q128" s="2">
        <v>33</v>
      </c>
      <c r="R128" s="2">
        <v>6.2</v>
      </c>
      <c r="S128" s="2">
        <v>6.5</v>
      </c>
    </row>
    <row r="129" spans="1:19" hidden="1">
      <c r="A129" s="2" t="s">
        <v>12</v>
      </c>
      <c r="B129" s="2" t="s">
        <v>107</v>
      </c>
      <c r="C129" s="2" t="s">
        <v>16</v>
      </c>
      <c r="D129" s="2">
        <v>12</v>
      </c>
      <c r="E129" s="2">
        <v>12</v>
      </c>
      <c r="F129" s="2"/>
      <c r="G129" s="2"/>
      <c r="H129" s="2" t="s">
        <v>582</v>
      </c>
      <c r="I129" s="2">
        <v>2</v>
      </c>
      <c r="J129" s="2">
        <v>3</v>
      </c>
      <c r="K129" s="2" t="s">
        <v>582</v>
      </c>
      <c r="L129" s="2">
        <v>1</v>
      </c>
      <c r="M129" s="2" t="s">
        <v>582</v>
      </c>
      <c r="N129" s="2" t="s">
        <v>582</v>
      </c>
      <c r="O129" s="2" t="s">
        <v>582</v>
      </c>
      <c r="P129" s="2">
        <v>28</v>
      </c>
      <c r="Q129" s="2">
        <v>6</v>
      </c>
      <c r="R129" s="2">
        <v>5.9</v>
      </c>
      <c r="S129" s="2">
        <v>6.1</v>
      </c>
    </row>
    <row r="130" spans="1:19" hidden="1">
      <c r="A130" s="2" t="s">
        <v>12</v>
      </c>
      <c r="B130" s="2" t="s">
        <v>109</v>
      </c>
      <c r="C130" s="2" t="s">
        <v>40</v>
      </c>
      <c r="D130" s="2">
        <v>12</v>
      </c>
      <c r="E130" s="2">
        <v>12</v>
      </c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1:19" hidden="1">
      <c r="A131" s="2" t="s">
        <v>12</v>
      </c>
      <c r="B131" s="2" t="s">
        <v>110</v>
      </c>
      <c r="C131" s="2" t="s">
        <v>40</v>
      </c>
      <c r="D131" s="2">
        <v>12</v>
      </c>
      <c r="E131" s="2">
        <v>12</v>
      </c>
      <c r="F131" s="2">
        <v>10</v>
      </c>
      <c r="G131" s="2"/>
      <c r="H131" s="2" t="s">
        <v>582</v>
      </c>
      <c r="I131" s="2">
        <v>3</v>
      </c>
      <c r="J131" s="2">
        <v>4</v>
      </c>
      <c r="K131" s="2" t="s">
        <v>582</v>
      </c>
      <c r="L131" s="2">
        <v>2</v>
      </c>
      <c r="M131" s="2" t="s">
        <v>582</v>
      </c>
      <c r="N131" s="2" t="s">
        <v>582</v>
      </c>
      <c r="O131" s="2" t="s">
        <v>582</v>
      </c>
      <c r="P131" s="2">
        <v>36</v>
      </c>
      <c r="Q131" s="2">
        <v>28</v>
      </c>
      <c r="R131" s="2">
        <v>6.1</v>
      </c>
      <c r="S131" s="2">
        <v>6.3</v>
      </c>
    </row>
    <row r="132" spans="1:19" hidden="1">
      <c r="A132" s="2" t="s">
        <v>12</v>
      </c>
      <c r="B132" s="2" t="s">
        <v>111</v>
      </c>
      <c r="C132" s="2" t="s">
        <v>112</v>
      </c>
      <c r="D132" s="2">
        <v>12</v>
      </c>
      <c r="E132" s="2">
        <v>12</v>
      </c>
      <c r="F132" s="2"/>
      <c r="G132" s="2" t="s">
        <v>549</v>
      </c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1:19">
      <c r="A133" s="2" t="s">
        <v>12</v>
      </c>
      <c r="B133" s="2" t="s">
        <v>113</v>
      </c>
      <c r="C133" s="2" t="s">
        <v>114</v>
      </c>
      <c r="D133" s="2">
        <v>12</v>
      </c>
      <c r="E133" s="2">
        <v>12</v>
      </c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1:19" hidden="1">
      <c r="A134" s="2" t="s">
        <v>12</v>
      </c>
      <c r="B134" s="2" t="s">
        <v>117</v>
      </c>
      <c r="C134" s="2" t="s">
        <v>21</v>
      </c>
      <c r="D134" s="2">
        <v>12</v>
      </c>
      <c r="E134" s="2">
        <v>12</v>
      </c>
      <c r="F134" s="2"/>
      <c r="G134" s="2"/>
      <c r="H134" s="2" t="s">
        <v>582</v>
      </c>
      <c r="I134" s="2">
        <v>2</v>
      </c>
      <c r="J134" s="2">
        <v>9</v>
      </c>
      <c r="K134" s="2" t="s">
        <v>582</v>
      </c>
      <c r="L134" s="2">
        <v>2</v>
      </c>
      <c r="M134" s="2">
        <v>1</v>
      </c>
      <c r="N134" s="2" t="s">
        <v>582</v>
      </c>
      <c r="O134" s="2" t="s">
        <v>582</v>
      </c>
      <c r="P134" s="2">
        <v>35</v>
      </c>
      <c r="Q134" s="2">
        <v>32</v>
      </c>
      <c r="R134" s="2">
        <v>6.3</v>
      </c>
      <c r="S134" s="2">
        <v>6.4</v>
      </c>
    </row>
    <row r="135" spans="1:19" hidden="1">
      <c r="A135" s="2" t="s">
        <v>12</v>
      </c>
      <c r="B135" s="2" t="s">
        <v>122</v>
      </c>
      <c r="C135" s="2" t="s">
        <v>19</v>
      </c>
      <c r="D135" s="2">
        <v>12</v>
      </c>
      <c r="E135" s="2">
        <v>12</v>
      </c>
      <c r="F135" s="2"/>
      <c r="G135" s="2"/>
      <c r="H135" s="2" t="s">
        <v>582</v>
      </c>
      <c r="I135" s="2">
        <v>7</v>
      </c>
      <c r="J135" s="2">
        <v>4</v>
      </c>
      <c r="K135" s="2" t="s">
        <v>582</v>
      </c>
      <c r="L135" s="2">
        <v>3</v>
      </c>
      <c r="M135" s="2" t="s">
        <v>582</v>
      </c>
      <c r="N135" s="2" t="s">
        <v>582</v>
      </c>
      <c r="O135" s="2" t="s">
        <v>582</v>
      </c>
      <c r="P135" s="2">
        <v>22</v>
      </c>
      <c r="Q135" s="2">
        <v>16</v>
      </c>
      <c r="R135" s="2">
        <v>6.3</v>
      </c>
      <c r="S135" s="2">
        <v>7.3</v>
      </c>
    </row>
    <row r="136" spans="1:19" hidden="1">
      <c r="A136" s="2" t="s">
        <v>12</v>
      </c>
      <c r="B136" s="2" t="s">
        <v>123</v>
      </c>
      <c r="C136" s="2" t="s">
        <v>19</v>
      </c>
      <c r="D136" s="2">
        <v>12</v>
      </c>
      <c r="E136" s="2">
        <v>12</v>
      </c>
      <c r="F136" s="2">
        <v>30</v>
      </c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1:19" hidden="1">
      <c r="A137" s="2" t="s">
        <v>12</v>
      </c>
      <c r="B137" s="2" t="s">
        <v>124</v>
      </c>
      <c r="C137" s="2" t="s">
        <v>104</v>
      </c>
      <c r="D137" s="2">
        <v>12</v>
      </c>
      <c r="E137" s="2">
        <v>12</v>
      </c>
      <c r="F137" s="2"/>
      <c r="G137" s="2"/>
      <c r="H137" s="2" t="s">
        <v>582</v>
      </c>
      <c r="I137" s="2">
        <v>4</v>
      </c>
      <c r="J137" s="2">
        <v>6</v>
      </c>
      <c r="K137" s="2" t="s">
        <v>582</v>
      </c>
      <c r="L137" s="2" t="s">
        <v>582</v>
      </c>
      <c r="M137" s="2" t="s">
        <v>582</v>
      </c>
      <c r="N137" s="2" t="s">
        <v>582</v>
      </c>
      <c r="O137" s="2" t="s">
        <v>582</v>
      </c>
      <c r="P137" s="2">
        <v>37</v>
      </c>
      <c r="Q137" s="2">
        <v>34</v>
      </c>
      <c r="R137" s="2">
        <v>5.9</v>
      </c>
      <c r="S137" s="2">
        <v>6.1</v>
      </c>
    </row>
    <row r="138" spans="1:19" hidden="1">
      <c r="A138" s="2" t="s">
        <v>12</v>
      </c>
      <c r="B138" s="2" t="s">
        <v>125</v>
      </c>
      <c r="C138" s="2" t="s">
        <v>579</v>
      </c>
      <c r="D138" s="2">
        <v>12</v>
      </c>
      <c r="E138" s="2">
        <v>12</v>
      </c>
      <c r="F138" s="2">
        <v>50</v>
      </c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1:19" hidden="1">
      <c r="A139" s="2" t="s">
        <v>12</v>
      </c>
      <c r="B139" s="2" t="s">
        <v>127</v>
      </c>
      <c r="C139" s="2" t="s">
        <v>48</v>
      </c>
      <c r="D139" s="2">
        <v>12</v>
      </c>
      <c r="E139" s="2">
        <v>12</v>
      </c>
      <c r="F139" s="2"/>
      <c r="G139" s="2"/>
      <c r="H139" s="2" t="s">
        <v>582</v>
      </c>
      <c r="I139" s="2">
        <v>1</v>
      </c>
      <c r="J139" s="2">
        <v>1</v>
      </c>
      <c r="K139" s="2" t="s">
        <v>582</v>
      </c>
      <c r="L139" s="2">
        <v>1</v>
      </c>
      <c r="M139" s="2" t="s">
        <v>582</v>
      </c>
      <c r="N139" s="2" t="s">
        <v>582</v>
      </c>
      <c r="O139" s="2" t="s">
        <v>582</v>
      </c>
      <c r="P139" s="2">
        <v>15</v>
      </c>
      <c r="Q139" s="2">
        <v>11</v>
      </c>
      <c r="R139" s="2">
        <v>5.8</v>
      </c>
      <c r="S139" s="2">
        <v>6.1</v>
      </c>
    </row>
    <row r="140" spans="1:19" hidden="1">
      <c r="A140" s="2" t="s">
        <v>12</v>
      </c>
      <c r="B140" s="2" t="s">
        <v>130</v>
      </c>
      <c r="C140" s="2" t="s">
        <v>14</v>
      </c>
      <c r="D140" s="2">
        <v>11</v>
      </c>
      <c r="E140" s="2">
        <v>11</v>
      </c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1:19" hidden="1">
      <c r="A141" s="2" t="s">
        <v>12</v>
      </c>
      <c r="B141" s="2" t="s">
        <v>131</v>
      </c>
      <c r="C141" s="2" t="s">
        <v>14</v>
      </c>
      <c r="D141" s="2">
        <v>11</v>
      </c>
      <c r="E141" s="2">
        <v>11</v>
      </c>
      <c r="F141" s="2"/>
      <c r="G141" s="2"/>
      <c r="H141" s="2" t="s">
        <v>582</v>
      </c>
      <c r="I141" s="2">
        <v>1</v>
      </c>
      <c r="J141" s="2" t="s">
        <v>582</v>
      </c>
      <c r="K141" s="2" t="s">
        <v>582</v>
      </c>
      <c r="L141" s="2">
        <v>1</v>
      </c>
      <c r="M141" s="2">
        <v>1</v>
      </c>
      <c r="N141" s="2" t="s">
        <v>582</v>
      </c>
      <c r="O141" s="2" t="s">
        <v>582</v>
      </c>
      <c r="P141" s="2">
        <v>15</v>
      </c>
      <c r="Q141" s="2">
        <v>7</v>
      </c>
      <c r="R141" s="2">
        <v>6.4</v>
      </c>
      <c r="S141" s="2">
        <v>6.6</v>
      </c>
    </row>
    <row r="142" spans="1:19" hidden="1">
      <c r="A142" s="2" t="s">
        <v>12</v>
      </c>
      <c r="B142" s="2" t="s">
        <v>134</v>
      </c>
      <c r="C142" s="2" t="s">
        <v>9</v>
      </c>
      <c r="D142" s="2">
        <v>11</v>
      </c>
      <c r="E142" s="2">
        <v>11</v>
      </c>
      <c r="F142" s="2"/>
      <c r="G142" s="2"/>
      <c r="H142" s="2" t="s">
        <v>582</v>
      </c>
      <c r="I142" s="2">
        <v>4</v>
      </c>
      <c r="J142" s="2">
        <v>2</v>
      </c>
      <c r="K142" s="2">
        <v>1</v>
      </c>
      <c r="L142" s="2">
        <v>1</v>
      </c>
      <c r="M142" s="2" t="s">
        <v>582</v>
      </c>
      <c r="N142" s="2" t="s">
        <v>582</v>
      </c>
      <c r="O142" s="2" t="s">
        <v>582</v>
      </c>
      <c r="P142" s="2">
        <v>20</v>
      </c>
      <c r="Q142" s="2">
        <v>14</v>
      </c>
      <c r="R142" s="2">
        <v>6.3</v>
      </c>
      <c r="S142" s="2">
        <v>6.8</v>
      </c>
    </row>
    <row r="143" spans="1:19">
      <c r="A143" s="2" t="s">
        <v>12</v>
      </c>
      <c r="B143" s="2" t="s">
        <v>135</v>
      </c>
      <c r="C143" s="2" t="s">
        <v>114</v>
      </c>
      <c r="D143" s="2">
        <v>11</v>
      </c>
      <c r="E143" s="2">
        <v>11</v>
      </c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1:19" hidden="1">
      <c r="A144" s="2" t="s">
        <v>12</v>
      </c>
      <c r="B144" s="2" t="s">
        <v>136</v>
      </c>
      <c r="C144" s="2" t="s">
        <v>23</v>
      </c>
      <c r="D144" s="2">
        <v>11</v>
      </c>
      <c r="E144" s="2">
        <v>11</v>
      </c>
      <c r="F144" s="2"/>
      <c r="G144" s="2"/>
      <c r="H144" s="2" t="s">
        <v>582</v>
      </c>
      <c r="I144" s="2">
        <v>1</v>
      </c>
      <c r="J144" s="2">
        <v>8</v>
      </c>
      <c r="K144" s="2" t="s">
        <v>582</v>
      </c>
      <c r="L144" s="2">
        <v>3</v>
      </c>
      <c r="M144" s="2" t="s">
        <v>582</v>
      </c>
      <c r="N144" s="2" t="s">
        <v>582</v>
      </c>
      <c r="O144" s="2" t="s">
        <v>582</v>
      </c>
      <c r="P144" s="2">
        <v>37</v>
      </c>
      <c r="Q144" s="2">
        <v>35</v>
      </c>
      <c r="R144" s="2">
        <v>6.2</v>
      </c>
      <c r="S144" s="2">
        <v>6.3</v>
      </c>
    </row>
    <row r="145" spans="1:19" hidden="1">
      <c r="A145" s="2" t="s">
        <v>12</v>
      </c>
      <c r="B145" s="2" t="s">
        <v>137</v>
      </c>
      <c r="C145" s="2" t="s">
        <v>23</v>
      </c>
      <c r="D145" s="2">
        <v>11</v>
      </c>
      <c r="E145" s="2">
        <v>11</v>
      </c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1:19" hidden="1">
      <c r="A146" s="2" t="s">
        <v>12</v>
      </c>
      <c r="B146" s="2" t="s">
        <v>139</v>
      </c>
      <c r="C146" s="2" t="s">
        <v>19</v>
      </c>
      <c r="D146" s="2">
        <v>11</v>
      </c>
      <c r="E146" s="2">
        <v>11</v>
      </c>
      <c r="F146" s="2"/>
      <c r="G146" s="2"/>
      <c r="H146" s="2" t="s">
        <v>582</v>
      </c>
      <c r="I146" s="2">
        <v>1</v>
      </c>
      <c r="J146" s="2">
        <v>5</v>
      </c>
      <c r="K146" s="2" t="s">
        <v>582</v>
      </c>
      <c r="L146" s="2">
        <v>6</v>
      </c>
      <c r="M146" s="2" t="s">
        <v>582</v>
      </c>
      <c r="N146" s="2" t="s">
        <v>582</v>
      </c>
      <c r="O146" s="2" t="s">
        <v>582</v>
      </c>
      <c r="P146" s="2">
        <v>34</v>
      </c>
      <c r="Q146" s="2">
        <v>28</v>
      </c>
      <c r="R146" s="2">
        <v>6</v>
      </c>
      <c r="S146" s="2">
        <v>6.2</v>
      </c>
    </row>
    <row r="147" spans="1:19" hidden="1">
      <c r="A147" s="2" t="s">
        <v>12</v>
      </c>
      <c r="B147" s="2" t="s">
        <v>141</v>
      </c>
      <c r="C147" s="2" t="s">
        <v>104</v>
      </c>
      <c r="D147" s="2">
        <v>11</v>
      </c>
      <c r="E147" s="2">
        <v>11</v>
      </c>
      <c r="F147" s="2">
        <v>60</v>
      </c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1:19" hidden="1">
      <c r="A148" s="2" t="s">
        <v>12</v>
      </c>
      <c r="B148" s="2" t="s">
        <v>142</v>
      </c>
      <c r="C148" s="2" t="s">
        <v>104</v>
      </c>
      <c r="D148" s="2">
        <v>11</v>
      </c>
      <c r="E148" s="2">
        <v>11</v>
      </c>
      <c r="F148" s="2"/>
      <c r="G148" s="2"/>
      <c r="H148" s="2" t="s">
        <v>582</v>
      </c>
      <c r="I148" s="2">
        <v>4</v>
      </c>
      <c r="J148" s="2" t="s">
        <v>582</v>
      </c>
      <c r="K148" s="2" t="s">
        <v>582</v>
      </c>
      <c r="L148" s="2">
        <v>4</v>
      </c>
      <c r="M148" s="2" t="s">
        <v>582</v>
      </c>
      <c r="N148" s="2" t="s">
        <v>582</v>
      </c>
      <c r="O148" s="2" t="s">
        <v>582</v>
      </c>
      <c r="P148" s="2">
        <v>32</v>
      </c>
      <c r="Q148" s="2">
        <v>23</v>
      </c>
      <c r="R148" s="2">
        <v>5.7</v>
      </c>
      <c r="S148" s="2">
        <v>6.2</v>
      </c>
    </row>
    <row r="149" spans="1:19" hidden="1">
      <c r="A149" s="2" t="s">
        <v>12</v>
      </c>
      <c r="B149" s="2" t="s">
        <v>144</v>
      </c>
      <c r="C149" s="2" t="s">
        <v>26</v>
      </c>
      <c r="D149" s="2">
        <v>11</v>
      </c>
      <c r="E149" s="2">
        <v>11</v>
      </c>
      <c r="F149" s="2"/>
      <c r="G149" s="2"/>
      <c r="H149" s="2" t="s">
        <v>582</v>
      </c>
      <c r="I149" s="2">
        <v>2</v>
      </c>
      <c r="J149" s="2">
        <v>4</v>
      </c>
      <c r="K149" s="2" t="s">
        <v>582</v>
      </c>
      <c r="L149" s="2">
        <v>1</v>
      </c>
      <c r="M149" s="2">
        <v>1</v>
      </c>
      <c r="N149" s="2" t="s">
        <v>582</v>
      </c>
      <c r="O149" s="2" t="s">
        <v>582</v>
      </c>
      <c r="P149" s="2">
        <v>25</v>
      </c>
      <c r="Q149" s="2">
        <v>20</v>
      </c>
      <c r="R149" s="2">
        <v>5.6</v>
      </c>
      <c r="S149" s="2">
        <v>5.8</v>
      </c>
    </row>
    <row r="150" spans="1:19" hidden="1">
      <c r="A150" s="2" t="s">
        <v>12</v>
      </c>
      <c r="B150" s="2" t="s">
        <v>147</v>
      </c>
      <c r="C150" s="2" t="s">
        <v>14</v>
      </c>
      <c r="D150" s="2">
        <v>10</v>
      </c>
      <c r="E150" s="2">
        <v>10</v>
      </c>
      <c r="F150" s="2"/>
      <c r="G150" s="2"/>
      <c r="H150" s="2" t="s">
        <v>582</v>
      </c>
      <c r="I150" s="2">
        <v>3</v>
      </c>
      <c r="J150" s="2">
        <v>1</v>
      </c>
      <c r="K150" s="2" t="s">
        <v>582</v>
      </c>
      <c r="L150" s="2" t="s">
        <v>582</v>
      </c>
      <c r="M150" s="2" t="s">
        <v>582</v>
      </c>
      <c r="N150" s="2" t="s">
        <v>582</v>
      </c>
      <c r="O150" s="2" t="s">
        <v>582</v>
      </c>
      <c r="P150" s="2">
        <v>24</v>
      </c>
      <c r="Q150" s="2">
        <v>7</v>
      </c>
      <c r="R150" s="2">
        <v>5.9</v>
      </c>
      <c r="S150" s="2">
        <v>6.3</v>
      </c>
    </row>
    <row r="151" spans="1:19" hidden="1">
      <c r="A151" s="2" t="s">
        <v>12</v>
      </c>
      <c r="B151" s="2" t="s">
        <v>151</v>
      </c>
      <c r="C151" s="2" t="s">
        <v>112</v>
      </c>
      <c r="D151" s="2">
        <v>10</v>
      </c>
      <c r="E151" s="2">
        <v>10</v>
      </c>
      <c r="F151" s="2">
        <v>50</v>
      </c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1:19" hidden="1">
      <c r="A152" s="2" t="s">
        <v>12</v>
      </c>
      <c r="B152" s="2" t="s">
        <v>154</v>
      </c>
      <c r="C152" s="2" t="s">
        <v>21</v>
      </c>
      <c r="D152" s="2">
        <v>10</v>
      </c>
      <c r="E152" s="2">
        <v>10</v>
      </c>
      <c r="F152" s="2"/>
      <c r="G152" s="2"/>
      <c r="H152" s="2" t="s">
        <v>582</v>
      </c>
      <c r="I152" s="2">
        <v>2</v>
      </c>
      <c r="J152" s="2">
        <v>3</v>
      </c>
      <c r="K152" s="2" t="s">
        <v>582</v>
      </c>
      <c r="L152" s="2">
        <v>4</v>
      </c>
      <c r="M152" s="2" t="s">
        <v>582</v>
      </c>
      <c r="N152" s="2" t="s">
        <v>582</v>
      </c>
      <c r="O152" s="2" t="s">
        <v>582</v>
      </c>
      <c r="P152" s="2">
        <v>31</v>
      </c>
      <c r="Q152" s="2">
        <v>26</v>
      </c>
      <c r="R152" s="2">
        <v>5.8</v>
      </c>
      <c r="S152" s="2">
        <v>6.1</v>
      </c>
    </row>
    <row r="153" spans="1:19" hidden="1">
      <c r="A153" s="2" t="s">
        <v>12</v>
      </c>
      <c r="B153" s="2" t="s">
        <v>155</v>
      </c>
      <c r="C153" s="2" t="s">
        <v>45</v>
      </c>
      <c r="D153" s="2">
        <v>10</v>
      </c>
      <c r="E153" s="2">
        <v>10</v>
      </c>
      <c r="F153" s="2"/>
      <c r="G153" s="2"/>
      <c r="H153" s="2" t="s">
        <v>582</v>
      </c>
      <c r="I153" s="2">
        <v>4</v>
      </c>
      <c r="J153" s="2">
        <v>4</v>
      </c>
      <c r="K153" s="2">
        <v>1</v>
      </c>
      <c r="L153" s="2">
        <v>2</v>
      </c>
      <c r="M153" s="2" t="s">
        <v>582</v>
      </c>
      <c r="N153" s="2" t="s">
        <v>582</v>
      </c>
      <c r="O153" s="2" t="s">
        <v>582</v>
      </c>
      <c r="P153" s="2">
        <v>35</v>
      </c>
      <c r="Q153" s="2">
        <v>21</v>
      </c>
      <c r="R153" s="2">
        <v>5.7</v>
      </c>
      <c r="S153" s="2">
        <v>6</v>
      </c>
    </row>
    <row r="154" spans="1:19" hidden="1">
      <c r="A154" s="2" t="s">
        <v>12</v>
      </c>
      <c r="B154" s="2" t="s">
        <v>156</v>
      </c>
      <c r="C154" s="2" t="s">
        <v>19</v>
      </c>
      <c r="D154" s="2">
        <v>10</v>
      </c>
      <c r="E154" s="2">
        <v>10</v>
      </c>
      <c r="F154" s="2"/>
      <c r="G154" s="2"/>
      <c r="H154" s="2" t="s">
        <v>582</v>
      </c>
      <c r="I154" s="2">
        <v>1</v>
      </c>
      <c r="J154" s="2">
        <v>8</v>
      </c>
      <c r="K154" s="2">
        <v>1</v>
      </c>
      <c r="L154" s="2">
        <v>1</v>
      </c>
      <c r="M154" s="2" t="s">
        <v>582</v>
      </c>
      <c r="N154" s="2" t="s">
        <v>582</v>
      </c>
      <c r="O154" s="2" t="s">
        <v>582</v>
      </c>
      <c r="P154" s="2">
        <v>34</v>
      </c>
      <c r="Q154" s="2">
        <v>32</v>
      </c>
      <c r="R154" s="2">
        <v>6.2</v>
      </c>
      <c r="S154" s="2">
        <v>6.2</v>
      </c>
    </row>
    <row r="155" spans="1:19" hidden="1">
      <c r="A155" s="2" t="s">
        <v>12</v>
      </c>
      <c r="B155" s="2" t="s">
        <v>161</v>
      </c>
      <c r="C155" s="2" t="s">
        <v>48</v>
      </c>
      <c r="D155" s="2">
        <v>10</v>
      </c>
      <c r="E155" s="2">
        <v>10</v>
      </c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1:19" hidden="1">
      <c r="A156" s="2" t="s">
        <v>12</v>
      </c>
      <c r="B156" s="2" t="s">
        <v>162</v>
      </c>
      <c r="C156" s="2" t="s">
        <v>72</v>
      </c>
      <c r="D156" s="2">
        <v>10</v>
      </c>
      <c r="E156" s="2">
        <v>10</v>
      </c>
      <c r="F156" s="2"/>
      <c r="G156" s="2"/>
      <c r="H156" s="2" t="s">
        <v>582</v>
      </c>
      <c r="I156" s="2">
        <v>3</v>
      </c>
      <c r="J156" s="2">
        <v>2</v>
      </c>
      <c r="K156" s="2" t="s">
        <v>582</v>
      </c>
      <c r="L156" s="2">
        <v>2</v>
      </c>
      <c r="M156" s="2" t="s">
        <v>582</v>
      </c>
      <c r="N156" s="2" t="s">
        <v>582</v>
      </c>
      <c r="O156" s="2" t="s">
        <v>582</v>
      </c>
      <c r="P156" s="2">
        <v>33</v>
      </c>
      <c r="Q156" s="2">
        <v>18</v>
      </c>
      <c r="R156" s="2">
        <v>5.9</v>
      </c>
      <c r="S156" s="2">
        <v>6.2</v>
      </c>
    </row>
    <row r="157" spans="1:19" hidden="1">
      <c r="A157" s="2" t="s">
        <v>12</v>
      </c>
      <c r="B157" s="2" t="s">
        <v>164</v>
      </c>
      <c r="C157" s="2" t="s">
        <v>16</v>
      </c>
      <c r="D157" s="2">
        <v>9</v>
      </c>
      <c r="E157" s="2">
        <v>9</v>
      </c>
      <c r="F157" s="10">
        <v>10</v>
      </c>
      <c r="G157" s="2"/>
      <c r="H157" s="2" t="s">
        <v>582</v>
      </c>
      <c r="I157" s="2">
        <v>3</v>
      </c>
      <c r="J157" s="2">
        <v>1</v>
      </c>
      <c r="K157" s="2" t="s">
        <v>582</v>
      </c>
      <c r="L157" s="2">
        <v>4</v>
      </c>
      <c r="M157" s="2" t="s">
        <v>582</v>
      </c>
      <c r="N157" s="2">
        <v>1</v>
      </c>
      <c r="O157" s="2" t="s">
        <v>582</v>
      </c>
      <c r="P157" s="2">
        <v>31</v>
      </c>
      <c r="Q157" s="2">
        <v>23</v>
      </c>
      <c r="R157" s="2">
        <v>5.9</v>
      </c>
      <c r="S157" s="2">
        <v>6.2</v>
      </c>
    </row>
    <row r="158" spans="1:19" hidden="1">
      <c r="A158" s="2" t="s">
        <v>12</v>
      </c>
      <c r="B158" s="2" t="s">
        <v>165</v>
      </c>
      <c r="C158" s="2" t="s">
        <v>16</v>
      </c>
      <c r="D158" s="2">
        <v>9</v>
      </c>
      <c r="E158" s="2">
        <v>9</v>
      </c>
      <c r="F158" s="2"/>
      <c r="G158" s="2"/>
      <c r="H158" s="2" t="s">
        <v>582</v>
      </c>
      <c r="I158" s="2">
        <v>6</v>
      </c>
      <c r="J158" s="2">
        <v>5</v>
      </c>
      <c r="K158" s="2" t="s">
        <v>582</v>
      </c>
      <c r="L158" s="2" t="s">
        <v>582</v>
      </c>
      <c r="M158" s="2" t="s">
        <v>582</v>
      </c>
      <c r="N158" s="2" t="s">
        <v>582</v>
      </c>
      <c r="O158" s="2" t="s">
        <v>582</v>
      </c>
      <c r="P158" s="2">
        <v>28</v>
      </c>
      <c r="Q158" s="2">
        <v>16</v>
      </c>
      <c r="R158" s="2">
        <v>5.9</v>
      </c>
      <c r="S158" s="2">
        <v>6.5</v>
      </c>
    </row>
    <row r="159" spans="1:19" hidden="1">
      <c r="A159" s="2" t="s">
        <v>12</v>
      </c>
      <c r="B159" s="2" t="s">
        <v>168</v>
      </c>
      <c r="C159" s="2" t="s">
        <v>14</v>
      </c>
      <c r="D159" s="2">
        <v>9</v>
      </c>
      <c r="E159" s="2">
        <v>9</v>
      </c>
      <c r="F159" s="2">
        <v>10</v>
      </c>
      <c r="G159" s="2" t="s">
        <v>549</v>
      </c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1:19" hidden="1">
      <c r="A160" s="2" t="s">
        <v>12</v>
      </c>
      <c r="B160" s="2" t="s">
        <v>170</v>
      </c>
      <c r="C160" s="2" t="s">
        <v>59</v>
      </c>
      <c r="D160" s="2">
        <v>9</v>
      </c>
      <c r="E160" s="2">
        <v>9</v>
      </c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1:19" hidden="1">
      <c r="A161" s="2" t="s">
        <v>12</v>
      </c>
      <c r="B161" s="2" t="s">
        <v>171</v>
      </c>
      <c r="C161" s="2" t="s">
        <v>40</v>
      </c>
      <c r="D161" s="2">
        <v>9</v>
      </c>
      <c r="E161" s="2">
        <v>9</v>
      </c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1:19">
      <c r="A162" s="2" t="s">
        <v>12</v>
      </c>
      <c r="B162" s="2" t="s">
        <v>173</v>
      </c>
      <c r="C162" s="2" t="s">
        <v>114</v>
      </c>
      <c r="D162" s="2">
        <v>9</v>
      </c>
      <c r="E162" s="2">
        <v>9</v>
      </c>
      <c r="F162" s="2"/>
      <c r="G162" s="2"/>
      <c r="H162" s="2" t="s">
        <v>582</v>
      </c>
      <c r="I162" s="2">
        <v>2</v>
      </c>
      <c r="J162" s="2">
        <v>5</v>
      </c>
      <c r="K162" s="2" t="s">
        <v>582</v>
      </c>
      <c r="L162" s="2" t="s">
        <v>582</v>
      </c>
      <c r="M162" s="2" t="s">
        <v>582</v>
      </c>
      <c r="N162" s="2" t="s">
        <v>582</v>
      </c>
      <c r="O162" s="2" t="s">
        <v>582</v>
      </c>
      <c r="P162" s="2">
        <v>35</v>
      </c>
      <c r="Q162" s="2">
        <v>34</v>
      </c>
      <c r="R162" s="2">
        <v>6</v>
      </c>
      <c r="S162" s="2">
        <v>6.1</v>
      </c>
    </row>
    <row r="163" spans="1:19" hidden="1">
      <c r="A163" s="2" t="s">
        <v>12</v>
      </c>
      <c r="B163" s="2" t="s">
        <v>177</v>
      </c>
      <c r="C163" s="2" t="s">
        <v>7</v>
      </c>
      <c r="D163" s="2">
        <v>9</v>
      </c>
      <c r="E163" s="2">
        <v>9</v>
      </c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1:19" hidden="1">
      <c r="A164" s="2" t="s">
        <v>12</v>
      </c>
      <c r="B164" s="2" t="s">
        <v>178</v>
      </c>
      <c r="C164" s="2" t="s">
        <v>7</v>
      </c>
      <c r="D164" s="2">
        <v>9</v>
      </c>
      <c r="E164" s="2">
        <v>9</v>
      </c>
      <c r="F164" s="2"/>
      <c r="G164" s="2"/>
      <c r="H164" s="2" t="s">
        <v>582</v>
      </c>
      <c r="I164" s="2">
        <v>1</v>
      </c>
      <c r="J164" s="2">
        <v>4</v>
      </c>
      <c r="K164" s="2" t="s">
        <v>582</v>
      </c>
      <c r="L164" s="2">
        <v>4</v>
      </c>
      <c r="M164" s="2" t="s">
        <v>582</v>
      </c>
      <c r="N164" s="2" t="s">
        <v>582</v>
      </c>
      <c r="O164" s="2" t="s">
        <v>582</v>
      </c>
      <c r="P164" s="2">
        <v>32</v>
      </c>
      <c r="Q164" s="2">
        <v>28</v>
      </c>
      <c r="R164" s="2">
        <v>5.9</v>
      </c>
      <c r="S164" s="2">
        <v>6.1</v>
      </c>
    </row>
    <row r="165" spans="1:19" hidden="1">
      <c r="A165" s="2" t="s">
        <v>12</v>
      </c>
      <c r="B165" s="2" t="s">
        <v>181</v>
      </c>
      <c r="C165" s="2" t="s">
        <v>45</v>
      </c>
      <c r="D165" s="2">
        <v>9</v>
      </c>
      <c r="E165" s="2">
        <v>9</v>
      </c>
      <c r="F165" s="2">
        <v>15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1:19" hidden="1">
      <c r="A166" s="2" t="s">
        <v>12</v>
      </c>
      <c r="B166" s="2" t="s">
        <v>182</v>
      </c>
      <c r="C166" s="2" t="s">
        <v>11</v>
      </c>
      <c r="D166" s="2">
        <v>9</v>
      </c>
      <c r="E166" s="2">
        <v>9</v>
      </c>
      <c r="F166" s="2"/>
      <c r="G166" s="2"/>
      <c r="H166" s="2" t="s">
        <v>582</v>
      </c>
      <c r="I166" s="2" t="s">
        <v>582</v>
      </c>
      <c r="J166" s="2">
        <v>3</v>
      </c>
      <c r="K166" s="2" t="s">
        <v>582</v>
      </c>
      <c r="L166" s="2">
        <v>1</v>
      </c>
      <c r="M166" s="2" t="s">
        <v>582</v>
      </c>
      <c r="N166" s="2" t="s">
        <v>582</v>
      </c>
      <c r="O166" s="2" t="s">
        <v>582</v>
      </c>
      <c r="P166" s="2">
        <v>31</v>
      </c>
      <c r="Q166" s="2">
        <v>30</v>
      </c>
      <c r="R166" s="2">
        <v>6.2</v>
      </c>
      <c r="S166" s="2">
        <v>6.2</v>
      </c>
    </row>
    <row r="167" spans="1:19" hidden="1">
      <c r="A167" s="2" t="s">
        <v>12</v>
      </c>
      <c r="B167" s="2" t="s">
        <v>184</v>
      </c>
      <c r="C167" s="2" t="s">
        <v>26</v>
      </c>
      <c r="D167" s="2">
        <v>9</v>
      </c>
      <c r="E167" s="2">
        <v>9</v>
      </c>
      <c r="F167" s="2"/>
      <c r="G167" s="2"/>
      <c r="H167" s="2" t="s">
        <v>582</v>
      </c>
      <c r="I167" s="2">
        <v>4</v>
      </c>
      <c r="J167" s="2">
        <v>8</v>
      </c>
      <c r="K167" s="2" t="s">
        <v>582</v>
      </c>
      <c r="L167" s="2">
        <v>2</v>
      </c>
      <c r="M167" s="2" t="s">
        <v>582</v>
      </c>
      <c r="N167" s="2" t="s">
        <v>582</v>
      </c>
      <c r="O167" s="2" t="s">
        <v>582</v>
      </c>
      <c r="P167" s="2">
        <v>29</v>
      </c>
      <c r="Q167" s="2">
        <v>21</v>
      </c>
      <c r="R167" s="2">
        <v>6</v>
      </c>
      <c r="S167" s="2">
        <v>6.3</v>
      </c>
    </row>
    <row r="168" spans="1:19" hidden="1">
      <c r="A168" s="2" t="s">
        <v>12</v>
      </c>
      <c r="B168" s="2" t="s">
        <v>185</v>
      </c>
      <c r="C168" s="2" t="s">
        <v>26</v>
      </c>
      <c r="D168" s="2">
        <v>9</v>
      </c>
      <c r="E168" s="2">
        <v>9</v>
      </c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1:19" hidden="1">
      <c r="A169" s="2" t="s">
        <v>12</v>
      </c>
      <c r="B169" s="2" t="s">
        <v>188</v>
      </c>
      <c r="C169" s="2" t="s">
        <v>72</v>
      </c>
      <c r="D169" s="2">
        <v>9</v>
      </c>
      <c r="E169" s="2">
        <v>9</v>
      </c>
      <c r="F169" s="2"/>
      <c r="G169" s="2"/>
      <c r="H169" s="2" t="s">
        <v>582</v>
      </c>
      <c r="I169" s="2">
        <v>2</v>
      </c>
      <c r="J169" s="2">
        <v>5</v>
      </c>
      <c r="K169" s="2" t="s">
        <v>582</v>
      </c>
      <c r="L169" s="2">
        <v>3</v>
      </c>
      <c r="M169" s="2" t="s">
        <v>582</v>
      </c>
      <c r="N169" s="2" t="s">
        <v>582</v>
      </c>
      <c r="O169" s="2" t="s">
        <v>582</v>
      </c>
      <c r="P169" s="2">
        <v>35</v>
      </c>
      <c r="Q169" s="2">
        <v>30</v>
      </c>
      <c r="R169" s="2">
        <v>5.9</v>
      </c>
      <c r="S169" s="2">
        <v>6</v>
      </c>
    </row>
    <row r="170" spans="1:19" hidden="1">
      <c r="A170" s="2" t="s">
        <v>12</v>
      </c>
      <c r="B170" s="2" t="s">
        <v>189</v>
      </c>
      <c r="C170" s="2" t="s">
        <v>190</v>
      </c>
      <c r="D170" s="2">
        <v>9</v>
      </c>
      <c r="E170" s="2">
        <v>9</v>
      </c>
      <c r="F170" s="2">
        <v>40</v>
      </c>
      <c r="G170" s="2"/>
      <c r="H170" s="2" t="s">
        <v>582</v>
      </c>
      <c r="I170" s="2" t="s">
        <v>582</v>
      </c>
      <c r="J170" s="2">
        <v>5</v>
      </c>
      <c r="K170" s="2">
        <v>1</v>
      </c>
      <c r="L170" s="2">
        <v>1</v>
      </c>
      <c r="M170" s="2" t="s">
        <v>582</v>
      </c>
      <c r="N170" s="2" t="s">
        <v>582</v>
      </c>
      <c r="O170" s="2" t="s">
        <v>582</v>
      </c>
      <c r="P170" s="2">
        <v>31</v>
      </c>
      <c r="Q170" s="2">
        <v>26</v>
      </c>
      <c r="R170" s="2">
        <v>5.7</v>
      </c>
      <c r="S170" s="2">
        <v>5.6</v>
      </c>
    </row>
    <row r="171" spans="1:19" hidden="1">
      <c r="A171" s="2" t="s">
        <v>12</v>
      </c>
      <c r="B171" s="2" t="s">
        <v>194</v>
      </c>
      <c r="C171" s="2" t="s">
        <v>16</v>
      </c>
      <c r="D171" s="2">
        <v>8</v>
      </c>
      <c r="E171" s="2">
        <v>8</v>
      </c>
      <c r="F171" s="2"/>
      <c r="G171" s="2"/>
      <c r="H171" s="2" t="s">
        <v>582</v>
      </c>
      <c r="I171" s="2">
        <v>4</v>
      </c>
      <c r="J171" s="2">
        <v>1</v>
      </c>
      <c r="K171" s="2" t="s">
        <v>582</v>
      </c>
      <c r="L171" s="2">
        <v>2</v>
      </c>
      <c r="M171" s="2" t="s">
        <v>582</v>
      </c>
      <c r="N171" s="2" t="s">
        <v>582</v>
      </c>
      <c r="O171" s="2" t="s">
        <v>582</v>
      </c>
      <c r="P171" s="2">
        <v>22</v>
      </c>
      <c r="Q171" s="2">
        <v>7</v>
      </c>
      <c r="R171" s="2">
        <v>6.1</v>
      </c>
      <c r="S171" s="2">
        <v>6.7</v>
      </c>
    </row>
    <row r="172" spans="1:19" hidden="1">
      <c r="A172" s="2" t="s">
        <v>12</v>
      </c>
      <c r="B172" s="2" t="s">
        <v>198</v>
      </c>
      <c r="C172" s="2" t="s">
        <v>14</v>
      </c>
      <c r="D172" s="2">
        <v>8</v>
      </c>
      <c r="E172" s="2">
        <v>8</v>
      </c>
      <c r="F172" s="2"/>
      <c r="G172" s="2"/>
      <c r="H172" s="2" t="s">
        <v>582</v>
      </c>
      <c r="I172" s="2">
        <v>2</v>
      </c>
      <c r="J172" s="2">
        <v>4</v>
      </c>
      <c r="K172" s="2">
        <v>2</v>
      </c>
      <c r="L172" s="2">
        <v>2</v>
      </c>
      <c r="M172" s="2" t="s">
        <v>582</v>
      </c>
      <c r="N172" s="2" t="s">
        <v>582</v>
      </c>
      <c r="O172" s="2" t="s">
        <v>582</v>
      </c>
      <c r="P172" s="2">
        <v>21</v>
      </c>
      <c r="Q172" s="2">
        <v>13</v>
      </c>
      <c r="R172" s="2">
        <v>6</v>
      </c>
      <c r="S172" s="2">
        <v>6.1</v>
      </c>
    </row>
    <row r="173" spans="1:19" hidden="1">
      <c r="A173" s="2" t="s">
        <v>12</v>
      </c>
      <c r="B173" s="2" t="s">
        <v>199</v>
      </c>
      <c r="C173" s="2" t="s">
        <v>59</v>
      </c>
      <c r="D173" s="2">
        <v>8</v>
      </c>
      <c r="E173" s="2">
        <v>8</v>
      </c>
      <c r="F173" s="2">
        <v>25</v>
      </c>
      <c r="G173" s="2" t="s">
        <v>549</v>
      </c>
      <c r="H173" s="2" t="s">
        <v>582</v>
      </c>
      <c r="I173" s="2">
        <v>2</v>
      </c>
      <c r="J173" s="2" t="s">
        <v>582</v>
      </c>
      <c r="K173" s="2" t="s">
        <v>582</v>
      </c>
      <c r="L173" s="2">
        <v>4</v>
      </c>
      <c r="M173" s="2" t="s">
        <v>582</v>
      </c>
      <c r="N173" s="2" t="s">
        <v>582</v>
      </c>
      <c r="O173" s="2" t="s">
        <v>582</v>
      </c>
      <c r="P173" s="2">
        <v>27</v>
      </c>
      <c r="Q173" s="2">
        <v>8</v>
      </c>
      <c r="R173" s="2">
        <v>5.7</v>
      </c>
      <c r="S173" s="2">
        <v>6.1</v>
      </c>
    </row>
    <row r="174" spans="1:19" hidden="1">
      <c r="A174" s="2" t="s">
        <v>12</v>
      </c>
      <c r="B174" s="2" t="s">
        <v>200</v>
      </c>
      <c r="C174" s="2" t="s">
        <v>40</v>
      </c>
      <c r="D174" s="2">
        <v>8</v>
      </c>
      <c r="E174" s="2">
        <v>8</v>
      </c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1:19" hidden="1">
      <c r="A175" s="2" t="s">
        <v>12</v>
      </c>
      <c r="B175" s="2" t="s">
        <v>202</v>
      </c>
      <c r="C175" s="2" t="s">
        <v>112</v>
      </c>
      <c r="D175" s="2">
        <v>8</v>
      </c>
      <c r="E175" s="2">
        <v>8</v>
      </c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1:19" hidden="1">
      <c r="A176" s="2" t="s">
        <v>12</v>
      </c>
      <c r="B176" s="2" t="s">
        <v>204</v>
      </c>
      <c r="C176" s="2" t="s">
        <v>9</v>
      </c>
      <c r="D176" s="2">
        <v>8</v>
      </c>
      <c r="E176" s="2">
        <v>8</v>
      </c>
      <c r="F176" s="2"/>
      <c r="G176" s="2"/>
      <c r="H176" s="2" t="s">
        <v>582</v>
      </c>
      <c r="I176" s="2">
        <v>1</v>
      </c>
      <c r="J176" s="2">
        <v>4</v>
      </c>
      <c r="K176" s="2" t="s">
        <v>582</v>
      </c>
      <c r="L176" s="2">
        <v>2</v>
      </c>
      <c r="M176" s="2" t="s">
        <v>582</v>
      </c>
      <c r="N176" s="2" t="s">
        <v>582</v>
      </c>
      <c r="O176" s="2" t="s">
        <v>582</v>
      </c>
      <c r="P176" s="2">
        <v>25</v>
      </c>
      <c r="Q176" s="2">
        <v>13</v>
      </c>
      <c r="R176" s="2">
        <v>6</v>
      </c>
      <c r="S176" s="2">
        <v>6.1</v>
      </c>
    </row>
    <row r="177" spans="1:19">
      <c r="A177" s="2" t="s">
        <v>12</v>
      </c>
      <c r="B177" s="2" t="s">
        <v>207</v>
      </c>
      <c r="C177" s="2" t="s">
        <v>114</v>
      </c>
      <c r="D177" s="2">
        <v>8</v>
      </c>
      <c r="E177" s="2">
        <v>8</v>
      </c>
      <c r="F177" s="2"/>
      <c r="G177" s="2"/>
      <c r="H177" s="2" t="s">
        <v>582</v>
      </c>
      <c r="I177" s="2">
        <v>1</v>
      </c>
      <c r="J177" s="2">
        <v>1</v>
      </c>
      <c r="K177" s="2" t="s">
        <v>582</v>
      </c>
      <c r="L177" s="2">
        <v>1</v>
      </c>
      <c r="M177" s="2" t="s">
        <v>582</v>
      </c>
      <c r="N177" s="2">
        <v>1</v>
      </c>
      <c r="O177" s="2" t="s">
        <v>582</v>
      </c>
      <c r="P177" s="2">
        <v>16</v>
      </c>
      <c r="Q177" s="2">
        <v>7</v>
      </c>
      <c r="R177" s="2">
        <v>6</v>
      </c>
      <c r="S177" s="2">
        <v>6</v>
      </c>
    </row>
    <row r="178" spans="1:19">
      <c r="A178" s="2" t="s">
        <v>12</v>
      </c>
      <c r="B178" s="2" t="s">
        <v>208</v>
      </c>
      <c r="C178" s="2" t="s">
        <v>114</v>
      </c>
      <c r="D178" s="2">
        <v>8</v>
      </c>
      <c r="E178" s="2">
        <v>8</v>
      </c>
      <c r="F178" s="2">
        <v>30</v>
      </c>
      <c r="G178" s="2"/>
      <c r="H178" s="2" t="s">
        <v>582</v>
      </c>
      <c r="I178" s="2" t="s">
        <v>582</v>
      </c>
      <c r="J178" s="2">
        <v>2</v>
      </c>
      <c r="K178" s="2" t="s">
        <v>582</v>
      </c>
      <c r="L178" s="2">
        <v>2</v>
      </c>
      <c r="M178" s="2" t="s">
        <v>582</v>
      </c>
      <c r="N178" s="2" t="s">
        <v>582</v>
      </c>
      <c r="O178" s="2" t="s">
        <v>582</v>
      </c>
      <c r="P178" s="2">
        <v>9</v>
      </c>
      <c r="Q178" s="2">
        <v>4</v>
      </c>
      <c r="R178" s="2">
        <v>6.1</v>
      </c>
      <c r="S178" s="2">
        <v>6.2</v>
      </c>
    </row>
    <row r="179" spans="1:19">
      <c r="A179" s="2" t="s">
        <v>12</v>
      </c>
      <c r="B179" s="2" t="s">
        <v>209</v>
      </c>
      <c r="C179" s="2" t="s">
        <v>114</v>
      </c>
      <c r="D179" s="2">
        <v>8</v>
      </c>
      <c r="E179" s="2">
        <v>8</v>
      </c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1:19" hidden="1">
      <c r="A180" s="2" t="s">
        <v>12</v>
      </c>
      <c r="B180" s="2" t="s">
        <v>215</v>
      </c>
      <c r="C180" s="2" t="s">
        <v>23</v>
      </c>
      <c r="D180" s="2">
        <v>8</v>
      </c>
      <c r="E180" s="2">
        <v>8</v>
      </c>
      <c r="F180" s="2"/>
      <c r="G180" s="2"/>
      <c r="H180" s="2" t="s">
        <v>582</v>
      </c>
      <c r="I180" s="2" t="s">
        <v>582</v>
      </c>
      <c r="J180" s="2">
        <v>13</v>
      </c>
      <c r="K180" s="2" t="s">
        <v>582</v>
      </c>
      <c r="L180" s="2">
        <v>3</v>
      </c>
      <c r="M180" s="2" t="s">
        <v>582</v>
      </c>
      <c r="N180" s="2" t="s">
        <v>582</v>
      </c>
      <c r="O180" s="2" t="s">
        <v>582</v>
      </c>
      <c r="P180" s="2">
        <v>33</v>
      </c>
      <c r="Q180" s="2">
        <v>29</v>
      </c>
      <c r="R180" s="2">
        <v>6.3</v>
      </c>
      <c r="S180" s="2">
        <v>6.2</v>
      </c>
    </row>
    <row r="181" spans="1:19" hidden="1">
      <c r="A181" s="2" t="s">
        <v>12</v>
      </c>
      <c r="B181" s="2" t="s">
        <v>218</v>
      </c>
      <c r="C181" s="2" t="s">
        <v>45</v>
      </c>
      <c r="D181" s="2">
        <v>8</v>
      </c>
      <c r="E181" s="2">
        <v>8</v>
      </c>
      <c r="F181" s="2"/>
      <c r="G181" s="2"/>
      <c r="H181" s="2" t="s">
        <v>582</v>
      </c>
      <c r="I181" s="2" t="s">
        <v>582</v>
      </c>
      <c r="J181" s="2" t="s">
        <v>582</v>
      </c>
      <c r="K181" s="2" t="s">
        <v>582</v>
      </c>
      <c r="L181" s="2">
        <v>4</v>
      </c>
      <c r="M181" s="2" t="s">
        <v>582</v>
      </c>
      <c r="N181" s="2" t="s">
        <v>582</v>
      </c>
      <c r="O181" s="2" t="s">
        <v>582</v>
      </c>
      <c r="P181" s="2">
        <v>21</v>
      </c>
      <c r="Q181" s="2">
        <v>12</v>
      </c>
      <c r="R181" s="2">
        <v>6</v>
      </c>
      <c r="S181" s="2">
        <v>6.1</v>
      </c>
    </row>
    <row r="182" spans="1:19" hidden="1">
      <c r="A182" s="2" t="s">
        <v>12</v>
      </c>
      <c r="B182" s="2" t="s">
        <v>220</v>
      </c>
      <c r="C182" s="2" t="s">
        <v>19</v>
      </c>
      <c r="D182" s="2">
        <v>8</v>
      </c>
      <c r="E182" s="2">
        <v>8</v>
      </c>
      <c r="F182" s="2"/>
      <c r="G182" s="2"/>
      <c r="H182" s="2" t="s">
        <v>582</v>
      </c>
      <c r="I182" s="2" t="s">
        <v>582</v>
      </c>
      <c r="J182" s="2">
        <v>3</v>
      </c>
      <c r="K182" s="2" t="s">
        <v>582</v>
      </c>
      <c r="L182" s="2" t="s">
        <v>582</v>
      </c>
      <c r="M182" s="2" t="s">
        <v>582</v>
      </c>
      <c r="N182" s="2" t="s">
        <v>582</v>
      </c>
      <c r="O182" s="2" t="s">
        <v>582</v>
      </c>
      <c r="P182" s="2">
        <v>18</v>
      </c>
      <c r="Q182" s="2">
        <v>8</v>
      </c>
      <c r="R182" s="2">
        <v>5.7</v>
      </c>
      <c r="S182" s="2">
        <v>5.6</v>
      </c>
    </row>
    <row r="183" spans="1:19" hidden="1">
      <c r="A183" s="2" t="s">
        <v>12</v>
      </c>
      <c r="B183" s="2" t="s">
        <v>223</v>
      </c>
      <c r="C183" s="2" t="s">
        <v>26</v>
      </c>
      <c r="D183" s="2">
        <v>8</v>
      </c>
      <c r="E183" s="2">
        <v>8</v>
      </c>
      <c r="F183" s="2"/>
      <c r="G183" s="2"/>
      <c r="H183" s="2" t="s">
        <v>582</v>
      </c>
      <c r="I183" s="2">
        <v>3</v>
      </c>
      <c r="J183" s="2">
        <v>2</v>
      </c>
      <c r="K183" s="2" t="s">
        <v>582</v>
      </c>
      <c r="L183" s="2">
        <v>4</v>
      </c>
      <c r="M183" s="2" t="s">
        <v>582</v>
      </c>
      <c r="N183" s="2" t="s">
        <v>582</v>
      </c>
      <c r="O183" s="2" t="s">
        <v>582</v>
      </c>
      <c r="P183" s="2">
        <v>24</v>
      </c>
      <c r="Q183" s="2">
        <v>12</v>
      </c>
      <c r="R183" s="2">
        <v>6</v>
      </c>
      <c r="S183" s="2">
        <v>6.5</v>
      </c>
    </row>
    <row r="184" spans="1:19" hidden="1">
      <c r="A184" s="2" t="s">
        <v>12</v>
      </c>
      <c r="B184" s="2" t="s">
        <v>224</v>
      </c>
      <c r="C184" s="2" t="s">
        <v>26</v>
      </c>
      <c r="D184" s="2">
        <v>8</v>
      </c>
      <c r="E184" s="2">
        <v>8</v>
      </c>
      <c r="F184" s="2"/>
      <c r="G184" s="2"/>
      <c r="H184" s="2" t="s">
        <v>582</v>
      </c>
      <c r="I184" s="2">
        <v>1</v>
      </c>
      <c r="J184" s="2">
        <v>2</v>
      </c>
      <c r="K184" s="2" t="s">
        <v>582</v>
      </c>
      <c r="L184" s="2">
        <v>1</v>
      </c>
      <c r="M184" s="2" t="s">
        <v>582</v>
      </c>
      <c r="N184" s="2" t="s">
        <v>582</v>
      </c>
      <c r="O184" s="2" t="s">
        <v>582</v>
      </c>
      <c r="P184" s="2">
        <v>23</v>
      </c>
      <c r="Q184" s="2">
        <v>5</v>
      </c>
      <c r="R184" s="2">
        <v>5.9</v>
      </c>
      <c r="S184" s="2">
        <v>6</v>
      </c>
    </row>
    <row r="185" spans="1:19" hidden="1">
      <c r="A185" s="2" t="s">
        <v>12</v>
      </c>
      <c r="B185" s="2" t="s">
        <v>225</v>
      </c>
      <c r="C185" s="2" t="s">
        <v>38</v>
      </c>
      <c r="D185" s="2">
        <v>8</v>
      </c>
      <c r="E185" s="2">
        <v>8</v>
      </c>
      <c r="F185" s="2">
        <v>20</v>
      </c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1:19" hidden="1">
      <c r="A186" s="2" t="s">
        <v>12</v>
      </c>
      <c r="B186" s="2" t="s">
        <v>237</v>
      </c>
      <c r="C186" s="2" t="s">
        <v>112</v>
      </c>
      <c r="D186" s="2">
        <v>7</v>
      </c>
      <c r="E186" s="2">
        <v>7</v>
      </c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1:19" hidden="1">
      <c r="A187" s="2" t="s">
        <v>12</v>
      </c>
      <c r="B187" s="2" t="s">
        <v>243</v>
      </c>
      <c r="C187" s="2" t="s">
        <v>7</v>
      </c>
      <c r="D187" s="2">
        <v>7</v>
      </c>
      <c r="E187" s="2">
        <v>7</v>
      </c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1:19" hidden="1">
      <c r="A188" s="2" t="s">
        <v>12</v>
      </c>
      <c r="B188" s="2" t="s">
        <v>247</v>
      </c>
      <c r="C188" s="2" t="s">
        <v>21</v>
      </c>
      <c r="D188" s="2">
        <v>7</v>
      </c>
      <c r="E188" s="2">
        <v>7</v>
      </c>
      <c r="F188" s="2"/>
      <c r="G188" s="2"/>
      <c r="H188" s="2" t="s">
        <v>582</v>
      </c>
      <c r="I188" s="2">
        <v>5</v>
      </c>
      <c r="J188" s="2">
        <v>4</v>
      </c>
      <c r="K188" s="2" t="s">
        <v>582</v>
      </c>
      <c r="L188" s="2">
        <v>2</v>
      </c>
      <c r="M188" s="2" t="s">
        <v>582</v>
      </c>
      <c r="N188" s="2" t="s">
        <v>582</v>
      </c>
      <c r="O188" s="2" t="s">
        <v>582</v>
      </c>
      <c r="P188" s="2">
        <v>28</v>
      </c>
      <c r="Q188" s="2">
        <v>18</v>
      </c>
      <c r="R188" s="2">
        <v>5.9</v>
      </c>
      <c r="S188" s="2">
        <v>6.5</v>
      </c>
    </row>
    <row r="189" spans="1:19" hidden="1">
      <c r="A189" s="2" t="s">
        <v>12</v>
      </c>
      <c r="B189" s="2" t="s">
        <v>249</v>
      </c>
      <c r="C189" s="2" t="s">
        <v>45</v>
      </c>
      <c r="D189" s="2">
        <v>7</v>
      </c>
      <c r="E189" s="2">
        <v>7</v>
      </c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1:19" hidden="1">
      <c r="A190" s="2" t="s">
        <v>12</v>
      </c>
      <c r="B190" s="2" t="s">
        <v>252</v>
      </c>
      <c r="C190" s="2" t="s">
        <v>11</v>
      </c>
      <c r="D190" s="2">
        <v>7</v>
      </c>
      <c r="E190" s="2">
        <v>7</v>
      </c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1:19" hidden="1">
      <c r="A191" s="2" t="s">
        <v>12</v>
      </c>
      <c r="B191" s="2" t="s">
        <v>255</v>
      </c>
      <c r="C191" s="2" t="s">
        <v>104</v>
      </c>
      <c r="D191" s="2">
        <v>7</v>
      </c>
      <c r="E191" s="2">
        <v>7</v>
      </c>
      <c r="F191" s="2"/>
      <c r="G191" s="2"/>
      <c r="H191" s="2" t="s">
        <v>582</v>
      </c>
      <c r="I191" s="2">
        <v>3</v>
      </c>
      <c r="J191" s="2">
        <v>7</v>
      </c>
      <c r="K191" s="2" t="s">
        <v>582</v>
      </c>
      <c r="L191" s="2">
        <v>3</v>
      </c>
      <c r="M191" s="2">
        <v>3</v>
      </c>
      <c r="N191" s="2" t="s">
        <v>582</v>
      </c>
      <c r="O191" s="2" t="s">
        <v>582</v>
      </c>
      <c r="P191" s="2">
        <v>25</v>
      </c>
      <c r="Q191" s="2">
        <v>14</v>
      </c>
      <c r="R191" s="2">
        <v>5.9</v>
      </c>
      <c r="S191" s="2">
        <v>6.3</v>
      </c>
    </row>
    <row r="192" spans="1:19" hidden="1">
      <c r="A192" s="2" t="s">
        <v>12</v>
      </c>
      <c r="B192" s="2" t="s">
        <v>257</v>
      </c>
      <c r="C192" s="2" t="s">
        <v>26</v>
      </c>
      <c r="D192" s="2">
        <v>7</v>
      </c>
      <c r="E192" s="2">
        <v>7</v>
      </c>
      <c r="F192" s="2"/>
      <c r="G192" s="2"/>
      <c r="H192" s="2" t="s">
        <v>582</v>
      </c>
      <c r="I192" s="2">
        <v>2</v>
      </c>
      <c r="J192" s="2">
        <v>7</v>
      </c>
      <c r="K192" s="2" t="s">
        <v>582</v>
      </c>
      <c r="L192" s="2">
        <v>1</v>
      </c>
      <c r="M192" s="2" t="s">
        <v>582</v>
      </c>
      <c r="N192" s="2" t="s">
        <v>582</v>
      </c>
      <c r="O192" s="2" t="s">
        <v>582</v>
      </c>
      <c r="P192" s="2">
        <v>25</v>
      </c>
      <c r="Q192" s="2">
        <v>11</v>
      </c>
      <c r="R192" s="2">
        <v>5.9</v>
      </c>
      <c r="S192" s="2">
        <v>6.1</v>
      </c>
    </row>
    <row r="193" spans="1:19" hidden="1">
      <c r="A193" s="2" t="s">
        <v>12</v>
      </c>
      <c r="B193" s="2" t="s">
        <v>261</v>
      </c>
      <c r="C193" s="2" t="s">
        <v>48</v>
      </c>
      <c r="D193" s="2">
        <v>7</v>
      </c>
      <c r="E193" s="2">
        <v>7</v>
      </c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1:19" hidden="1">
      <c r="A194" s="2" t="s">
        <v>12</v>
      </c>
      <c r="B194" s="2" t="s">
        <v>265</v>
      </c>
      <c r="C194" s="2" t="s">
        <v>190</v>
      </c>
      <c r="D194" s="2">
        <v>7</v>
      </c>
      <c r="E194" s="2">
        <v>7</v>
      </c>
      <c r="F194" s="2">
        <v>30</v>
      </c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1:19" hidden="1">
      <c r="A195" s="2" t="s">
        <v>12</v>
      </c>
      <c r="B195" s="2" t="s">
        <v>268</v>
      </c>
      <c r="C195" s="2" t="s">
        <v>59</v>
      </c>
      <c r="D195" s="2">
        <v>6</v>
      </c>
      <c r="E195" s="2">
        <v>6</v>
      </c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1:19" hidden="1">
      <c r="A196" s="2" t="s">
        <v>12</v>
      </c>
      <c r="B196" s="2" t="s">
        <v>271</v>
      </c>
      <c r="C196" s="2" t="s">
        <v>7</v>
      </c>
      <c r="D196" s="2">
        <v>6</v>
      </c>
      <c r="E196" s="2">
        <v>6</v>
      </c>
      <c r="F196" s="2"/>
      <c r="G196" s="2"/>
      <c r="H196" s="2" t="s">
        <v>582</v>
      </c>
      <c r="I196" s="2">
        <v>1</v>
      </c>
      <c r="J196" s="2">
        <v>4</v>
      </c>
      <c r="K196" s="2" t="s">
        <v>582</v>
      </c>
      <c r="L196" s="2" t="s">
        <v>582</v>
      </c>
      <c r="M196" s="2" t="s">
        <v>582</v>
      </c>
      <c r="N196" s="2" t="s">
        <v>582</v>
      </c>
      <c r="O196" s="2" t="s">
        <v>582</v>
      </c>
      <c r="P196" s="2">
        <v>19</v>
      </c>
      <c r="Q196" s="2">
        <v>7</v>
      </c>
      <c r="R196" s="2">
        <v>5.8</v>
      </c>
      <c r="S196" s="2">
        <v>5.8</v>
      </c>
    </row>
    <row r="197" spans="1:19" hidden="1">
      <c r="A197" s="2" t="s">
        <v>12</v>
      </c>
      <c r="B197" s="2" t="s">
        <v>272</v>
      </c>
      <c r="C197" s="2" t="s">
        <v>23</v>
      </c>
      <c r="D197" s="2">
        <v>6</v>
      </c>
      <c r="E197" s="2">
        <v>6</v>
      </c>
      <c r="F197" s="2"/>
      <c r="G197" s="2"/>
      <c r="H197" s="2" t="s">
        <v>582</v>
      </c>
      <c r="I197" s="2">
        <v>2</v>
      </c>
      <c r="J197" s="2">
        <v>7</v>
      </c>
      <c r="K197" s="2" t="s">
        <v>582</v>
      </c>
      <c r="L197" s="2">
        <v>3</v>
      </c>
      <c r="M197" s="2" t="s">
        <v>582</v>
      </c>
      <c r="N197" s="2" t="s">
        <v>582</v>
      </c>
      <c r="O197" s="2" t="s">
        <v>582</v>
      </c>
      <c r="P197" s="2">
        <v>19</v>
      </c>
      <c r="Q197" s="2">
        <v>6</v>
      </c>
      <c r="R197" s="2">
        <v>6.1</v>
      </c>
      <c r="S197" s="2">
        <v>6.4</v>
      </c>
    </row>
    <row r="198" spans="1:19" hidden="1">
      <c r="A198" s="2" t="s">
        <v>12</v>
      </c>
      <c r="B198" s="2" t="s">
        <v>274</v>
      </c>
      <c r="C198" s="2" t="s">
        <v>45</v>
      </c>
      <c r="D198" s="2">
        <v>6</v>
      </c>
      <c r="E198" s="2">
        <v>6</v>
      </c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1:19" hidden="1">
      <c r="A199" s="2" t="s">
        <v>12</v>
      </c>
      <c r="B199" s="2" t="s">
        <v>275</v>
      </c>
      <c r="C199" s="2" t="s">
        <v>45</v>
      </c>
      <c r="D199" s="2">
        <v>6</v>
      </c>
      <c r="E199" s="2">
        <v>6</v>
      </c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1:19" hidden="1">
      <c r="A200" s="2" t="s">
        <v>12</v>
      </c>
      <c r="B200" s="2" t="s">
        <v>276</v>
      </c>
      <c r="C200" s="2" t="s">
        <v>45</v>
      </c>
      <c r="D200" s="2">
        <v>6</v>
      </c>
      <c r="E200" s="2">
        <v>6</v>
      </c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1:19" hidden="1">
      <c r="A201" s="2" t="s">
        <v>12</v>
      </c>
      <c r="B201" s="2" t="s">
        <v>278</v>
      </c>
      <c r="C201" s="2" t="s">
        <v>19</v>
      </c>
      <c r="D201" s="2">
        <v>6</v>
      </c>
      <c r="E201" s="2">
        <v>6</v>
      </c>
      <c r="F201" s="2"/>
      <c r="G201" s="2"/>
      <c r="H201" s="2" t="s">
        <v>582</v>
      </c>
      <c r="I201" s="2" t="s">
        <v>582</v>
      </c>
      <c r="J201" s="2">
        <v>5</v>
      </c>
      <c r="K201" s="2" t="s">
        <v>582</v>
      </c>
      <c r="L201" s="2">
        <v>2</v>
      </c>
      <c r="M201" s="2" t="s">
        <v>582</v>
      </c>
      <c r="N201" s="2" t="s">
        <v>582</v>
      </c>
      <c r="O201" s="2" t="s">
        <v>582</v>
      </c>
      <c r="P201" s="2">
        <v>26</v>
      </c>
      <c r="Q201" s="2">
        <v>16</v>
      </c>
      <c r="R201" s="2">
        <v>5.6</v>
      </c>
      <c r="S201" s="2">
        <v>5.5</v>
      </c>
    </row>
    <row r="202" spans="1:19" hidden="1">
      <c r="A202" s="2" t="s">
        <v>12</v>
      </c>
      <c r="B202" s="2" t="s">
        <v>279</v>
      </c>
      <c r="C202" s="2" t="s">
        <v>104</v>
      </c>
      <c r="D202" s="2">
        <v>6</v>
      </c>
      <c r="E202" s="2">
        <v>6</v>
      </c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1:19" hidden="1">
      <c r="A203" s="2" t="s">
        <v>12</v>
      </c>
      <c r="B203" s="2" t="s">
        <v>280</v>
      </c>
      <c r="C203" s="2" t="s">
        <v>579</v>
      </c>
      <c r="D203" s="2">
        <v>6</v>
      </c>
      <c r="E203" s="2">
        <v>6</v>
      </c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1:19" hidden="1">
      <c r="A204" s="2" t="s">
        <v>12</v>
      </c>
      <c r="B204" s="2" t="s">
        <v>281</v>
      </c>
      <c r="C204" s="2" t="s">
        <v>579</v>
      </c>
      <c r="D204" s="2">
        <v>6</v>
      </c>
      <c r="E204" s="2">
        <v>6</v>
      </c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1:19" hidden="1">
      <c r="A205" s="2" t="s">
        <v>12</v>
      </c>
      <c r="B205" s="2" t="s">
        <v>282</v>
      </c>
      <c r="C205" s="2" t="s">
        <v>579</v>
      </c>
      <c r="D205" s="2">
        <v>6</v>
      </c>
      <c r="E205" s="2">
        <v>6</v>
      </c>
      <c r="F205" s="2">
        <v>30</v>
      </c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1:19" hidden="1">
      <c r="A206" s="2" t="s">
        <v>12</v>
      </c>
      <c r="B206" s="2" t="s">
        <v>284</v>
      </c>
      <c r="C206" s="2" t="s">
        <v>38</v>
      </c>
      <c r="D206" s="2">
        <v>6</v>
      </c>
      <c r="E206" s="2">
        <v>6</v>
      </c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1:19" hidden="1">
      <c r="A207" s="2" t="s">
        <v>12</v>
      </c>
      <c r="B207" s="2" t="s">
        <v>285</v>
      </c>
      <c r="C207" s="2" t="s">
        <v>38</v>
      </c>
      <c r="D207" s="2">
        <v>6</v>
      </c>
      <c r="E207" s="2">
        <v>6</v>
      </c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1:19" hidden="1">
      <c r="A208" s="2" t="s">
        <v>12</v>
      </c>
      <c r="B208" s="2" t="s">
        <v>286</v>
      </c>
      <c r="C208" s="2" t="s">
        <v>38</v>
      </c>
      <c r="D208" s="2">
        <v>6</v>
      </c>
      <c r="E208" s="2">
        <v>6</v>
      </c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1:19" hidden="1">
      <c r="A209" s="2" t="s">
        <v>12</v>
      </c>
      <c r="B209" s="2" t="s">
        <v>289</v>
      </c>
      <c r="C209" s="2" t="s">
        <v>72</v>
      </c>
      <c r="D209" s="2">
        <v>6</v>
      </c>
      <c r="E209" s="2">
        <v>6</v>
      </c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1:19" hidden="1">
      <c r="A210" s="2" t="s">
        <v>12</v>
      </c>
      <c r="B210" s="2" t="s">
        <v>290</v>
      </c>
      <c r="C210" s="2" t="s">
        <v>72</v>
      </c>
      <c r="D210" s="2">
        <v>6</v>
      </c>
      <c r="E210" s="2">
        <v>6</v>
      </c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1:19" hidden="1">
      <c r="A211" s="2" t="s">
        <v>12</v>
      </c>
      <c r="B211" s="2" t="s">
        <v>295</v>
      </c>
      <c r="C211" s="2" t="s">
        <v>59</v>
      </c>
      <c r="D211" s="2">
        <v>5</v>
      </c>
      <c r="E211" s="2">
        <v>5</v>
      </c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1:19" hidden="1">
      <c r="A212" s="2" t="s">
        <v>12</v>
      </c>
      <c r="B212" s="2" t="s">
        <v>296</v>
      </c>
      <c r="C212" s="2" t="s">
        <v>59</v>
      </c>
      <c r="D212" s="2">
        <v>5</v>
      </c>
      <c r="E212" s="2">
        <v>5</v>
      </c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1:19" hidden="1">
      <c r="A213" s="2" t="s">
        <v>12</v>
      </c>
      <c r="B213" s="2" t="s">
        <v>303</v>
      </c>
      <c r="C213" s="2" t="s">
        <v>112</v>
      </c>
      <c r="D213" s="2">
        <v>5</v>
      </c>
      <c r="E213" s="2">
        <v>5</v>
      </c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1:19">
      <c r="A214" s="2" t="s">
        <v>12</v>
      </c>
      <c r="B214" s="2" t="s">
        <v>308</v>
      </c>
      <c r="C214" s="2" t="s">
        <v>114</v>
      </c>
      <c r="D214" s="2">
        <v>5</v>
      </c>
      <c r="E214" s="2">
        <v>5</v>
      </c>
      <c r="F214" s="2"/>
      <c r="G214" s="2"/>
      <c r="H214" s="2" t="s">
        <v>582</v>
      </c>
      <c r="I214" s="2">
        <v>1</v>
      </c>
      <c r="J214" s="2">
        <v>2</v>
      </c>
      <c r="K214" s="2" t="s">
        <v>582</v>
      </c>
      <c r="L214" s="2" t="s">
        <v>582</v>
      </c>
      <c r="M214" s="2" t="s">
        <v>582</v>
      </c>
      <c r="N214" s="2" t="s">
        <v>582</v>
      </c>
      <c r="O214" s="2" t="s">
        <v>582</v>
      </c>
      <c r="P214" s="2">
        <v>23</v>
      </c>
      <c r="Q214" s="2">
        <v>14</v>
      </c>
      <c r="R214" s="2">
        <v>6.1</v>
      </c>
      <c r="S214" s="2">
        <v>6.1</v>
      </c>
    </row>
    <row r="215" spans="1:19">
      <c r="A215" s="2" t="s">
        <v>12</v>
      </c>
      <c r="B215" s="2" t="s">
        <v>309</v>
      </c>
      <c r="C215" s="2" t="s">
        <v>114</v>
      </c>
      <c r="D215" s="2">
        <v>5</v>
      </c>
      <c r="E215" s="2">
        <v>5</v>
      </c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1:19">
      <c r="A216" s="2" t="s">
        <v>12</v>
      </c>
      <c r="B216" s="2" t="s">
        <v>310</v>
      </c>
      <c r="C216" s="2" t="s">
        <v>114</v>
      </c>
      <c r="D216" s="2">
        <v>5</v>
      </c>
      <c r="E216" s="2">
        <v>5</v>
      </c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1:19" hidden="1">
      <c r="A217" s="2" t="s">
        <v>12</v>
      </c>
      <c r="B217" s="2" t="s">
        <v>313</v>
      </c>
      <c r="C217" s="2" t="s">
        <v>21</v>
      </c>
      <c r="D217" s="2">
        <v>5</v>
      </c>
      <c r="E217" s="2">
        <v>5</v>
      </c>
      <c r="F217" s="2"/>
      <c r="G217" s="2"/>
      <c r="H217" s="2" t="s">
        <v>582</v>
      </c>
      <c r="I217" s="2">
        <v>3</v>
      </c>
      <c r="J217" s="2">
        <v>2</v>
      </c>
      <c r="K217" s="2" t="s">
        <v>582</v>
      </c>
      <c r="L217" s="2">
        <v>3</v>
      </c>
      <c r="M217" s="2" t="s">
        <v>582</v>
      </c>
      <c r="N217" s="2" t="s">
        <v>582</v>
      </c>
      <c r="O217" s="2" t="s">
        <v>582</v>
      </c>
      <c r="P217" s="2">
        <v>25</v>
      </c>
      <c r="Q217" s="2">
        <v>23</v>
      </c>
      <c r="R217" s="2">
        <v>5.8</v>
      </c>
      <c r="S217" s="2">
        <v>6.3</v>
      </c>
    </row>
    <row r="218" spans="1:19" hidden="1">
      <c r="A218" s="2" t="s">
        <v>12</v>
      </c>
      <c r="B218" s="2" t="s">
        <v>314</v>
      </c>
      <c r="C218" s="2" t="s">
        <v>23</v>
      </c>
      <c r="D218" s="2">
        <v>5</v>
      </c>
      <c r="E218" s="2">
        <v>5</v>
      </c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1:19" hidden="1">
      <c r="A219" s="2" t="s">
        <v>12</v>
      </c>
      <c r="B219" s="2" t="s">
        <v>320</v>
      </c>
      <c r="C219" s="2" t="s">
        <v>104</v>
      </c>
      <c r="D219" s="2">
        <v>5</v>
      </c>
      <c r="E219" s="2">
        <v>5</v>
      </c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1:19" hidden="1">
      <c r="A220" s="2" t="s">
        <v>12</v>
      </c>
      <c r="B220" s="2" t="s">
        <v>326</v>
      </c>
      <c r="C220" s="2" t="s">
        <v>38</v>
      </c>
      <c r="D220" s="2">
        <v>5</v>
      </c>
      <c r="E220" s="2">
        <v>5</v>
      </c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1:19" hidden="1">
      <c r="A221" s="2" t="s">
        <v>12</v>
      </c>
      <c r="B221" s="2" t="s">
        <v>329</v>
      </c>
      <c r="C221" s="2" t="s">
        <v>48</v>
      </c>
      <c r="D221" s="2">
        <v>5</v>
      </c>
      <c r="E221" s="2">
        <v>5</v>
      </c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1:19" hidden="1">
      <c r="A222" s="2" t="s">
        <v>12</v>
      </c>
      <c r="B222" s="2" t="s">
        <v>330</v>
      </c>
      <c r="C222" s="2" t="s">
        <v>48</v>
      </c>
      <c r="D222" s="2">
        <v>5</v>
      </c>
      <c r="E222" s="2">
        <v>5</v>
      </c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1:19" hidden="1">
      <c r="A223" s="2" t="s">
        <v>12</v>
      </c>
      <c r="B223" s="2" t="s">
        <v>335</v>
      </c>
      <c r="C223" s="2" t="s">
        <v>190</v>
      </c>
      <c r="D223" s="2">
        <v>5</v>
      </c>
      <c r="E223" s="2">
        <v>5</v>
      </c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1:19" hidden="1">
      <c r="A224" s="2" t="s">
        <v>12</v>
      </c>
      <c r="B224" s="2" t="s">
        <v>337</v>
      </c>
      <c r="C224" s="2" t="s">
        <v>59</v>
      </c>
      <c r="D224" s="2">
        <v>5</v>
      </c>
      <c r="E224" s="2">
        <v>5</v>
      </c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1:19" hidden="1">
      <c r="A225" s="2" t="s">
        <v>12</v>
      </c>
      <c r="B225" s="2" t="s">
        <v>338</v>
      </c>
      <c r="C225" s="2" t="s">
        <v>16</v>
      </c>
      <c r="D225" s="2">
        <v>4</v>
      </c>
      <c r="E225" s="2">
        <v>4</v>
      </c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1:19" hidden="1">
      <c r="A226" s="2" t="s">
        <v>12</v>
      </c>
      <c r="B226" s="2" t="s">
        <v>341</v>
      </c>
      <c r="C226" s="2" t="s">
        <v>14</v>
      </c>
      <c r="D226" s="2">
        <v>4</v>
      </c>
      <c r="E226" s="2">
        <v>4</v>
      </c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1:19" hidden="1">
      <c r="A227" s="2" t="s">
        <v>12</v>
      </c>
      <c r="B227" s="2" t="s">
        <v>346</v>
      </c>
      <c r="C227" s="2" t="s">
        <v>40</v>
      </c>
      <c r="D227" s="2">
        <v>4</v>
      </c>
      <c r="E227" s="2">
        <v>4</v>
      </c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1:19" hidden="1">
      <c r="A228" s="2" t="s">
        <v>12</v>
      </c>
      <c r="B228" s="2" t="s">
        <v>349</v>
      </c>
      <c r="C228" s="2" t="s">
        <v>112</v>
      </c>
      <c r="D228" s="2">
        <v>4</v>
      </c>
      <c r="E228" s="2">
        <v>4</v>
      </c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1:19" hidden="1">
      <c r="A229" s="2" t="s">
        <v>12</v>
      </c>
      <c r="B229" s="2" t="s">
        <v>351</v>
      </c>
      <c r="C229" s="2" t="s">
        <v>9</v>
      </c>
      <c r="D229" s="2">
        <v>4</v>
      </c>
      <c r="E229" s="2">
        <v>4</v>
      </c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1:19" hidden="1">
      <c r="A230" s="2" t="s">
        <v>12</v>
      </c>
      <c r="B230" s="2" t="s">
        <v>353</v>
      </c>
      <c r="C230" s="2" t="s">
        <v>7</v>
      </c>
      <c r="D230" s="2">
        <v>4</v>
      </c>
      <c r="E230" s="2">
        <v>4</v>
      </c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1:19" hidden="1">
      <c r="A231" s="2" t="s">
        <v>12</v>
      </c>
      <c r="B231" s="2" t="s">
        <v>354</v>
      </c>
      <c r="C231" s="2" t="s">
        <v>7</v>
      </c>
      <c r="D231" s="2">
        <v>4</v>
      </c>
      <c r="E231" s="2">
        <v>4</v>
      </c>
      <c r="F231" s="2"/>
      <c r="G231" s="2"/>
      <c r="H231" s="2" t="s">
        <v>582</v>
      </c>
      <c r="I231" s="2">
        <v>2</v>
      </c>
      <c r="J231" s="2" t="s">
        <v>582</v>
      </c>
      <c r="K231" s="2" t="s">
        <v>582</v>
      </c>
      <c r="L231" s="2">
        <v>2</v>
      </c>
      <c r="M231" s="2">
        <v>2</v>
      </c>
      <c r="N231" s="2" t="s">
        <v>582</v>
      </c>
      <c r="O231" s="2" t="s">
        <v>582</v>
      </c>
      <c r="P231" s="2">
        <v>23</v>
      </c>
      <c r="Q231" s="2">
        <v>8</v>
      </c>
      <c r="R231" s="2">
        <v>5.9</v>
      </c>
      <c r="S231" s="2">
        <v>6.3</v>
      </c>
    </row>
    <row r="232" spans="1:19" hidden="1">
      <c r="A232" s="2" t="s">
        <v>12</v>
      </c>
      <c r="B232" s="2" t="s">
        <v>356</v>
      </c>
      <c r="C232" s="2" t="s">
        <v>21</v>
      </c>
      <c r="D232" s="2">
        <v>4</v>
      </c>
      <c r="E232" s="2">
        <v>4</v>
      </c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1:19" hidden="1">
      <c r="A233" s="2" t="s">
        <v>12</v>
      </c>
      <c r="B233" s="2" t="s">
        <v>360</v>
      </c>
      <c r="C233" s="2" t="s">
        <v>23</v>
      </c>
      <c r="D233" s="2">
        <v>4</v>
      </c>
      <c r="E233" s="2">
        <v>4</v>
      </c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1:19" hidden="1">
      <c r="A234" s="2" t="s">
        <v>12</v>
      </c>
      <c r="B234" s="2" t="s">
        <v>363</v>
      </c>
      <c r="C234" s="2" t="s">
        <v>19</v>
      </c>
      <c r="D234" s="2">
        <v>4</v>
      </c>
      <c r="E234" s="2">
        <v>4</v>
      </c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1:19" hidden="1">
      <c r="A235" s="2" t="s">
        <v>12</v>
      </c>
      <c r="B235" s="2" t="s">
        <v>373</v>
      </c>
      <c r="C235" s="2" t="s">
        <v>38</v>
      </c>
      <c r="D235" s="2">
        <v>4</v>
      </c>
      <c r="E235" s="2">
        <v>4</v>
      </c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1:19" hidden="1">
      <c r="A236" s="2" t="s">
        <v>12</v>
      </c>
      <c r="B236" s="2" t="s">
        <v>374</v>
      </c>
      <c r="C236" s="2" t="s">
        <v>38</v>
      </c>
      <c r="D236" s="2">
        <v>4</v>
      </c>
      <c r="E236" s="2">
        <v>4</v>
      </c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1:19" hidden="1">
      <c r="A237" s="2" t="s">
        <v>12</v>
      </c>
      <c r="B237" s="2" t="s">
        <v>377</v>
      </c>
      <c r="C237" s="2" t="s">
        <v>72</v>
      </c>
      <c r="D237" s="2">
        <v>4</v>
      </c>
      <c r="E237" s="2">
        <v>4</v>
      </c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1:19" hidden="1">
      <c r="A238" s="2" t="s">
        <v>12</v>
      </c>
      <c r="B238" s="2" t="s">
        <v>382</v>
      </c>
      <c r="C238" s="2" t="s">
        <v>190</v>
      </c>
      <c r="D238" s="2">
        <v>4</v>
      </c>
      <c r="E238" s="2">
        <v>4</v>
      </c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1:19" hidden="1">
      <c r="A239" s="2" t="s">
        <v>12</v>
      </c>
      <c r="B239" s="2" t="s">
        <v>383</v>
      </c>
      <c r="C239" s="2" t="s">
        <v>190</v>
      </c>
      <c r="D239" s="2">
        <v>4</v>
      </c>
      <c r="E239" s="2">
        <v>4</v>
      </c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1:19" hidden="1">
      <c r="A240" s="2" t="s">
        <v>12</v>
      </c>
      <c r="B240" s="2" t="s">
        <v>388</v>
      </c>
      <c r="C240" s="2" t="s">
        <v>14</v>
      </c>
      <c r="D240" s="2">
        <v>3</v>
      </c>
      <c r="E240" s="2">
        <v>3</v>
      </c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1:19" hidden="1">
      <c r="A241" s="2" t="s">
        <v>12</v>
      </c>
      <c r="B241" s="2" t="s">
        <v>389</v>
      </c>
      <c r="C241" s="2" t="s">
        <v>14</v>
      </c>
      <c r="D241" s="2">
        <v>3</v>
      </c>
      <c r="E241" s="2">
        <v>3</v>
      </c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1:19" hidden="1">
      <c r="A242" s="2" t="s">
        <v>12</v>
      </c>
      <c r="B242" s="2" t="s">
        <v>392</v>
      </c>
      <c r="C242" s="2" t="s">
        <v>59</v>
      </c>
      <c r="D242" s="2">
        <v>3</v>
      </c>
      <c r="E242" s="2">
        <v>3</v>
      </c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1:19" hidden="1">
      <c r="A243" s="2" t="s">
        <v>12</v>
      </c>
      <c r="B243" s="2" t="s">
        <v>397</v>
      </c>
      <c r="C243" s="2" t="s">
        <v>112</v>
      </c>
      <c r="D243" s="2">
        <v>3</v>
      </c>
      <c r="E243" s="2">
        <v>3</v>
      </c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1:19">
      <c r="A244" s="2" t="s">
        <v>12</v>
      </c>
      <c r="B244" s="2" t="s">
        <v>402</v>
      </c>
      <c r="C244" s="2" t="s">
        <v>114</v>
      </c>
      <c r="D244" s="2">
        <v>3</v>
      </c>
      <c r="E244" s="2">
        <v>3</v>
      </c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1:19" hidden="1">
      <c r="A245" s="2" t="s">
        <v>12</v>
      </c>
      <c r="B245" s="2" t="s">
        <v>405</v>
      </c>
      <c r="C245" s="2" t="s">
        <v>21</v>
      </c>
      <c r="D245" s="2">
        <v>3</v>
      </c>
      <c r="E245" s="2">
        <v>3</v>
      </c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1:19" hidden="1">
      <c r="A246" s="2" t="s">
        <v>12</v>
      </c>
      <c r="B246" s="2" t="s">
        <v>412</v>
      </c>
      <c r="C246" s="2" t="s">
        <v>45</v>
      </c>
      <c r="D246" s="2">
        <v>3</v>
      </c>
      <c r="E246" s="2">
        <v>3</v>
      </c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1:19" hidden="1">
      <c r="A247" s="2" t="s">
        <v>12</v>
      </c>
      <c r="B247" s="2" t="s">
        <v>413</v>
      </c>
      <c r="C247" s="2" t="s">
        <v>45</v>
      </c>
      <c r="D247" s="2">
        <v>3</v>
      </c>
      <c r="E247" s="2">
        <v>3</v>
      </c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1:19" hidden="1">
      <c r="A248" s="2" t="s">
        <v>12</v>
      </c>
      <c r="B248" s="2" t="s">
        <v>415</v>
      </c>
      <c r="C248" s="2" t="s">
        <v>19</v>
      </c>
      <c r="D248" s="2">
        <v>3</v>
      </c>
      <c r="E248" s="2">
        <v>3</v>
      </c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1:19" hidden="1">
      <c r="A249" s="2" t="s">
        <v>12</v>
      </c>
      <c r="B249" s="2" t="s">
        <v>420</v>
      </c>
      <c r="C249" s="2" t="s">
        <v>112</v>
      </c>
      <c r="D249" s="2">
        <v>3</v>
      </c>
      <c r="E249" s="2">
        <v>3</v>
      </c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1:19" hidden="1">
      <c r="A250" s="2" t="s">
        <v>12</v>
      </c>
      <c r="B250" s="2" t="s">
        <v>426</v>
      </c>
      <c r="C250" s="2" t="s">
        <v>579</v>
      </c>
      <c r="D250" s="2">
        <v>3</v>
      </c>
      <c r="E250" s="2">
        <v>3</v>
      </c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1:19" hidden="1">
      <c r="A251" s="2" t="s">
        <v>12</v>
      </c>
      <c r="B251" s="2" t="s">
        <v>427</v>
      </c>
      <c r="C251" s="2" t="s">
        <v>579</v>
      </c>
      <c r="D251" s="2">
        <v>3</v>
      </c>
      <c r="E251" s="2">
        <v>3</v>
      </c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1:19" hidden="1">
      <c r="A252" s="2" t="s">
        <v>12</v>
      </c>
      <c r="B252" s="2" t="s">
        <v>438</v>
      </c>
      <c r="C252" s="2" t="s">
        <v>190</v>
      </c>
      <c r="D252" s="2">
        <v>3</v>
      </c>
      <c r="E252" s="2">
        <v>3</v>
      </c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1:19" hidden="1">
      <c r="A253" s="2" t="s">
        <v>12</v>
      </c>
      <c r="B253" s="2" t="s">
        <v>444</v>
      </c>
      <c r="C253" s="2" t="s">
        <v>40</v>
      </c>
      <c r="D253" s="2">
        <v>2</v>
      </c>
      <c r="E253" s="2">
        <v>2</v>
      </c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1:19" hidden="1">
      <c r="A254" s="2" t="s">
        <v>12</v>
      </c>
      <c r="B254" s="2" t="s">
        <v>446</v>
      </c>
      <c r="C254" s="2" t="s">
        <v>112</v>
      </c>
      <c r="D254" s="2">
        <v>2</v>
      </c>
      <c r="E254" s="2">
        <v>2</v>
      </c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1:19" hidden="1">
      <c r="A255" s="2" t="s">
        <v>12</v>
      </c>
      <c r="B255" s="2" t="s">
        <v>447</v>
      </c>
      <c r="C255" s="2" t="s">
        <v>9</v>
      </c>
      <c r="D255" s="2">
        <v>2</v>
      </c>
      <c r="E255" s="2">
        <v>2</v>
      </c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1:19" hidden="1">
      <c r="A256" s="2" t="s">
        <v>12</v>
      </c>
      <c r="B256" s="2" t="s">
        <v>448</v>
      </c>
      <c r="C256" s="2" t="s">
        <v>9</v>
      </c>
      <c r="D256" s="2">
        <v>2</v>
      </c>
      <c r="E256" s="2">
        <v>2</v>
      </c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1:19" hidden="1">
      <c r="A257" s="2" t="s">
        <v>12</v>
      </c>
      <c r="B257" s="2" t="s">
        <v>455</v>
      </c>
      <c r="C257" s="2" t="s">
        <v>104</v>
      </c>
      <c r="D257" s="2">
        <v>2</v>
      </c>
      <c r="E257" s="2">
        <v>2</v>
      </c>
      <c r="F257" s="2"/>
      <c r="G257" s="2"/>
      <c r="H257" s="2" t="s">
        <v>582</v>
      </c>
      <c r="I257" s="2" t="s">
        <v>582</v>
      </c>
      <c r="J257" s="2">
        <v>2</v>
      </c>
      <c r="K257" s="2" t="s">
        <v>582</v>
      </c>
      <c r="L257" s="2" t="s">
        <v>582</v>
      </c>
      <c r="M257" s="2" t="s">
        <v>582</v>
      </c>
      <c r="N257" s="2" t="s">
        <v>582</v>
      </c>
      <c r="O257" s="2" t="s">
        <v>582</v>
      </c>
      <c r="P257" s="2">
        <v>12</v>
      </c>
      <c r="Q257" s="2">
        <v>8</v>
      </c>
      <c r="R257" s="2">
        <v>5.9</v>
      </c>
      <c r="S257" s="2">
        <v>5.8</v>
      </c>
    </row>
    <row r="258" spans="1:19" hidden="1">
      <c r="A258" s="2" t="s">
        <v>12</v>
      </c>
      <c r="B258" s="2" t="s">
        <v>457</v>
      </c>
      <c r="C258" s="2" t="s">
        <v>579</v>
      </c>
      <c r="D258" s="2">
        <v>2</v>
      </c>
      <c r="E258" s="2">
        <v>2</v>
      </c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1:19" hidden="1">
      <c r="A259" s="2" t="s">
        <v>12</v>
      </c>
      <c r="B259" s="2" t="s">
        <v>463</v>
      </c>
      <c r="C259" s="2" t="s">
        <v>72</v>
      </c>
      <c r="D259" s="2">
        <v>2</v>
      </c>
      <c r="E259" s="2">
        <v>2</v>
      </c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1:19" hidden="1">
      <c r="A260" s="2" t="s">
        <v>12</v>
      </c>
      <c r="B260" s="2" t="s">
        <v>466</v>
      </c>
      <c r="C260" s="2" t="s">
        <v>190</v>
      </c>
      <c r="D260" s="2">
        <v>2</v>
      </c>
      <c r="E260" s="2">
        <v>2</v>
      </c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1:19" hidden="1">
      <c r="A261" s="2" t="s">
        <v>12</v>
      </c>
      <c r="B261" s="2" t="s">
        <v>476</v>
      </c>
      <c r="C261" s="2" t="s">
        <v>59</v>
      </c>
      <c r="D261" s="2">
        <v>1</v>
      </c>
      <c r="E261" s="2">
        <v>1</v>
      </c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1:19" hidden="1">
      <c r="A262" s="2" t="s">
        <v>12</v>
      </c>
      <c r="B262" s="2" t="s">
        <v>479</v>
      </c>
      <c r="C262" s="2" t="s">
        <v>40</v>
      </c>
      <c r="D262" s="2">
        <v>1</v>
      </c>
      <c r="E262" s="2">
        <v>1</v>
      </c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1:19" hidden="1">
      <c r="A263" s="2" t="s">
        <v>12</v>
      </c>
      <c r="B263" s="2" t="s">
        <v>480</v>
      </c>
      <c r="C263" s="2" t="s">
        <v>40</v>
      </c>
      <c r="D263" s="2">
        <v>1</v>
      </c>
      <c r="E263" s="2">
        <v>1</v>
      </c>
      <c r="F263" s="2"/>
      <c r="G263" s="2"/>
      <c r="H263" s="2" t="s">
        <v>582</v>
      </c>
      <c r="I263" s="2" t="s">
        <v>582</v>
      </c>
      <c r="J263" s="2" t="s">
        <v>582</v>
      </c>
      <c r="K263" s="2">
        <v>1</v>
      </c>
      <c r="L263" s="2" t="s">
        <v>582</v>
      </c>
      <c r="M263" s="2" t="s">
        <v>582</v>
      </c>
      <c r="N263" s="2" t="s">
        <v>582</v>
      </c>
      <c r="O263" s="2" t="s">
        <v>582</v>
      </c>
      <c r="P263" s="2">
        <v>1</v>
      </c>
      <c r="Q263" s="2" t="s">
        <v>582</v>
      </c>
      <c r="R263" s="2">
        <v>4.5</v>
      </c>
      <c r="S263" s="2">
        <v>3.5</v>
      </c>
    </row>
    <row r="264" spans="1:19" hidden="1">
      <c r="A264" s="2" t="s">
        <v>12</v>
      </c>
      <c r="B264" s="2" t="s">
        <v>490</v>
      </c>
      <c r="C264" s="2" t="s">
        <v>9</v>
      </c>
      <c r="D264" s="2">
        <v>1</v>
      </c>
      <c r="E264" s="2">
        <v>1</v>
      </c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1:19" hidden="1">
      <c r="A265" s="2" t="s">
        <v>12</v>
      </c>
      <c r="B265" s="2" t="s">
        <v>500</v>
      </c>
      <c r="C265" s="2" t="s">
        <v>23</v>
      </c>
      <c r="D265" s="2">
        <v>1</v>
      </c>
      <c r="E265" s="2">
        <v>1</v>
      </c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1:19" hidden="1">
      <c r="A266" s="2" t="s">
        <v>12</v>
      </c>
      <c r="B266" s="2" t="s">
        <v>507</v>
      </c>
      <c r="C266" s="2" t="s">
        <v>45</v>
      </c>
      <c r="D266" s="2">
        <v>1</v>
      </c>
      <c r="E266" s="2">
        <v>1</v>
      </c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</row>
    <row r="267" spans="1:19" hidden="1">
      <c r="A267" s="2" t="s">
        <v>12</v>
      </c>
      <c r="B267" s="2" t="s">
        <v>508</v>
      </c>
      <c r="C267" s="2" t="s">
        <v>45</v>
      </c>
      <c r="D267" s="2">
        <v>1</v>
      </c>
      <c r="E267" s="2">
        <v>1</v>
      </c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</row>
    <row r="268" spans="1:19" hidden="1">
      <c r="A268" s="2" t="s">
        <v>12</v>
      </c>
      <c r="B268" s="2" t="s">
        <v>511</v>
      </c>
      <c r="C268" s="2" t="s">
        <v>19</v>
      </c>
      <c r="D268" s="2">
        <v>1</v>
      </c>
      <c r="E268" s="2">
        <v>1</v>
      </c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</row>
    <row r="269" spans="1:19" hidden="1">
      <c r="A269" s="2" t="s">
        <v>12</v>
      </c>
      <c r="B269" s="2" t="s">
        <v>520</v>
      </c>
      <c r="C269" s="2" t="s">
        <v>579</v>
      </c>
      <c r="D269" s="2">
        <v>1</v>
      </c>
      <c r="E269" s="2">
        <v>1</v>
      </c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</row>
    <row r="270" spans="1:19" hidden="1">
      <c r="A270" s="2" t="s">
        <v>12</v>
      </c>
      <c r="B270" s="2" t="s">
        <v>521</v>
      </c>
      <c r="C270" s="2" t="s">
        <v>579</v>
      </c>
      <c r="D270" s="2">
        <v>1</v>
      </c>
      <c r="E270" s="2">
        <v>1</v>
      </c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</row>
    <row r="271" spans="1:19" hidden="1">
      <c r="A271" s="2" t="s">
        <v>12</v>
      </c>
      <c r="B271" s="2" t="s">
        <v>530</v>
      </c>
      <c r="C271" s="2" t="s">
        <v>38</v>
      </c>
      <c r="D271" s="2">
        <v>1</v>
      </c>
      <c r="E271" s="2">
        <v>1</v>
      </c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</row>
    <row r="272" spans="1:19" hidden="1">
      <c r="A272" s="2" t="s">
        <v>12</v>
      </c>
      <c r="B272" s="2" t="s">
        <v>540</v>
      </c>
      <c r="C272" s="2" t="s">
        <v>72</v>
      </c>
      <c r="D272" s="2">
        <v>1</v>
      </c>
      <c r="E272" s="2">
        <v>1</v>
      </c>
      <c r="F272" s="2"/>
      <c r="G272" s="2"/>
      <c r="H272" s="2" t="s">
        <v>582</v>
      </c>
      <c r="I272" s="2" t="s">
        <v>582</v>
      </c>
      <c r="J272" s="2" t="s">
        <v>582</v>
      </c>
      <c r="K272" s="2" t="s">
        <v>582</v>
      </c>
      <c r="L272" s="2" t="s">
        <v>582</v>
      </c>
      <c r="M272" s="2" t="s">
        <v>582</v>
      </c>
      <c r="N272" s="2" t="s">
        <v>582</v>
      </c>
      <c r="O272" s="2" t="s">
        <v>582</v>
      </c>
      <c r="P272" s="2">
        <v>6</v>
      </c>
      <c r="Q272" s="2" t="s">
        <v>582</v>
      </c>
      <c r="R272" s="2">
        <v>5.6</v>
      </c>
      <c r="S272" s="2">
        <v>5.6</v>
      </c>
    </row>
    <row r="273" spans="1:19" hidden="1">
      <c r="A273" s="2" t="s">
        <v>12</v>
      </c>
      <c r="B273" s="2" t="s">
        <v>543</v>
      </c>
      <c r="C273" s="2" t="s">
        <v>190</v>
      </c>
      <c r="D273" s="2">
        <v>1</v>
      </c>
      <c r="E273" s="2">
        <v>1</v>
      </c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</row>
    <row r="274" spans="1:19" hidden="1">
      <c r="A274" s="2" t="s">
        <v>41</v>
      </c>
      <c r="B274" s="2" t="s">
        <v>42</v>
      </c>
      <c r="C274" s="2" t="s">
        <v>7</v>
      </c>
      <c r="D274" s="2">
        <v>20</v>
      </c>
      <c r="E274" s="2">
        <v>20</v>
      </c>
      <c r="F274" s="2"/>
      <c r="G274" s="2"/>
      <c r="H274" s="2" t="s">
        <v>582</v>
      </c>
      <c r="I274" s="2">
        <v>7</v>
      </c>
      <c r="J274" s="2">
        <v>4</v>
      </c>
      <c r="K274" s="2" t="s">
        <v>582</v>
      </c>
      <c r="L274" s="2">
        <v>2</v>
      </c>
      <c r="M274" s="2" t="s">
        <v>582</v>
      </c>
      <c r="N274" s="2" t="s">
        <v>582</v>
      </c>
      <c r="O274" s="2" t="s">
        <v>582</v>
      </c>
      <c r="P274" s="2">
        <v>29</v>
      </c>
      <c r="Q274" s="2">
        <v>18</v>
      </c>
      <c r="R274" s="2">
        <v>6.2</v>
      </c>
      <c r="S274" s="2">
        <v>7</v>
      </c>
    </row>
    <row r="275" spans="1:19" hidden="1">
      <c r="A275" s="2" t="s">
        <v>41</v>
      </c>
      <c r="B275" s="2" t="s">
        <v>53</v>
      </c>
      <c r="C275" s="2" t="s">
        <v>7</v>
      </c>
      <c r="D275" s="2">
        <v>19</v>
      </c>
      <c r="E275" s="2">
        <v>19</v>
      </c>
      <c r="F275" s="2"/>
      <c r="G275" s="2"/>
      <c r="H275" s="2" t="s">
        <v>582</v>
      </c>
      <c r="I275" s="2">
        <v>4</v>
      </c>
      <c r="J275" s="2">
        <v>3</v>
      </c>
      <c r="K275" s="2" t="s">
        <v>582</v>
      </c>
      <c r="L275" s="2">
        <v>7</v>
      </c>
      <c r="M275" s="2" t="s">
        <v>582</v>
      </c>
      <c r="N275" s="2" t="s">
        <v>582</v>
      </c>
      <c r="O275" s="2" t="s">
        <v>582</v>
      </c>
      <c r="P275" s="2">
        <v>32</v>
      </c>
      <c r="Q275" s="2">
        <v>26</v>
      </c>
      <c r="R275" s="2">
        <v>6.2</v>
      </c>
      <c r="S275" s="2">
        <v>6.8</v>
      </c>
    </row>
    <row r="276" spans="1:19" hidden="1">
      <c r="A276" s="2" t="s">
        <v>41</v>
      </c>
      <c r="B276" s="2" t="s">
        <v>56</v>
      </c>
      <c r="C276" s="2" t="s">
        <v>9</v>
      </c>
      <c r="D276" s="2">
        <v>18</v>
      </c>
      <c r="E276" s="2">
        <v>18</v>
      </c>
      <c r="F276" s="2"/>
      <c r="G276" s="2"/>
      <c r="H276" s="2" t="s">
        <v>582</v>
      </c>
      <c r="I276" s="2">
        <v>4</v>
      </c>
      <c r="J276" s="2">
        <v>6</v>
      </c>
      <c r="K276" s="2" t="s">
        <v>582</v>
      </c>
      <c r="L276" s="2">
        <v>5</v>
      </c>
      <c r="M276" s="2" t="s">
        <v>582</v>
      </c>
      <c r="N276" s="2" t="s">
        <v>582</v>
      </c>
      <c r="O276" s="2" t="s">
        <v>582</v>
      </c>
      <c r="P276" s="2">
        <v>31</v>
      </c>
      <c r="Q276" s="2">
        <v>25</v>
      </c>
      <c r="R276" s="2">
        <v>6</v>
      </c>
      <c r="S276" s="2">
        <v>6.5</v>
      </c>
    </row>
    <row r="277" spans="1:19" hidden="1">
      <c r="A277" s="2" t="s">
        <v>41</v>
      </c>
      <c r="B277" s="2" t="s">
        <v>62</v>
      </c>
      <c r="C277" s="2" t="s">
        <v>59</v>
      </c>
      <c r="D277" s="2">
        <v>16</v>
      </c>
      <c r="E277" s="2">
        <v>16</v>
      </c>
      <c r="F277" s="2"/>
      <c r="G277" s="2"/>
      <c r="H277" s="2" t="s">
        <v>582</v>
      </c>
      <c r="I277" s="2">
        <v>6</v>
      </c>
      <c r="J277" s="2">
        <v>3</v>
      </c>
      <c r="K277" s="2" t="s">
        <v>582</v>
      </c>
      <c r="L277" s="2">
        <v>2</v>
      </c>
      <c r="M277" s="2" t="s">
        <v>582</v>
      </c>
      <c r="N277" s="2" t="s">
        <v>582</v>
      </c>
      <c r="O277" s="2" t="s">
        <v>582</v>
      </c>
      <c r="P277" s="2">
        <v>35</v>
      </c>
      <c r="Q277" s="2">
        <v>31</v>
      </c>
      <c r="R277" s="2">
        <v>6</v>
      </c>
      <c r="S277" s="2">
        <v>6.5</v>
      </c>
    </row>
    <row r="278" spans="1:19" hidden="1">
      <c r="A278" s="2" t="s">
        <v>41</v>
      </c>
      <c r="B278" s="2" t="s">
        <v>65</v>
      </c>
      <c r="C278" s="2" t="s">
        <v>7</v>
      </c>
      <c r="D278" s="2">
        <v>16</v>
      </c>
      <c r="E278" s="2">
        <v>16</v>
      </c>
      <c r="F278" s="2"/>
      <c r="G278" s="2"/>
      <c r="H278" s="2" t="s">
        <v>582</v>
      </c>
      <c r="I278" s="2">
        <v>1</v>
      </c>
      <c r="J278" s="2">
        <v>4</v>
      </c>
      <c r="K278" s="2">
        <v>1</v>
      </c>
      <c r="L278" s="2">
        <v>5</v>
      </c>
      <c r="M278" s="2" t="s">
        <v>582</v>
      </c>
      <c r="N278" s="2" t="s">
        <v>582</v>
      </c>
      <c r="O278" s="2" t="s">
        <v>582</v>
      </c>
      <c r="P278" s="2">
        <v>33</v>
      </c>
      <c r="Q278" s="2">
        <v>29</v>
      </c>
      <c r="R278" s="2">
        <v>6.1</v>
      </c>
      <c r="S278" s="2">
        <v>6.3</v>
      </c>
    </row>
    <row r="279" spans="1:19" hidden="1">
      <c r="A279" s="2" t="s">
        <v>41</v>
      </c>
      <c r="B279" s="2" t="s">
        <v>75</v>
      </c>
      <c r="C279" s="2" t="s">
        <v>21</v>
      </c>
      <c r="D279" s="2">
        <v>15</v>
      </c>
      <c r="E279" s="2">
        <v>15</v>
      </c>
      <c r="F279" s="2"/>
      <c r="G279" s="2"/>
      <c r="H279" s="2" t="s">
        <v>582</v>
      </c>
      <c r="I279" s="2">
        <v>2</v>
      </c>
      <c r="J279" s="2">
        <v>4</v>
      </c>
      <c r="K279" s="2" t="s">
        <v>582</v>
      </c>
      <c r="L279" s="2">
        <v>3</v>
      </c>
      <c r="M279" s="2" t="s">
        <v>582</v>
      </c>
      <c r="N279" s="2" t="s">
        <v>582</v>
      </c>
      <c r="O279" s="2" t="s">
        <v>582</v>
      </c>
      <c r="P279" s="2">
        <v>32</v>
      </c>
      <c r="Q279" s="2">
        <v>23</v>
      </c>
      <c r="R279" s="2">
        <v>6</v>
      </c>
      <c r="S279" s="2">
        <v>6.2</v>
      </c>
    </row>
    <row r="280" spans="1:19" hidden="1">
      <c r="A280" s="2" t="s">
        <v>41</v>
      </c>
      <c r="B280" s="2" t="s">
        <v>80</v>
      </c>
      <c r="C280" s="2" t="s">
        <v>26</v>
      </c>
      <c r="D280" s="2">
        <v>15</v>
      </c>
      <c r="E280" s="2">
        <v>15</v>
      </c>
      <c r="F280" s="2"/>
      <c r="G280" s="2"/>
      <c r="H280" s="2" t="s">
        <v>582</v>
      </c>
      <c r="I280" s="2">
        <v>2</v>
      </c>
      <c r="J280" s="2">
        <v>1</v>
      </c>
      <c r="K280" s="2" t="s">
        <v>582</v>
      </c>
      <c r="L280" s="2">
        <v>1</v>
      </c>
      <c r="M280" s="2" t="s">
        <v>582</v>
      </c>
      <c r="N280" s="2" t="s">
        <v>582</v>
      </c>
      <c r="O280" s="2" t="s">
        <v>582</v>
      </c>
      <c r="P280" s="2">
        <v>38</v>
      </c>
      <c r="Q280" s="2">
        <v>34</v>
      </c>
      <c r="R280" s="2">
        <v>6</v>
      </c>
      <c r="S280" s="2">
        <v>6.2</v>
      </c>
    </row>
    <row r="281" spans="1:19" hidden="1">
      <c r="A281" s="2" t="s">
        <v>41</v>
      </c>
      <c r="B281" s="2" t="s">
        <v>92</v>
      </c>
      <c r="C281" s="2" t="s">
        <v>11</v>
      </c>
      <c r="D281" s="2">
        <v>14</v>
      </c>
      <c r="E281" s="2">
        <v>14</v>
      </c>
      <c r="F281" s="2"/>
      <c r="G281" s="2"/>
      <c r="H281" s="2" t="s">
        <v>582</v>
      </c>
      <c r="I281" s="2">
        <v>3</v>
      </c>
      <c r="J281" s="2">
        <v>6</v>
      </c>
      <c r="K281" s="2" t="s">
        <v>582</v>
      </c>
      <c r="L281" s="2">
        <v>2</v>
      </c>
      <c r="M281" s="2" t="s">
        <v>582</v>
      </c>
      <c r="N281" s="2" t="s">
        <v>582</v>
      </c>
      <c r="O281" s="2" t="s">
        <v>582</v>
      </c>
      <c r="P281" s="2">
        <v>37</v>
      </c>
      <c r="Q281" s="2">
        <v>35</v>
      </c>
      <c r="R281" s="2">
        <v>6.1</v>
      </c>
      <c r="S281" s="2">
        <v>6.3</v>
      </c>
    </row>
    <row r="282" spans="1:19" hidden="1">
      <c r="A282" s="2" t="s">
        <v>41</v>
      </c>
      <c r="B282" s="2" t="s">
        <v>93</v>
      </c>
      <c r="C282" s="2" t="s">
        <v>26</v>
      </c>
      <c r="D282" s="2">
        <v>14</v>
      </c>
      <c r="E282" s="2">
        <v>14</v>
      </c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</row>
    <row r="283" spans="1:19" hidden="1">
      <c r="A283" s="2" t="s">
        <v>41</v>
      </c>
      <c r="B283" s="2" t="s">
        <v>96</v>
      </c>
      <c r="C283" s="2" t="s">
        <v>16</v>
      </c>
      <c r="D283" s="2">
        <v>13</v>
      </c>
      <c r="E283" s="2">
        <v>13</v>
      </c>
      <c r="F283" s="2"/>
      <c r="G283" s="2" t="s">
        <v>549</v>
      </c>
      <c r="H283" s="2" t="s">
        <v>582</v>
      </c>
      <c r="I283" s="2" t="s">
        <v>582</v>
      </c>
      <c r="J283" s="2">
        <v>3</v>
      </c>
      <c r="K283" s="2" t="s">
        <v>582</v>
      </c>
      <c r="L283" s="2">
        <v>9</v>
      </c>
      <c r="M283" s="2" t="s">
        <v>582</v>
      </c>
      <c r="N283" s="2" t="s">
        <v>582</v>
      </c>
      <c r="O283" s="2" t="s">
        <v>582</v>
      </c>
      <c r="P283" s="2">
        <v>35</v>
      </c>
      <c r="Q283" s="2">
        <v>27</v>
      </c>
      <c r="R283" s="2">
        <v>6</v>
      </c>
      <c r="S283" s="2">
        <v>6.2</v>
      </c>
    </row>
    <row r="284" spans="1:19" hidden="1">
      <c r="A284" s="2" t="s">
        <v>41</v>
      </c>
      <c r="B284" s="2" t="s">
        <v>97</v>
      </c>
      <c r="C284" s="2" t="s">
        <v>16</v>
      </c>
      <c r="D284" s="2">
        <v>13</v>
      </c>
      <c r="E284" s="2">
        <v>13</v>
      </c>
      <c r="F284" s="2"/>
      <c r="G284" s="2"/>
      <c r="H284" s="2" t="s">
        <v>582</v>
      </c>
      <c r="I284" s="2">
        <v>4</v>
      </c>
      <c r="J284" s="2">
        <v>3</v>
      </c>
      <c r="K284" s="2" t="s">
        <v>582</v>
      </c>
      <c r="L284" s="2">
        <v>2</v>
      </c>
      <c r="M284" s="2" t="s">
        <v>582</v>
      </c>
      <c r="N284" s="2" t="s">
        <v>582</v>
      </c>
      <c r="O284" s="2" t="s">
        <v>582</v>
      </c>
      <c r="P284" s="2">
        <v>30</v>
      </c>
      <c r="Q284" s="2">
        <v>26</v>
      </c>
      <c r="R284" s="2">
        <v>6.1</v>
      </c>
      <c r="S284" s="2">
        <v>6.5</v>
      </c>
    </row>
    <row r="285" spans="1:19" hidden="1">
      <c r="A285" s="2" t="s">
        <v>41</v>
      </c>
      <c r="B285" s="2" t="s">
        <v>98</v>
      </c>
      <c r="C285" s="2" t="s">
        <v>21</v>
      </c>
      <c r="D285" s="2">
        <v>13</v>
      </c>
      <c r="E285" s="2">
        <v>13</v>
      </c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</row>
    <row r="286" spans="1:19" hidden="1">
      <c r="A286" s="2" t="s">
        <v>41</v>
      </c>
      <c r="B286" s="2" t="s">
        <v>100</v>
      </c>
      <c r="C286" s="2" t="s">
        <v>11</v>
      </c>
      <c r="D286" s="2">
        <v>13</v>
      </c>
      <c r="E286" s="2">
        <v>13</v>
      </c>
      <c r="F286" s="2"/>
      <c r="G286" s="2"/>
      <c r="H286" s="2" t="s">
        <v>582</v>
      </c>
      <c r="I286" s="2">
        <v>1</v>
      </c>
      <c r="J286" s="2">
        <v>2</v>
      </c>
      <c r="K286" s="2" t="s">
        <v>582</v>
      </c>
      <c r="L286" s="2" t="s">
        <v>582</v>
      </c>
      <c r="M286" s="2" t="s">
        <v>582</v>
      </c>
      <c r="N286" s="2" t="s">
        <v>582</v>
      </c>
      <c r="O286" s="2" t="s">
        <v>582</v>
      </c>
      <c r="P286" s="2">
        <v>22</v>
      </c>
      <c r="Q286" s="2">
        <v>22</v>
      </c>
      <c r="R286" s="2">
        <v>6.4</v>
      </c>
      <c r="S286" s="2">
        <v>6.5</v>
      </c>
    </row>
    <row r="287" spans="1:19" hidden="1">
      <c r="A287" s="2" t="s">
        <v>41</v>
      </c>
      <c r="B287" s="2" t="s">
        <v>120</v>
      </c>
      <c r="C287" s="2" t="s">
        <v>23</v>
      </c>
      <c r="D287" s="2">
        <v>12</v>
      </c>
      <c r="E287" s="2">
        <v>12</v>
      </c>
      <c r="F287" s="2"/>
      <c r="G287" s="2"/>
      <c r="H287" s="2" t="s">
        <v>582</v>
      </c>
      <c r="I287" s="2" t="s">
        <v>582</v>
      </c>
      <c r="J287" s="2">
        <v>2</v>
      </c>
      <c r="K287" s="2">
        <v>1</v>
      </c>
      <c r="L287" s="2">
        <v>8</v>
      </c>
      <c r="M287" s="2" t="s">
        <v>582</v>
      </c>
      <c r="N287" s="2" t="s">
        <v>582</v>
      </c>
      <c r="O287" s="2" t="s">
        <v>582</v>
      </c>
      <c r="P287" s="2">
        <v>23</v>
      </c>
      <c r="Q287" s="2">
        <v>20</v>
      </c>
      <c r="R287" s="2">
        <v>6.1</v>
      </c>
      <c r="S287" s="2">
        <v>6.3</v>
      </c>
    </row>
    <row r="288" spans="1:19" hidden="1">
      <c r="A288" s="2" t="s">
        <v>41</v>
      </c>
      <c r="B288" s="2" t="s">
        <v>129</v>
      </c>
      <c r="C288" s="2" t="s">
        <v>16</v>
      </c>
      <c r="D288" s="2">
        <v>11</v>
      </c>
      <c r="E288" s="2">
        <v>11</v>
      </c>
      <c r="F288" s="2"/>
      <c r="G288" s="2"/>
      <c r="H288" s="2" t="s">
        <v>582</v>
      </c>
      <c r="I288" s="2" t="s">
        <v>582</v>
      </c>
      <c r="J288" s="2">
        <v>10</v>
      </c>
      <c r="K288" s="2" t="s">
        <v>582</v>
      </c>
      <c r="L288" s="2" t="s">
        <v>582</v>
      </c>
      <c r="M288" s="2" t="s">
        <v>582</v>
      </c>
      <c r="N288" s="2" t="s">
        <v>582</v>
      </c>
      <c r="O288" s="2" t="s">
        <v>582</v>
      </c>
      <c r="P288" s="2">
        <v>29</v>
      </c>
      <c r="Q288" s="2">
        <v>26</v>
      </c>
      <c r="R288" s="2">
        <v>5.9</v>
      </c>
      <c r="S288" s="2">
        <v>5.8</v>
      </c>
    </row>
    <row r="289" spans="1:19" hidden="1">
      <c r="A289" s="2" t="s">
        <v>41</v>
      </c>
      <c r="B289" s="2" t="s">
        <v>133</v>
      </c>
      <c r="C289" s="2" t="s">
        <v>9</v>
      </c>
      <c r="D289" s="2">
        <v>11</v>
      </c>
      <c r="E289" s="2">
        <v>11</v>
      </c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</row>
    <row r="290" spans="1:19" hidden="1">
      <c r="A290" s="2" t="s">
        <v>41</v>
      </c>
      <c r="B290" s="2" t="s">
        <v>138</v>
      </c>
      <c r="C290" s="2" t="s">
        <v>19</v>
      </c>
      <c r="D290" s="2">
        <v>11</v>
      </c>
      <c r="E290" s="2">
        <v>11</v>
      </c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</row>
    <row r="291" spans="1:19" hidden="1">
      <c r="A291" s="2" t="s">
        <v>41</v>
      </c>
      <c r="B291" s="2" t="s">
        <v>140</v>
      </c>
      <c r="C291" s="2" t="s">
        <v>11</v>
      </c>
      <c r="D291" s="2">
        <v>11</v>
      </c>
      <c r="E291" s="2">
        <v>11</v>
      </c>
      <c r="F291" s="2"/>
      <c r="G291" s="2"/>
      <c r="H291" s="2" t="s">
        <v>582</v>
      </c>
      <c r="I291" s="2">
        <v>1</v>
      </c>
      <c r="J291" s="2">
        <v>2</v>
      </c>
      <c r="K291" s="2" t="s">
        <v>582</v>
      </c>
      <c r="L291" s="2">
        <v>2</v>
      </c>
      <c r="M291" s="2" t="s">
        <v>582</v>
      </c>
      <c r="N291" s="2" t="s">
        <v>582</v>
      </c>
      <c r="O291" s="2" t="s">
        <v>582</v>
      </c>
      <c r="P291" s="2">
        <v>38</v>
      </c>
      <c r="Q291" s="2">
        <v>36</v>
      </c>
      <c r="R291" s="2">
        <v>6.2</v>
      </c>
      <c r="S291" s="2">
        <v>6.3</v>
      </c>
    </row>
    <row r="292" spans="1:19" hidden="1">
      <c r="A292" s="2" t="s">
        <v>41</v>
      </c>
      <c r="B292" s="2" t="s">
        <v>143</v>
      </c>
      <c r="C292" s="2" t="s">
        <v>26</v>
      </c>
      <c r="D292" s="2">
        <v>11</v>
      </c>
      <c r="E292" s="2">
        <v>11</v>
      </c>
      <c r="F292" s="2"/>
      <c r="G292" s="2"/>
      <c r="H292" s="2" t="s">
        <v>582</v>
      </c>
      <c r="I292" s="2">
        <v>2</v>
      </c>
      <c r="J292" s="2">
        <v>8</v>
      </c>
      <c r="K292" s="2" t="s">
        <v>582</v>
      </c>
      <c r="L292" s="2" t="s">
        <v>582</v>
      </c>
      <c r="M292" s="2" t="s">
        <v>582</v>
      </c>
      <c r="N292" s="2" t="s">
        <v>582</v>
      </c>
      <c r="O292" s="2" t="s">
        <v>582</v>
      </c>
      <c r="P292" s="2">
        <v>37</v>
      </c>
      <c r="Q292" s="2">
        <v>34</v>
      </c>
      <c r="R292" s="2">
        <v>6.1</v>
      </c>
      <c r="S292" s="2">
        <v>6.1</v>
      </c>
    </row>
    <row r="293" spans="1:19" hidden="1">
      <c r="A293" s="2" t="s">
        <v>41</v>
      </c>
      <c r="B293" s="2" t="s">
        <v>145</v>
      </c>
      <c r="C293" s="2" t="s">
        <v>72</v>
      </c>
      <c r="D293" s="2">
        <v>11</v>
      </c>
      <c r="E293" s="2">
        <v>11</v>
      </c>
      <c r="F293" s="2"/>
      <c r="G293" s="2"/>
      <c r="H293" s="2" t="s">
        <v>582</v>
      </c>
      <c r="I293" s="2">
        <v>1</v>
      </c>
      <c r="J293" s="2">
        <v>1</v>
      </c>
      <c r="K293" s="2">
        <v>1</v>
      </c>
      <c r="L293" s="2">
        <v>2</v>
      </c>
      <c r="M293" s="2" t="s">
        <v>582</v>
      </c>
      <c r="N293" s="2" t="s">
        <v>582</v>
      </c>
      <c r="O293" s="2" t="s">
        <v>582</v>
      </c>
      <c r="P293" s="2">
        <v>19</v>
      </c>
      <c r="Q293" s="2">
        <v>17</v>
      </c>
      <c r="R293" s="2">
        <v>6.1</v>
      </c>
      <c r="S293" s="2">
        <v>6.3</v>
      </c>
    </row>
    <row r="294" spans="1:19">
      <c r="A294" s="2" t="s">
        <v>41</v>
      </c>
      <c r="B294" s="2" t="s">
        <v>152</v>
      </c>
      <c r="C294" s="2" t="s">
        <v>114</v>
      </c>
      <c r="D294" s="2">
        <v>10</v>
      </c>
      <c r="E294" s="2">
        <v>10</v>
      </c>
      <c r="F294" s="2"/>
      <c r="G294" s="2"/>
      <c r="H294" s="2" t="s">
        <v>582</v>
      </c>
      <c r="I294" s="2" t="s">
        <v>582</v>
      </c>
      <c r="J294" s="2">
        <v>5</v>
      </c>
      <c r="K294" s="2" t="s">
        <v>582</v>
      </c>
      <c r="L294" s="2">
        <v>8</v>
      </c>
      <c r="M294" s="2" t="s">
        <v>582</v>
      </c>
      <c r="N294" s="2" t="s">
        <v>582</v>
      </c>
      <c r="O294" s="2" t="s">
        <v>582</v>
      </c>
      <c r="P294" s="2">
        <v>36</v>
      </c>
      <c r="Q294" s="2">
        <v>33</v>
      </c>
      <c r="R294" s="2">
        <v>5.9</v>
      </c>
      <c r="S294" s="2">
        <v>6</v>
      </c>
    </row>
    <row r="295" spans="1:19" hidden="1">
      <c r="A295" s="2" t="s">
        <v>41</v>
      </c>
      <c r="B295" s="2" t="s">
        <v>153</v>
      </c>
      <c r="C295" s="2" t="s">
        <v>7</v>
      </c>
      <c r="D295" s="2">
        <v>10</v>
      </c>
      <c r="E295" s="2">
        <v>10</v>
      </c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</row>
    <row r="296" spans="1:19" hidden="1">
      <c r="A296" s="2" t="s">
        <v>41</v>
      </c>
      <c r="B296" s="2" t="s">
        <v>157</v>
      </c>
      <c r="C296" s="2" t="s">
        <v>11</v>
      </c>
      <c r="D296" s="2">
        <v>10</v>
      </c>
      <c r="E296" s="2">
        <v>10</v>
      </c>
      <c r="F296" s="2"/>
      <c r="G296" s="2"/>
      <c r="H296" s="2" t="s">
        <v>582</v>
      </c>
      <c r="I296" s="2" t="s">
        <v>582</v>
      </c>
      <c r="J296" s="2">
        <v>1</v>
      </c>
      <c r="K296" s="2" t="s">
        <v>582</v>
      </c>
      <c r="L296" s="2">
        <v>1</v>
      </c>
      <c r="M296" s="2" t="s">
        <v>582</v>
      </c>
      <c r="N296" s="2" t="s">
        <v>582</v>
      </c>
      <c r="O296" s="2" t="s">
        <v>582</v>
      </c>
      <c r="P296" s="2">
        <v>34</v>
      </c>
      <c r="Q296" s="2">
        <v>32</v>
      </c>
      <c r="R296" s="2">
        <v>6.2</v>
      </c>
      <c r="S296" s="2">
        <v>6.2</v>
      </c>
    </row>
    <row r="297" spans="1:19" hidden="1">
      <c r="A297" s="2" t="s">
        <v>41</v>
      </c>
      <c r="B297" s="2" t="s">
        <v>158</v>
      </c>
      <c r="C297" s="2" t="s">
        <v>11</v>
      </c>
      <c r="D297" s="2">
        <v>10</v>
      </c>
      <c r="E297" s="2">
        <v>10</v>
      </c>
      <c r="F297" s="2"/>
      <c r="G297" s="2"/>
      <c r="H297" s="2" t="s">
        <v>582</v>
      </c>
      <c r="I297" s="2" t="s">
        <v>582</v>
      </c>
      <c r="J297" s="2">
        <v>4</v>
      </c>
      <c r="K297" s="2" t="s">
        <v>582</v>
      </c>
      <c r="L297" s="2">
        <v>2</v>
      </c>
      <c r="M297" s="2" t="s">
        <v>582</v>
      </c>
      <c r="N297" s="2" t="s">
        <v>582</v>
      </c>
      <c r="O297" s="2" t="s">
        <v>582</v>
      </c>
      <c r="P297" s="2">
        <v>30</v>
      </c>
      <c r="Q297" s="2">
        <v>24</v>
      </c>
      <c r="R297" s="2">
        <v>6</v>
      </c>
      <c r="S297" s="2">
        <v>6</v>
      </c>
    </row>
    <row r="298" spans="1:19" hidden="1">
      <c r="A298" s="2" t="s">
        <v>41</v>
      </c>
      <c r="B298" s="2" t="s">
        <v>159</v>
      </c>
      <c r="C298" s="2" t="s">
        <v>104</v>
      </c>
      <c r="D298" s="2">
        <v>10</v>
      </c>
      <c r="E298" s="2">
        <v>10</v>
      </c>
      <c r="F298" s="2">
        <v>40</v>
      </c>
      <c r="G298" s="2"/>
      <c r="H298" s="2" t="s">
        <v>582</v>
      </c>
      <c r="I298" s="2">
        <v>2</v>
      </c>
      <c r="J298" s="2">
        <v>1</v>
      </c>
      <c r="K298" s="2" t="s">
        <v>582</v>
      </c>
      <c r="L298" s="2">
        <v>6</v>
      </c>
      <c r="M298" s="2">
        <v>1</v>
      </c>
      <c r="N298" s="2" t="s">
        <v>582</v>
      </c>
      <c r="O298" s="2" t="s">
        <v>582</v>
      </c>
      <c r="P298" s="2">
        <v>34</v>
      </c>
      <c r="Q298" s="2">
        <v>31</v>
      </c>
      <c r="R298" s="2">
        <v>5.9</v>
      </c>
      <c r="S298" s="2">
        <v>6.2</v>
      </c>
    </row>
    <row r="299" spans="1:19" hidden="1">
      <c r="A299" s="2" t="s">
        <v>41</v>
      </c>
      <c r="B299" s="2" t="s">
        <v>160</v>
      </c>
      <c r="C299" s="2" t="s">
        <v>26</v>
      </c>
      <c r="D299" s="2">
        <v>10</v>
      </c>
      <c r="E299" s="2">
        <v>10</v>
      </c>
      <c r="F299" s="2"/>
      <c r="G299" s="2"/>
      <c r="H299" s="2" t="s">
        <v>582</v>
      </c>
      <c r="I299" s="2" t="s">
        <v>582</v>
      </c>
      <c r="J299" s="2">
        <v>2</v>
      </c>
      <c r="K299" s="2" t="s">
        <v>582</v>
      </c>
      <c r="L299" s="2">
        <v>1</v>
      </c>
      <c r="M299" s="2" t="s">
        <v>582</v>
      </c>
      <c r="N299" s="2" t="s">
        <v>582</v>
      </c>
      <c r="O299" s="2" t="s">
        <v>582</v>
      </c>
      <c r="P299" s="2">
        <v>38</v>
      </c>
      <c r="Q299" s="2" t="s">
        <v>582</v>
      </c>
      <c r="R299" s="2">
        <v>6</v>
      </c>
      <c r="S299" s="2">
        <v>6</v>
      </c>
    </row>
    <row r="300" spans="1:19" hidden="1">
      <c r="A300" s="2" t="s">
        <v>41</v>
      </c>
      <c r="B300" s="2" t="s">
        <v>163</v>
      </c>
      <c r="C300" s="2" t="s">
        <v>16</v>
      </c>
      <c r="D300" s="2">
        <v>9</v>
      </c>
      <c r="E300" s="2">
        <v>9</v>
      </c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</row>
    <row r="301" spans="1:19" hidden="1">
      <c r="A301" s="2" t="s">
        <v>41</v>
      </c>
      <c r="B301" s="2" t="s">
        <v>167</v>
      </c>
      <c r="C301" s="2" t="s">
        <v>14</v>
      </c>
      <c r="D301" s="2">
        <v>9</v>
      </c>
      <c r="E301" s="2">
        <v>9</v>
      </c>
      <c r="F301" s="2"/>
      <c r="G301" s="2"/>
      <c r="H301" s="2" t="s">
        <v>582</v>
      </c>
      <c r="I301" s="2" t="s">
        <v>582</v>
      </c>
      <c r="J301" s="2">
        <v>4</v>
      </c>
      <c r="K301" s="2">
        <v>1</v>
      </c>
      <c r="L301" s="2">
        <v>6</v>
      </c>
      <c r="M301" s="2" t="s">
        <v>582</v>
      </c>
      <c r="N301" s="2" t="s">
        <v>582</v>
      </c>
      <c r="O301" s="2" t="s">
        <v>582</v>
      </c>
      <c r="P301" s="2">
        <v>28</v>
      </c>
      <c r="Q301" s="2">
        <v>23</v>
      </c>
      <c r="R301" s="2">
        <v>6</v>
      </c>
      <c r="S301" s="2">
        <v>6.1</v>
      </c>
    </row>
    <row r="302" spans="1:19">
      <c r="A302" s="2" t="s">
        <v>41</v>
      </c>
      <c r="B302" s="2" t="s">
        <v>172</v>
      </c>
      <c r="C302" s="2" t="s">
        <v>114</v>
      </c>
      <c r="D302" s="2">
        <v>9</v>
      </c>
      <c r="E302" s="2">
        <v>9</v>
      </c>
      <c r="F302" s="2"/>
      <c r="G302" s="2"/>
      <c r="H302" s="2" t="s">
        <v>582</v>
      </c>
      <c r="I302" s="2">
        <v>3</v>
      </c>
      <c r="J302" s="2">
        <v>9</v>
      </c>
      <c r="K302" s="2" t="s">
        <v>582</v>
      </c>
      <c r="L302" s="2" t="s">
        <v>582</v>
      </c>
      <c r="M302" s="2" t="s">
        <v>582</v>
      </c>
      <c r="N302" s="2" t="s">
        <v>582</v>
      </c>
      <c r="O302" s="2" t="s">
        <v>582</v>
      </c>
      <c r="P302" s="2">
        <v>36</v>
      </c>
      <c r="Q302" s="2">
        <v>33</v>
      </c>
      <c r="R302" s="2">
        <v>6</v>
      </c>
      <c r="S302" s="2">
        <v>6.2</v>
      </c>
    </row>
    <row r="303" spans="1:19" hidden="1">
      <c r="A303" s="2" t="s">
        <v>41</v>
      </c>
      <c r="B303" s="2" t="s">
        <v>174</v>
      </c>
      <c r="C303" s="2" t="s">
        <v>7</v>
      </c>
      <c r="D303" s="2">
        <v>9</v>
      </c>
      <c r="E303" s="2">
        <v>9</v>
      </c>
      <c r="F303" s="2"/>
      <c r="G303" s="2"/>
      <c r="H303" s="2" t="s">
        <v>582</v>
      </c>
      <c r="I303" s="2" t="s">
        <v>582</v>
      </c>
      <c r="J303" s="2" t="s">
        <v>582</v>
      </c>
      <c r="K303" s="2" t="s">
        <v>582</v>
      </c>
      <c r="L303" s="2">
        <v>1</v>
      </c>
      <c r="M303" s="2" t="s">
        <v>582</v>
      </c>
      <c r="N303" s="2" t="s">
        <v>582</v>
      </c>
      <c r="O303" s="2" t="s">
        <v>582</v>
      </c>
      <c r="P303" s="2">
        <v>20</v>
      </c>
      <c r="Q303" s="2">
        <v>18</v>
      </c>
      <c r="R303" s="2">
        <v>6.3</v>
      </c>
      <c r="S303" s="2">
        <v>6.3</v>
      </c>
    </row>
    <row r="304" spans="1:19" hidden="1">
      <c r="A304" s="2" t="s">
        <v>41</v>
      </c>
      <c r="B304" s="2" t="s">
        <v>175</v>
      </c>
      <c r="C304" s="2" t="s">
        <v>7</v>
      </c>
      <c r="D304" s="2">
        <v>9</v>
      </c>
      <c r="E304" s="2">
        <v>9</v>
      </c>
      <c r="F304" s="2"/>
      <c r="G304" s="2"/>
      <c r="H304" s="2" t="s">
        <v>582</v>
      </c>
      <c r="I304" s="2">
        <v>3</v>
      </c>
      <c r="J304" s="2">
        <v>4</v>
      </c>
      <c r="K304" s="2" t="s">
        <v>582</v>
      </c>
      <c r="L304" s="2">
        <v>2</v>
      </c>
      <c r="M304" s="2" t="s">
        <v>582</v>
      </c>
      <c r="N304" s="2" t="s">
        <v>582</v>
      </c>
      <c r="O304" s="2" t="s">
        <v>582</v>
      </c>
      <c r="P304" s="2">
        <v>27</v>
      </c>
      <c r="Q304" s="2">
        <v>14</v>
      </c>
      <c r="R304" s="2">
        <v>5.8</v>
      </c>
      <c r="S304" s="2">
        <v>6.2</v>
      </c>
    </row>
    <row r="305" spans="1:19" hidden="1">
      <c r="A305" s="2" t="s">
        <v>41</v>
      </c>
      <c r="B305" s="2" t="s">
        <v>176</v>
      </c>
      <c r="C305" s="2" t="s">
        <v>7</v>
      </c>
      <c r="D305" s="2">
        <v>9</v>
      </c>
      <c r="E305" s="2">
        <v>9</v>
      </c>
      <c r="F305" s="2"/>
      <c r="G305" s="2"/>
      <c r="H305" s="2" t="s">
        <v>582</v>
      </c>
      <c r="I305" s="2">
        <v>3</v>
      </c>
      <c r="J305" s="2">
        <v>2</v>
      </c>
      <c r="K305" s="2" t="s">
        <v>582</v>
      </c>
      <c r="L305" s="2" t="s">
        <v>582</v>
      </c>
      <c r="M305" s="2" t="s">
        <v>582</v>
      </c>
      <c r="N305" s="2" t="s">
        <v>582</v>
      </c>
      <c r="O305" s="2" t="s">
        <v>582</v>
      </c>
      <c r="P305" s="2">
        <v>22</v>
      </c>
      <c r="Q305" s="2">
        <v>16</v>
      </c>
      <c r="R305" s="2">
        <v>6.2</v>
      </c>
      <c r="S305" s="2">
        <v>6.5</v>
      </c>
    </row>
    <row r="306" spans="1:19" hidden="1">
      <c r="A306" s="2" t="s">
        <v>41</v>
      </c>
      <c r="B306" s="2" t="s">
        <v>179</v>
      </c>
      <c r="C306" s="2" t="s">
        <v>21</v>
      </c>
      <c r="D306" s="2">
        <v>9</v>
      </c>
      <c r="E306" s="2">
        <v>9</v>
      </c>
      <c r="F306" s="2"/>
      <c r="G306" s="2"/>
      <c r="H306" s="2" t="s">
        <v>582</v>
      </c>
      <c r="I306" s="2">
        <v>1</v>
      </c>
      <c r="J306" s="2">
        <v>2</v>
      </c>
      <c r="K306" s="2">
        <v>1</v>
      </c>
      <c r="L306" s="2" t="s">
        <v>582</v>
      </c>
      <c r="M306" s="2" t="s">
        <v>582</v>
      </c>
      <c r="N306" s="2" t="s">
        <v>582</v>
      </c>
      <c r="O306" s="2" t="s">
        <v>582</v>
      </c>
      <c r="P306" s="2">
        <v>29</v>
      </c>
      <c r="Q306" s="2">
        <v>25</v>
      </c>
      <c r="R306" s="2">
        <v>6.1</v>
      </c>
      <c r="S306" s="2">
        <v>6.1</v>
      </c>
    </row>
    <row r="307" spans="1:19" hidden="1">
      <c r="A307" s="2" t="s">
        <v>41</v>
      </c>
      <c r="B307" s="2" t="s">
        <v>180</v>
      </c>
      <c r="C307" s="2" t="s">
        <v>23</v>
      </c>
      <c r="D307" s="2">
        <v>9</v>
      </c>
      <c r="E307" s="2">
        <v>9</v>
      </c>
      <c r="F307" s="2"/>
      <c r="G307" s="2"/>
      <c r="H307" s="2" t="s">
        <v>582</v>
      </c>
      <c r="I307" s="2">
        <v>1</v>
      </c>
      <c r="J307" s="2">
        <v>8</v>
      </c>
      <c r="K307" s="2" t="s">
        <v>582</v>
      </c>
      <c r="L307" s="2" t="s">
        <v>582</v>
      </c>
      <c r="M307" s="2" t="s">
        <v>582</v>
      </c>
      <c r="N307" s="2" t="s">
        <v>582</v>
      </c>
      <c r="O307" s="2" t="s">
        <v>582</v>
      </c>
      <c r="P307" s="2">
        <v>32</v>
      </c>
      <c r="Q307" s="2">
        <v>29</v>
      </c>
      <c r="R307" s="2">
        <v>6.1</v>
      </c>
      <c r="S307" s="2">
        <v>6</v>
      </c>
    </row>
    <row r="308" spans="1:19" hidden="1">
      <c r="A308" s="2" t="s">
        <v>41</v>
      </c>
      <c r="B308" s="2" t="s">
        <v>192</v>
      </c>
      <c r="C308" s="2" t="s">
        <v>16</v>
      </c>
      <c r="D308" s="2">
        <v>8</v>
      </c>
      <c r="E308" s="2">
        <v>8</v>
      </c>
      <c r="F308" s="2"/>
      <c r="G308" s="2"/>
      <c r="H308" s="2" t="s">
        <v>582</v>
      </c>
      <c r="I308" s="2">
        <v>1</v>
      </c>
      <c r="J308" s="2">
        <v>6</v>
      </c>
      <c r="K308" s="2" t="s">
        <v>582</v>
      </c>
      <c r="L308" s="2">
        <v>2</v>
      </c>
      <c r="M308" s="2" t="s">
        <v>582</v>
      </c>
      <c r="N308" s="2" t="s">
        <v>582</v>
      </c>
      <c r="O308" s="2" t="s">
        <v>582</v>
      </c>
      <c r="P308" s="2">
        <v>33</v>
      </c>
      <c r="Q308" s="2">
        <v>31</v>
      </c>
      <c r="R308" s="2">
        <v>6.1</v>
      </c>
      <c r="S308" s="2">
        <v>6.1</v>
      </c>
    </row>
    <row r="309" spans="1:19" hidden="1">
      <c r="A309" s="2" t="s">
        <v>41</v>
      </c>
      <c r="B309" s="2" t="s">
        <v>193</v>
      </c>
      <c r="C309" s="2" t="s">
        <v>16</v>
      </c>
      <c r="D309" s="2">
        <v>8</v>
      </c>
      <c r="E309" s="2">
        <v>8</v>
      </c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</row>
    <row r="310" spans="1:19" hidden="1">
      <c r="A310" s="2" t="s">
        <v>41</v>
      </c>
      <c r="B310" s="2" t="s">
        <v>195</v>
      </c>
      <c r="C310" s="2" t="s">
        <v>14</v>
      </c>
      <c r="D310" s="2">
        <v>8</v>
      </c>
      <c r="E310" s="2">
        <v>8</v>
      </c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</row>
    <row r="311" spans="1:19" hidden="1">
      <c r="A311" s="2" t="s">
        <v>41</v>
      </c>
      <c r="B311" s="2" t="s">
        <v>196</v>
      </c>
      <c r="C311" s="2" t="s">
        <v>14</v>
      </c>
      <c r="D311" s="2">
        <v>8</v>
      </c>
      <c r="E311" s="2">
        <v>8</v>
      </c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</row>
    <row r="312" spans="1:19" hidden="1">
      <c r="A312" s="2" t="s">
        <v>41</v>
      </c>
      <c r="B312" s="2" t="s">
        <v>197</v>
      </c>
      <c r="C312" s="2" t="s">
        <v>14</v>
      </c>
      <c r="D312" s="2">
        <v>8</v>
      </c>
      <c r="E312" s="2">
        <v>8</v>
      </c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</row>
    <row r="313" spans="1:19">
      <c r="A313" s="2" t="s">
        <v>41</v>
      </c>
      <c r="B313" s="2" t="s">
        <v>206</v>
      </c>
      <c r="C313" s="2" t="s">
        <v>114</v>
      </c>
      <c r="D313" s="2">
        <v>8</v>
      </c>
      <c r="E313" s="2">
        <v>8</v>
      </c>
      <c r="F313" s="2"/>
      <c r="G313" s="2"/>
      <c r="H313" s="2" t="s">
        <v>582</v>
      </c>
      <c r="I313" s="2">
        <v>3</v>
      </c>
      <c r="J313" s="2">
        <v>6</v>
      </c>
      <c r="K313" s="2" t="s">
        <v>582</v>
      </c>
      <c r="L313" s="2" t="s">
        <v>582</v>
      </c>
      <c r="M313" s="2" t="s">
        <v>582</v>
      </c>
      <c r="N313" s="2" t="s">
        <v>582</v>
      </c>
      <c r="O313" s="2" t="s">
        <v>582</v>
      </c>
      <c r="P313" s="2">
        <v>25</v>
      </c>
      <c r="Q313" s="2">
        <v>22</v>
      </c>
      <c r="R313" s="2">
        <v>5.8</v>
      </c>
      <c r="S313" s="2">
        <v>6</v>
      </c>
    </row>
    <row r="314" spans="1:19" hidden="1">
      <c r="A314" s="2" t="s">
        <v>41</v>
      </c>
      <c r="B314" s="2" t="s">
        <v>210</v>
      </c>
      <c r="C314" s="2" t="s">
        <v>7</v>
      </c>
      <c r="D314" s="2">
        <v>8</v>
      </c>
      <c r="E314" s="2">
        <v>8</v>
      </c>
      <c r="F314" s="2"/>
      <c r="G314" s="2"/>
      <c r="H314" s="2" t="s">
        <v>582</v>
      </c>
      <c r="I314" s="2" t="s">
        <v>582</v>
      </c>
      <c r="J314" s="2">
        <v>4</v>
      </c>
      <c r="K314" s="2" t="s">
        <v>582</v>
      </c>
      <c r="L314" s="2">
        <v>1</v>
      </c>
      <c r="M314" s="2" t="s">
        <v>582</v>
      </c>
      <c r="N314" s="2" t="s">
        <v>582</v>
      </c>
      <c r="O314" s="2" t="s">
        <v>582</v>
      </c>
      <c r="P314" s="2">
        <v>22</v>
      </c>
      <c r="Q314" s="2">
        <v>17</v>
      </c>
      <c r="R314" s="2">
        <v>5.9</v>
      </c>
      <c r="S314" s="2">
        <v>5.9</v>
      </c>
    </row>
    <row r="315" spans="1:19" hidden="1">
      <c r="A315" s="2" t="s">
        <v>41</v>
      </c>
      <c r="B315" s="2" t="s">
        <v>211</v>
      </c>
      <c r="C315" s="2" t="s">
        <v>21</v>
      </c>
      <c r="D315" s="2">
        <v>8</v>
      </c>
      <c r="E315" s="2">
        <v>8</v>
      </c>
      <c r="F315" s="2"/>
      <c r="G315" s="2"/>
      <c r="H315" s="2" t="s">
        <v>582</v>
      </c>
      <c r="I315" s="2">
        <v>1</v>
      </c>
      <c r="J315" s="2">
        <v>2</v>
      </c>
      <c r="K315" s="2" t="s">
        <v>582</v>
      </c>
      <c r="L315" s="2" t="s">
        <v>582</v>
      </c>
      <c r="M315" s="2" t="s">
        <v>582</v>
      </c>
      <c r="N315" s="2" t="s">
        <v>582</v>
      </c>
      <c r="O315" s="2" t="s">
        <v>582</v>
      </c>
      <c r="P315" s="2">
        <v>28</v>
      </c>
      <c r="Q315" s="2">
        <v>26</v>
      </c>
      <c r="R315" s="2">
        <v>6.2</v>
      </c>
      <c r="S315" s="2">
        <v>6.3</v>
      </c>
    </row>
    <row r="316" spans="1:19" hidden="1">
      <c r="A316" s="2" t="s">
        <v>41</v>
      </c>
      <c r="B316" s="2" t="s">
        <v>212</v>
      </c>
      <c r="C316" s="2" t="s">
        <v>21</v>
      </c>
      <c r="D316" s="2">
        <v>8</v>
      </c>
      <c r="E316" s="2">
        <v>8</v>
      </c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</row>
    <row r="317" spans="1:19" hidden="1">
      <c r="A317" s="2" t="s">
        <v>41</v>
      </c>
      <c r="B317" s="2" t="s">
        <v>213</v>
      </c>
      <c r="C317" s="2" t="s">
        <v>23</v>
      </c>
      <c r="D317" s="2">
        <v>8</v>
      </c>
      <c r="E317" s="2">
        <v>8</v>
      </c>
      <c r="F317" s="2"/>
      <c r="G317" s="2"/>
      <c r="H317" s="2" t="s">
        <v>582</v>
      </c>
      <c r="I317" s="2">
        <v>2</v>
      </c>
      <c r="J317" s="2">
        <v>4</v>
      </c>
      <c r="K317" s="2">
        <v>2</v>
      </c>
      <c r="L317" s="2" t="s">
        <v>582</v>
      </c>
      <c r="M317" s="2" t="s">
        <v>582</v>
      </c>
      <c r="N317" s="2" t="s">
        <v>582</v>
      </c>
      <c r="O317" s="2" t="s">
        <v>582</v>
      </c>
      <c r="P317" s="2">
        <v>32</v>
      </c>
      <c r="Q317" s="2">
        <v>29</v>
      </c>
      <c r="R317" s="2">
        <v>6</v>
      </c>
      <c r="S317" s="2">
        <v>6</v>
      </c>
    </row>
    <row r="318" spans="1:19" hidden="1">
      <c r="A318" s="2" t="s">
        <v>41</v>
      </c>
      <c r="B318" s="2" t="s">
        <v>214</v>
      </c>
      <c r="C318" s="2" t="s">
        <v>23</v>
      </c>
      <c r="D318" s="2">
        <v>8</v>
      </c>
      <c r="E318" s="2">
        <v>8</v>
      </c>
      <c r="F318" s="2"/>
      <c r="G318" s="2"/>
      <c r="H318" s="2" t="s">
        <v>582</v>
      </c>
      <c r="I318" s="2">
        <v>4</v>
      </c>
      <c r="J318" s="2">
        <v>1</v>
      </c>
      <c r="K318" s="2" t="s">
        <v>582</v>
      </c>
      <c r="L318" s="2" t="s">
        <v>582</v>
      </c>
      <c r="M318" s="2" t="s">
        <v>582</v>
      </c>
      <c r="N318" s="2" t="s">
        <v>582</v>
      </c>
      <c r="O318" s="2" t="s">
        <v>582</v>
      </c>
      <c r="P318" s="2">
        <v>34</v>
      </c>
      <c r="Q318" s="2">
        <v>24</v>
      </c>
      <c r="R318" s="2">
        <v>5.8</v>
      </c>
      <c r="S318" s="2">
        <v>6.1</v>
      </c>
    </row>
    <row r="319" spans="1:19" hidden="1">
      <c r="A319" s="2" t="s">
        <v>41</v>
      </c>
      <c r="B319" s="2" t="s">
        <v>216</v>
      </c>
      <c r="C319" s="2" t="s">
        <v>112</v>
      </c>
      <c r="D319" s="2">
        <v>8</v>
      </c>
      <c r="E319" s="2">
        <v>8</v>
      </c>
      <c r="F319" s="2"/>
      <c r="G319" s="2"/>
      <c r="H319" s="2" t="s">
        <v>582</v>
      </c>
      <c r="I319" s="2">
        <v>2</v>
      </c>
      <c r="J319" s="2">
        <v>3</v>
      </c>
      <c r="K319" s="2" t="s">
        <v>582</v>
      </c>
      <c r="L319" s="2" t="s">
        <v>582</v>
      </c>
      <c r="M319" s="2" t="s">
        <v>582</v>
      </c>
      <c r="N319" s="2" t="s">
        <v>582</v>
      </c>
      <c r="O319" s="2" t="s">
        <v>582</v>
      </c>
      <c r="P319" s="2">
        <v>38</v>
      </c>
      <c r="Q319" s="2">
        <v>36</v>
      </c>
      <c r="R319" s="2">
        <v>5.9</v>
      </c>
      <c r="S319" s="2">
        <v>6</v>
      </c>
    </row>
    <row r="320" spans="1:19" hidden="1">
      <c r="A320" s="2" t="s">
        <v>41</v>
      </c>
      <c r="B320" s="2" t="s">
        <v>217</v>
      </c>
      <c r="C320" s="2" t="s">
        <v>45</v>
      </c>
      <c r="D320" s="2">
        <v>8</v>
      </c>
      <c r="E320" s="2">
        <v>8</v>
      </c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</row>
    <row r="321" spans="1:19" hidden="1">
      <c r="A321" s="2" t="s">
        <v>41</v>
      </c>
      <c r="B321" s="2" t="s">
        <v>219</v>
      </c>
      <c r="C321" s="2" t="s">
        <v>19</v>
      </c>
      <c r="D321" s="2">
        <v>8</v>
      </c>
      <c r="E321" s="2">
        <v>8</v>
      </c>
      <c r="F321" s="2"/>
      <c r="G321" s="2"/>
      <c r="H321" s="2" t="s">
        <v>582</v>
      </c>
      <c r="I321" s="2" t="s">
        <v>582</v>
      </c>
      <c r="J321" s="2">
        <v>2</v>
      </c>
      <c r="K321" s="2">
        <v>1</v>
      </c>
      <c r="L321" s="2">
        <v>1</v>
      </c>
      <c r="M321" s="2" t="s">
        <v>582</v>
      </c>
      <c r="N321" s="2" t="s">
        <v>582</v>
      </c>
      <c r="O321" s="2" t="s">
        <v>582</v>
      </c>
      <c r="P321" s="2">
        <v>19</v>
      </c>
      <c r="Q321" s="2">
        <v>16</v>
      </c>
      <c r="R321" s="2">
        <v>5.6</v>
      </c>
      <c r="S321" s="2">
        <v>5.6</v>
      </c>
    </row>
    <row r="322" spans="1:19" hidden="1">
      <c r="A322" s="2" t="s">
        <v>41</v>
      </c>
      <c r="B322" s="2" t="s">
        <v>222</v>
      </c>
      <c r="C322" s="2" t="s">
        <v>104</v>
      </c>
      <c r="D322" s="2">
        <v>8</v>
      </c>
      <c r="E322" s="2">
        <v>8</v>
      </c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</row>
    <row r="323" spans="1:19" hidden="1">
      <c r="A323" s="2" t="s">
        <v>41</v>
      </c>
      <c r="B323" s="2" t="s">
        <v>226</v>
      </c>
      <c r="C323" s="2" t="s">
        <v>48</v>
      </c>
      <c r="D323" s="2">
        <v>8</v>
      </c>
      <c r="E323" s="2">
        <v>8</v>
      </c>
      <c r="F323" s="2"/>
      <c r="G323" s="2"/>
      <c r="H323" s="2" t="s">
        <v>582</v>
      </c>
      <c r="I323" s="2">
        <v>2</v>
      </c>
      <c r="J323" s="2">
        <v>10</v>
      </c>
      <c r="K323" s="2" t="s">
        <v>582</v>
      </c>
      <c r="L323" s="2" t="s">
        <v>582</v>
      </c>
      <c r="M323" s="2" t="s">
        <v>582</v>
      </c>
      <c r="N323" s="2" t="s">
        <v>582</v>
      </c>
      <c r="O323" s="2" t="s">
        <v>582</v>
      </c>
      <c r="P323" s="2">
        <v>32</v>
      </c>
      <c r="Q323" s="2">
        <v>32</v>
      </c>
      <c r="R323" s="2">
        <v>5.8</v>
      </c>
      <c r="S323" s="2">
        <v>5.8</v>
      </c>
    </row>
    <row r="324" spans="1:19" hidden="1">
      <c r="A324" s="2" t="s">
        <v>41</v>
      </c>
      <c r="B324" s="2" t="s">
        <v>227</v>
      </c>
      <c r="C324" s="2" t="s">
        <v>48</v>
      </c>
      <c r="D324" s="2">
        <v>8</v>
      </c>
      <c r="E324" s="2">
        <v>8</v>
      </c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</row>
    <row r="325" spans="1:19" hidden="1">
      <c r="A325" s="2" t="s">
        <v>41</v>
      </c>
      <c r="B325" s="2" t="s">
        <v>228</v>
      </c>
      <c r="C325" s="2" t="s">
        <v>48</v>
      </c>
      <c r="D325" s="2">
        <v>8</v>
      </c>
      <c r="E325" s="2">
        <v>8</v>
      </c>
      <c r="F325" s="2"/>
      <c r="G325" s="2"/>
      <c r="H325" s="2" t="s">
        <v>582</v>
      </c>
      <c r="I325" s="2">
        <v>1</v>
      </c>
      <c r="J325" s="2">
        <v>1</v>
      </c>
      <c r="K325" s="2" t="s">
        <v>582</v>
      </c>
      <c r="L325" s="2" t="s">
        <v>582</v>
      </c>
      <c r="M325" s="2" t="s">
        <v>582</v>
      </c>
      <c r="N325" s="2" t="s">
        <v>582</v>
      </c>
      <c r="O325" s="2" t="s">
        <v>582</v>
      </c>
      <c r="P325" s="2">
        <v>21</v>
      </c>
      <c r="Q325" s="2">
        <v>16</v>
      </c>
      <c r="R325" s="2">
        <v>5.8</v>
      </c>
      <c r="S325" s="2">
        <v>5.8</v>
      </c>
    </row>
    <row r="326" spans="1:19" hidden="1">
      <c r="A326" s="2" t="s">
        <v>41</v>
      </c>
      <c r="B326" s="2" t="s">
        <v>229</v>
      </c>
      <c r="C326" s="2" t="s">
        <v>190</v>
      </c>
      <c r="D326" s="2">
        <v>8</v>
      </c>
      <c r="E326" s="2">
        <v>8</v>
      </c>
      <c r="F326" s="2"/>
      <c r="G326" s="2"/>
      <c r="H326" s="2" t="s">
        <v>582</v>
      </c>
      <c r="I326" s="2">
        <v>2</v>
      </c>
      <c r="J326" s="2">
        <v>7</v>
      </c>
      <c r="K326" s="2">
        <v>1</v>
      </c>
      <c r="L326" s="2">
        <v>3</v>
      </c>
      <c r="M326" s="2" t="s">
        <v>582</v>
      </c>
      <c r="N326" s="2" t="s">
        <v>582</v>
      </c>
      <c r="O326" s="2" t="s">
        <v>582</v>
      </c>
      <c r="P326" s="2">
        <v>36</v>
      </c>
      <c r="Q326" s="2">
        <v>34</v>
      </c>
      <c r="R326" s="2">
        <v>5.8</v>
      </c>
      <c r="S326" s="2">
        <v>5.9</v>
      </c>
    </row>
    <row r="327" spans="1:19" hidden="1">
      <c r="A327" s="2" t="s">
        <v>41</v>
      </c>
      <c r="B327" s="2" t="s">
        <v>231</v>
      </c>
      <c r="C327" s="2" t="s">
        <v>16</v>
      </c>
      <c r="D327" s="2">
        <v>7</v>
      </c>
      <c r="E327" s="2">
        <v>7</v>
      </c>
      <c r="F327" s="2"/>
      <c r="G327" s="2"/>
      <c r="H327" s="2" t="s">
        <v>582</v>
      </c>
      <c r="I327" s="2" t="s">
        <v>582</v>
      </c>
      <c r="J327" s="2">
        <v>7</v>
      </c>
      <c r="K327" s="2" t="s">
        <v>582</v>
      </c>
      <c r="L327" s="2">
        <v>2</v>
      </c>
      <c r="M327" s="2" t="s">
        <v>582</v>
      </c>
      <c r="N327" s="2" t="s">
        <v>582</v>
      </c>
      <c r="O327" s="2" t="s">
        <v>582</v>
      </c>
      <c r="P327" s="2">
        <v>23</v>
      </c>
      <c r="Q327" s="2">
        <v>23</v>
      </c>
      <c r="R327" s="2">
        <v>6.2</v>
      </c>
      <c r="S327" s="2">
        <v>6.1</v>
      </c>
    </row>
    <row r="328" spans="1:19" hidden="1">
      <c r="A328" s="2" t="s">
        <v>41</v>
      </c>
      <c r="B328" s="2" t="s">
        <v>234</v>
      </c>
      <c r="C328" s="2" t="s">
        <v>59</v>
      </c>
      <c r="D328" s="2">
        <v>7</v>
      </c>
      <c r="E328" s="2">
        <v>7</v>
      </c>
      <c r="F328" s="2"/>
      <c r="G328" s="2"/>
      <c r="H328" s="2" t="s">
        <v>582</v>
      </c>
      <c r="I328" s="2">
        <v>1</v>
      </c>
      <c r="J328" s="2">
        <v>4</v>
      </c>
      <c r="K328" s="2" t="s">
        <v>582</v>
      </c>
      <c r="L328" s="2">
        <v>3</v>
      </c>
      <c r="M328" s="2" t="s">
        <v>582</v>
      </c>
      <c r="N328" s="2" t="s">
        <v>582</v>
      </c>
      <c r="O328" s="2" t="s">
        <v>582</v>
      </c>
      <c r="P328" s="2">
        <v>36</v>
      </c>
      <c r="Q328" s="2">
        <v>34</v>
      </c>
      <c r="R328" s="2">
        <v>6</v>
      </c>
      <c r="S328" s="2">
        <v>6.1</v>
      </c>
    </row>
    <row r="329" spans="1:19" hidden="1">
      <c r="A329" s="2" t="s">
        <v>41</v>
      </c>
      <c r="B329" s="2" t="s">
        <v>235</v>
      </c>
      <c r="C329" s="2" t="s">
        <v>59</v>
      </c>
      <c r="D329" s="2">
        <v>7</v>
      </c>
      <c r="E329" s="2">
        <v>7</v>
      </c>
      <c r="F329" s="2">
        <v>10</v>
      </c>
      <c r="G329" s="2"/>
      <c r="H329" s="2" t="s">
        <v>582</v>
      </c>
      <c r="I329" s="2">
        <v>1</v>
      </c>
      <c r="J329" s="2">
        <v>4</v>
      </c>
      <c r="K329" s="2">
        <v>1</v>
      </c>
      <c r="L329" s="2" t="s">
        <v>582</v>
      </c>
      <c r="M329" s="2" t="s">
        <v>582</v>
      </c>
      <c r="N329" s="2" t="s">
        <v>582</v>
      </c>
      <c r="O329" s="2" t="s">
        <v>582</v>
      </c>
      <c r="P329" s="2">
        <v>31</v>
      </c>
      <c r="Q329" s="2">
        <v>29</v>
      </c>
      <c r="R329" s="2">
        <v>6</v>
      </c>
      <c r="S329" s="2">
        <v>6</v>
      </c>
    </row>
    <row r="330" spans="1:19" hidden="1">
      <c r="A330" s="2" t="s">
        <v>41</v>
      </c>
      <c r="B330" s="2" t="s">
        <v>239</v>
      </c>
      <c r="C330" s="2" t="s">
        <v>9</v>
      </c>
      <c r="D330" s="2">
        <v>7</v>
      </c>
      <c r="E330" s="2">
        <v>7</v>
      </c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</row>
    <row r="331" spans="1:19" hidden="1">
      <c r="A331" s="2" t="s">
        <v>41</v>
      </c>
      <c r="B331" s="2" t="s">
        <v>240</v>
      </c>
      <c r="C331" s="2" t="s">
        <v>9</v>
      </c>
      <c r="D331" s="2">
        <v>7</v>
      </c>
      <c r="E331" s="2">
        <v>7</v>
      </c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</row>
    <row r="332" spans="1:19" hidden="1">
      <c r="A332" s="2" t="s">
        <v>41</v>
      </c>
      <c r="B332" s="2" t="s">
        <v>241</v>
      </c>
      <c r="C332" s="2" t="s">
        <v>9</v>
      </c>
      <c r="D332" s="2">
        <v>7</v>
      </c>
      <c r="E332" s="2">
        <v>7</v>
      </c>
      <c r="F332" s="2"/>
      <c r="G332" s="2"/>
      <c r="H332" s="2" t="s">
        <v>582</v>
      </c>
      <c r="I332" s="2">
        <v>1</v>
      </c>
      <c r="J332" s="2">
        <v>7</v>
      </c>
      <c r="K332" s="2" t="s">
        <v>582</v>
      </c>
      <c r="L332" s="2">
        <v>3</v>
      </c>
      <c r="M332" s="2" t="s">
        <v>582</v>
      </c>
      <c r="N332" s="2" t="s">
        <v>582</v>
      </c>
      <c r="O332" s="2" t="s">
        <v>582</v>
      </c>
      <c r="P332" s="2">
        <v>36</v>
      </c>
      <c r="Q332" s="2">
        <v>32</v>
      </c>
      <c r="R332" s="2">
        <v>6</v>
      </c>
      <c r="S332" s="2">
        <v>6</v>
      </c>
    </row>
    <row r="333" spans="1:19" hidden="1">
      <c r="A333" s="2" t="s">
        <v>41</v>
      </c>
      <c r="B333" s="2" t="s">
        <v>246</v>
      </c>
      <c r="C333" s="2" t="s">
        <v>21</v>
      </c>
      <c r="D333" s="2">
        <v>7</v>
      </c>
      <c r="E333" s="2">
        <v>7</v>
      </c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</row>
    <row r="334" spans="1:19" hidden="1">
      <c r="A334" s="2" t="s">
        <v>41</v>
      </c>
      <c r="B334" s="2" t="s">
        <v>250</v>
      </c>
      <c r="C334" s="2" t="s">
        <v>19</v>
      </c>
      <c r="D334" s="2">
        <v>7</v>
      </c>
      <c r="E334" s="2">
        <v>7</v>
      </c>
      <c r="F334" s="2"/>
      <c r="G334" s="2"/>
      <c r="H334" s="2" t="s">
        <v>582</v>
      </c>
      <c r="I334" s="2">
        <v>2</v>
      </c>
      <c r="J334" s="2">
        <v>3</v>
      </c>
      <c r="K334" s="2">
        <v>1</v>
      </c>
      <c r="L334" s="2">
        <v>1</v>
      </c>
      <c r="M334" s="2" t="s">
        <v>582</v>
      </c>
      <c r="N334" s="2" t="s">
        <v>582</v>
      </c>
      <c r="O334" s="2" t="s">
        <v>582</v>
      </c>
      <c r="P334" s="2">
        <v>22</v>
      </c>
      <c r="Q334" s="2">
        <v>18</v>
      </c>
      <c r="R334" s="2">
        <v>5.8</v>
      </c>
      <c r="S334" s="2">
        <v>6</v>
      </c>
    </row>
    <row r="335" spans="1:19" hidden="1">
      <c r="A335" s="2" t="s">
        <v>41</v>
      </c>
      <c r="B335" s="2" t="s">
        <v>251</v>
      </c>
      <c r="C335" s="2" t="s">
        <v>11</v>
      </c>
      <c r="D335" s="2">
        <v>7</v>
      </c>
      <c r="E335" s="2">
        <v>7</v>
      </c>
      <c r="F335" s="2"/>
      <c r="G335" s="2"/>
      <c r="H335" s="2" t="s">
        <v>582</v>
      </c>
      <c r="I335" s="2">
        <v>1</v>
      </c>
      <c r="J335" s="2">
        <v>1</v>
      </c>
      <c r="K335" s="2" t="s">
        <v>582</v>
      </c>
      <c r="L335" s="2">
        <v>1</v>
      </c>
      <c r="M335" s="2" t="s">
        <v>582</v>
      </c>
      <c r="N335" s="2" t="s">
        <v>582</v>
      </c>
      <c r="O335" s="2" t="s">
        <v>582</v>
      </c>
      <c r="P335" s="2">
        <v>22</v>
      </c>
      <c r="Q335" s="2">
        <v>15</v>
      </c>
      <c r="R335" s="2">
        <v>6</v>
      </c>
      <c r="S335" s="2">
        <v>6.2</v>
      </c>
    </row>
    <row r="336" spans="1:19" hidden="1">
      <c r="A336" s="2" t="s">
        <v>41</v>
      </c>
      <c r="B336" s="2" t="s">
        <v>254</v>
      </c>
      <c r="C336" s="2" t="s">
        <v>104</v>
      </c>
      <c r="D336" s="2">
        <v>7</v>
      </c>
      <c r="E336" s="2">
        <v>7</v>
      </c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</row>
    <row r="337" spans="1:19" hidden="1">
      <c r="A337" s="2" t="s">
        <v>41</v>
      </c>
      <c r="B337" s="2" t="s">
        <v>256</v>
      </c>
      <c r="C337" s="2" t="s">
        <v>26</v>
      </c>
      <c r="D337" s="2">
        <v>7</v>
      </c>
      <c r="E337" s="2">
        <v>7</v>
      </c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</row>
    <row r="338" spans="1:19" hidden="1">
      <c r="A338" s="2" t="s">
        <v>41</v>
      </c>
      <c r="B338" s="2" t="s">
        <v>259</v>
      </c>
      <c r="C338" s="2" t="s">
        <v>48</v>
      </c>
      <c r="D338" s="2">
        <v>7</v>
      </c>
      <c r="E338" s="2">
        <v>7</v>
      </c>
      <c r="F338" s="2"/>
      <c r="G338" s="2"/>
      <c r="H338" s="2" t="s">
        <v>582</v>
      </c>
      <c r="I338" s="2">
        <v>1</v>
      </c>
      <c r="J338" s="2">
        <v>4</v>
      </c>
      <c r="K338" s="2">
        <v>1</v>
      </c>
      <c r="L338" s="2">
        <v>1</v>
      </c>
      <c r="M338" s="2" t="s">
        <v>582</v>
      </c>
      <c r="N338" s="2" t="s">
        <v>582</v>
      </c>
      <c r="O338" s="2" t="s">
        <v>582</v>
      </c>
      <c r="P338" s="2">
        <v>28</v>
      </c>
      <c r="Q338" s="2">
        <v>25</v>
      </c>
      <c r="R338" s="2">
        <v>6</v>
      </c>
      <c r="S338" s="2">
        <v>6</v>
      </c>
    </row>
    <row r="339" spans="1:19" hidden="1">
      <c r="A339" s="2" t="s">
        <v>41</v>
      </c>
      <c r="B339" s="2" t="s">
        <v>260</v>
      </c>
      <c r="C339" s="2" t="s">
        <v>48</v>
      </c>
      <c r="D339" s="2">
        <v>7</v>
      </c>
      <c r="E339" s="2">
        <v>7</v>
      </c>
      <c r="F339" s="2"/>
      <c r="G339" s="2"/>
      <c r="H339" s="2" t="s">
        <v>582</v>
      </c>
      <c r="I339" s="2" t="s">
        <v>582</v>
      </c>
      <c r="J339" s="2">
        <v>6</v>
      </c>
      <c r="K339" s="2" t="s">
        <v>582</v>
      </c>
      <c r="L339" s="2">
        <v>6</v>
      </c>
      <c r="M339" s="2" t="s">
        <v>582</v>
      </c>
      <c r="N339" s="2" t="s">
        <v>582</v>
      </c>
      <c r="O339" s="2" t="s">
        <v>582</v>
      </c>
      <c r="P339" s="2">
        <v>31</v>
      </c>
      <c r="Q339" s="2">
        <v>24</v>
      </c>
      <c r="R339" s="2">
        <v>6</v>
      </c>
      <c r="S339" s="2">
        <v>6</v>
      </c>
    </row>
    <row r="340" spans="1:19" hidden="1">
      <c r="A340" s="2" t="s">
        <v>41</v>
      </c>
      <c r="B340" s="2" t="s">
        <v>263</v>
      </c>
      <c r="C340" s="2" t="s">
        <v>72</v>
      </c>
      <c r="D340" s="2">
        <v>7</v>
      </c>
      <c r="E340" s="2">
        <v>7</v>
      </c>
      <c r="F340" s="2"/>
      <c r="G340" s="2"/>
      <c r="H340" s="2" t="s">
        <v>582</v>
      </c>
      <c r="I340" s="2">
        <v>1</v>
      </c>
      <c r="J340" s="2">
        <v>6</v>
      </c>
      <c r="K340" s="2">
        <v>1</v>
      </c>
      <c r="L340" s="2">
        <v>4</v>
      </c>
      <c r="M340" s="2" t="s">
        <v>582</v>
      </c>
      <c r="N340" s="2" t="s">
        <v>582</v>
      </c>
      <c r="O340" s="2" t="s">
        <v>582</v>
      </c>
      <c r="P340" s="2">
        <v>30</v>
      </c>
      <c r="Q340" s="2">
        <v>24</v>
      </c>
      <c r="R340" s="2">
        <v>5.8</v>
      </c>
      <c r="S340" s="2">
        <v>5.9</v>
      </c>
    </row>
    <row r="341" spans="1:19" hidden="1">
      <c r="A341" s="2" t="s">
        <v>41</v>
      </c>
      <c r="B341" s="2" t="s">
        <v>266</v>
      </c>
      <c r="C341" s="2" t="s">
        <v>16</v>
      </c>
      <c r="D341" s="2">
        <v>6</v>
      </c>
      <c r="E341" s="2">
        <v>6</v>
      </c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</row>
    <row r="342" spans="1:19" hidden="1">
      <c r="A342" s="2" t="s">
        <v>41</v>
      </c>
      <c r="B342" s="2" t="s">
        <v>267</v>
      </c>
      <c r="C342" s="2" t="s">
        <v>59</v>
      </c>
      <c r="D342" s="2">
        <v>6</v>
      </c>
      <c r="E342" s="2">
        <v>6</v>
      </c>
      <c r="F342" s="2"/>
      <c r="G342" s="2"/>
      <c r="H342" s="2" t="s">
        <v>582</v>
      </c>
      <c r="I342" s="2">
        <v>2</v>
      </c>
      <c r="J342" s="2">
        <v>4</v>
      </c>
      <c r="K342" s="2" t="s">
        <v>582</v>
      </c>
      <c r="L342" s="2" t="s">
        <v>582</v>
      </c>
      <c r="M342" s="2" t="s">
        <v>582</v>
      </c>
      <c r="N342" s="2" t="s">
        <v>582</v>
      </c>
      <c r="O342" s="2" t="s">
        <v>582</v>
      </c>
      <c r="P342" s="2">
        <v>36</v>
      </c>
      <c r="Q342" s="2">
        <v>33</v>
      </c>
      <c r="R342" s="2">
        <v>5.8</v>
      </c>
      <c r="S342" s="2">
        <v>6</v>
      </c>
    </row>
    <row r="343" spans="1:19" hidden="1">
      <c r="A343" s="2" t="s">
        <v>41</v>
      </c>
      <c r="B343" s="2" t="s">
        <v>269</v>
      </c>
      <c r="C343" s="2" t="s">
        <v>40</v>
      </c>
      <c r="D343" s="2">
        <v>6</v>
      </c>
      <c r="E343" s="2">
        <v>6</v>
      </c>
      <c r="F343" s="2"/>
      <c r="G343" s="2"/>
      <c r="H343" s="2" t="s">
        <v>582</v>
      </c>
      <c r="I343" s="2">
        <v>1</v>
      </c>
      <c r="J343" s="2">
        <v>6</v>
      </c>
      <c r="K343" s="2" t="s">
        <v>582</v>
      </c>
      <c r="L343" s="2">
        <v>2</v>
      </c>
      <c r="M343" s="2" t="s">
        <v>582</v>
      </c>
      <c r="N343" s="2" t="s">
        <v>582</v>
      </c>
      <c r="O343" s="2" t="s">
        <v>582</v>
      </c>
      <c r="P343" s="2">
        <v>27</v>
      </c>
      <c r="Q343" s="2">
        <v>19</v>
      </c>
      <c r="R343" s="2">
        <v>5.9</v>
      </c>
      <c r="S343" s="2">
        <v>6</v>
      </c>
    </row>
    <row r="344" spans="1:19" hidden="1">
      <c r="A344" s="2" t="s">
        <v>41</v>
      </c>
      <c r="B344" s="2" t="s">
        <v>270</v>
      </c>
      <c r="C344" s="2" t="s">
        <v>40</v>
      </c>
      <c r="D344" s="2">
        <v>6</v>
      </c>
      <c r="E344" s="2">
        <v>6</v>
      </c>
      <c r="F344" s="2"/>
      <c r="G344" s="2"/>
      <c r="H344" s="2" t="s">
        <v>582</v>
      </c>
      <c r="I344" s="2" t="s">
        <v>582</v>
      </c>
      <c r="J344" s="2">
        <v>2</v>
      </c>
      <c r="K344" s="2" t="s">
        <v>582</v>
      </c>
      <c r="L344" s="2" t="s">
        <v>582</v>
      </c>
      <c r="M344" s="2" t="s">
        <v>582</v>
      </c>
      <c r="N344" s="2" t="s">
        <v>582</v>
      </c>
      <c r="O344" s="2" t="s">
        <v>582</v>
      </c>
      <c r="P344" s="2">
        <v>13</v>
      </c>
      <c r="Q344" s="2">
        <v>10</v>
      </c>
      <c r="R344" s="2">
        <v>5.9</v>
      </c>
      <c r="S344" s="2">
        <v>5.8</v>
      </c>
    </row>
    <row r="345" spans="1:19" hidden="1">
      <c r="A345" s="2" t="s">
        <v>41</v>
      </c>
      <c r="B345" s="2" t="s">
        <v>277</v>
      </c>
      <c r="C345" s="2" t="s">
        <v>19</v>
      </c>
      <c r="D345" s="2">
        <v>6</v>
      </c>
      <c r="E345" s="2">
        <v>6</v>
      </c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</row>
    <row r="346" spans="1:19" hidden="1">
      <c r="A346" s="2" t="s">
        <v>41</v>
      </c>
      <c r="B346" s="2" t="s">
        <v>283</v>
      </c>
      <c r="C346" s="2" t="s">
        <v>38</v>
      </c>
      <c r="D346" s="2">
        <v>6</v>
      </c>
      <c r="E346" s="2">
        <v>6</v>
      </c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</row>
    <row r="347" spans="1:19" hidden="1">
      <c r="A347" s="2" t="s">
        <v>41</v>
      </c>
      <c r="B347" s="2" t="s">
        <v>288</v>
      </c>
      <c r="C347" s="2" t="s">
        <v>72</v>
      </c>
      <c r="D347" s="2">
        <v>6</v>
      </c>
      <c r="E347" s="2">
        <v>6</v>
      </c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</row>
    <row r="348" spans="1:19" hidden="1">
      <c r="A348" s="2" t="s">
        <v>41</v>
      </c>
      <c r="B348" s="2" t="s">
        <v>293</v>
      </c>
      <c r="C348" s="2" t="s">
        <v>14</v>
      </c>
      <c r="D348" s="2">
        <v>5</v>
      </c>
      <c r="E348" s="2">
        <v>5</v>
      </c>
      <c r="F348" s="2"/>
      <c r="G348" s="2"/>
      <c r="H348" s="2" t="s">
        <v>582</v>
      </c>
      <c r="I348" s="2" t="s">
        <v>582</v>
      </c>
      <c r="J348" s="2">
        <v>1</v>
      </c>
      <c r="K348" s="2" t="s">
        <v>582</v>
      </c>
      <c r="L348" s="2" t="s">
        <v>582</v>
      </c>
      <c r="M348" s="2" t="s">
        <v>582</v>
      </c>
      <c r="N348" s="2" t="s">
        <v>582</v>
      </c>
      <c r="O348" s="2" t="s">
        <v>582</v>
      </c>
      <c r="P348" s="2">
        <v>15</v>
      </c>
      <c r="Q348" s="2">
        <v>11</v>
      </c>
      <c r="R348" s="2">
        <v>5.8</v>
      </c>
      <c r="S348" s="2">
        <v>5.8</v>
      </c>
    </row>
    <row r="349" spans="1:19" hidden="1">
      <c r="A349" s="2" t="s">
        <v>41</v>
      </c>
      <c r="B349" s="2" t="s">
        <v>294</v>
      </c>
      <c r="C349" s="2" t="s">
        <v>14</v>
      </c>
      <c r="D349" s="2">
        <v>5</v>
      </c>
      <c r="E349" s="2">
        <v>5</v>
      </c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</row>
    <row r="350" spans="1:19" hidden="1">
      <c r="A350" s="2" t="s">
        <v>41</v>
      </c>
      <c r="B350" s="2" t="s">
        <v>298</v>
      </c>
      <c r="C350" s="2" t="s">
        <v>40</v>
      </c>
      <c r="D350" s="2">
        <v>5</v>
      </c>
      <c r="E350" s="2">
        <v>5</v>
      </c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</row>
    <row r="351" spans="1:19" hidden="1">
      <c r="A351" s="2" t="s">
        <v>41</v>
      </c>
      <c r="B351" s="2" t="s">
        <v>301</v>
      </c>
      <c r="C351" s="2" t="s">
        <v>112</v>
      </c>
      <c r="D351" s="2">
        <v>5</v>
      </c>
      <c r="E351" s="2">
        <v>5</v>
      </c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</row>
    <row r="352" spans="1:19" hidden="1">
      <c r="A352" s="2" t="s">
        <v>41</v>
      </c>
      <c r="B352" s="2" t="s">
        <v>302</v>
      </c>
      <c r="C352" s="2" t="s">
        <v>112</v>
      </c>
      <c r="D352" s="2">
        <v>5</v>
      </c>
      <c r="E352" s="2">
        <v>5</v>
      </c>
      <c r="F352" s="2"/>
      <c r="G352" s="2"/>
      <c r="H352" s="2" t="s">
        <v>582</v>
      </c>
      <c r="I352" s="2" t="s">
        <v>582</v>
      </c>
      <c r="J352" s="2">
        <v>7</v>
      </c>
      <c r="K352" s="2" t="s">
        <v>582</v>
      </c>
      <c r="L352" s="2">
        <v>3</v>
      </c>
      <c r="M352" s="2" t="s">
        <v>582</v>
      </c>
      <c r="N352" s="2" t="s">
        <v>582</v>
      </c>
      <c r="O352" s="2" t="s">
        <v>582</v>
      </c>
      <c r="P352" s="2">
        <v>35</v>
      </c>
      <c r="Q352" s="2">
        <v>32</v>
      </c>
      <c r="R352" s="2">
        <v>6</v>
      </c>
      <c r="S352" s="2">
        <v>6</v>
      </c>
    </row>
    <row r="353" spans="1:19" hidden="1">
      <c r="A353" s="2" t="s">
        <v>41</v>
      </c>
      <c r="B353" s="2" t="s">
        <v>305</v>
      </c>
      <c r="C353" s="2" t="s">
        <v>9</v>
      </c>
      <c r="D353" s="2">
        <v>5</v>
      </c>
      <c r="E353" s="2">
        <v>5</v>
      </c>
      <c r="F353" s="2"/>
      <c r="G353" s="2"/>
      <c r="H353" s="2" t="s">
        <v>582</v>
      </c>
      <c r="I353" s="2" t="s">
        <v>582</v>
      </c>
      <c r="J353" s="2">
        <v>1</v>
      </c>
      <c r="K353" s="2">
        <v>1</v>
      </c>
      <c r="L353" s="2" t="s">
        <v>582</v>
      </c>
      <c r="M353" s="2" t="s">
        <v>582</v>
      </c>
      <c r="N353" s="2" t="s">
        <v>582</v>
      </c>
      <c r="O353" s="2" t="s">
        <v>582</v>
      </c>
      <c r="P353" s="2">
        <v>18</v>
      </c>
      <c r="Q353" s="2">
        <v>14</v>
      </c>
      <c r="R353" s="2">
        <v>6</v>
      </c>
      <c r="S353" s="2">
        <v>5.8</v>
      </c>
    </row>
    <row r="354" spans="1:19" hidden="1">
      <c r="A354" s="2" t="s">
        <v>41</v>
      </c>
      <c r="B354" s="2" t="s">
        <v>306</v>
      </c>
      <c r="C354" s="2" t="s">
        <v>9</v>
      </c>
      <c r="D354" s="2">
        <v>5</v>
      </c>
      <c r="E354" s="2">
        <v>5</v>
      </c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</row>
    <row r="355" spans="1:19">
      <c r="A355" s="2" t="s">
        <v>41</v>
      </c>
      <c r="B355" s="2" t="s">
        <v>307</v>
      </c>
      <c r="C355" s="2" t="s">
        <v>114</v>
      </c>
      <c r="D355" s="2">
        <v>5</v>
      </c>
      <c r="E355" s="2">
        <v>5</v>
      </c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</row>
    <row r="356" spans="1:19" hidden="1">
      <c r="A356" s="2" t="s">
        <v>41</v>
      </c>
      <c r="B356" s="2" t="s">
        <v>312</v>
      </c>
      <c r="C356" s="2" t="s">
        <v>21</v>
      </c>
      <c r="D356" s="2">
        <v>5</v>
      </c>
      <c r="E356" s="2">
        <v>5</v>
      </c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</row>
    <row r="357" spans="1:19" hidden="1">
      <c r="A357" s="2" t="s">
        <v>41</v>
      </c>
      <c r="B357" s="2" t="s">
        <v>315</v>
      </c>
      <c r="C357" s="2" t="s">
        <v>45</v>
      </c>
      <c r="D357" s="2">
        <v>5</v>
      </c>
      <c r="E357" s="2">
        <v>5</v>
      </c>
      <c r="F357" s="2"/>
      <c r="G357" s="2"/>
      <c r="H357" s="2" t="s">
        <v>582</v>
      </c>
      <c r="I357" s="2" t="s">
        <v>582</v>
      </c>
      <c r="J357" s="2">
        <v>3</v>
      </c>
      <c r="K357" s="2">
        <v>1</v>
      </c>
      <c r="L357" s="2">
        <v>2</v>
      </c>
      <c r="M357" s="2" t="s">
        <v>582</v>
      </c>
      <c r="N357" s="2" t="s">
        <v>582</v>
      </c>
      <c r="O357" s="2" t="s">
        <v>582</v>
      </c>
      <c r="P357" s="2">
        <v>31</v>
      </c>
      <c r="Q357" s="2">
        <v>29</v>
      </c>
      <c r="R357" s="2">
        <v>5.8</v>
      </c>
      <c r="S357" s="2">
        <v>5.7</v>
      </c>
    </row>
    <row r="358" spans="1:19" hidden="1">
      <c r="A358" s="2" t="s">
        <v>41</v>
      </c>
      <c r="B358" s="2" t="s">
        <v>318</v>
      </c>
      <c r="C358" s="2" t="s">
        <v>19</v>
      </c>
      <c r="D358" s="2">
        <v>5</v>
      </c>
      <c r="E358" s="2">
        <v>5</v>
      </c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</row>
    <row r="359" spans="1:19" hidden="1">
      <c r="A359" s="2" t="s">
        <v>41</v>
      </c>
      <c r="B359" s="2" t="s">
        <v>319</v>
      </c>
      <c r="C359" s="2" t="s">
        <v>104</v>
      </c>
      <c r="D359" s="2">
        <v>5</v>
      </c>
      <c r="E359" s="2">
        <v>5</v>
      </c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</row>
    <row r="360" spans="1:19" hidden="1">
      <c r="A360" s="2" t="s">
        <v>41</v>
      </c>
      <c r="B360" s="2" t="s">
        <v>321</v>
      </c>
      <c r="C360" s="2" t="s">
        <v>579</v>
      </c>
      <c r="D360" s="2">
        <v>5</v>
      </c>
      <c r="E360" s="2">
        <v>5</v>
      </c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</row>
    <row r="361" spans="1:19" hidden="1">
      <c r="A361" s="2" t="s">
        <v>41</v>
      </c>
      <c r="B361" s="2" t="s">
        <v>323</v>
      </c>
      <c r="C361" s="2" t="s">
        <v>26</v>
      </c>
      <c r="D361" s="2">
        <v>5</v>
      </c>
      <c r="E361" s="2">
        <v>5</v>
      </c>
      <c r="F361" s="2"/>
      <c r="G361" s="2"/>
      <c r="H361" s="2" t="s">
        <v>582</v>
      </c>
      <c r="I361" s="2" t="s">
        <v>582</v>
      </c>
      <c r="J361" s="2" t="s">
        <v>582</v>
      </c>
      <c r="K361" s="2" t="s">
        <v>582</v>
      </c>
      <c r="L361" s="2">
        <v>1</v>
      </c>
      <c r="M361" s="2" t="s">
        <v>582</v>
      </c>
      <c r="N361" s="2" t="s">
        <v>582</v>
      </c>
      <c r="O361" s="2" t="s">
        <v>582</v>
      </c>
      <c r="P361" s="2">
        <v>9</v>
      </c>
      <c r="Q361" s="2">
        <v>5</v>
      </c>
      <c r="R361" s="2">
        <v>5.9</v>
      </c>
      <c r="S361" s="2">
        <v>6</v>
      </c>
    </row>
    <row r="362" spans="1:19" hidden="1">
      <c r="A362" s="2" t="s">
        <v>41</v>
      </c>
      <c r="B362" s="2" t="s">
        <v>324</v>
      </c>
      <c r="C362" s="2" t="s">
        <v>38</v>
      </c>
      <c r="D362" s="2">
        <v>5</v>
      </c>
      <c r="E362" s="2">
        <v>5</v>
      </c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</row>
    <row r="363" spans="1:19" hidden="1">
      <c r="A363" s="2" t="s">
        <v>41</v>
      </c>
      <c r="B363" s="2" t="s">
        <v>325</v>
      </c>
      <c r="C363" s="2" t="s">
        <v>38</v>
      </c>
      <c r="D363" s="2">
        <v>5</v>
      </c>
      <c r="E363" s="2">
        <v>5</v>
      </c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</row>
    <row r="364" spans="1:19" hidden="1">
      <c r="A364" s="2" t="s">
        <v>41</v>
      </c>
      <c r="B364" s="2" t="s">
        <v>331</v>
      </c>
      <c r="C364" s="2" t="s">
        <v>72</v>
      </c>
      <c r="D364" s="2">
        <v>5</v>
      </c>
      <c r="E364" s="2">
        <v>5</v>
      </c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</row>
    <row r="365" spans="1:19" hidden="1">
      <c r="A365" s="2" t="s">
        <v>41</v>
      </c>
      <c r="B365" s="2" t="s">
        <v>332</v>
      </c>
      <c r="C365" s="2" t="s">
        <v>72</v>
      </c>
      <c r="D365" s="2">
        <v>5</v>
      </c>
      <c r="E365" s="2">
        <v>5</v>
      </c>
      <c r="F365" s="2"/>
      <c r="G365" s="2"/>
      <c r="H365" s="2" t="s">
        <v>582</v>
      </c>
      <c r="I365" s="2" t="s">
        <v>582</v>
      </c>
      <c r="J365" s="2">
        <v>5</v>
      </c>
      <c r="K365" s="2" t="s">
        <v>582</v>
      </c>
      <c r="L365" s="2">
        <v>1</v>
      </c>
      <c r="M365" s="2" t="s">
        <v>582</v>
      </c>
      <c r="N365" s="2" t="s">
        <v>582</v>
      </c>
      <c r="O365" s="2" t="s">
        <v>582</v>
      </c>
      <c r="P365" s="2">
        <v>32</v>
      </c>
      <c r="Q365" s="2">
        <v>28</v>
      </c>
      <c r="R365" s="2">
        <v>5.7</v>
      </c>
      <c r="S365" s="2">
        <v>5.7</v>
      </c>
    </row>
    <row r="366" spans="1:19" hidden="1">
      <c r="A366" s="2" t="s">
        <v>41</v>
      </c>
      <c r="B366" s="2" t="s">
        <v>334</v>
      </c>
      <c r="C366" s="2" t="s">
        <v>190</v>
      </c>
      <c r="D366" s="2">
        <v>5</v>
      </c>
      <c r="E366" s="2">
        <v>5</v>
      </c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</row>
    <row r="367" spans="1:19">
      <c r="A367" s="2" t="s">
        <v>41</v>
      </c>
      <c r="B367" s="2" t="s">
        <v>336</v>
      </c>
      <c r="C367" s="2" t="s">
        <v>114</v>
      </c>
      <c r="D367" s="2">
        <v>5</v>
      </c>
      <c r="E367" s="2">
        <v>5</v>
      </c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</row>
    <row r="368" spans="1:19" hidden="1">
      <c r="A368" s="2" t="s">
        <v>41</v>
      </c>
      <c r="B368" s="2" t="s">
        <v>339</v>
      </c>
      <c r="C368" s="2" t="s">
        <v>14</v>
      </c>
      <c r="D368" s="2">
        <v>4</v>
      </c>
      <c r="E368" s="2">
        <v>4</v>
      </c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</row>
    <row r="369" spans="1:19" hidden="1">
      <c r="A369" s="2" t="s">
        <v>41</v>
      </c>
      <c r="B369" s="2" t="s">
        <v>340</v>
      </c>
      <c r="C369" s="2" t="s">
        <v>14</v>
      </c>
      <c r="D369" s="2">
        <v>4</v>
      </c>
      <c r="E369" s="2">
        <v>4</v>
      </c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</row>
    <row r="370" spans="1:19" hidden="1">
      <c r="A370" s="2" t="s">
        <v>41</v>
      </c>
      <c r="B370" s="2" t="s">
        <v>342</v>
      </c>
      <c r="C370" s="2" t="s">
        <v>59</v>
      </c>
      <c r="D370" s="2">
        <v>4</v>
      </c>
      <c r="E370" s="2">
        <v>4</v>
      </c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</row>
    <row r="371" spans="1:19" hidden="1">
      <c r="A371" s="2" t="s">
        <v>41</v>
      </c>
      <c r="B371" s="2" t="s">
        <v>343</v>
      </c>
      <c r="C371" s="2" t="s">
        <v>40</v>
      </c>
      <c r="D371" s="2">
        <v>4</v>
      </c>
      <c r="E371" s="2">
        <v>4</v>
      </c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</row>
    <row r="372" spans="1:19" hidden="1">
      <c r="A372" s="2" t="s">
        <v>41</v>
      </c>
      <c r="B372" s="2" t="s">
        <v>344</v>
      </c>
      <c r="C372" s="2" t="s">
        <v>40</v>
      </c>
      <c r="D372" s="2">
        <v>4</v>
      </c>
      <c r="E372" s="2">
        <v>4</v>
      </c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</row>
    <row r="373" spans="1:19" hidden="1">
      <c r="A373" s="2" t="s">
        <v>41</v>
      </c>
      <c r="B373" s="2" t="s">
        <v>345</v>
      </c>
      <c r="C373" s="2" t="s">
        <v>40</v>
      </c>
      <c r="D373" s="2">
        <v>4</v>
      </c>
      <c r="E373" s="2">
        <v>4</v>
      </c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</row>
    <row r="374" spans="1:19" hidden="1">
      <c r="A374" s="2" t="s">
        <v>41</v>
      </c>
      <c r="B374" s="2" t="s">
        <v>347</v>
      </c>
      <c r="C374" s="2" t="s">
        <v>112</v>
      </c>
      <c r="D374" s="2">
        <v>4</v>
      </c>
      <c r="E374" s="2">
        <v>4</v>
      </c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</row>
    <row r="375" spans="1:19" hidden="1">
      <c r="A375" s="2" t="s">
        <v>41</v>
      </c>
      <c r="B375" s="2" t="s">
        <v>348</v>
      </c>
      <c r="C375" s="2" t="s">
        <v>112</v>
      </c>
      <c r="D375" s="2">
        <v>4</v>
      </c>
      <c r="E375" s="2">
        <v>4</v>
      </c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</row>
    <row r="376" spans="1:19" hidden="1">
      <c r="A376" s="2" t="s">
        <v>41</v>
      </c>
      <c r="B376" s="2" t="s">
        <v>350</v>
      </c>
      <c r="C376" s="2" t="s">
        <v>9</v>
      </c>
      <c r="D376" s="2">
        <v>4</v>
      </c>
      <c r="E376" s="2">
        <v>4</v>
      </c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</row>
    <row r="377" spans="1:19" hidden="1">
      <c r="A377" s="2" t="s">
        <v>41</v>
      </c>
      <c r="B377" s="2" t="s">
        <v>352</v>
      </c>
      <c r="C377" s="2" t="s">
        <v>7</v>
      </c>
      <c r="D377" s="2">
        <v>4</v>
      </c>
      <c r="E377" s="2">
        <v>4</v>
      </c>
      <c r="F377" s="2"/>
      <c r="G377" s="2"/>
      <c r="H377" s="2" t="s">
        <v>582</v>
      </c>
      <c r="I377" s="2">
        <v>3</v>
      </c>
      <c r="J377" s="2">
        <v>3</v>
      </c>
      <c r="K377" s="2" t="s">
        <v>582</v>
      </c>
      <c r="L377" s="2">
        <v>2</v>
      </c>
      <c r="M377" s="2" t="s">
        <v>582</v>
      </c>
      <c r="N377" s="2" t="s">
        <v>582</v>
      </c>
      <c r="O377" s="2" t="s">
        <v>582</v>
      </c>
      <c r="P377" s="2">
        <v>28</v>
      </c>
      <c r="Q377" s="2">
        <v>19</v>
      </c>
      <c r="R377" s="2">
        <v>6</v>
      </c>
      <c r="S377" s="2">
        <v>6.3</v>
      </c>
    </row>
    <row r="378" spans="1:19" hidden="1">
      <c r="A378" s="2" t="s">
        <v>41</v>
      </c>
      <c r="B378" s="2" t="s">
        <v>357</v>
      </c>
      <c r="C378" s="2" t="s">
        <v>23</v>
      </c>
      <c r="D378" s="2">
        <v>4</v>
      </c>
      <c r="E378" s="2">
        <v>4</v>
      </c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</row>
    <row r="379" spans="1:19" hidden="1">
      <c r="A379" s="2" t="s">
        <v>41</v>
      </c>
      <c r="B379" s="2" t="s">
        <v>358</v>
      </c>
      <c r="C379" s="2" t="s">
        <v>23</v>
      </c>
      <c r="D379" s="2">
        <v>4</v>
      </c>
      <c r="E379" s="2">
        <v>4</v>
      </c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</row>
    <row r="380" spans="1:19" hidden="1">
      <c r="A380" s="2" t="s">
        <v>41</v>
      </c>
      <c r="B380" s="2" t="s">
        <v>359</v>
      </c>
      <c r="C380" s="2" t="s">
        <v>23</v>
      </c>
      <c r="D380" s="2">
        <v>4</v>
      </c>
      <c r="E380" s="2">
        <v>4</v>
      </c>
      <c r="F380" s="2"/>
      <c r="G380" s="2"/>
      <c r="H380" s="2" t="s">
        <v>582</v>
      </c>
      <c r="I380" s="2" t="s">
        <v>582</v>
      </c>
      <c r="J380" s="2">
        <v>3</v>
      </c>
      <c r="K380" s="2" t="s">
        <v>582</v>
      </c>
      <c r="L380" s="2">
        <v>1</v>
      </c>
      <c r="M380" s="2" t="s">
        <v>582</v>
      </c>
      <c r="N380" s="2" t="s">
        <v>582</v>
      </c>
      <c r="O380" s="2" t="s">
        <v>582</v>
      </c>
      <c r="P380" s="2">
        <v>23</v>
      </c>
      <c r="Q380" s="2">
        <v>16</v>
      </c>
      <c r="R380" s="2">
        <v>5.9</v>
      </c>
      <c r="S380" s="2">
        <v>5.9</v>
      </c>
    </row>
    <row r="381" spans="1:19" hidden="1">
      <c r="A381" s="2" t="s">
        <v>41</v>
      </c>
      <c r="B381" s="2" t="s">
        <v>361</v>
      </c>
      <c r="C381" s="2" t="s">
        <v>45</v>
      </c>
      <c r="D381" s="2">
        <v>4</v>
      </c>
      <c r="E381" s="2">
        <v>4</v>
      </c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</row>
    <row r="382" spans="1:19" hidden="1">
      <c r="A382" s="2" t="s">
        <v>41</v>
      </c>
      <c r="B382" s="2" t="s">
        <v>362</v>
      </c>
      <c r="C382" s="2" t="s">
        <v>19</v>
      </c>
      <c r="D382" s="2">
        <v>4</v>
      </c>
      <c r="E382" s="2">
        <v>4</v>
      </c>
      <c r="F382" s="2"/>
      <c r="G382" s="2"/>
      <c r="H382" s="2" t="s">
        <v>582</v>
      </c>
      <c r="I382" s="2" t="s">
        <v>582</v>
      </c>
      <c r="J382" s="2">
        <v>2</v>
      </c>
      <c r="K382" s="2" t="s">
        <v>582</v>
      </c>
      <c r="L382" s="2" t="s">
        <v>582</v>
      </c>
      <c r="M382" s="2" t="s">
        <v>582</v>
      </c>
      <c r="N382" s="2" t="s">
        <v>582</v>
      </c>
      <c r="O382" s="2" t="s">
        <v>582</v>
      </c>
      <c r="P382" s="2">
        <v>22</v>
      </c>
      <c r="Q382" s="2">
        <v>18</v>
      </c>
      <c r="R382" s="2">
        <v>5.7</v>
      </c>
      <c r="S382" s="2">
        <v>5.4</v>
      </c>
    </row>
    <row r="383" spans="1:19" hidden="1">
      <c r="A383" s="2" t="s">
        <v>41</v>
      </c>
      <c r="B383" s="2" t="s">
        <v>366</v>
      </c>
      <c r="C383" s="2" t="s">
        <v>104</v>
      </c>
      <c r="D383" s="2">
        <v>4</v>
      </c>
      <c r="E383" s="2">
        <v>4</v>
      </c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</row>
    <row r="384" spans="1:19" hidden="1">
      <c r="A384" s="2" t="s">
        <v>41</v>
      </c>
      <c r="B384" s="2" t="s">
        <v>368</v>
      </c>
      <c r="C384" s="2" t="s">
        <v>579</v>
      </c>
      <c r="D384" s="2">
        <v>4</v>
      </c>
      <c r="E384" s="2">
        <v>4</v>
      </c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</row>
    <row r="385" spans="1:19" hidden="1">
      <c r="A385" s="2" t="s">
        <v>41</v>
      </c>
      <c r="B385" s="2" t="s">
        <v>369</v>
      </c>
      <c r="C385" s="2" t="s">
        <v>579</v>
      </c>
      <c r="D385" s="2">
        <v>4</v>
      </c>
      <c r="E385" s="2">
        <v>4</v>
      </c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</row>
    <row r="386" spans="1:19" hidden="1">
      <c r="A386" s="2" t="s">
        <v>41</v>
      </c>
      <c r="B386" s="2" t="s">
        <v>371</v>
      </c>
      <c r="C386" s="2" t="s">
        <v>26</v>
      </c>
      <c r="D386" s="2">
        <v>4</v>
      </c>
      <c r="E386" s="2">
        <v>4</v>
      </c>
      <c r="F386" s="2"/>
      <c r="G386" s="2"/>
      <c r="H386" s="2" t="s">
        <v>582</v>
      </c>
      <c r="I386" s="2" t="s">
        <v>582</v>
      </c>
      <c r="J386" s="2" t="s">
        <v>582</v>
      </c>
      <c r="K386" s="2" t="s">
        <v>582</v>
      </c>
      <c r="L386" s="2">
        <v>1</v>
      </c>
      <c r="M386" s="2" t="s">
        <v>582</v>
      </c>
      <c r="N386" s="2" t="s">
        <v>582</v>
      </c>
      <c r="O386" s="2" t="s">
        <v>582</v>
      </c>
      <c r="P386" s="2">
        <v>2</v>
      </c>
      <c r="Q386" s="2">
        <v>2</v>
      </c>
      <c r="R386" s="2">
        <v>6</v>
      </c>
      <c r="S386" s="2">
        <v>6.5</v>
      </c>
    </row>
    <row r="387" spans="1:19" hidden="1">
      <c r="A387" s="2" t="s">
        <v>41</v>
      </c>
      <c r="B387" s="2" t="s">
        <v>372</v>
      </c>
      <c r="C387" s="2" t="s">
        <v>38</v>
      </c>
      <c r="D387" s="2">
        <v>4</v>
      </c>
      <c r="E387" s="2">
        <v>4</v>
      </c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</row>
    <row r="388" spans="1:19" hidden="1">
      <c r="A388" s="2" t="s">
        <v>41</v>
      </c>
      <c r="B388" s="2" t="s">
        <v>375</v>
      </c>
      <c r="C388" s="2" t="s">
        <v>48</v>
      </c>
      <c r="D388" s="2">
        <v>4</v>
      </c>
      <c r="E388" s="2">
        <v>4</v>
      </c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</row>
    <row r="389" spans="1:19" hidden="1">
      <c r="A389" s="2" t="s">
        <v>41</v>
      </c>
      <c r="B389" s="2" t="s">
        <v>379</v>
      </c>
      <c r="C389" s="2" t="s">
        <v>190</v>
      </c>
      <c r="D389" s="2">
        <v>4</v>
      </c>
      <c r="E389" s="2">
        <v>4</v>
      </c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</row>
    <row r="390" spans="1:19" hidden="1">
      <c r="A390" s="2" t="s">
        <v>41</v>
      </c>
      <c r="B390" s="2" t="s">
        <v>380</v>
      </c>
      <c r="C390" s="2" t="s">
        <v>190</v>
      </c>
      <c r="D390" s="2">
        <v>4</v>
      </c>
      <c r="E390" s="2">
        <v>4</v>
      </c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</row>
    <row r="391" spans="1:19" hidden="1">
      <c r="A391" s="2" t="s">
        <v>41</v>
      </c>
      <c r="B391" s="2" t="s">
        <v>381</v>
      </c>
      <c r="C391" s="2" t="s">
        <v>190</v>
      </c>
      <c r="D391" s="2">
        <v>4</v>
      </c>
      <c r="E391" s="2">
        <v>4</v>
      </c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</row>
    <row r="392" spans="1:19" hidden="1">
      <c r="A392" s="2" t="s">
        <v>41</v>
      </c>
      <c r="B392" s="2" t="s">
        <v>384</v>
      </c>
      <c r="C392" s="2" t="s">
        <v>40</v>
      </c>
      <c r="D392" s="2">
        <v>4</v>
      </c>
      <c r="E392" s="2">
        <v>4</v>
      </c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</row>
    <row r="393" spans="1:19" hidden="1">
      <c r="A393" s="2" t="s">
        <v>41</v>
      </c>
      <c r="B393" s="2" t="s">
        <v>385</v>
      </c>
      <c r="C393" s="2" t="s">
        <v>16</v>
      </c>
      <c r="D393" s="2">
        <v>3</v>
      </c>
      <c r="E393" s="2">
        <v>3</v>
      </c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</row>
    <row r="394" spans="1:19" hidden="1">
      <c r="A394" s="2" t="s">
        <v>41</v>
      </c>
      <c r="B394" s="2" t="s">
        <v>387</v>
      </c>
      <c r="C394" s="2" t="s">
        <v>14</v>
      </c>
      <c r="D394" s="2">
        <v>3</v>
      </c>
      <c r="E394" s="2">
        <v>3</v>
      </c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</row>
    <row r="395" spans="1:19" hidden="1">
      <c r="A395" s="2" t="s">
        <v>41</v>
      </c>
      <c r="B395" s="2" t="s">
        <v>391</v>
      </c>
      <c r="C395" s="2" t="s">
        <v>59</v>
      </c>
      <c r="D395" s="2">
        <v>3</v>
      </c>
      <c r="E395" s="2">
        <v>3</v>
      </c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</row>
    <row r="396" spans="1:19" hidden="1">
      <c r="A396" s="2" t="s">
        <v>41</v>
      </c>
      <c r="B396" s="2" t="s">
        <v>393</v>
      </c>
      <c r="C396" s="2" t="s">
        <v>40</v>
      </c>
      <c r="D396" s="2">
        <v>3</v>
      </c>
      <c r="E396" s="2">
        <v>3</v>
      </c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</row>
    <row r="397" spans="1:19" hidden="1">
      <c r="A397" s="2" t="s">
        <v>41</v>
      </c>
      <c r="B397" s="2" t="s">
        <v>394</v>
      </c>
      <c r="C397" s="2" t="s">
        <v>112</v>
      </c>
      <c r="D397" s="2">
        <v>3</v>
      </c>
      <c r="E397" s="2">
        <v>3</v>
      </c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</row>
    <row r="398" spans="1:19" hidden="1">
      <c r="A398" s="2" t="s">
        <v>41</v>
      </c>
      <c r="B398" s="2" t="s">
        <v>395</v>
      </c>
      <c r="C398" s="2" t="s">
        <v>112</v>
      </c>
      <c r="D398" s="2">
        <v>3</v>
      </c>
      <c r="E398" s="2">
        <v>3</v>
      </c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</row>
    <row r="399" spans="1:19" hidden="1">
      <c r="A399" s="2" t="s">
        <v>41</v>
      </c>
      <c r="B399" s="2" t="s">
        <v>396</v>
      </c>
      <c r="C399" s="2" t="s">
        <v>112</v>
      </c>
      <c r="D399" s="2">
        <v>3</v>
      </c>
      <c r="E399" s="2">
        <v>3</v>
      </c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</row>
    <row r="400" spans="1:19" hidden="1">
      <c r="A400" s="2" t="s">
        <v>41</v>
      </c>
      <c r="B400" s="2" t="s">
        <v>398</v>
      </c>
      <c r="C400" s="2" t="s">
        <v>9</v>
      </c>
      <c r="D400" s="2">
        <v>3</v>
      </c>
      <c r="E400" s="2">
        <v>3</v>
      </c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</row>
    <row r="401" spans="1:19">
      <c r="A401" s="2" t="s">
        <v>41</v>
      </c>
      <c r="B401" s="2" t="s">
        <v>399</v>
      </c>
      <c r="C401" s="2" t="s">
        <v>114</v>
      </c>
      <c r="D401" s="2">
        <v>3</v>
      </c>
      <c r="E401" s="2">
        <v>3</v>
      </c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</row>
    <row r="402" spans="1:19">
      <c r="A402" s="2" t="s">
        <v>41</v>
      </c>
      <c r="B402" s="2" t="s">
        <v>400</v>
      </c>
      <c r="C402" s="2" t="s">
        <v>114</v>
      </c>
      <c r="D402" s="2">
        <v>3</v>
      </c>
      <c r="E402" s="2">
        <v>3</v>
      </c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</row>
    <row r="403" spans="1:19">
      <c r="A403" s="2" t="s">
        <v>41</v>
      </c>
      <c r="B403" s="2" t="s">
        <v>401</v>
      </c>
      <c r="C403" s="2" t="s">
        <v>114</v>
      </c>
      <c r="D403" s="2">
        <v>3</v>
      </c>
      <c r="E403" s="2">
        <v>3</v>
      </c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</row>
    <row r="404" spans="1:19" hidden="1">
      <c r="A404" s="2" t="s">
        <v>41</v>
      </c>
      <c r="B404" s="2" t="s">
        <v>403</v>
      </c>
      <c r="C404" s="2" t="s">
        <v>21</v>
      </c>
      <c r="D404" s="2">
        <v>3</v>
      </c>
      <c r="E404" s="2">
        <v>3</v>
      </c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</row>
    <row r="405" spans="1:19" hidden="1">
      <c r="A405" s="2" t="s">
        <v>41</v>
      </c>
      <c r="B405" s="2" t="s">
        <v>404</v>
      </c>
      <c r="C405" s="2" t="s">
        <v>21</v>
      </c>
      <c r="D405" s="2">
        <v>3</v>
      </c>
      <c r="E405" s="2">
        <v>3</v>
      </c>
      <c r="F405" s="2"/>
      <c r="G405" s="2"/>
      <c r="H405" s="2" t="s">
        <v>582</v>
      </c>
      <c r="I405" s="2">
        <v>2</v>
      </c>
      <c r="J405" s="2">
        <v>5</v>
      </c>
      <c r="K405" s="2" t="s">
        <v>582</v>
      </c>
      <c r="L405" s="2">
        <v>1</v>
      </c>
      <c r="M405" s="2" t="s">
        <v>582</v>
      </c>
      <c r="N405" s="2" t="s">
        <v>582</v>
      </c>
      <c r="O405" s="2" t="s">
        <v>582</v>
      </c>
      <c r="P405" s="2">
        <v>27</v>
      </c>
      <c r="Q405" s="2">
        <v>18</v>
      </c>
      <c r="R405" s="2">
        <v>5.9</v>
      </c>
      <c r="S405" s="2">
        <v>6.1</v>
      </c>
    </row>
    <row r="406" spans="1:19" hidden="1">
      <c r="A406" s="2" t="s">
        <v>41</v>
      </c>
      <c r="B406" s="2" t="s">
        <v>407</v>
      </c>
      <c r="C406" s="2" t="s">
        <v>23</v>
      </c>
      <c r="D406" s="2">
        <v>3</v>
      </c>
      <c r="E406" s="2">
        <v>3</v>
      </c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</row>
    <row r="407" spans="1:19" hidden="1">
      <c r="A407" s="2" t="s">
        <v>41</v>
      </c>
      <c r="B407" s="2" t="s">
        <v>408</v>
      </c>
      <c r="C407" s="2" t="s">
        <v>23</v>
      </c>
      <c r="D407" s="2">
        <v>3</v>
      </c>
      <c r="E407" s="2">
        <v>3</v>
      </c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</row>
    <row r="408" spans="1:19" hidden="1">
      <c r="A408" s="2" t="s">
        <v>41</v>
      </c>
      <c r="B408" s="2" t="s">
        <v>409</v>
      </c>
      <c r="C408" s="2" t="s">
        <v>23</v>
      </c>
      <c r="D408" s="2">
        <v>3</v>
      </c>
      <c r="E408" s="2">
        <v>3</v>
      </c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</row>
    <row r="409" spans="1:19" hidden="1">
      <c r="A409" s="2" t="s">
        <v>41</v>
      </c>
      <c r="B409" s="2" t="s">
        <v>411</v>
      </c>
      <c r="C409" s="2" t="s">
        <v>45</v>
      </c>
      <c r="D409" s="2">
        <v>3</v>
      </c>
      <c r="E409" s="2">
        <v>3</v>
      </c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</row>
    <row r="410" spans="1:19" hidden="1">
      <c r="A410" s="2" t="s">
        <v>41</v>
      </c>
      <c r="B410" s="2" t="s">
        <v>414</v>
      </c>
      <c r="C410" s="2" t="s">
        <v>19</v>
      </c>
      <c r="D410" s="2">
        <v>3</v>
      </c>
      <c r="E410" s="2">
        <v>3</v>
      </c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</row>
    <row r="411" spans="1:19" hidden="1">
      <c r="A411" s="2" t="s">
        <v>41</v>
      </c>
      <c r="B411" s="2" t="s">
        <v>416</v>
      </c>
      <c r="C411" s="2" t="s">
        <v>11</v>
      </c>
      <c r="D411" s="2">
        <v>3</v>
      </c>
      <c r="E411" s="2">
        <v>3</v>
      </c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</row>
    <row r="412" spans="1:19" hidden="1">
      <c r="A412" s="2" t="s">
        <v>41</v>
      </c>
      <c r="B412" s="2" t="s">
        <v>417</v>
      </c>
      <c r="C412" s="2" t="s">
        <v>11</v>
      </c>
      <c r="D412" s="2">
        <v>3</v>
      </c>
      <c r="E412" s="2">
        <v>3</v>
      </c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</row>
    <row r="413" spans="1:19" hidden="1">
      <c r="A413" s="2" t="s">
        <v>41</v>
      </c>
      <c r="B413" s="2" t="s">
        <v>418</v>
      </c>
      <c r="C413" s="2" t="s">
        <v>11</v>
      </c>
      <c r="D413" s="2">
        <v>3</v>
      </c>
      <c r="E413" s="2">
        <v>3</v>
      </c>
      <c r="F413" s="2"/>
      <c r="G413" s="2"/>
      <c r="H413" s="2" t="s">
        <v>582</v>
      </c>
      <c r="I413" s="2">
        <v>1</v>
      </c>
      <c r="J413" s="2">
        <v>3</v>
      </c>
      <c r="K413" s="2" t="s">
        <v>582</v>
      </c>
      <c r="L413" s="2" t="s">
        <v>582</v>
      </c>
      <c r="M413" s="2" t="s">
        <v>582</v>
      </c>
      <c r="N413" s="2" t="s">
        <v>582</v>
      </c>
      <c r="O413" s="2" t="s">
        <v>582</v>
      </c>
      <c r="P413" s="2">
        <v>30</v>
      </c>
      <c r="Q413" s="2">
        <v>19</v>
      </c>
      <c r="R413" s="2">
        <v>6</v>
      </c>
      <c r="S413" s="2">
        <v>6</v>
      </c>
    </row>
    <row r="414" spans="1:19" hidden="1">
      <c r="A414" s="2" t="s">
        <v>41</v>
      </c>
      <c r="B414" s="2" t="s">
        <v>419</v>
      </c>
      <c r="C414" s="2" t="s">
        <v>11</v>
      </c>
      <c r="D414" s="2">
        <v>3</v>
      </c>
      <c r="E414" s="2">
        <v>3</v>
      </c>
      <c r="F414" s="2"/>
      <c r="G414" s="2"/>
      <c r="H414" s="2" t="s">
        <v>582</v>
      </c>
      <c r="I414" s="2" t="s">
        <v>582</v>
      </c>
      <c r="J414" s="2">
        <v>1</v>
      </c>
      <c r="K414" s="2" t="s">
        <v>582</v>
      </c>
      <c r="L414" s="2" t="s">
        <v>582</v>
      </c>
      <c r="M414" s="2" t="s">
        <v>582</v>
      </c>
      <c r="N414" s="2" t="s">
        <v>582</v>
      </c>
      <c r="O414" s="2" t="s">
        <v>582</v>
      </c>
      <c r="P414" s="2">
        <v>12</v>
      </c>
      <c r="Q414" s="2">
        <v>7</v>
      </c>
      <c r="R414" s="2">
        <v>5.9</v>
      </c>
      <c r="S414" s="2">
        <v>5.9</v>
      </c>
    </row>
    <row r="415" spans="1:19" hidden="1">
      <c r="A415" s="2" t="s">
        <v>41</v>
      </c>
      <c r="B415" s="2" t="s">
        <v>421</v>
      </c>
      <c r="C415" s="2" t="s">
        <v>104</v>
      </c>
      <c r="D415" s="2">
        <v>3</v>
      </c>
      <c r="E415" s="2">
        <v>3</v>
      </c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</row>
    <row r="416" spans="1:19" hidden="1">
      <c r="A416" s="2" t="s">
        <v>41</v>
      </c>
      <c r="B416" s="2" t="s">
        <v>424</v>
      </c>
      <c r="C416" s="2" t="s">
        <v>579</v>
      </c>
      <c r="D416" s="2">
        <v>3</v>
      </c>
      <c r="E416" s="2">
        <v>3</v>
      </c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</row>
    <row r="417" spans="1:19" hidden="1">
      <c r="A417" s="2" t="s">
        <v>41</v>
      </c>
      <c r="B417" s="2" t="s">
        <v>425</v>
      </c>
      <c r="C417" s="2" t="s">
        <v>579</v>
      </c>
      <c r="D417" s="2">
        <v>3</v>
      </c>
      <c r="E417" s="2">
        <v>3</v>
      </c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</row>
    <row r="418" spans="1:19" hidden="1">
      <c r="A418" s="2" t="s">
        <v>41</v>
      </c>
      <c r="B418" s="2" t="s">
        <v>428</v>
      </c>
      <c r="C418" s="2" t="s">
        <v>26</v>
      </c>
      <c r="D418" s="2">
        <v>3</v>
      </c>
      <c r="E418" s="2">
        <v>3</v>
      </c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</row>
    <row r="419" spans="1:19" hidden="1">
      <c r="A419" s="2" t="s">
        <v>41</v>
      </c>
      <c r="B419" s="2" t="s">
        <v>429</v>
      </c>
      <c r="C419" s="2" t="s">
        <v>38</v>
      </c>
      <c r="D419" s="2">
        <v>3</v>
      </c>
      <c r="E419" s="2">
        <v>3</v>
      </c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</row>
    <row r="420" spans="1:19" hidden="1">
      <c r="A420" s="2" t="s">
        <v>41</v>
      </c>
      <c r="B420" s="2" t="s">
        <v>430</v>
      </c>
      <c r="C420" s="2" t="s">
        <v>48</v>
      </c>
      <c r="D420" s="2">
        <v>3</v>
      </c>
      <c r="E420" s="2">
        <v>3</v>
      </c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</row>
    <row r="421" spans="1:19" hidden="1">
      <c r="A421" s="2" t="s">
        <v>41</v>
      </c>
      <c r="B421" s="2" t="s">
        <v>431</v>
      </c>
      <c r="C421" s="2" t="s">
        <v>48</v>
      </c>
      <c r="D421" s="2">
        <v>3</v>
      </c>
      <c r="E421" s="2">
        <v>3</v>
      </c>
      <c r="F421" s="2"/>
      <c r="G421" s="2"/>
      <c r="H421" s="2" t="s">
        <v>582</v>
      </c>
      <c r="I421" s="2">
        <v>1</v>
      </c>
      <c r="J421" s="2">
        <v>5</v>
      </c>
      <c r="K421" s="2" t="s">
        <v>582</v>
      </c>
      <c r="L421" s="2">
        <v>2</v>
      </c>
      <c r="M421" s="2" t="s">
        <v>582</v>
      </c>
      <c r="N421" s="2" t="s">
        <v>582</v>
      </c>
      <c r="O421" s="2" t="s">
        <v>582</v>
      </c>
      <c r="P421" s="2">
        <v>25</v>
      </c>
      <c r="Q421" s="2">
        <v>18</v>
      </c>
      <c r="R421" s="2">
        <v>6</v>
      </c>
      <c r="S421" s="2">
        <v>6.1</v>
      </c>
    </row>
    <row r="422" spans="1:19" hidden="1">
      <c r="A422" s="2" t="s">
        <v>41</v>
      </c>
      <c r="B422" s="2" t="s">
        <v>432</v>
      </c>
      <c r="C422" s="2" t="s">
        <v>72</v>
      </c>
      <c r="D422" s="2">
        <v>3</v>
      </c>
      <c r="E422" s="2">
        <v>3</v>
      </c>
      <c r="F422" s="2"/>
      <c r="G422" s="2"/>
      <c r="H422" s="2" t="s">
        <v>582</v>
      </c>
      <c r="I422" s="2">
        <v>1</v>
      </c>
      <c r="J422" s="2">
        <v>4</v>
      </c>
      <c r="K422" s="2" t="s">
        <v>582</v>
      </c>
      <c r="L422" s="2" t="s">
        <v>582</v>
      </c>
      <c r="M422" s="2" t="s">
        <v>582</v>
      </c>
      <c r="N422" s="2" t="s">
        <v>582</v>
      </c>
      <c r="O422" s="2" t="s">
        <v>582</v>
      </c>
      <c r="P422" s="2">
        <v>13</v>
      </c>
      <c r="Q422" s="2">
        <v>11</v>
      </c>
      <c r="R422" s="2">
        <v>5.8</v>
      </c>
      <c r="S422" s="2">
        <v>5.6</v>
      </c>
    </row>
    <row r="423" spans="1:19" hidden="1">
      <c r="A423" s="2" t="s">
        <v>41</v>
      </c>
      <c r="B423" s="2" t="s">
        <v>433</v>
      </c>
      <c r="C423" s="2" t="s">
        <v>72</v>
      </c>
      <c r="D423" s="2">
        <v>3</v>
      </c>
      <c r="E423" s="2">
        <v>3</v>
      </c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</row>
    <row r="424" spans="1:19" hidden="1">
      <c r="A424" s="2" t="s">
        <v>41</v>
      </c>
      <c r="B424" s="2" t="s">
        <v>434</v>
      </c>
      <c r="C424" s="2" t="s">
        <v>72</v>
      </c>
      <c r="D424" s="2">
        <v>3</v>
      </c>
      <c r="E424" s="2">
        <v>3</v>
      </c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</row>
    <row r="425" spans="1:19" hidden="1">
      <c r="A425" s="2" t="s">
        <v>41</v>
      </c>
      <c r="B425" s="2" t="s">
        <v>435</v>
      </c>
      <c r="C425" s="2" t="s">
        <v>72</v>
      </c>
      <c r="D425" s="2">
        <v>3</v>
      </c>
      <c r="E425" s="2">
        <v>3</v>
      </c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</row>
    <row r="426" spans="1:19" hidden="1">
      <c r="A426" s="2" t="s">
        <v>41</v>
      </c>
      <c r="B426" s="2" t="s">
        <v>437</v>
      </c>
      <c r="C426" s="2" t="s">
        <v>190</v>
      </c>
      <c r="D426" s="2">
        <v>3</v>
      </c>
      <c r="E426" s="2">
        <v>3</v>
      </c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</row>
    <row r="427" spans="1:19" hidden="1">
      <c r="A427" s="2" t="s">
        <v>41</v>
      </c>
      <c r="B427" s="2" t="s">
        <v>440</v>
      </c>
      <c r="C427" s="2" t="s">
        <v>16</v>
      </c>
      <c r="D427" s="2">
        <v>2</v>
      </c>
      <c r="E427" s="2">
        <v>2</v>
      </c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</row>
    <row r="428" spans="1:19" hidden="1">
      <c r="A428" s="2" t="s">
        <v>41</v>
      </c>
      <c r="B428" s="2" t="s">
        <v>441</v>
      </c>
      <c r="C428" s="2" t="s">
        <v>59</v>
      </c>
      <c r="D428" s="2">
        <v>2</v>
      </c>
      <c r="E428" s="2">
        <v>2</v>
      </c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</row>
    <row r="429" spans="1:19" hidden="1">
      <c r="A429" s="2" t="s">
        <v>41</v>
      </c>
      <c r="B429" s="2" t="s">
        <v>442</v>
      </c>
      <c r="C429" s="2" t="s">
        <v>40</v>
      </c>
      <c r="D429" s="2">
        <v>2</v>
      </c>
      <c r="E429" s="2">
        <v>2</v>
      </c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</row>
    <row r="430" spans="1:19" hidden="1">
      <c r="A430" s="2" t="s">
        <v>41</v>
      </c>
      <c r="B430" s="2" t="s">
        <v>443</v>
      </c>
      <c r="C430" s="2" t="s">
        <v>40</v>
      </c>
      <c r="D430" s="2">
        <v>2</v>
      </c>
      <c r="E430" s="2">
        <v>2</v>
      </c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</row>
    <row r="431" spans="1:19" hidden="1">
      <c r="A431" s="2" t="s">
        <v>41</v>
      </c>
      <c r="B431" s="2" t="s">
        <v>445</v>
      </c>
      <c r="C431" s="2" t="s">
        <v>112</v>
      </c>
      <c r="D431" s="2">
        <v>2</v>
      </c>
      <c r="E431" s="2">
        <v>2</v>
      </c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</row>
    <row r="432" spans="1:19">
      <c r="A432" s="2" t="s">
        <v>41</v>
      </c>
      <c r="B432" s="2" t="s">
        <v>449</v>
      </c>
      <c r="C432" s="2" t="s">
        <v>114</v>
      </c>
      <c r="D432" s="2">
        <v>2</v>
      </c>
      <c r="E432" s="2">
        <v>2</v>
      </c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</row>
    <row r="433" spans="1:19" hidden="1">
      <c r="A433" s="2" t="s">
        <v>41</v>
      </c>
      <c r="B433" s="2" t="s">
        <v>452</v>
      </c>
      <c r="C433" s="2" t="s">
        <v>19</v>
      </c>
      <c r="D433" s="2">
        <v>2</v>
      </c>
      <c r="E433" s="2">
        <v>2</v>
      </c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</row>
    <row r="434" spans="1:19" hidden="1">
      <c r="A434" s="2" t="s">
        <v>41</v>
      </c>
      <c r="B434" s="2" t="s">
        <v>453</v>
      </c>
      <c r="C434" s="2" t="s">
        <v>104</v>
      </c>
      <c r="D434" s="2">
        <v>2</v>
      </c>
      <c r="E434" s="2">
        <v>2</v>
      </c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</row>
    <row r="435" spans="1:19" hidden="1">
      <c r="A435" s="2" t="s">
        <v>41</v>
      </c>
      <c r="B435" s="2" t="s">
        <v>454</v>
      </c>
      <c r="C435" s="2" t="s">
        <v>104</v>
      </c>
      <c r="D435" s="2">
        <v>2</v>
      </c>
      <c r="E435" s="2">
        <v>2</v>
      </c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</row>
    <row r="436" spans="1:19" hidden="1">
      <c r="A436" s="2" t="s">
        <v>41</v>
      </c>
      <c r="B436" s="2" t="s">
        <v>456</v>
      </c>
      <c r="C436" s="2" t="s">
        <v>579</v>
      </c>
      <c r="D436" s="2">
        <v>2</v>
      </c>
      <c r="E436" s="2">
        <v>2</v>
      </c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</row>
    <row r="437" spans="1:19" hidden="1">
      <c r="A437" s="2" t="s">
        <v>41</v>
      </c>
      <c r="B437" s="2" t="s">
        <v>459</v>
      </c>
      <c r="C437" s="2" t="s">
        <v>26</v>
      </c>
      <c r="D437" s="2">
        <v>2</v>
      </c>
      <c r="E437" s="2">
        <v>2</v>
      </c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</row>
    <row r="438" spans="1:19" hidden="1">
      <c r="A438" s="2" t="s">
        <v>41</v>
      </c>
      <c r="B438" s="2" t="s">
        <v>460</v>
      </c>
      <c r="C438" s="2" t="s">
        <v>38</v>
      </c>
      <c r="D438" s="2">
        <v>2</v>
      </c>
      <c r="E438" s="2">
        <v>2</v>
      </c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</row>
    <row r="439" spans="1:19" hidden="1">
      <c r="A439" s="2" t="s">
        <v>41</v>
      </c>
      <c r="B439" s="2" t="s">
        <v>461</v>
      </c>
      <c r="C439" s="2" t="s">
        <v>38</v>
      </c>
      <c r="D439" s="2">
        <v>2</v>
      </c>
      <c r="E439" s="2">
        <v>2</v>
      </c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</row>
    <row r="440" spans="1:19" hidden="1">
      <c r="A440" s="2" t="s">
        <v>41</v>
      </c>
      <c r="B440" s="2" t="s">
        <v>464</v>
      </c>
      <c r="C440" s="2" t="s">
        <v>190</v>
      </c>
      <c r="D440" s="2">
        <v>2</v>
      </c>
      <c r="E440" s="2">
        <v>2</v>
      </c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</row>
    <row r="441" spans="1:19" hidden="1">
      <c r="A441" s="2" t="s">
        <v>41</v>
      </c>
      <c r="B441" s="2" t="s">
        <v>465</v>
      </c>
      <c r="C441" s="2" t="s">
        <v>190</v>
      </c>
      <c r="D441" s="2">
        <v>2</v>
      </c>
      <c r="E441" s="2">
        <v>2</v>
      </c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</row>
    <row r="442" spans="1:19" hidden="1">
      <c r="A442" s="2" t="s">
        <v>41</v>
      </c>
      <c r="B442" s="2" t="s">
        <v>467</v>
      </c>
      <c r="C442" s="2" t="s">
        <v>579</v>
      </c>
      <c r="D442" s="2">
        <v>2</v>
      </c>
      <c r="E442" s="2">
        <v>2</v>
      </c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</row>
    <row r="443" spans="1:19" hidden="1">
      <c r="A443" s="2" t="s">
        <v>41</v>
      </c>
      <c r="B443" s="2" t="s">
        <v>471</v>
      </c>
      <c r="C443" s="2" t="s">
        <v>14</v>
      </c>
      <c r="D443" s="2">
        <v>1</v>
      </c>
      <c r="E443" s="2">
        <v>1</v>
      </c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</row>
    <row r="444" spans="1:19" hidden="1">
      <c r="A444" s="2" t="s">
        <v>41</v>
      </c>
      <c r="B444" s="2" t="s">
        <v>474</v>
      </c>
      <c r="C444" s="2" t="s">
        <v>59</v>
      </c>
      <c r="D444" s="2">
        <v>1</v>
      </c>
      <c r="E444" s="2">
        <v>1</v>
      </c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</row>
    <row r="445" spans="1:19" hidden="1">
      <c r="A445" s="2" t="s">
        <v>41</v>
      </c>
      <c r="B445" s="2" t="s">
        <v>475</v>
      </c>
      <c r="C445" s="2" t="s">
        <v>59</v>
      </c>
      <c r="D445" s="2">
        <v>1</v>
      </c>
      <c r="E445" s="2">
        <v>1</v>
      </c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</row>
    <row r="446" spans="1:19" hidden="1">
      <c r="A446" s="2" t="s">
        <v>41</v>
      </c>
      <c r="B446" s="2" t="s">
        <v>484</v>
      </c>
      <c r="C446" s="2" t="s">
        <v>112</v>
      </c>
      <c r="D446" s="2">
        <v>1</v>
      </c>
      <c r="E446" s="2">
        <v>1</v>
      </c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</row>
    <row r="447" spans="1:19" hidden="1">
      <c r="A447" s="2" t="s">
        <v>41</v>
      </c>
      <c r="B447" s="2" t="s">
        <v>485</v>
      </c>
      <c r="C447" s="2" t="s">
        <v>112</v>
      </c>
      <c r="D447" s="2">
        <v>1</v>
      </c>
      <c r="E447" s="2">
        <v>1</v>
      </c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</row>
    <row r="448" spans="1:19" hidden="1">
      <c r="A448" s="2" t="s">
        <v>41</v>
      </c>
      <c r="B448" s="2" t="s">
        <v>497</v>
      </c>
      <c r="C448" s="2" t="s">
        <v>21</v>
      </c>
      <c r="D448" s="2">
        <v>1</v>
      </c>
      <c r="E448" s="2">
        <v>1</v>
      </c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</row>
    <row r="449" spans="1:19" hidden="1">
      <c r="A449" s="2" t="s">
        <v>41</v>
      </c>
      <c r="B449" s="2" t="s">
        <v>503</v>
      </c>
      <c r="C449" s="2" t="s">
        <v>45</v>
      </c>
      <c r="D449" s="2">
        <v>1</v>
      </c>
      <c r="E449" s="2">
        <v>1</v>
      </c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</row>
    <row r="450" spans="1:19" hidden="1">
      <c r="A450" s="2" t="s">
        <v>41</v>
      </c>
      <c r="B450" s="2" t="s">
        <v>504</v>
      </c>
      <c r="C450" s="2" t="s">
        <v>45</v>
      </c>
      <c r="D450" s="2">
        <v>1</v>
      </c>
      <c r="E450" s="2">
        <v>1</v>
      </c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</row>
    <row r="451" spans="1:19" hidden="1">
      <c r="A451" s="2" t="s">
        <v>41</v>
      </c>
      <c r="B451" s="2" t="s">
        <v>505</v>
      </c>
      <c r="C451" s="2" t="s">
        <v>45</v>
      </c>
      <c r="D451" s="2">
        <v>1</v>
      </c>
      <c r="E451" s="2">
        <v>1</v>
      </c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</row>
    <row r="452" spans="1:19" hidden="1">
      <c r="A452" s="2" t="s">
        <v>41</v>
      </c>
      <c r="B452" s="2" t="s">
        <v>506</v>
      </c>
      <c r="C452" s="2" t="s">
        <v>45</v>
      </c>
      <c r="D452" s="2">
        <v>1</v>
      </c>
      <c r="E452" s="2">
        <v>1</v>
      </c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</row>
    <row r="453" spans="1:19" hidden="1">
      <c r="A453" s="2" t="s">
        <v>41</v>
      </c>
      <c r="B453" s="2" t="s">
        <v>517</v>
      </c>
      <c r="C453" s="2" t="s">
        <v>579</v>
      </c>
      <c r="D453" s="2">
        <v>1</v>
      </c>
      <c r="E453" s="2">
        <v>1</v>
      </c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</row>
    <row r="454" spans="1:19" hidden="1">
      <c r="A454" s="2" t="s">
        <v>41</v>
      </c>
      <c r="B454" s="2" t="s">
        <v>518</v>
      </c>
      <c r="C454" s="2" t="s">
        <v>579</v>
      </c>
      <c r="D454" s="2">
        <v>1</v>
      </c>
      <c r="E454" s="2">
        <v>1</v>
      </c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</row>
    <row r="455" spans="1:19" hidden="1">
      <c r="A455" s="2" t="s">
        <v>41</v>
      </c>
      <c r="B455" s="2" t="s">
        <v>519</v>
      </c>
      <c r="C455" s="2" t="s">
        <v>579</v>
      </c>
      <c r="D455" s="2">
        <v>1</v>
      </c>
      <c r="E455" s="2">
        <v>1</v>
      </c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</row>
    <row r="456" spans="1:19" hidden="1">
      <c r="A456" s="2" t="s">
        <v>41</v>
      </c>
      <c r="B456" s="2" t="s">
        <v>526</v>
      </c>
      <c r="C456" s="2" t="s">
        <v>26</v>
      </c>
      <c r="D456" s="2">
        <v>1</v>
      </c>
      <c r="E456" s="2">
        <v>1</v>
      </c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</row>
    <row r="457" spans="1:19" hidden="1">
      <c r="A457" s="2" t="s">
        <v>41</v>
      </c>
      <c r="B457" s="2" t="s">
        <v>529</v>
      </c>
      <c r="C457" s="2" t="s">
        <v>38</v>
      </c>
      <c r="D457" s="2">
        <v>1</v>
      </c>
      <c r="E457" s="2">
        <v>1</v>
      </c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</row>
    <row r="458" spans="1:19" hidden="1">
      <c r="A458" s="2" t="s">
        <v>41</v>
      </c>
      <c r="B458" s="2" t="s">
        <v>536</v>
      </c>
      <c r="C458" s="2" t="s">
        <v>48</v>
      </c>
      <c r="D458" s="2">
        <v>1</v>
      </c>
      <c r="E458" s="2">
        <v>1</v>
      </c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</row>
    <row r="459" spans="1:19" hidden="1">
      <c r="A459" s="2" t="s">
        <v>41</v>
      </c>
      <c r="B459" s="2" t="s">
        <v>539</v>
      </c>
      <c r="C459" s="2" t="s">
        <v>72</v>
      </c>
      <c r="D459" s="2">
        <v>1</v>
      </c>
      <c r="E459" s="2">
        <v>1</v>
      </c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</row>
    <row r="460" spans="1:19" hidden="1">
      <c r="A460" s="2" t="s">
        <v>63</v>
      </c>
      <c r="B460" s="2" t="s">
        <v>64</v>
      </c>
      <c r="C460" s="2" t="s">
        <v>7</v>
      </c>
      <c r="D460" s="2">
        <v>16</v>
      </c>
      <c r="E460" s="2">
        <v>16</v>
      </c>
      <c r="F460" s="2"/>
      <c r="G460" s="2"/>
      <c r="H460" s="2">
        <v>32</v>
      </c>
      <c r="I460" s="2" t="s">
        <v>582</v>
      </c>
      <c r="J460" s="2" t="s">
        <v>582</v>
      </c>
      <c r="K460" s="2" t="s">
        <v>582</v>
      </c>
      <c r="L460" s="2" t="s">
        <v>582</v>
      </c>
      <c r="M460" s="2" t="s">
        <v>582</v>
      </c>
      <c r="N460" s="2" t="s">
        <v>582</v>
      </c>
      <c r="O460" s="2">
        <v>1</v>
      </c>
      <c r="P460" s="2">
        <v>33</v>
      </c>
      <c r="Q460" s="2">
        <v>30</v>
      </c>
      <c r="R460" s="2">
        <v>6.2</v>
      </c>
      <c r="S460" s="2">
        <v>5.3</v>
      </c>
    </row>
    <row r="461" spans="1:19" hidden="1">
      <c r="A461" s="2" t="s">
        <v>63</v>
      </c>
      <c r="B461" s="2" t="s">
        <v>66</v>
      </c>
      <c r="C461" s="2" t="s">
        <v>21</v>
      </c>
      <c r="D461" s="2">
        <v>16</v>
      </c>
      <c r="E461" s="2">
        <v>16</v>
      </c>
      <c r="F461" s="2"/>
      <c r="G461" s="2"/>
      <c r="H461" s="2">
        <v>32</v>
      </c>
      <c r="I461" s="2" t="s">
        <v>582</v>
      </c>
      <c r="J461" s="2" t="s">
        <v>582</v>
      </c>
      <c r="K461" s="2" t="s">
        <v>582</v>
      </c>
      <c r="L461" s="2" t="s">
        <v>582</v>
      </c>
      <c r="M461" s="2" t="s">
        <v>582</v>
      </c>
      <c r="N461" s="2" t="s">
        <v>582</v>
      </c>
      <c r="O461" s="2" t="s">
        <v>582</v>
      </c>
      <c r="P461" s="2">
        <v>33</v>
      </c>
      <c r="Q461" s="2">
        <v>31</v>
      </c>
      <c r="R461" s="2">
        <v>6.2</v>
      </c>
      <c r="S461" s="2">
        <v>5.2</v>
      </c>
    </row>
    <row r="462" spans="1:19" hidden="1">
      <c r="A462" s="2" t="s">
        <v>63</v>
      </c>
      <c r="B462" s="2" t="s">
        <v>68</v>
      </c>
      <c r="C462" s="2" t="s">
        <v>19</v>
      </c>
      <c r="D462" s="2">
        <v>16</v>
      </c>
      <c r="E462" s="2">
        <v>16</v>
      </c>
      <c r="F462" s="2"/>
      <c r="G462" s="2"/>
      <c r="H462" s="2">
        <v>41</v>
      </c>
      <c r="I462" s="2" t="s">
        <v>582</v>
      </c>
      <c r="J462" s="2">
        <v>1</v>
      </c>
      <c r="K462" s="2" t="s">
        <v>582</v>
      </c>
      <c r="L462" s="2" t="s">
        <v>582</v>
      </c>
      <c r="M462" s="2" t="s">
        <v>582</v>
      </c>
      <c r="N462" s="2" t="s">
        <v>582</v>
      </c>
      <c r="O462" s="2">
        <v>1</v>
      </c>
      <c r="P462" s="2">
        <v>37</v>
      </c>
      <c r="Q462" s="2">
        <v>34</v>
      </c>
      <c r="R462" s="2">
        <v>6.2</v>
      </c>
      <c r="S462" s="2">
        <v>5.0999999999999996</v>
      </c>
    </row>
    <row r="463" spans="1:19" hidden="1">
      <c r="A463" s="2" t="s">
        <v>63</v>
      </c>
      <c r="B463" s="2" t="s">
        <v>69</v>
      </c>
      <c r="C463" s="2" t="s">
        <v>11</v>
      </c>
      <c r="D463" s="2">
        <v>16</v>
      </c>
      <c r="E463" s="2">
        <v>16</v>
      </c>
      <c r="F463" s="2"/>
      <c r="G463" s="2"/>
      <c r="H463" s="2">
        <v>25</v>
      </c>
      <c r="I463" s="2" t="s">
        <v>582</v>
      </c>
      <c r="J463" s="2" t="s">
        <v>582</v>
      </c>
      <c r="K463" s="2" t="s">
        <v>582</v>
      </c>
      <c r="L463" s="2" t="s">
        <v>582</v>
      </c>
      <c r="M463" s="2" t="s">
        <v>582</v>
      </c>
      <c r="N463" s="2" t="s">
        <v>582</v>
      </c>
      <c r="O463" s="2">
        <v>2</v>
      </c>
      <c r="P463" s="2">
        <v>34</v>
      </c>
      <c r="Q463" s="2">
        <v>32</v>
      </c>
      <c r="R463" s="2">
        <v>6.3</v>
      </c>
      <c r="S463" s="2">
        <v>5.7</v>
      </c>
    </row>
    <row r="464" spans="1:19" hidden="1">
      <c r="A464" s="2" t="s">
        <v>63</v>
      </c>
      <c r="B464" s="2" t="s">
        <v>79</v>
      </c>
      <c r="C464" s="2" t="s">
        <v>26</v>
      </c>
      <c r="D464" s="2">
        <v>15</v>
      </c>
      <c r="E464" s="2">
        <v>15</v>
      </c>
      <c r="F464" s="2"/>
      <c r="G464" s="2"/>
      <c r="H464" s="2">
        <v>35</v>
      </c>
      <c r="I464" s="2" t="s">
        <v>582</v>
      </c>
      <c r="J464" s="2">
        <v>1</v>
      </c>
      <c r="K464" s="2" t="s">
        <v>582</v>
      </c>
      <c r="L464" s="2" t="s">
        <v>582</v>
      </c>
      <c r="M464" s="2" t="s">
        <v>582</v>
      </c>
      <c r="N464" s="2" t="s">
        <v>582</v>
      </c>
      <c r="O464" s="2" t="s">
        <v>582</v>
      </c>
      <c r="P464" s="2">
        <v>38</v>
      </c>
      <c r="Q464" s="2">
        <v>36</v>
      </c>
      <c r="R464" s="2">
        <v>6.3</v>
      </c>
      <c r="S464" s="2">
        <v>5.3</v>
      </c>
    </row>
    <row r="465" spans="1:19" hidden="1">
      <c r="A465" s="2" t="s">
        <v>63</v>
      </c>
      <c r="B465" s="2" t="s">
        <v>83</v>
      </c>
      <c r="C465" s="2" t="s">
        <v>16</v>
      </c>
      <c r="D465" s="2">
        <v>14</v>
      </c>
      <c r="E465" s="2">
        <v>14</v>
      </c>
      <c r="F465" s="2"/>
      <c r="G465" s="2"/>
      <c r="H465" s="2">
        <v>34</v>
      </c>
      <c r="I465" s="2" t="s">
        <v>582</v>
      </c>
      <c r="J465" s="2">
        <v>1</v>
      </c>
      <c r="K465" s="2" t="s">
        <v>582</v>
      </c>
      <c r="L465" s="2" t="s">
        <v>582</v>
      </c>
      <c r="M465" s="2" t="s">
        <v>582</v>
      </c>
      <c r="N465" s="2" t="s">
        <v>582</v>
      </c>
      <c r="O465" s="2" t="s">
        <v>582</v>
      </c>
      <c r="P465" s="2">
        <v>34</v>
      </c>
      <c r="Q465" s="2">
        <v>33</v>
      </c>
      <c r="R465" s="2">
        <v>6.4</v>
      </c>
      <c r="S465" s="2">
        <v>5.4</v>
      </c>
    </row>
    <row r="466" spans="1:19" hidden="1">
      <c r="A466" s="2" t="s">
        <v>63</v>
      </c>
      <c r="B466" s="2" t="s">
        <v>86</v>
      </c>
      <c r="C466" s="2" t="s">
        <v>9</v>
      </c>
      <c r="D466" s="2">
        <v>14</v>
      </c>
      <c r="E466" s="2">
        <v>14</v>
      </c>
      <c r="F466" s="2"/>
      <c r="G466" s="2"/>
      <c r="H466" s="2">
        <v>38</v>
      </c>
      <c r="I466" s="2" t="s">
        <v>582</v>
      </c>
      <c r="J466" s="2">
        <v>1</v>
      </c>
      <c r="K466" s="2" t="s">
        <v>582</v>
      </c>
      <c r="L466" s="2">
        <v>1</v>
      </c>
      <c r="M466" s="2" t="s">
        <v>582</v>
      </c>
      <c r="N466" s="2" t="s">
        <v>582</v>
      </c>
      <c r="O466" s="2">
        <v>2</v>
      </c>
      <c r="P466" s="2">
        <v>35</v>
      </c>
      <c r="Q466" s="2">
        <v>32</v>
      </c>
      <c r="R466" s="2">
        <v>6.4</v>
      </c>
      <c r="S466" s="2">
        <v>5.5</v>
      </c>
    </row>
    <row r="467" spans="1:19" hidden="1">
      <c r="A467" s="2" t="s">
        <v>63</v>
      </c>
      <c r="B467" s="2" t="s">
        <v>119</v>
      </c>
      <c r="C467" s="2" t="s">
        <v>23</v>
      </c>
      <c r="D467" s="2">
        <v>12</v>
      </c>
      <c r="E467" s="2">
        <v>12</v>
      </c>
      <c r="F467" s="2"/>
      <c r="G467" s="2"/>
      <c r="H467" s="2">
        <v>42</v>
      </c>
      <c r="I467" s="2" t="s">
        <v>582</v>
      </c>
      <c r="J467" s="2" t="s">
        <v>582</v>
      </c>
      <c r="K467" s="2" t="s">
        <v>582</v>
      </c>
      <c r="L467" s="2" t="s">
        <v>582</v>
      </c>
      <c r="M467" s="2" t="s">
        <v>582</v>
      </c>
      <c r="N467" s="2" t="s">
        <v>582</v>
      </c>
      <c r="O467" s="2" t="s">
        <v>582</v>
      </c>
      <c r="P467" s="2">
        <v>29</v>
      </c>
      <c r="Q467" s="2">
        <v>29</v>
      </c>
      <c r="R467" s="2">
        <v>5.9</v>
      </c>
      <c r="S467" s="2">
        <v>4.5</v>
      </c>
    </row>
    <row r="468" spans="1:19" hidden="1">
      <c r="A468" s="2" t="s">
        <v>63</v>
      </c>
      <c r="B468" s="2" t="s">
        <v>146</v>
      </c>
      <c r="C468" s="2" t="s">
        <v>14</v>
      </c>
      <c r="D468" s="2">
        <v>10</v>
      </c>
      <c r="E468" s="2">
        <v>10</v>
      </c>
      <c r="F468" s="2"/>
      <c r="G468" s="2"/>
      <c r="H468" s="2">
        <v>33</v>
      </c>
      <c r="I468" s="2" t="s">
        <v>582</v>
      </c>
      <c r="J468" s="2">
        <v>1</v>
      </c>
      <c r="K468" s="2" t="s">
        <v>582</v>
      </c>
      <c r="L468" s="2" t="s">
        <v>582</v>
      </c>
      <c r="M468" s="2" t="s">
        <v>582</v>
      </c>
      <c r="N468" s="2" t="s">
        <v>582</v>
      </c>
      <c r="O468" s="2">
        <v>1</v>
      </c>
      <c r="P468" s="2">
        <v>27</v>
      </c>
      <c r="Q468" s="2">
        <v>25</v>
      </c>
      <c r="R468" s="2">
        <v>6.1</v>
      </c>
      <c r="S468" s="2">
        <v>5</v>
      </c>
    </row>
    <row r="469" spans="1:19" hidden="1">
      <c r="A469" s="2" t="s">
        <v>63</v>
      </c>
      <c r="B469" s="2" t="s">
        <v>149</v>
      </c>
      <c r="C469" s="2" t="s">
        <v>40</v>
      </c>
      <c r="D469" s="2">
        <v>10</v>
      </c>
      <c r="E469" s="2">
        <v>10</v>
      </c>
      <c r="F469" s="2"/>
      <c r="G469" s="2"/>
      <c r="H469" s="2">
        <v>20</v>
      </c>
      <c r="I469" s="2" t="s">
        <v>582</v>
      </c>
      <c r="J469" s="2" t="s">
        <v>582</v>
      </c>
      <c r="K469" s="2" t="s">
        <v>582</v>
      </c>
      <c r="L469" s="2" t="s">
        <v>582</v>
      </c>
      <c r="M469" s="2" t="s">
        <v>582</v>
      </c>
      <c r="N469" s="2" t="s">
        <v>582</v>
      </c>
      <c r="O469" s="2" t="s">
        <v>582</v>
      </c>
      <c r="P469" s="2">
        <v>19</v>
      </c>
      <c r="Q469" s="2">
        <v>17</v>
      </c>
      <c r="R469" s="2">
        <v>6</v>
      </c>
      <c r="S469" s="2">
        <v>5</v>
      </c>
    </row>
    <row r="470" spans="1:19" hidden="1">
      <c r="A470" s="2" t="s">
        <v>63</v>
      </c>
      <c r="B470" s="2" t="s">
        <v>186</v>
      </c>
      <c r="C470" s="2" t="s">
        <v>48</v>
      </c>
      <c r="D470" s="2">
        <v>9</v>
      </c>
      <c r="E470" s="2">
        <v>9</v>
      </c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</row>
    <row r="471" spans="1:19">
      <c r="A471" s="2" t="s">
        <v>63</v>
      </c>
      <c r="B471" s="2" t="s">
        <v>205</v>
      </c>
      <c r="C471" s="2" t="s">
        <v>114</v>
      </c>
      <c r="D471" s="2">
        <v>8</v>
      </c>
      <c r="E471" s="2">
        <v>8</v>
      </c>
      <c r="F471" s="2"/>
      <c r="G471" s="2"/>
      <c r="H471" s="2">
        <v>31</v>
      </c>
      <c r="I471" s="2" t="s">
        <v>582</v>
      </c>
      <c r="J471" s="2">
        <v>1</v>
      </c>
      <c r="K471" s="2" t="s">
        <v>582</v>
      </c>
      <c r="L471" s="2" t="s">
        <v>582</v>
      </c>
      <c r="M471" s="2" t="s">
        <v>582</v>
      </c>
      <c r="N471" s="2" t="s">
        <v>582</v>
      </c>
      <c r="O471" s="2">
        <v>1</v>
      </c>
      <c r="P471" s="2">
        <v>29</v>
      </c>
      <c r="Q471" s="2">
        <v>28</v>
      </c>
      <c r="R471" s="2">
        <v>6.1</v>
      </c>
      <c r="S471" s="2">
        <v>5.0999999999999996</v>
      </c>
    </row>
    <row r="472" spans="1:19" hidden="1">
      <c r="A472" s="2" t="s">
        <v>63</v>
      </c>
      <c r="B472" s="2" t="s">
        <v>233</v>
      </c>
      <c r="C472" s="2" t="s">
        <v>59</v>
      </c>
      <c r="D472" s="2">
        <v>7</v>
      </c>
      <c r="E472" s="2">
        <v>7</v>
      </c>
      <c r="F472" s="2"/>
      <c r="G472" s="2"/>
      <c r="H472" s="2">
        <v>23</v>
      </c>
      <c r="I472" s="2" t="s">
        <v>582</v>
      </c>
      <c r="J472" s="2" t="s">
        <v>582</v>
      </c>
      <c r="K472" s="2" t="s">
        <v>582</v>
      </c>
      <c r="L472" s="2" t="s">
        <v>582</v>
      </c>
      <c r="M472" s="2" t="s">
        <v>582</v>
      </c>
      <c r="N472" s="2" t="s">
        <v>582</v>
      </c>
      <c r="O472" s="2" t="s">
        <v>582</v>
      </c>
      <c r="P472" s="2">
        <v>22</v>
      </c>
      <c r="Q472" s="2">
        <v>20</v>
      </c>
      <c r="R472" s="2">
        <v>6.3</v>
      </c>
      <c r="S472" s="2">
        <v>5.2</v>
      </c>
    </row>
    <row r="473" spans="1:19" hidden="1">
      <c r="A473" s="2" t="s">
        <v>63</v>
      </c>
      <c r="B473" s="2" t="s">
        <v>253</v>
      </c>
      <c r="C473" s="2" t="s">
        <v>104</v>
      </c>
      <c r="D473" s="2">
        <v>7</v>
      </c>
      <c r="E473" s="2">
        <v>7</v>
      </c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</row>
    <row r="474" spans="1:19" hidden="1">
      <c r="A474" s="2" t="s">
        <v>63</v>
      </c>
      <c r="B474" s="2" t="s">
        <v>258</v>
      </c>
      <c r="C474" s="2" t="s">
        <v>38</v>
      </c>
      <c r="D474" s="2">
        <v>7</v>
      </c>
      <c r="E474" s="2">
        <v>7</v>
      </c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</row>
    <row r="475" spans="1:19" hidden="1">
      <c r="A475" s="2" t="s">
        <v>63</v>
      </c>
      <c r="B475" s="2" t="s">
        <v>273</v>
      </c>
      <c r="C475" s="2" t="s">
        <v>45</v>
      </c>
      <c r="D475" s="2">
        <v>6</v>
      </c>
      <c r="E475" s="2">
        <v>6</v>
      </c>
      <c r="F475" s="2"/>
      <c r="G475" s="2"/>
      <c r="H475" s="2">
        <v>58</v>
      </c>
      <c r="I475" s="2" t="s">
        <v>582</v>
      </c>
      <c r="J475" s="2">
        <v>2</v>
      </c>
      <c r="K475" s="2" t="s">
        <v>582</v>
      </c>
      <c r="L475" s="2" t="s">
        <v>582</v>
      </c>
      <c r="M475" s="2" t="s">
        <v>582</v>
      </c>
      <c r="N475" s="2" t="s">
        <v>582</v>
      </c>
      <c r="O475" s="2">
        <v>1</v>
      </c>
      <c r="P475" s="2">
        <v>38</v>
      </c>
      <c r="Q475" s="2">
        <v>36</v>
      </c>
      <c r="R475" s="2">
        <v>6.2</v>
      </c>
      <c r="S475" s="2">
        <v>4.7</v>
      </c>
    </row>
    <row r="476" spans="1:19" hidden="1">
      <c r="A476" s="2" t="s">
        <v>63</v>
      </c>
      <c r="B476" s="2" t="s">
        <v>287</v>
      </c>
      <c r="C476" s="2" t="s">
        <v>72</v>
      </c>
      <c r="D476" s="2">
        <v>6</v>
      </c>
      <c r="E476" s="2">
        <v>6</v>
      </c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</row>
    <row r="477" spans="1:19" hidden="1">
      <c r="A477" s="2" t="s">
        <v>63</v>
      </c>
      <c r="B477" s="2" t="s">
        <v>300</v>
      </c>
      <c r="C477" s="2" t="s">
        <v>112</v>
      </c>
      <c r="D477" s="2">
        <v>5</v>
      </c>
      <c r="E477" s="2">
        <v>5</v>
      </c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</row>
    <row r="478" spans="1:19" hidden="1">
      <c r="A478" s="2" t="s">
        <v>63</v>
      </c>
      <c r="B478" s="2" t="s">
        <v>333</v>
      </c>
      <c r="C478" s="2" t="s">
        <v>190</v>
      </c>
      <c r="D478" s="2">
        <v>5</v>
      </c>
      <c r="E478" s="2">
        <v>5</v>
      </c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</row>
    <row r="479" spans="1:19" hidden="1">
      <c r="A479" s="2" t="s">
        <v>63</v>
      </c>
      <c r="B479" s="2" t="s">
        <v>365</v>
      </c>
      <c r="C479" s="2" t="s">
        <v>11</v>
      </c>
      <c r="D479" s="2">
        <v>4</v>
      </c>
      <c r="E479" s="2">
        <v>4</v>
      </c>
      <c r="F479" s="2"/>
      <c r="G479" s="2"/>
      <c r="H479" s="2">
        <v>42</v>
      </c>
      <c r="I479" s="2" t="s">
        <v>582</v>
      </c>
      <c r="J479" s="2">
        <v>3</v>
      </c>
      <c r="K479" s="2" t="s">
        <v>582</v>
      </c>
      <c r="L479" s="2" t="s">
        <v>582</v>
      </c>
      <c r="M479" s="2" t="s">
        <v>582</v>
      </c>
      <c r="N479" s="2" t="s">
        <v>582</v>
      </c>
      <c r="O479" s="2">
        <v>4</v>
      </c>
      <c r="P479" s="2">
        <v>37</v>
      </c>
      <c r="Q479" s="2">
        <v>35</v>
      </c>
      <c r="R479" s="2">
        <v>6.3</v>
      </c>
      <c r="S479" s="2">
        <v>5.5</v>
      </c>
    </row>
    <row r="480" spans="1:19" hidden="1">
      <c r="A480" s="2" t="s">
        <v>63</v>
      </c>
      <c r="B480" s="2" t="s">
        <v>376</v>
      </c>
      <c r="C480" s="2" t="s">
        <v>72</v>
      </c>
      <c r="D480" s="2">
        <v>4</v>
      </c>
      <c r="E480" s="2">
        <v>4</v>
      </c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</row>
    <row r="481" spans="1:19" hidden="1">
      <c r="A481" s="2" t="s">
        <v>63</v>
      </c>
      <c r="B481" s="2" t="s">
        <v>386</v>
      </c>
      <c r="C481" s="2" t="s">
        <v>14</v>
      </c>
      <c r="D481" s="2">
        <v>3</v>
      </c>
      <c r="E481" s="2">
        <v>3</v>
      </c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</row>
    <row r="482" spans="1:19" hidden="1">
      <c r="A482" s="2" t="s">
        <v>63</v>
      </c>
      <c r="B482" s="2" t="s">
        <v>406</v>
      </c>
      <c r="C482" s="2" t="s">
        <v>23</v>
      </c>
      <c r="D482" s="2">
        <v>3</v>
      </c>
      <c r="E482" s="2">
        <v>3</v>
      </c>
      <c r="F482" s="2"/>
      <c r="G482" s="2"/>
      <c r="H482" s="2">
        <v>7</v>
      </c>
      <c r="I482" s="2" t="s">
        <v>582</v>
      </c>
      <c r="J482" s="2" t="s">
        <v>582</v>
      </c>
      <c r="K482" s="2" t="s">
        <v>582</v>
      </c>
      <c r="L482" s="2" t="s">
        <v>582</v>
      </c>
      <c r="M482" s="2" t="s">
        <v>582</v>
      </c>
      <c r="N482" s="2" t="s">
        <v>582</v>
      </c>
      <c r="O482" s="2" t="s">
        <v>582</v>
      </c>
      <c r="P482" s="2">
        <v>9</v>
      </c>
      <c r="Q482" s="2">
        <v>7</v>
      </c>
      <c r="R482" s="2">
        <v>5.9</v>
      </c>
      <c r="S482" s="2">
        <v>5.0999999999999996</v>
      </c>
    </row>
    <row r="483" spans="1:19" hidden="1">
      <c r="A483" s="2" t="s">
        <v>63</v>
      </c>
      <c r="B483" s="2" t="s">
        <v>422</v>
      </c>
      <c r="C483" s="2" t="s">
        <v>579</v>
      </c>
      <c r="D483" s="2">
        <v>3</v>
      </c>
      <c r="E483" s="2">
        <v>3</v>
      </c>
      <c r="F483" s="2"/>
      <c r="G483" s="2"/>
      <c r="H483" s="2">
        <v>24</v>
      </c>
      <c r="I483" s="2" t="s">
        <v>582</v>
      </c>
      <c r="J483" s="2" t="s">
        <v>582</v>
      </c>
      <c r="K483" s="2" t="s">
        <v>582</v>
      </c>
      <c r="L483" s="2" t="s">
        <v>582</v>
      </c>
      <c r="M483" s="2" t="s">
        <v>582</v>
      </c>
      <c r="N483" s="2" t="s">
        <v>582</v>
      </c>
      <c r="O483" s="2" t="s">
        <v>582</v>
      </c>
      <c r="P483" s="2">
        <v>14</v>
      </c>
      <c r="Q483" s="2">
        <v>14</v>
      </c>
      <c r="R483" s="2">
        <v>5.9</v>
      </c>
      <c r="S483" s="2">
        <v>4.2</v>
      </c>
    </row>
    <row r="484" spans="1:19" hidden="1">
      <c r="A484" s="2" t="s">
        <v>63</v>
      </c>
      <c r="B484" s="2" t="s">
        <v>423</v>
      </c>
      <c r="C484" s="2" t="s">
        <v>579</v>
      </c>
      <c r="D484" s="2">
        <v>3</v>
      </c>
      <c r="E484" s="2">
        <v>3</v>
      </c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</row>
    <row r="485" spans="1:19" hidden="1">
      <c r="A485" s="2" t="s">
        <v>63</v>
      </c>
      <c r="B485" s="2" t="s">
        <v>451</v>
      </c>
      <c r="C485" s="2" t="s">
        <v>7</v>
      </c>
      <c r="D485" s="2">
        <v>2</v>
      </c>
      <c r="E485" s="2">
        <v>2</v>
      </c>
      <c r="F485" s="2"/>
      <c r="G485" s="2"/>
      <c r="H485" s="2">
        <v>3</v>
      </c>
      <c r="I485" s="2" t="s">
        <v>582</v>
      </c>
      <c r="J485" s="2" t="s">
        <v>582</v>
      </c>
      <c r="K485" s="2" t="s">
        <v>582</v>
      </c>
      <c r="L485" s="2" t="s">
        <v>582</v>
      </c>
      <c r="M485" s="2" t="s">
        <v>582</v>
      </c>
      <c r="N485" s="2" t="s">
        <v>582</v>
      </c>
      <c r="O485" s="2" t="s">
        <v>582</v>
      </c>
      <c r="P485" s="2">
        <v>5</v>
      </c>
      <c r="Q485" s="2">
        <v>5</v>
      </c>
      <c r="R485" s="2">
        <v>6.3</v>
      </c>
      <c r="S485" s="2">
        <v>5.7</v>
      </c>
    </row>
    <row r="486" spans="1:19" hidden="1">
      <c r="A486" s="2" t="s">
        <v>63</v>
      </c>
      <c r="B486" s="2" t="s">
        <v>468</v>
      </c>
      <c r="C486" s="2" t="s">
        <v>16</v>
      </c>
      <c r="D486" s="2">
        <v>1</v>
      </c>
      <c r="E486" s="2">
        <v>1</v>
      </c>
      <c r="F486" s="2"/>
      <c r="G486" s="2"/>
      <c r="H486" s="2" t="s">
        <v>582</v>
      </c>
      <c r="I486" s="2" t="s">
        <v>582</v>
      </c>
      <c r="J486" s="2" t="s">
        <v>582</v>
      </c>
      <c r="K486" s="2" t="s">
        <v>582</v>
      </c>
      <c r="L486" s="2" t="s">
        <v>582</v>
      </c>
      <c r="M486" s="2" t="s">
        <v>582</v>
      </c>
      <c r="N486" s="2" t="s">
        <v>582</v>
      </c>
      <c r="O486" s="2" t="s">
        <v>582</v>
      </c>
      <c r="P486" s="2" t="s">
        <v>582</v>
      </c>
      <c r="Q486" s="2" t="s">
        <v>582</v>
      </c>
      <c r="R486" s="2" t="s">
        <v>582</v>
      </c>
      <c r="S486" s="2" t="s">
        <v>582</v>
      </c>
    </row>
    <row r="487" spans="1:19" hidden="1">
      <c r="A487" s="2" t="s">
        <v>63</v>
      </c>
      <c r="B487" s="2" t="s">
        <v>469</v>
      </c>
      <c r="C487" s="2" t="s">
        <v>16</v>
      </c>
      <c r="D487" s="2">
        <v>1</v>
      </c>
      <c r="E487" s="2">
        <v>1</v>
      </c>
      <c r="F487" s="2"/>
      <c r="G487" s="2"/>
      <c r="H487" s="2">
        <v>2</v>
      </c>
      <c r="I487" s="2" t="s">
        <v>582</v>
      </c>
      <c r="J487" s="2" t="s">
        <v>582</v>
      </c>
      <c r="K487" s="2" t="s">
        <v>582</v>
      </c>
      <c r="L487" s="2" t="s">
        <v>582</v>
      </c>
      <c r="M487" s="2" t="s">
        <v>582</v>
      </c>
      <c r="N487" s="2" t="s">
        <v>582</v>
      </c>
      <c r="O487" s="2" t="s">
        <v>582</v>
      </c>
      <c r="P487" s="2">
        <v>2</v>
      </c>
      <c r="Q487" s="2">
        <v>1</v>
      </c>
      <c r="R487" s="2">
        <v>6</v>
      </c>
      <c r="S487" s="2">
        <v>5</v>
      </c>
    </row>
    <row r="488" spans="1:19" hidden="1">
      <c r="A488" s="2" t="s">
        <v>63</v>
      </c>
      <c r="B488" s="2" t="s">
        <v>470</v>
      </c>
      <c r="C488" s="2" t="s">
        <v>14</v>
      </c>
      <c r="D488" s="2">
        <v>1</v>
      </c>
      <c r="E488" s="2">
        <v>1</v>
      </c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</row>
    <row r="489" spans="1:19" hidden="1">
      <c r="A489" s="2" t="s">
        <v>63</v>
      </c>
      <c r="B489" s="2" t="s">
        <v>472</v>
      </c>
      <c r="C489" s="2" t="s">
        <v>59</v>
      </c>
      <c r="D489" s="2">
        <v>1</v>
      </c>
      <c r="E489" s="2">
        <v>1</v>
      </c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</row>
    <row r="490" spans="1:19" hidden="1">
      <c r="A490" s="2" t="s">
        <v>63</v>
      </c>
      <c r="B490" s="2" t="s">
        <v>473</v>
      </c>
      <c r="C490" s="2" t="s">
        <v>59</v>
      </c>
      <c r="D490" s="2">
        <v>1</v>
      </c>
      <c r="E490" s="2">
        <v>1</v>
      </c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</row>
    <row r="491" spans="1:19" hidden="1">
      <c r="A491" s="2" t="s">
        <v>63</v>
      </c>
      <c r="B491" s="2" t="s">
        <v>478</v>
      </c>
      <c r="C491" s="2" t="s">
        <v>40</v>
      </c>
      <c r="D491" s="2">
        <v>1</v>
      </c>
      <c r="E491" s="2">
        <v>1</v>
      </c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</row>
    <row r="492" spans="1:19" hidden="1">
      <c r="A492" s="2" t="s">
        <v>63</v>
      </c>
      <c r="B492" s="2" t="s">
        <v>483</v>
      </c>
      <c r="C492" s="2" t="s">
        <v>112</v>
      </c>
      <c r="D492" s="2">
        <v>1</v>
      </c>
      <c r="E492" s="2">
        <v>1</v>
      </c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</row>
    <row r="493" spans="1:19" hidden="1">
      <c r="A493" s="2" t="s">
        <v>63</v>
      </c>
      <c r="B493" s="2" t="s">
        <v>488</v>
      </c>
      <c r="C493" s="2" t="s">
        <v>9</v>
      </c>
      <c r="D493" s="2">
        <v>1</v>
      </c>
      <c r="E493" s="2">
        <v>1</v>
      </c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</row>
    <row r="494" spans="1:19" hidden="1">
      <c r="A494" s="2" t="s">
        <v>63</v>
      </c>
      <c r="B494" s="2" t="s">
        <v>489</v>
      </c>
      <c r="C494" s="2" t="s">
        <v>9</v>
      </c>
      <c r="D494" s="2">
        <v>1</v>
      </c>
      <c r="E494" s="2">
        <v>1</v>
      </c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</row>
    <row r="495" spans="1:19">
      <c r="A495" s="2" t="s">
        <v>63</v>
      </c>
      <c r="B495" s="2" t="s">
        <v>491</v>
      </c>
      <c r="C495" s="2" t="s">
        <v>114</v>
      </c>
      <c r="D495" s="2">
        <v>1</v>
      </c>
      <c r="E495" s="2">
        <v>1</v>
      </c>
      <c r="F495" s="2"/>
      <c r="G495" s="2"/>
      <c r="H495" s="2">
        <v>2</v>
      </c>
      <c r="I495" s="2" t="s">
        <v>582</v>
      </c>
      <c r="J495" s="2" t="s">
        <v>582</v>
      </c>
      <c r="K495" s="2" t="s">
        <v>582</v>
      </c>
      <c r="L495" s="2" t="s">
        <v>582</v>
      </c>
      <c r="M495" s="2" t="s">
        <v>582</v>
      </c>
      <c r="N495" s="2" t="s">
        <v>582</v>
      </c>
      <c r="O495" s="2" t="s">
        <v>582</v>
      </c>
      <c r="P495" s="2">
        <v>2</v>
      </c>
      <c r="Q495" s="2">
        <v>1</v>
      </c>
      <c r="R495" s="2">
        <v>6.2</v>
      </c>
      <c r="S495" s="2">
        <v>5.2</v>
      </c>
    </row>
    <row r="496" spans="1:19">
      <c r="A496" s="2" t="s">
        <v>63</v>
      </c>
      <c r="B496" s="2" t="s">
        <v>492</v>
      </c>
      <c r="C496" s="2" t="s">
        <v>114</v>
      </c>
      <c r="D496" s="2">
        <v>1</v>
      </c>
      <c r="E496" s="2">
        <v>1</v>
      </c>
      <c r="F496" s="2"/>
      <c r="G496" s="2"/>
      <c r="H496" s="2">
        <v>1</v>
      </c>
      <c r="I496" s="2" t="s">
        <v>582</v>
      </c>
      <c r="J496" s="2" t="s">
        <v>582</v>
      </c>
      <c r="K496" s="2" t="s">
        <v>582</v>
      </c>
      <c r="L496" s="2" t="s">
        <v>582</v>
      </c>
      <c r="M496" s="2" t="s">
        <v>582</v>
      </c>
      <c r="N496" s="2" t="s">
        <v>582</v>
      </c>
      <c r="O496" s="2" t="s">
        <v>582</v>
      </c>
      <c r="P496" s="2">
        <v>1</v>
      </c>
      <c r="Q496" s="2" t="s">
        <v>582</v>
      </c>
      <c r="R496" s="2">
        <v>6.5</v>
      </c>
      <c r="S496" s="2">
        <v>5.5</v>
      </c>
    </row>
    <row r="497" spans="1:19" hidden="1">
      <c r="A497" s="2" t="s">
        <v>63</v>
      </c>
      <c r="B497" s="2" t="s">
        <v>494</v>
      </c>
      <c r="C497" s="2" t="s">
        <v>7</v>
      </c>
      <c r="D497" s="2">
        <v>1</v>
      </c>
      <c r="E497" s="2">
        <v>1</v>
      </c>
      <c r="F497" s="2"/>
      <c r="G497" s="2"/>
      <c r="H497" s="2" t="s">
        <v>582</v>
      </c>
      <c r="I497" s="2" t="s">
        <v>582</v>
      </c>
      <c r="J497" s="2" t="s">
        <v>582</v>
      </c>
      <c r="K497" s="2" t="s">
        <v>582</v>
      </c>
      <c r="L497" s="2" t="s">
        <v>582</v>
      </c>
      <c r="M497" s="2" t="s">
        <v>582</v>
      </c>
      <c r="N497" s="2" t="s">
        <v>582</v>
      </c>
      <c r="O497" s="2" t="s">
        <v>582</v>
      </c>
      <c r="P497" s="2" t="s">
        <v>582</v>
      </c>
      <c r="Q497" s="2" t="s">
        <v>582</v>
      </c>
      <c r="R497" s="2" t="s">
        <v>582</v>
      </c>
      <c r="S497" s="2" t="s">
        <v>582</v>
      </c>
    </row>
    <row r="498" spans="1:19" hidden="1">
      <c r="A498" s="2" t="s">
        <v>63</v>
      </c>
      <c r="B498" s="2" t="s">
        <v>495</v>
      </c>
      <c r="C498" s="2" t="s">
        <v>21</v>
      </c>
      <c r="D498" s="2">
        <v>1</v>
      </c>
      <c r="E498" s="2">
        <v>1</v>
      </c>
      <c r="F498" s="2"/>
      <c r="G498" s="2"/>
      <c r="H498" s="2">
        <v>3</v>
      </c>
      <c r="I498" s="2" t="s">
        <v>582</v>
      </c>
      <c r="J498" s="2" t="s">
        <v>582</v>
      </c>
      <c r="K498" s="2" t="s">
        <v>582</v>
      </c>
      <c r="L498" s="2" t="s">
        <v>582</v>
      </c>
      <c r="M498" s="2" t="s">
        <v>582</v>
      </c>
      <c r="N498" s="2" t="s">
        <v>582</v>
      </c>
      <c r="O498" s="2" t="s">
        <v>582</v>
      </c>
      <c r="P498" s="2">
        <v>5</v>
      </c>
      <c r="Q498" s="2">
        <v>5</v>
      </c>
      <c r="R498" s="2">
        <v>6.1</v>
      </c>
      <c r="S498" s="2">
        <v>5.5</v>
      </c>
    </row>
    <row r="499" spans="1:19" hidden="1">
      <c r="A499" s="2" t="s">
        <v>63</v>
      </c>
      <c r="B499" s="2" t="s">
        <v>496</v>
      </c>
      <c r="C499" s="2" t="s">
        <v>21</v>
      </c>
      <c r="D499" s="2">
        <v>1</v>
      </c>
      <c r="E499" s="2">
        <v>1</v>
      </c>
      <c r="F499" s="2"/>
      <c r="G499" s="2"/>
      <c r="H499" s="2" t="s">
        <v>582</v>
      </c>
      <c r="I499" s="2" t="s">
        <v>582</v>
      </c>
      <c r="J499" s="2" t="s">
        <v>582</v>
      </c>
      <c r="K499" s="2" t="s">
        <v>582</v>
      </c>
      <c r="L499" s="2" t="s">
        <v>582</v>
      </c>
      <c r="M499" s="2" t="s">
        <v>582</v>
      </c>
      <c r="N499" s="2" t="s">
        <v>582</v>
      </c>
      <c r="O499" s="2" t="s">
        <v>582</v>
      </c>
      <c r="P499" s="2" t="s">
        <v>582</v>
      </c>
      <c r="Q499" s="2" t="s">
        <v>582</v>
      </c>
      <c r="R499" s="2" t="s">
        <v>582</v>
      </c>
      <c r="S499" s="2" t="s">
        <v>582</v>
      </c>
    </row>
    <row r="500" spans="1:19" hidden="1">
      <c r="A500" s="2" t="s">
        <v>63</v>
      </c>
      <c r="B500" s="2" t="s">
        <v>499</v>
      </c>
      <c r="C500" s="2" t="s">
        <v>23</v>
      </c>
      <c r="D500" s="2">
        <v>1</v>
      </c>
      <c r="E500" s="2">
        <v>1</v>
      </c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</row>
    <row r="501" spans="1:19" hidden="1">
      <c r="A501" s="2" t="s">
        <v>63</v>
      </c>
      <c r="B501" s="2" t="s">
        <v>501</v>
      </c>
      <c r="C501" s="2" t="s">
        <v>45</v>
      </c>
      <c r="D501" s="2">
        <v>1</v>
      </c>
      <c r="E501" s="2">
        <v>1</v>
      </c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</row>
    <row r="502" spans="1:19" hidden="1">
      <c r="A502" s="2" t="s">
        <v>63</v>
      </c>
      <c r="B502" s="2" t="s">
        <v>502</v>
      </c>
      <c r="C502" s="2" t="s">
        <v>45</v>
      </c>
      <c r="D502" s="2">
        <v>1</v>
      </c>
      <c r="E502" s="2">
        <v>1</v>
      </c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</row>
    <row r="503" spans="1:19" hidden="1">
      <c r="A503" s="2" t="s">
        <v>63</v>
      </c>
      <c r="B503" s="2" t="s">
        <v>509</v>
      </c>
      <c r="C503" s="2" t="s">
        <v>19</v>
      </c>
      <c r="D503" s="2">
        <v>1</v>
      </c>
      <c r="E503" s="2">
        <v>1</v>
      </c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</row>
    <row r="504" spans="1:19" hidden="1">
      <c r="A504" s="2" t="s">
        <v>63</v>
      </c>
      <c r="B504" s="2" t="s">
        <v>510</v>
      </c>
      <c r="C504" s="2" t="s">
        <v>19</v>
      </c>
      <c r="D504" s="2">
        <v>1</v>
      </c>
      <c r="E504" s="2">
        <v>1</v>
      </c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</row>
    <row r="505" spans="1:19" hidden="1">
      <c r="A505" s="2" t="s">
        <v>63</v>
      </c>
      <c r="B505" s="2" t="s">
        <v>512</v>
      </c>
      <c r="C505" s="2" t="s">
        <v>11</v>
      </c>
      <c r="D505" s="2">
        <v>1</v>
      </c>
      <c r="E505" s="2">
        <v>1</v>
      </c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</row>
    <row r="506" spans="1:19" hidden="1">
      <c r="A506" s="2" t="s">
        <v>63</v>
      </c>
      <c r="B506" s="2" t="s">
        <v>513</v>
      </c>
      <c r="C506" s="2" t="s">
        <v>104</v>
      </c>
      <c r="D506" s="2">
        <v>1</v>
      </c>
      <c r="E506" s="2">
        <v>1</v>
      </c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</row>
    <row r="507" spans="1:19" hidden="1">
      <c r="A507" s="2" t="s">
        <v>63</v>
      </c>
      <c r="B507" s="2" t="s">
        <v>514</v>
      </c>
      <c r="C507" s="2" t="s">
        <v>104</v>
      </c>
      <c r="D507" s="2">
        <v>1</v>
      </c>
      <c r="E507" s="2">
        <v>1</v>
      </c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</row>
    <row r="508" spans="1:19" hidden="1">
      <c r="A508" s="2" t="s">
        <v>63</v>
      </c>
      <c r="B508" s="2" t="s">
        <v>516</v>
      </c>
      <c r="C508" s="2" t="s">
        <v>579</v>
      </c>
      <c r="D508" s="2">
        <v>1</v>
      </c>
      <c r="E508" s="2">
        <v>1</v>
      </c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</row>
    <row r="509" spans="1:19" hidden="1">
      <c r="A509" s="2" t="s">
        <v>63</v>
      </c>
      <c r="B509" s="2" t="s">
        <v>524</v>
      </c>
      <c r="C509" s="2" t="s">
        <v>26</v>
      </c>
      <c r="D509" s="2">
        <v>1</v>
      </c>
      <c r="E509" s="2">
        <v>1</v>
      </c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</row>
    <row r="510" spans="1:19" hidden="1">
      <c r="A510" s="2" t="s">
        <v>63</v>
      </c>
      <c r="B510" s="2" t="s">
        <v>525</v>
      </c>
      <c r="C510" s="2" t="s">
        <v>26</v>
      </c>
      <c r="D510" s="2">
        <v>1</v>
      </c>
      <c r="E510" s="2">
        <v>1</v>
      </c>
      <c r="F510" s="2"/>
      <c r="G510" s="2"/>
      <c r="H510" s="2">
        <v>15</v>
      </c>
      <c r="I510" s="2" t="s">
        <v>582</v>
      </c>
      <c r="J510" s="2">
        <v>1</v>
      </c>
      <c r="K510" s="2" t="s">
        <v>582</v>
      </c>
      <c r="L510" s="2" t="s">
        <v>582</v>
      </c>
      <c r="M510" s="2" t="s">
        <v>582</v>
      </c>
      <c r="N510" s="2" t="s">
        <v>582</v>
      </c>
      <c r="O510" s="2">
        <v>1</v>
      </c>
      <c r="P510" s="2">
        <v>7</v>
      </c>
      <c r="Q510" s="2">
        <v>7</v>
      </c>
      <c r="R510" s="2">
        <v>5.9</v>
      </c>
      <c r="S510" s="2">
        <v>4.0999999999999996</v>
      </c>
    </row>
    <row r="511" spans="1:19" hidden="1">
      <c r="A511" s="2" t="s">
        <v>63</v>
      </c>
      <c r="B511" s="2" t="s">
        <v>527</v>
      </c>
      <c r="C511" s="2" t="s">
        <v>38</v>
      </c>
      <c r="D511" s="2">
        <v>1</v>
      </c>
      <c r="E511" s="2">
        <v>1</v>
      </c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</row>
    <row r="512" spans="1:19" hidden="1">
      <c r="A512" s="2" t="s">
        <v>63</v>
      </c>
      <c r="B512" s="2" t="s">
        <v>528</v>
      </c>
      <c r="C512" s="2" t="s">
        <v>38</v>
      </c>
      <c r="D512" s="2">
        <v>1</v>
      </c>
      <c r="E512" s="2">
        <v>1</v>
      </c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</row>
    <row r="513" spans="1:19" hidden="1">
      <c r="A513" s="2" t="s">
        <v>63</v>
      </c>
      <c r="B513" s="2" t="s">
        <v>533</v>
      </c>
      <c r="C513" s="2" t="s">
        <v>48</v>
      </c>
      <c r="D513" s="2">
        <v>1</v>
      </c>
      <c r="E513" s="2">
        <v>1</v>
      </c>
      <c r="F513" s="2"/>
      <c r="G513" s="2"/>
      <c r="H513" s="2" t="s">
        <v>582</v>
      </c>
      <c r="I513" s="2" t="s">
        <v>582</v>
      </c>
      <c r="J513" s="2" t="s">
        <v>582</v>
      </c>
      <c r="K513" s="2" t="s">
        <v>582</v>
      </c>
      <c r="L513" s="2" t="s">
        <v>582</v>
      </c>
      <c r="M513" s="2" t="s">
        <v>582</v>
      </c>
      <c r="N513" s="2" t="s">
        <v>582</v>
      </c>
      <c r="O513" s="2" t="s">
        <v>582</v>
      </c>
      <c r="P513" s="2" t="s">
        <v>582</v>
      </c>
      <c r="Q513" s="2" t="s">
        <v>582</v>
      </c>
      <c r="R513" s="2" t="s">
        <v>582</v>
      </c>
      <c r="S513" s="2" t="s">
        <v>582</v>
      </c>
    </row>
    <row r="514" spans="1:19" hidden="1">
      <c r="A514" s="2" t="s">
        <v>63</v>
      </c>
      <c r="B514" s="2" t="s">
        <v>534</v>
      </c>
      <c r="C514" s="2" t="s">
        <v>48</v>
      </c>
      <c r="D514" s="2">
        <v>1</v>
      </c>
      <c r="E514" s="2">
        <v>1</v>
      </c>
      <c r="F514" s="2"/>
      <c r="G514" s="2"/>
      <c r="H514" s="2">
        <v>3</v>
      </c>
      <c r="I514" s="2" t="s">
        <v>582</v>
      </c>
      <c r="J514" s="2" t="s">
        <v>582</v>
      </c>
      <c r="K514" s="2" t="s">
        <v>582</v>
      </c>
      <c r="L514" s="2" t="s">
        <v>582</v>
      </c>
      <c r="M514" s="2" t="s">
        <v>582</v>
      </c>
      <c r="N514" s="2" t="s">
        <v>582</v>
      </c>
      <c r="O514" s="2" t="s">
        <v>582</v>
      </c>
      <c r="P514" s="2">
        <v>1</v>
      </c>
      <c r="Q514" s="2">
        <v>1</v>
      </c>
      <c r="R514" s="2">
        <v>6.5</v>
      </c>
      <c r="S514" s="2">
        <v>3.5</v>
      </c>
    </row>
    <row r="515" spans="1:19" hidden="1">
      <c r="A515" s="2" t="s">
        <v>63</v>
      </c>
      <c r="B515" s="2" t="s">
        <v>535</v>
      </c>
      <c r="C515" s="2" t="s">
        <v>48</v>
      </c>
      <c r="D515" s="2">
        <v>1</v>
      </c>
      <c r="E515" s="2">
        <v>1</v>
      </c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</row>
    <row r="516" spans="1:19" hidden="1">
      <c r="A516" s="2" t="s">
        <v>63</v>
      </c>
      <c r="B516" s="2" t="s">
        <v>538</v>
      </c>
      <c r="C516" s="2" t="s">
        <v>72</v>
      </c>
      <c r="D516" s="2">
        <v>1</v>
      </c>
      <c r="E516" s="2">
        <v>1</v>
      </c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</row>
    <row r="517" spans="1:19" hidden="1">
      <c r="A517" s="2" t="s">
        <v>63</v>
      </c>
      <c r="B517" s="2" t="s">
        <v>542</v>
      </c>
      <c r="C517" s="2" t="s">
        <v>190</v>
      </c>
      <c r="D517" s="2">
        <v>1</v>
      </c>
      <c r="E517" s="2">
        <v>1</v>
      </c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</row>
    <row r="518" spans="1:19" hidden="1">
      <c r="A518" s="2" t="s">
        <v>63</v>
      </c>
      <c r="B518" s="2" t="s">
        <v>545</v>
      </c>
      <c r="C518" s="2" t="s">
        <v>26</v>
      </c>
      <c r="D518" s="2">
        <v>1</v>
      </c>
      <c r="E518" s="2">
        <v>1</v>
      </c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</row>
    <row r="519" spans="1:19" hidden="1">
      <c r="A519" s="2" t="s">
        <v>63</v>
      </c>
      <c r="B519" s="2" t="s">
        <v>546</v>
      </c>
      <c r="C519" s="2" t="s">
        <v>72</v>
      </c>
      <c r="D519" s="2">
        <v>1</v>
      </c>
      <c r="E519" s="2">
        <v>1</v>
      </c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</row>
    <row r="520" spans="1:19" hidden="1">
      <c r="A520" s="2" t="s">
        <v>63</v>
      </c>
      <c r="B520" s="2" t="s">
        <v>547</v>
      </c>
      <c r="C520" s="2" t="s">
        <v>9</v>
      </c>
      <c r="D520" s="2">
        <v>1</v>
      </c>
      <c r="E520" s="2">
        <v>1</v>
      </c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</row>
  </sheetData>
  <autoFilter ref="A1:S520" xr:uid="{89BBD0D8-1A9F-45E5-8B02-63AE66A2315D}">
    <filterColumn colId="2">
      <filters>
        <filter val="GENOA"/>
      </filters>
    </filterColumn>
  </autoFilter>
  <conditionalFormatting sqref="A2:A520">
    <cfRule type="containsText" dxfId="4" priority="1" operator="containsText" text="P">
      <formula>NOT(ISERROR(SEARCH("P",A2)))</formula>
    </cfRule>
    <cfRule type="containsText" dxfId="3" priority="2" operator="containsText" text="P">
      <formula>NOT(ISERROR(SEARCH("P",A2)))</formula>
    </cfRule>
    <cfRule type="containsText" dxfId="2" priority="3" operator="containsText" text="D">
      <formula>NOT(ISERROR(SEARCH("D",A2)))</formula>
    </cfRule>
    <cfRule type="containsText" dxfId="1" priority="4" operator="containsText" text="C">
      <formula>NOT(ISERROR(SEARCH("C",A2)))</formula>
    </cfRule>
    <cfRule type="containsText" dxfId="0" priority="5" operator="containsText" text="A">
      <formula>NOT(ISERROR(SEARCH("A",A2)))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9D80-2207-4952-9B4B-DBB173286479}">
  <sheetPr codeName="Foglio3"/>
  <dimension ref="A1:P251"/>
  <sheetViews>
    <sheetView workbookViewId="0">
      <selection activeCell="D1" sqref="D1:O1"/>
    </sheetView>
  </sheetViews>
  <sheetFormatPr defaultRowHeight="15"/>
  <cols>
    <col min="1" max="1" width="9.140625" style="7"/>
    <col min="2" max="2" width="20.140625" style="7" customWidth="1"/>
    <col min="3" max="16384" width="9.140625" style="7"/>
  </cols>
  <sheetData>
    <row r="1" spans="1:16">
      <c r="A1" s="7" t="s">
        <v>645</v>
      </c>
      <c r="B1" s="7" t="s">
        <v>646</v>
      </c>
      <c r="C1" s="7" t="s">
        <v>550</v>
      </c>
      <c r="D1" s="7" t="s">
        <v>647</v>
      </c>
      <c r="E1" s="7" t="s">
        <v>648</v>
      </c>
      <c r="F1" s="7" t="s">
        <v>649</v>
      </c>
      <c r="G1" s="7" t="s">
        <v>650</v>
      </c>
      <c r="H1" s="7" t="s">
        <v>651</v>
      </c>
      <c r="I1" s="7" t="s">
        <v>652</v>
      </c>
      <c r="J1" s="7" t="s">
        <v>655</v>
      </c>
      <c r="K1" s="7" t="s">
        <v>653</v>
      </c>
      <c r="L1" s="7" t="s">
        <v>654</v>
      </c>
      <c r="M1" s="7" t="s">
        <v>656</v>
      </c>
      <c r="N1" s="7" t="s">
        <v>657</v>
      </c>
      <c r="O1" s="7" t="s">
        <v>658</v>
      </c>
    </row>
    <row r="2" spans="1:16">
      <c r="A2" s="8" t="s">
        <v>63</v>
      </c>
      <c r="B2" s="8" t="s">
        <v>66</v>
      </c>
      <c r="C2" s="8" t="s">
        <v>581</v>
      </c>
      <c r="D2" s="8">
        <v>32</v>
      </c>
      <c r="E2" s="8" t="s">
        <v>582</v>
      </c>
      <c r="F2" s="8" t="s">
        <v>582</v>
      </c>
      <c r="G2" s="8" t="s">
        <v>582</v>
      </c>
      <c r="H2" s="8" t="s">
        <v>582</v>
      </c>
      <c r="I2" s="8" t="s">
        <v>582</v>
      </c>
      <c r="J2" s="8" t="s">
        <v>582</v>
      </c>
      <c r="K2" s="8" t="s">
        <v>582</v>
      </c>
      <c r="L2" s="8">
        <v>33</v>
      </c>
      <c r="M2" s="8">
        <v>31</v>
      </c>
      <c r="N2" s="8">
        <v>6.2</v>
      </c>
      <c r="O2" s="8">
        <v>5.2</v>
      </c>
      <c r="P2" s="8"/>
    </row>
    <row r="3" spans="1:16">
      <c r="A3" s="8" t="s">
        <v>63</v>
      </c>
      <c r="B3" s="8" t="s">
        <v>496</v>
      </c>
      <c r="C3" s="8" t="s">
        <v>581</v>
      </c>
      <c r="D3" s="8" t="s">
        <v>582</v>
      </c>
      <c r="E3" s="8" t="s">
        <v>582</v>
      </c>
      <c r="F3" s="8" t="s">
        <v>582</v>
      </c>
      <c r="G3" s="8" t="s">
        <v>582</v>
      </c>
      <c r="H3" s="8" t="s">
        <v>582</v>
      </c>
      <c r="I3" s="8" t="s">
        <v>582</v>
      </c>
      <c r="J3" s="8" t="s">
        <v>582</v>
      </c>
      <c r="K3" s="8" t="s">
        <v>582</v>
      </c>
      <c r="L3" s="8" t="s">
        <v>582</v>
      </c>
      <c r="M3" s="8" t="s">
        <v>582</v>
      </c>
      <c r="N3" s="8" t="s">
        <v>582</v>
      </c>
      <c r="O3" s="8" t="s">
        <v>582</v>
      </c>
      <c r="P3" s="8"/>
    </row>
    <row r="4" spans="1:16">
      <c r="A4" s="8" t="s">
        <v>63</v>
      </c>
      <c r="B4" s="8" t="s">
        <v>495</v>
      </c>
      <c r="C4" s="8" t="s">
        <v>581</v>
      </c>
      <c r="D4" s="8">
        <v>3</v>
      </c>
      <c r="E4" s="8" t="s">
        <v>582</v>
      </c>
      <c r="F4" s="8" t="s">
        <v>582</v>
      </c>
      <c r="G4" s="8" t="s">
        <v>582</v>
      </c>
      <c r="H4" s="8" t="s">
        <v>582</v>
      </c>
      <c r="I4" s="8" t="s">
        <v>582</v>
      </c>
      <c r="J4" s="8" t="s">
        <v>582</v>
      </c>
      <c r="K4" s="8" t="s">
        <v>582</v>
      </c>
      <c r="L4" s="8">
        <v>5</v>
      </c>
      <c r="M4" s="8">
        <v>5</v>
      </c>
      <c r="N4" s="8">
        <v>6.1</v>
      </c>
      <c r="O4" s="8">
        <v>5.5</v>
      </c>
      <c r="P4" s="8"/>
    </row>
    <row r="5" spans="1:16">
      <c r="A5" s="8" t="s">
        <v>41</v>
      </c>
      <c r="B5" s="8" t="s">
        <v>160</v>
      </c>
      <c r="C5" s="8" t="s">
        <v>583</v>
      </c>
      <c r="D5" s="8" t="s">
        <v>582</v>
      </c>
      <c r="E5" s="8" t="s">
        <v>582</v>
      </c>
      <c r="F5" s="8">
        <v>2</v>
      </c>
      <c r="G5" s="8" t="s">
        <v>582</v>
      </c>
      <c r="H5" s="8">
        <v>1</v>
      </c>
      <c r="I5" s="8" t="s">
        <v>582</v>
      </c>
      <c r="J5" s="8" t="s">
        <v>582</v>
      </c>
      <c r="K5" s="8" t="s">
        <v>582</v>
      </c>
      <c r="L5" s="8">
        <v>38</v>
      </c>
      <c r="M5" s="8" t="s">
        <v>582</v>
      </c>
      <c r="N5" s="8">
        <v>6</v>
      </c>
      <c r="O5" s="8">
        <v>6</v>
      </c>
      <c r="P5" s="8"/>
    </row>
    <row r="6" spans="1:16">
      <c r="A6" s="8" t="s">
        <v>41</v>
      </c>
      <c r="B6" s="8" t="s">
        <v>42</v>
      </c>
      <c r="C6" s="8" t="s">
        <v>584</v>
      </c>
      <c r="D6" s="8" t="s">
        <v>582</v>
      </c>
      <c r="E6" s="8">
        <v>7</v>
      </c>
      <c r="F6" s="8">
        <v>4</v>
      </c>
      <c r="G6" s="8" t="s">
        <v>582</v>
      </c>
      <c r="H6" s="8">
        <v>2</v>
      </c>
      <c r="I6" s="8" t="s">
        <v>582</v>
      </c>
      <c r="J6" s="8" t="s">
        <v>582</v>
      </c>
      <c r="K6" s="8" t="s">
        <v>582</v>
      </c>
      <c r="L6" s="8">
        <v>29</v>
      </c>
      <c r="M6" s="8">
        <v>18</v>
      </c>
      <c r="N6" s="8">
        <v>6.2</v>
      </c>
      <c r="O6" s="8">
        <v>7</v>
      </c>
      <c r="P6" s="8"/>
    </row>
    <row r="7" spans="1:16">
      <c r="A7" s="8" t="s">
        <v>41</v>
      </c>
      <c r="B7" s="8" t="s">
        <v>585</v>
      </c>
      <c r="C7" s="8"/>
      <c r="D7" s="8" t="s">
        <v>582</v>
      </c>
      <c r="E7" s="8" t="s">
        <v>582</v>
      </c>
      <c r="F7" s="8">
        <v>2</v>
      </c>
      <c r="G7" s="8">
        <v>1</v>
      </c>
      <c r="H7" s="8">
        <v>1</v>
      </c>
      <c r="I7" s="8" t="s">
        <v>582</v>
      </c>
      <c r="J7" s="8" t="s">
        <v>582</v>
      </c>
      <c r="K7" s="8" t="s">
        <v>582</v>
      </c>
      <c r="L7" s="8">
        <v>16</v>
      </c>
      <c r="M7" s="8" t="s">
        <v>582</v>
      </c>
      <c r="N7" s="8">
        <v>5.5</v>
      </c>
      <c r="O7" s="8">
        <v>5.5</v>
      </c>
      <c r="P7" s="8"/>
    </row>
    <row r="8" spans="1:16">
      <c r="A8" s="8" t="s">
        <v>41</v>
      </c>
      <c r="B8" s="8" t="s">
        <v>120</v>
      </c>
      <c r="C8" s="8" t="s">
        <v>586</v>
      </c>
      <c r="D8" s="8" t="s">
        <v>582</v>
      </c>
      <c r="E8" s="8" t="s">
        <v>582</v>
      </c>
      <c r="F8" s="8">
        <v>2</v>
      </c>
      <c r="G8" s="8">
        <v>1</v>
      </c>
      <c r="H8" s="8">
        <v>8</v>
      </c>
      <c r="I8" s="8" t="s">
        <v>582</v>
      </c>
      <c r="J8" s="8" t="s">
        <v>582</v>
      </c>
      <c r="K8" s="8" t="s">
        <v>582</v>
      </c>
      <c r="L8" s="8">
        <v>23</v>
      </c>
      <c r="M8" s="8">
        <v>20</v>
      </c>
      <c r="N8" s="8">
        <v>6.1</v>
      </c>
      <c r="O8" s="8">
        <v>6.3</v>
      </c>
      <c r="P8" s="8"/>
    </row>
    <row r="9" spans="1:16">
      <c r="A9" s="8" t="s">
        <v>41</v>
      </c>
      <c r="B9" s="8" t="s">
        <v>56</v>
      </c>
      <c r="C9" s="8" t="s">
        <v>587</v>
      </c>
      <c r="D9" s="8" t="s">
        <v>582</v>
      </c>
      <c r="E9" s="8">
        <v>4</v>
      </c>
      <c r="F9" s="8">
        <v>6</v>
      </c>
      <c r="G9" s="8" t="s">
        <v>582</v>
      </c>
      <c r="H9" s="8">
        <v>5</v>
      </c>
      <c r="I9" s="8" t="s">
        <v>582</v>
      </c>
      <c r="J9" s="8" t="s">
        <v>582</v>
      </c>
      <c r="K9" s="8" t="s">
        <v>582</v>
      </c>
      <c r="L9" s="8">
        <v>31</v>
      </c>
      <c r="M9" s="8">
        <v>25</v>
      </c>
      <c r="N9" s="8">
        <v>6</v>
      </c>
      <c r="O9" s="8">
        <v>6.5</v>
      </c>
      <c r="P9" s="8"/>
    </row>
    <row r="10" spans="1:16">
      <c r="A10" s="8" t="s">
        <v>41</v>
      </c>
      <c r="B10" s="8" t="s">
        <v>214</v>
      </c>
      <c r="C10" s="8" t="s">
        <v>586</v>
      </c>
      <c r="D10" s="8" t="s">
        <v>582</v>
      </c>
      <c r="E10" s="8">
        <v>4</v>
      </c>
      <c r="F10" s="8">
        <v>1</v>
      </c>
      <c r="G10" s="8" t="s">
        <v>582</v>
      </c>
      <c r="H10" s="8" t="s">
        <v>582</v>
      </c>
      <c r="I10" s="8" t="s">
        <v>582</v>
      </c>
      <c r="J10" s="8" t="s">
        <v>582</v>
      </c>
      <c r="K10" s="8" t="s">
        <v>582</v>
      </c>
      <c r="L10" s="8">
        <v>34</v>
      </c>
      <c r="M10" s="8">
        <v>24</v>
      </c>
      <c r="N10" s="8">
        <v>5.8</v>
      </c>
      <c r="O10" s="8">
        <v>6.1</v>
      </c>
      <c r="P10" s="8"/>
    </row>
    <row r="11" spans="1:16">
      <c r="A11" s="8" t="s">
        <v>41</v>
      </c>
      <c r="B11" s="8" t="s">
        <v>352</v>
      </c>
      <c r="C11" s="8" t="s">
        <v>584</v>
      </c>
      <c r="D11" s="8" t="s">
        <v>582</v>
      </c>
      <c r="E11" s="8">
        <v>3</v>
      </c>
      <c r="F11" s="8">
        <v>3</v>
      </c>
      <c r="G11" s="8" t="s">
        <v>582</v>
      </c>
      <c r="H11" s="8">
        <v>2</v>
      </c>
      <c r="I11" s="8" t="s">
        <v>582</v>
      </c>
      <c r="J11" s="8" t="s">
        <v>582</v>
      </c>
      <c r="K11" s="8" t="s">
        <v>582</v>
      </c>
      <c r="L11" s="8">
        <v>28</v>
      </c>
      <c r="M11" s="8">
        <v>19</v>
      </c>
      <c r="N11" s="8">
        <v>6</v>
      </c>
      <c r="O11" s="8">
        <v>6.3</v>
      </c>
      <c r="P11" s="8"/>
    </row>
    <row r="12" spans="1:16">
      <c r="A12" s="8" t="s">
        <v>41</v>
      </c>
      <c r="B12" s="8" t="s">
        <v>588</v>
      </c>
      <c r="C12" s="8"/>
      <c r="D12" s="8" t="s">
        <v>582</v>
      </c>
      <c r="E12" s="8">
        <v>2</v>
      </c>
      <c r="F12" s="8">
        <v>5</v>
      </c>
      <c r="G12" s="8" t="s">
        <v>582</v>
      </c>
      <c r="H12" s="8">
        <v>4</v>
      </c>
      <c r="I12" s="8" t="s">
        <v>582</v>
      </c>
      <c r="J12" s="8" t="s">
        <v>582</v>
      </c>
      <c r="K12" s="8" t="s">
        <v>582</v>
      </c>
      <c r="L12" s="8">
        <v>34</v>
      </c>
      <c r="M12" s="8">
        <v>31</v>
      </c>
      <c r="N12" s="8">
        <v>5.6</v>
      </c>
      <c r="O12" s="8">
        <v>5.7</v>
      </c>
      <c r="P12" s="8"/>
    </row>
    <row r="13" spans="1:16">
      <c r="A13" s="8" t="s">
        <v>12</v>
      </c>
      <c r="B13" s="8" t="s">
        <v>32</v>
      </c>
      <c r="C13" s="8" t="s">
        <v>584</v>
      </c>
      <c r="D13" s="8" t="s">
        <v>582</v>
      </c>
      <c r="E13" s="8">
        <v>5</v>
      </c>
      <c r="F13" s="8">
        <v>5</v>
      </c>
      <c r="G13" s="8" t="s">
        <v>582</v>
      </c>
      <c r="H13" s="8">
        <v>6</v>
      </c>
      <c r="I13" s="8">
        <v>3</v>
      </c>
      <c r="J13" s="8">
        <v>1</v>
      </c>
      <c r="K13" s="8" t="s">
        <v>582</v>
      </c>
      <c r="L13" s="8">
        <v>28</v>
      </c>
      <c r="M13" s="8">
        <v>22</v>
      </c>
      <c r="N13" s="8">
        <v>6.1</v>
      </c>
      <c r="O13" s="8">
        <v>6.6</v>
      </c>
      <c r="P13" s="8"/>
    </row>
    <row r="14" spans="1:16">
      <c r="A14" s="8" t="s">
        <v>12</v>
      </c>
      <c r="B14" s="8" t="s">
        <v>164</v>
      </c>
      <c r="C14" s="8" t="s">
        <v>589</v>
      </c>
      <c r="D14" s="8" t="s">
        <v>582</v>
      </c>
      <c r="E14" s="8">
        <v>3</v>
      </c>
      <c r="F14" s="8">
        <v>1</v>
      </c>
      <c r="G14" s="8" t="s">
        <v>582</v>
      </c>
      <c r="H14" s="8">
        <v>4</v>
      </c>
      <c r="I14" s="8" t="s">
        <v>582</v>
      </c>
      <c r="J14" s="8">
        <v>1</v>
      </c>
      <c r="K14" s="8" t="s">
        <v>582</v>
      </c>
      <c r="L14" s="8">
        <v>31</v>
      </c>
      <c r="M14" s="8">
        <v>23</v>
      </c>
      <c r="N14" s="8">
        <v>5.9</v>
      </c>
      <c r="O14" s="8">
        <v>6.2</v>
      </c>
      <c r="P14" s="8"/>
    </row>
    <row r="15" spans="1:16">
      <c r="A15" s="8" t="s">
        <v>12</v>
      </c>
      <c r="B15" s="8" t="s">
        <v>184</v>
      </c>
      <c r="C15" s="8" t="s">
        <v>583</v>
      </c>
      <c r="D15" s="8" t="s">
        <v>582</v>
      </c>
      <c r="E15" s="8">
        <v>4</v>
      </c>
      <c r="F15" s="8">
        <v>8</v>
      </c>
      <c r="G15" s="8" t="s">
        <v>582</v>
      </c>
      <c r="H15" s="8">
        <v>2</v>
      </c>
      <c r="I15" s="8" t="s">
        <v>582</v>
      </c>
      <c r="J15" s="8" t="s">
        <v>582</v>
      </c>
      <c r="K15" s="8" t="s">
        <v>582</v>
      </c>
      <c r="L15" s="8">
        <v>29</v>
      </c>
      <c r="M15" s="8">
        <v>21</v>
      </c>
      <c r="N15" s="8">
        <v>6</v>
      </c>
      <c r="O15" s="8">
        <v>6.3</v>
      </c>
      <c r="P15" s="8"/>
    </row>
    <row r="16" spans="1:16">
      <c r="A16" s="8" t="s">
        <v>12</v>
      </c>
      <c r="B16" s="8" t="s">
        <v>590</v>
      </c>
      <c r="C16" s="8"/>
      <c r="D16" s="8" t="s">
        <v>582</v>
      </c>
      <c r="E16" s="8">
        <v>3</v>
      </c>
      <c r="F16" s="8">
        <v>4</v>
      </c>
      <c r="G16" s="8" t="s">
        <v>582</v>
      </c>
      <c r="H16" s="8">
        <v>1</v>
      </c>
      <c r="I16" s="8">
        <v>2</v>
      </c>
      <c r="J16" s="8" t="s">
        <v>582</v>
      </c>
      <c r="K16" s="8" t="s">
        <v>582</v>
      </c>
      <c r="L16" s="8">
        <v>21</v>
      </c>
      <c r="M16" s="8">
        <v>13</v>
      </c>
      <c r="N16" s="8">
        <v>6.2</v>
      </c>
      <c r="O16" s="8">
        <v>6.5</v>
      </c>
      <c r="P16" s="8"/>
    </row>
    <row r="17" spans="1:16">
      <c r="A17" s="8" t="s">
        <v>12</v>
      </c>
      <c r="B17" s="8" t="s">
        <v>136</v>
      </c>
      <c r="C17" s="8" t="s">
        <v>586</v>
      </c>
      <c r="D17" s="8" t="s">
        <v>582</v>
      </c>
      <c r="E17" s="8">
        <v>1</v>
      </c>
      <c r="F17" s="8">
        <v>8</v>
      </c>
      <c r="G17" s="8" t="s">
        <v>582</v>
      </c>
      <c r="H17" s="8">
        <v>3</v>
      </c>
      <c r="I17" s="8" t="s">
        <v>582</v>
      </c>
      <c r="J17" s="8" t="s">
        <v>582</v>
      </c>
      <c r="K17" s="8" t="s">
        <v>582</v>
      </c>
      <c r="L17" s="8">
        <v>37</v>
      </c>
      <c r="M17" s="8">
        <v>35</v>
      </c>
      <c r="N17" s="8">
        <v>6.2</v>
      </c>
      <c r="O17" s="8">
        <v>6.3</v>
      </c>
      <c r="P17" s="8"/>
    </row>
    <row r="18" spans="1:16">
      <c r="A18" s="8" t="s">
        <v>12</v>
      </c>
      <c r="B18" s="8" t="s">
        <v>591</v>
      </c>
      <c r="C18" s="8"/>
      <c r="D18" s="8" t="s">
        <v>582</v>
      </c>
      <c r="E18" s="8">
        <v>4</v>
      </c>
      <c r="F18" s="8" t="s">
        <v>582</v>
      </c>
      <c r="G18" s="8" t="s">
        <v>582</v>
      </c>
      <c r="H18" s="8" t="s">
        <v>582</v>
      </c>
      <c r="I18" s="8" t="s">
        <v>582</v>
      </c>
      <c r="J18" s="8" t="s">
        <v>582</v>
      </c>
      <c r="K18" s="8" t="s">
        <v>582</v>
      </c>
      <c r="L18" s="8">
        <v>13</v>
      </c>
      <c r="M18" s="8">
        <v>11</v>
      </c>
      <c r="N18" s="8">
        <v>6.1</v>
      </c>
      <c r="O18" s="8">
        <v>7</v>
      </c>
      <c r="P18" s="8"/>
    </row>
    <row r="19" spans="1:16">
      <c r="A19" s="8" t="s">
        <v>12</v>
      </c>
      <c r="B19" s="8" t="s">
        <v>271</v>
      </c>
      <c r="C19" s="8" t="s">
        <v>584</v>
      </c>
      <c r="D19" s="8" t="s">
        <v>582</v>
      </c>
      <c r="E19" s="8">
        <v>1</v>
      </c>
      <c r="F19" s="8">
        <v>4</v>
      </c>
      <c r="G19" s="8" t="s">
        <v>582</v>
      </c>
      <c r="H19" s="8" t="s">
        <v>582</v>
      </c>
      <c r="I19" s="8" t="s">
        <v>582</v>
      </c>
      <c r="J19" s="8" t="s">
        <v>582</v>
      </c>
      <c r="K19" s="8" t="s">
        <v>582</v>
      </c>
      <c r="L19" s="8">
        <v>19</v>
      </c>
      <c r="M19" s="8">
        <v>7</v>
      </c>
      <c r="N19" s="8">
        <v>5.8</v>
      </c>
      <c r="O19" s="8">
        <v>5.8</v>
      </c>
      <c r="P19" s="8"/>
    </row>
    <row r="20" spans="1:16">
      <c r="A20" s="8" t="s">
        <v>12</v>
      </c>
      <c r="B20" s="8" t="s">
        <v>182</v>
      </c>
      <c r="C20" s="8" t="s">
        <v>592</v>
      </c>
      <c r="D20" s="8" t="s">
        <v>582</v>
      </c>
      <c r="E20" s="8" t="s">
        <v>582</v>
      </c>
      <c r="F20" s="8">
        <v>3</v>
      </c>
      <c r="G20" s="8" t="s">
        <v>582</v>
      </c>
      <c r="H20" s="8">
        <v>1</v>
      </c>
      <c r="I20" s="8" t="s">
        <v>582</v>
      </c>
      <c r="J20" s="8" t="s">
        <v>582</v>
      </c>
      <c r="K20" s="8" t="s">
        <v>582</v>
      </c>
      <c r="L20" s="8">
        <v>31</v>
      </c>
      <c r="M20" s="8">
        <v>30</v>
      </c>
      <c r="N20" s="8">
        <v>6.2</v>
      </c>
      <c r="O20" s="8">
        <v>6.2</v>
      </c>
      <c r="P20" s="8"/>
    </row>
    <row r="21" spans="1:16">
      <c r="A21" s="8" t="s">
        <v>5</v>
      </c>
      <c r="B21" s="8" t="s">
        <v>6</v>
      </c>
      <c r="C21" s="8" t="s">
        <v>584</v>
      </c>
      <c r="D21" s="8" t="s">
        <v>582</v>
      </c>
      <c r="E21" s="8">
        <v>12</v>
      </c>
      <c r="F21" s="8">
        <v>1</v>
      </c>
      <c r="G21" s="8" t="s">
        <v>582</v>
      </c>
      <c r="H21" s="8">
        <v>3</v>
      </c>
      <c r="I21" s="8" t="s">
        <v>582</v>
      </c>
      <c r="J21" s="8" t="s">
        <v>582</v>
      </c>
      <c r="K21" s="8" t="s">
        <v>582</v>
      </c>
      <c r="L21" s="8">
        <v>31</v>
      </c>
      <c r="M21" s="8">
        <v>30</v>
      </c>
      <c r="N21" s="8">
        <v>6.1</v>
      </c>
      <c r="O21" s="8">
        <v>7.3</v>
      </c>
      <c r="P21" s="8"/>
    </row>
    <row r="22" spans="1:16">
      <c r="A22" s="8" t="s">
        <v>5</v>
      </c>
      <c r="B22" s="8" t="s">
        <v>593</v>
      </c>
      <c r="C22" s="8"/>
      <c r="D22" s="8" t="s">
        <v>582</v>
      </c>
      <c r="E22" s="8">
        <v>4</v>
      </c>
      <c r="F22" s="8">
        <v>1</v>
      </c>
      <c r="G22" s="8" t="s">
        <v>582</v>
      </c>
      <c r="H22" s="8">
        <v>2</v>
      </c>
      <c r="I22" s="8" t="s">
        <v>582</v>
      </c>
      <c r="J22" s="8" t="s">
        <v>582</v>
      </c>
      <c r="K22" s="8" t="s">
        <v>582</v>
      </c>
      <c r="L22" s="8">
        <v>15</v>
      </c>
      <c r="M22" s="8">
        <v>6</v>
      </c>
      <c r="N22" s="8">
        <v>5.9</v>
      </c>
      <c r="O22" s="8">
        <v>6.8</v>
      </c>
      <c r="P22" s="8"/>
    </row>
    <row r="23" spans="1:16">
      <c r="A23" s="8" t="s">
        <v>5</v>
      </c>
      <c r="B23" s="8" t="s">
        <v>594</v>
      </c>
      <c r="C23" s="8"/>
      <c r="D23" s="8" t="s">
        <v>582</v>
      </c>
      <c r="E23" s="8">
        <v>2</v>
      </c>
      <c r="F23" s="8">
        <v>3</v>
      </c>
      <c r="G23" s="8" t="s">
        <v>582</v>
      </c>
      <c r="H23" s="8">
        <v>2</v>
      </c>
      <c r="I23" s="8" t="s">
        <v>582</v>
      </c>
      <c r="J23" s="8" t="s">
        <v>582</v>
      </c>
      <c r="K23" s="8" t="s">
        <v>582</v>
      </c>
      <c r="L23" s="8">
        <v>16</v>
      </c>
      <c r="M23" s="8">
        <v>5</v>
      </c>
      <c r="N23" s="8">
        <v>5.7</v>
      </c>
      <c r="O23" s="8">
        <v>6.1</v>
      </c>
      <c r="P23" s="8"/>
    </row>
    <row r="24" spans="1:16">
      <c r="A24" s="8" t="s">
        <v>5</v>
      </c>
      <c r="B24" s="8" t="s">
        <v>595</v>
      </c>
      <c r="C24" s="8"/>
      <c r="D24" s="8" t="s">
        <v>582</v>
      </c>
      <c r="E24" s="8">
        <v>1</v>
      </c>
      <c r="F24" s="8">
        <v>2</v>
      </c>
      <c r="G24" s="8" t="s">
        <v>582</v>
      </c>
      <c r="H24" s="8" t="s">
        <v>582</v>
      </c>
      <c r="I24" s="8" t="s">
        <v>582</v>
      </c>
      <c r="J24" s="8" t="s">
        <v>582</v>
      </c>
      <c r="K24" s="8" t="s">
        <v>582</v>
      </c>
      <c r="L24" s="8">
        <v>8</v>
      </c>
      <c r="M24" s="8">
        <v>4</v>
      </c>
      <c r="N24" s="8">
        <v>5.8</v>
      </c>
      <c r="O24" s="8">
        <v>6.1</v>
      </c>
      <c r="P24" s="8"/>
    </row>
    <row r="25" spans="1:16">
      <c r="A25" s="8" t="s">
        <v>5</v>
      </c>
      <c r="B25" s="8" t="s">
        <v>58</v>
      </c>
      <c r="C25" s="8" t="s">
        <v>596</v>
      </c>
      <c r="D25" s="8" t="s">
        <v>582</v>
      </c>
      <c r="E25" s="8">
        <v>10</v>
      </c>
      <c r="F25" s="8">
        <v>6</v>
      </c>
      <c r="G25" s="8" t="s">
        <v>582</v>
      </c>
      <c r="H25" s="8">
        <v>1</v>
      </c>
      <c r="I25" s="8">
        <v>1</v>
      </c>
      <c r="J25" s="8" t="s">
        <v>582</v>
      </c>
      <c r="K25" s="8" t="s">
        <v>582</v>
      </c>
      <c r="L25" s="8">
        <v>37</v>
      </c>
      <c r="M25" s="8">
        <v>35</v>
      </c>
      <c r="N25" s="8">
        <v>6</v>
      </c>
      <c r="O25" s="8">
        <v>6.8</v>
      </c>
      <c r="P25" s="8"/>
    </row>
    <row r="26" spans="1:16">
      <c r="A26" s="8" t="s">
        <v>5</v>
      </c>
      <c r="B26" s="8" t="s">
        <v>91</v>
      </c>
      <c r="C26" s="8" t="s">
        <v>586</v>
      </c>
      <c r="D26" s="8" t="s">
        <v>582</v>
      </c>
      <c r="E26" s="8">
        <v>4</v>
      </c>
      <c r="F26" s="8">
        <v>5</v>
      </c>
      <c r="G26" s="8" t="s">
        <v>582</v>
      </c>
      <c r="H26" s="8">
        <v>2</v>
      </c>
      <c r="I26" s="8" t="s">
        <v>582</v>
      </c>
      <c r="J26" s="8" t="s">
        <v>582</v>
      </c>
      <c r="K26" s="8" t="s">
        <v>582</v>
      </c>
      <c r="L26" s="8">
        <v>37</v>
      </c>
      <c r="M26" s="8">
        <v>27</v>
      </c>
      <c r="N26" s="8">
        <v>5.9</v>
      </c>
      <c r="O26" s="8">
        <v>6.2</v>
      </c>
      <c r="P26" s="8"/>
    </row>
    <row r="27" spans="1:16">
      <c r="A27" s="8" t="s">
        <v>63</v>
      </c>
      <c r="B27" s="8" t="s">
        <v>69</v>
      </c>
      <c r="C27" s="8" t="s">
        <v>592</v>
      </c>
      <c r="D27" s="8">
        <v>25</v>
      </c>
      <c r="E27" s="8" t="s">
        <v>582</v>
      </c>
      <c r="F27" s="8" t="s">
        <v>582</v>
      </c>
      <c r="G27" s="8" t="s">
        <v>582</v>
      </c>
      <c r="H27" s="8" t="s">
        <v>582</v>
      </c>
      <c r="I27" s="8" t="s">
        <v>582</v>
      </c>
      <c r="J27" s="8" t="s">
        <v>582</v>
      </c>
      <c r="K27" s="8">
        <v>2</v>
      </c>
      <c r="L27" s="8">
        <v>34</v>
      </c>
      <c r="M27" s="8">
        <v>32</v>
      </c>
      <c r="N27" s="8">
        <v>6.3</v>
      </c>
      <c r="O27" s="8">
        <v>5.7</v>
      </c>
      <c r="P27" s="8"/>
    </row>
    <row r="28" spans="1:16">
      <c r="A28" s="8" t="s">
        <v>63</v>
      </c>
      <c r="B28" s="8" t="s">
        <v>422</v>
      </c>
      <c r="C28" s="8" t="s">
        <v>126</v>
      </c>
      <c r="D28" s="8">
        <v>24</v>
      </c>
      <c r="E28" s="8" t="s">
        <v>582</v>
      </c>
      <c r="F28" s="8" t="s">
        <v>582</v>
      </c>
      <c r="G28" s="8" t="s">
        <v>582</v>
      </c>
      <c r="H28" s="8" t="s">
        <v>582</v>
      </c>
      <c r="I28" s="8" t="s">
        <v>582</v>
      </c>
      <c r="J28" s="8" t="s">
        <v>582</v>
      </c>
      <c r="K28" s="8" t="s">
        <v>582</v>
      </c>
      <c r="L28" s="8">
        <v>14</v>
      </c>
      <c r="M28" s="8">
        <v>14</v>
      </c>
      <c r="N28" s="8">
        <v>5.9</v>
      </c>
      <c r="O28" s="8">
        <v>4.2</v>
      </c>
      <c r="P28" s="8"/>
    </row>
    <row r="29" spans="1:16">
      <c r="A29" s="8" t="s">
        <v>63</v>
      </c>
      <c r="B29" s="8" t="s">
        <v>233</v>
      </c>
      <c r="C29" s="8" t="s">
        <v>596</v>
      </c>
      <c r="D29" s="8">
        <v>23</v>
      </c>
      <c r="E29" s="8" t="s">
        <v>582</v>
      </c>
      <c r="F29" s="8" t="s">
        <v>582</v>
      </c>
      <c r="G29" s="8" t="s">
        <v>582</v>
      </c>
      <c r="H29" s="8" t="s">
        <v>582</v>
      </c>
      <c r="I29" s="8" t="s">
        <v>582</v>
      </c>
      <c r="J29" s="8" t="s">
        <v>582</v>
      </c>
      <c r="K29" s="8" t="s">
        <v>582</v>
      </c>
      <c r="L29" s="8">
        <v>22</v>
      </c>
      <c r="M29" s="8">
        <v>20</v>
      </c>
      <c r="N29" s="8">
        <v>6.3</v>
      </c>
      <c r="O29" s="8">
        <v>5.2</v>
      </c>
      <c r="P29" s="8"/>
    </row>
    <row r="30" spans="1:16">
      <c r="A30" s="8" t="s">
        <v>41</v>
      </c>
      <c r="B30" s="8" t="s">
        <v>96</v>
      </c>
      <c r="C30" s="8" t="s">
        <v>589</v>
      </c>
      <c r="D30" s="8" t="s">
        <v>582</v>
      </c>
      <c r="E30" s="8" t="s">
        <v>582</v>
      </c>
      <c r="F30" s="8">
        <v>3</v>
      </c>
      <c r="G30" s="8" t="s">
        <v>582</v>
      </c>
      <c r="H30" s="8">
        <v>9</v>
      </c>
      <c r="I30" s="8" t="s">
        <v>582</v>
      </c>
      <c r="J30" s="8" t="s">
        <v>582</v>
      </c>
      <c r="K30" s="8" t="s">
        <v>582</v>
      </c>
      <c r="L30" s="8">
        <v>35</v>
      </c>
      <c r="M30" s="8">
        <v>27</v>
      </c>
      <c r="N30" s="8">
        <v>6</v>
      </c>
      <c r="O30" s="8">
        <v>6.2</v>
      </c>
      <c r="P30" s="8"/>
    </row>
    <row r="31" spans="1:16">
      <c r="A31" s="8" t="s">
        <v>41</v>
      </c>
      <c r="B31" s="8" t="s">
        <v>172</v>
      </c>
      <c r="C31" s="8" t="s">
        <v>597</v>
      </c>
      <c r="D31" s="8" t="s">
        <v>582</v>
      </c>
      <c r="E31" s="8">
        <v>3</v>
      </c>
      <c r="F31" s="8">
        <v>9</v>
      </c>
      <c r="G31" s="8" t="s">
        <v>582</v>
      </c>
      <c r="H31" s="8" t="s">
        <v>582</v>
      </c>
      <c r="I31" s="8" t="s">
        <v>582</v>
      </c>
      <c r="J31" s="8" t="s">
        <v>582</v>
      </c>
      <c r="K31" s="8" t="s">
        <v>582</v>
      </c>
      <c r="L31" s="8">
        <v>36</v>
      </c>
      <c r="M31" s="8">
        <v>33</v>
      </c>
      <c r="N31" s="8">
        <v>6</v>
      </c>
      <c r="O31" s="8">
        <v>6.2</v>
      </c>
      <c r="P31" s="8"/>
    </row>
    <row r="32" spans="1:16">
      <c r="A32" s="8" t="s">
        <v>41</v>
      </c>
      <c r="B32" s="8" t="s">
        <v>598</v>
      </c>
      <c r="C32" s="8"/>
      <c r="D32" s="8" t="s">
        <v>582</v>
      </c>
      <c r="E32" s="8">
        <v>1</v>
      </c>
      <c r="F32" s="8">
        <v>11</v>
      </c>
      <c r="G32" s="8">
        <v>1</v>
      </c>
      <c r="H32" s="8" t="s">
        <v>582</v>
      </c>
      <c r="I32" s="8" t="s">
        <v>582</v>
      </c>
      <c r="J32" s="8" t="s">
        <v>582</v>
      </c>
      <c r="K32" s="8" t="s">
        <v>582</v>
      </c>
      <c r="L32" s="8">
        <v>34</v>
      </c>
      <c r="M32" s="8">
        <v>33</v>
      </c>
      <c r="N32" s="8">
        <v>5.9</v>
      </c>
      <c r="O32" s="8">
        <v>5.8</v>
      </c>
      <c r="P32" s="8"/>
    </row>
    <row r="33" spans="1:16">
      <c r="A33" s="8" t="s">
        <v>41</v>
      </c>
      <c r="B33" s="8" t="s">
        <v>216</v>
      </c>
      <c r="C33" s="8" t="s">
        <v>599</v>
      </c>
      <c r="D33" s="8" t="s">
        <v>582</v>
      </c>
      <c r="E33" s="8">
        <v>2</v>
      </c>
      <c r="F33" s="8">
        <v>3</v>
      </c>
      <c r="G33" s="8" t="s">
        <v>582</v>
      </c>
      <c r="H33" s="8" t="s">
        <v>582</v>
      </c>
      <c r="I33" s="8" t="s">
        <v>582</v>
      </c>
      <c r="J33" s="8" t="s">
        <v>582</v>
      </c>
      <c r="K33" s="8" t="s">
        <v>582</v>
      </c>
      <c r="L33" s="8">
        <v>38</v>
      </c>
      <c r="M33" s="8">
        <v>36</v>
      </c>
      <c r="N33" s="8">
        <v>5.9</v>
      </c>
      <c r="O33" s="8">
        <v>6</v>
      </c>
      <c r="P33" s="8"/>
    </row>
    <row r="34" spans="1:16">
      <c r="A34" s="8" t="s">
        <v>41</v>
      </c>
      <c r="B34" s="8" t="s">
        <v>226</v>
      </c>
      <c r="C34" s="8" t="s">
        <v>600</v>
      </c>
      <c r="D34" s="8" t="s">
        <v>582</v>
      </c>
      <c r="E34" s="8">
        <v>2</v>
      </c>
      <c r="F34" s="8">
        <v>10</v>
      </c>
      <c r="G34" s="8" t="s">
        <v>582</v>
      </c>
      <c r="H34" s="8" t="s">
        <v>582</v>
      </c>
      <c r="I34" s="8" t="s">
        <v>582</v>
      </c>
      <c r="J34" s="8" t="s">
        <v>582</v>
      </c>
      <c r="K34" s="8" t="s">
        <v>582</v>
      </c>
      <c r="L34" s="8">
        <v>32</v>
      </c>
      <c r="M34" s="8">
        <v>32</v>
      </c>
      <c r="N34" s="8">
        <v>5.8</v>
      </c>
      <c r="O34" s="8">
        <v>5.8</v>
      </c>
      <c r="P34" s="8"/>
    </row>
    <row r="35" spans="1:16">
      <c r="A35" s="8" t="s">
        <v>41</v>
      </c>
      <c r="B35" s="8" t="s">
        <v>179</v>
      </c>
      <c r="C35" s="8" t="s">
        <v>581</v>
      </c>
      <c r="D35" s="8" t="s">
        <v>582</v>
      </c>
      <c r="E35" s="8">
        <v>1</v>
      </c>
      <c r="F35" s="8">
        <v>2</v>
      </c>
      <c r="G35" s="8">
        <v>1</v>
      </c>
      <c r="H35" s="8" t="s">
        <v>582</v>
      </c>
      <c r="I35" s="8" t="s">
        <v>582</v>
      </c>
      <c r="J35" s="8" t="s">
        <v>582</v>
      </c>
      <c r="K35" s="8" t="s">
        <v>582</v>
      </c>
      <c r="L35" s="8">
        <v>29</v>
      </c>
      <c r="M35" s="8">
        <v>25</v>
      </c>
      <c r="N35" s="8">
        <v>6.1</v>
      </c>
      <c r="O35" s="8">
        <v>6.1</v>
      </c>
      <c r="P35" s="8"/>
    </row>
    <row r="36" spans="1:16">
      <c r="A36" s="8" t="s">
        <v>41</v>
      </c>
      <c r="B36" s="8" t="s">
        <v>176</v>
      </c>
      <c r="C36" s="8" t="s">
        <v>584</v>
      </c>
      <c r="D36" s="8" t="s">
        <v>582</v>
      </c>
      <c r="E36" s="8">
        <v>3</v>
      </c>
      <c r="F36" s="8">
        <v>2</v>
      </c>
      <c r="G36" s="8" t="s">
        <v>582</v>
      </c>
      <c r="H36" s="8" t="s">
        <v>582</v>
      </c>
      <c r="I36" s="8" t="s">
        <v>582</v>
      </c>
      <c r="J36" s="8" t="s">
        <v>582</v>
      </c>
      <c r="K36" s="8" t="s">
        <v>582</v>
      </c>
      <c r="L36" s="8">
        <v>22</v>
      </c>
      <c r="M36" s="8">
        <v>16</v>
      </c>
      <c r="N36" s="8">
        <v>6.2</v>
      </c>
      <c r="O36" s="8">
        <v>6.5</v>
      </c>
      <c r="P36" s="8"/>
    </row>
    <row r="37" spans="1:16">
      <c r="A37" s="8" t="s">
        <v>41</v>
      </c>
      <c r="B37" s="8" t="s">
        <v>601</v>
      </c>
      <c r="C37" s="8"/>
      <c r="D37" s="8" t="s">
        <v>582</v>
      </c>
      <c r="E37" s="8" t="s">
        <v>582</v>
      </c>
      <c r="F37" s="8">
        <v>2</v>
      </c>
      <c r="G37" s="8" t="s">
        <v>582</v>
      </c>
      <c r="H37" s="8">
        <v>2</v>
      </c>
      <c r="I37" s="8" t="s">
        <v>582</v>
      </c>
      <c r="J37" s="8" t="s">
        <v>582</v>
      </c>
      <c r="K37" s="8" t="s">
        <v>582</v>
      </c>
      <c r="L37" s="8">
        <v>19</v>
      </c>
      <c r="M37" s="8">
        <v>7</v>
      </c>
      <c r="N37" s="8">
        <v>6</v>
      </c>
      <c r="O37" s="8">
        <v>6.1</v>
      </c>
      <c r="P37" s="8"/>
    </row>
    <row r="38" spans="1:16">
      <c r="A38" s="8" t="s">
        <v>12</v>
      </c>
      <c r="B38" s="8" t="s">
        <v>144</v>
      </c>
      <c r="C38" s="8" t="s">
        <v>583</v>
      </c>
      <c r="D38" s="8" t="s">
        <v>582</v>
      </c>
      <c r="E38" s="8">
        <v>2</v>
      </c>
      <c r="F38" s="8">
        <v>4</v>
      </c>
      <c r="G38" s="8" t="s">
        <v>582</v>
      </c>
      <c r="H38" s="8">
        <v>1</v>
      </c>
      <c r="I38" s="8">
        <v>1</v>
      </c>
      <c r="J38" s="8" t="s">
        <v>582</v>
      </c>
      <c r="K38" s="8" t="s">
        <v>582</v>
      </c>
      <c r="L38" s="8">
        <v>25</v>
      </c>
      <c r="M38" s="8">
        <v>20</v>
      </c>
      <c r="N38" s="8">
        <v>5.6</v>
      </c>
      <c r="O38" s="8">
        <v>5.8</v>
      </c>
      <c r="P38" s="8"/>
    </row>
    <row r="39" spans="1:16">
      <c r="A39" s="8" t="s">
        <v>12</v>
      </c>
      <c r="B39" s="8" t="s">
        <v>602</v>
      </c>
      <c r="C39" s="8"/>
      <c r="D39" s="8" t="s">
        <v>582</v>
      </c>
      <c r="E39" s="8">
        <v>4</v>
      </c>
      <c r="F39" s="8">
        <v>1</v>
      </c>
      <c r="G39" s="8">
        <v>1</v>
      </c>
      <c r="H39" s="8">
        <v>6</v>
      </c>
      <c r="I39" s="8" t="s">
        <v>582</v>
      </c>
      <c r="J39" s="8" t="s">
        <v>582</v>
      </c>
      <c r="K39" s="8" t="s">
        <v>582</v>
      </c>
      <c r="L39" s="8">
        <v>21</v>
      </c>
      <c r="M39" s="8">
        <v>14</v>
      </c>
      <c r="N39" s="8">
        <v>6.1</v>
      </c>
      <c r="O39" s="8">
        <v>6.9</v>
      </c>
      <c r="P39" s="8"/>
    </row>
    <row r="40" spans="1:16">
      <c r="A40" s="8" t="s">
        <v>12</v>
      </c>
      <c r="B40" s="8" t="s">
        <v>272</v>
      </c>
      <c r="C40" s="8" t="s">
        <v>586</v>
      </c>
      <c r="D40" s="8" t="s">
        <v>582</v>
      </c>
      <c r="E40" s="8">
        <v>2</v>
      </c>
      <c r="F40" s="8">
        <v>7</v>
      </c>
      <c r="G40" s="8" t="s">
        <v>582</v>
      </c>
      <c r="H40" s="8">
        <v>3</v>
      </c>
      <c r="I40" s="8" t="s">
        <v>582</v>
      </c>
      <c r="J40" s="8" t="s">
        <v>582</v>
      </c>
      <c r="K40" s="8" t="s">
        <v>582</v>
      </c>
      <c r="L40" s="8">
        <v>19</v>
      </c>
      <c r="M40" s="8">
        <v>6</v>
      </c>
      <c r="N40" s="8">
        <v>6.1</v>
      </c>
      <c r="O40" s="8">
        <v>6.4</v>
      </c>
      <c r="P40" s="8"/>
    </row>
    <row r="41" spans="1:16">
      <c r="A41" s="8" t="s">
        <v>12</v>
      </c>
      <c r="B41" s="8" t="s">
        <v>257</v>
      </c>
      <c r="C41" s="8" t="s">
        <v>583</v>
      </c>
      <c r="D41" s="8" t="s">
        <v>582</v>
      </c>
      <c r="E41" s="8">
        <v>2</v>
      </c>
      <c r="F41" s="8">
        <v>7</v>
      </c>
      <c r="G41" s="8" t="s">
        <v>582</v>
      </c>
      <c r="H41" s="8">
        <v>1</v>
      </c>
      <c r="I41" s="8" t="s">
        <v>582</v>
      </c>
      <c r="J41" s="8" t="s">
        <v>582</v>
      </c>
      <c r="K41" s="8" t="s">
        <v>582</v>
      </c>
      <c r="L41" s="8">
        <v>25</v>
      </c>
      <c r="M41" s="8">
        <v>11</v>
      </c>
      <c r="N41" s="8">
        <v>5.9</v>
      </c>
      <c r="O41" s="8">
        <v>6.1</v>
      </c>
      <c r="P41" s="8"/>
    </row>
    <row r="42" spans="1:16">
      <c r="A42" s="8" t="s">
        <v>12</v>
      </c>
      <c r="B42" s="8" t="s">
        <v>134</v>
      </c>
      <c r="C42" s="8" t="s">
        <v>587</v>
      </c>
      <c r="D42" s="8" t="s">
        <v>582</v>
      </c>
      <c r="E42" s="8">
        <v>4</v>
      </c>
      <c r="F42" s="8">
        <v>2</v>
      </c>
      <c r="G42" s="8">
        <v>1</v>
      </c>
      <c r="H42" s="8">
        <v>1</v>
      </c>
      <c r="I42" s="8" t="s">
        <v>582</v>
      </c>
      <c r="J42" s="8" t="s">
        <v>582</v>
      </c>
      <c r="K42" s="8" t="s">
        <v>582</v>
      </c>
      <c r="L42" s="8">
        <v>20</v>
      </c>
      <c r="M42" s="8">
        <v>14</v>
      </c>
      <c r="N42" s="8">
        <v>6.3</v>
      </c>
      <c r="O42" s="8">
        <v>6.8</v>
      </c>
      <c r="P42" s="8"/>
    </row>
    <row r="43" spans="1:16">
      <c r="A43" s="8" t="s">
        <v>12</v>
      </c>
      <c r="B43" s="8" t="s">
        <v>124</v>
      </c>
      <c r="C43" s="8" t="s">
        <v>603</v>
      </c>
      <c r="D43" s="8" t="s">
        <v>582</v>
      </c>
      <c r="E43" s="8">
        <v>4</v>
      </c>
      <c r="F43" s="8">
        <v>6</v>
      </c>
      <c r="G43" s="8" t="s">
        <v>582</v>
      </c>
      <c r="H43" s="8" t="s">
        <v>582</v>
      </c>
      <c r="I43" s="8" t="s">
        <v>582</v>
      </c>
      <c r="J43" s="8" t="s">
        <v>582</v>
      </c>
      <c r="K43" s="8" t="s">
        <v>582</v>
      </c>
      <c r="L43" s="8">
        <v>37</v>
      </c>
      <c r="M43" s="8">
        <v>34</v>
      </c>
      <c r="N43" s="8">
        <v>5.9</v>
      </c>
      <c r="O43" s="8">
        <v>6.1</v>
      </c>
      <c r="P43" s="8"/>
    </row>
    <row r="44" spans="1:16">
      <c r="A44" s="8" t="s">
        <v>12</v>
      </c>
      <c r="B44" s="8" t="s">
        <v>208</v>
      </c>
      <c r="C44" s="8" t="s">
        <v>597</v>
      </c>
      <c r="D44" s="8" t="s">
        <v>582</v>
      </c>
      <c r="E44" s="8" t="s">
        <v>582</v>
      </c>
      <c r="F44" s="8">
        <v>2</v>
      </c>
      <c r="G44" s="8" t="s">
        <v>582</v>
      </c>
      <c r="H44" s="8">
        <v>2</v>
      </c>
      <c r="I44" s="8" t="s">
        <v>582</v>
      </c>
      <c r="J44" s="8" t="s">
        <v>582</v>
      </c>
      <c r="K44" s="8" t="s">
        <v>582</v>
      </c>
      <c r="L44" s="8">
        <v>9</v>
      </c>
      <c r="M44" s="8">
        <v>4</v>
      </c>
      <c r="N44" s="8">
        <v>6.1</v>
      </c>
      <c r="O44" s="8">
        <v>6.2</v>
      </c>
      <c r="P44" s="8"/>
    </row>
    <row r="45" spans="1:16">
      <c r="A45" s="8" t="s">
        <v>12</v>
      </c>
      <c r="B45" s="8" t="s">
        <v>604</v>
      </c>
      <c r="C45" s="8"/>
      <c r="D45" s="8" t="s">
        <v>582</v>
      </c>
      <c r="E45" s="8">
        <v>2</v>
      </c>
      <c r="F45" s="8">
        <v>6</v>
      </c>
      <c r="G45" s="8" t="s">
        <v>582</v>
      </c>
      <c r="H45" s="8">
        <v>1</v>
      </c>
      <c r="I45" s="8" t="s">
        <v>582</v>
      </c>
      <c r="J45" s="8" t="s">
        <v>582</v>
      </c>
      <c r="K45" s="8" t="s">
        <v>582</v>
      </c>
      <c r="L45" s="8">
        <v>33</v>
      </c>
      <c r="M45" s="8" t="s">
        <v>582</v>
      </c>
      <c r="N45" s="8">
        <v>6.2</v>
      </c>
      <c r="O45" s="8">
        <v>6.3</v>
      </c>
      <c r="P45" s="8"/>
    </row>
    <row r="46" spans="1:16">
      <c r="A46" s="8" t="s">
        <v>5</v>
      </c>
      <c r="B46" s="8" t="s">
        <v>605</v>
      </c>
      <c r="C46" s="8"/>
      <c r="D46" s="8" t="s">
        <v>582</v>
      </c>
      <c r="E46" s="8">
        <v>8</v>
      </c>
      <c r="F46" s="8" t="s">
        <v>582</v>
      </c>
      <c r="G46" s="8" t="s">
        <v>582</v>
      </c>
      <c r="H46" s="8">
        <v>1</v>
      </c>
      <c r="I46" s="8">
        <v>1</v>
      </c>
      <c r="J46" s="8" t="s">
        <v>582</v>
      </c>
      <c r="K46" s="8" t="s">
        <v>582</v>
      </c>
      <c r="L46" s="8">
        <v>16</v>
      </c>
      <c r="M46" s="8">
        <v>11</v>
      </c>
      <c r="N46" s="8">
        <v>6.1</v>
      </c>
      <c r="O46" s="8">
        <v>7.7</v>
      </c>
      <c r="P46" s="8"/>
    </row>
    <row r="47" spans="1:16">
      <c r="A47" s="8" t="s">
        <v>5</v>
      </c>
      <c r="B47" s="8" t="s">
        <v>28</v>
      </c>
      <c r="C47" s="8" t="s">
        <v>587</v>
      </c>
      <c r="D47" s="8" t="s">
        <v>582</v>
      </c>
      <c r="E47" s="8">
        <v>6</v>
      </c>
      <c r="F47" s="8">
        <v>2</v>
      </c>
      <c r="G47" s="8" t="s">
        <v>582</v>
      </c>
      <c r="H47" s="8">
        <v>1</v>
      </c>
      <c r="I47" s="8">
        <v>2</v>
      </c>
      <c r="J47" s="8" t="s">
        <v>582</v>
      </c>
      <c r="K47" s="8" t="s">
        <v>582</v>
      </c>
      <c r="L47" s="8">
        <v>22</v>
      </c>
      <c r="M47" s="8">
        <v>16</v>
      </c>
      <c r="N47" s="8">
        <v>6</v>
      </c>
      <c r="O47" s="8">
        <v>6.8</v>
      </c>
      <c r="P47" s="8"/>
    </row>
    <row r="48" spans="1:16">
      <c r="A48" s="8" t="s">
        <v>5</v>
      </c>
      <c r="B48" s="8" t="s">
        <v>606</v>
      </c>
      <c r="C48" s="8"/>
      <c r="D48" s="8" t="s">
        <v>582</v>
      </c>
      <c r="E48" s="8">
        <v>5</v>
      </c>
      <c r="F48" s="8">
        <v>3</v>
      </c>
      <c r="G48" s="8" t="s">
        <v>582</v>
      </c>
      <c r="H48" s="8">
        <v>5</v>
      </c>
      <c r="I48" s="8" t="s">
        <v>582</v>
      </c>
      <c r="J48" s="8" t="s">
        <v>582</v>
      </c>
      <c r="K48" s="8" t="s">
        <v>582</v>
      </c>
      <c r="L48" s="8">
        <v>24</v>
      </c>
      <c r="M48" s="8" t="s">
        <v>582</v>
      </c>
      <c r="N48" s="8">
        <v>6.1</v>
      </c>
      <c r="O48" s="8">
        <v>6.9</v>
      </c>
      <c r="P48" s="8"/>
    </row>
    <row r="49" spans="1:16">
      <c r="A49" s="8" t="s">
        <v>5</v>
      </c>
      <c r="B49" s="8" t="s">
        <v>51</v>
      </c>
      <c r="C49" s="8" t="s">
        <v>607</v>
      </c>
      <c r="D49" s="8" t="s">
        <v>582</v>
      </c>
      <c r="E49" s="8">
        <v>8</v>
      </c>
      <c r="F49" s="8">
        <v>8</v>
      </c>
      <c r="G49" s="8" t="s">
        <v>582</v>
      </c>
      <c r="H49" s="8">
        <v>4</v>
      </c>
      <c r="I49" s="8" t="s">
        <v>582</v>
      </c>
      <c r="J49" s="8">
        <v>1</v>
      </c>
      <c r="K49" s="8" t="s">
        <v>582</v>
      </c>
      <c r="L49" s="8">
        <v>35</v>
      </c>
      <c r="M49" s="8">
        <v>24</v>
      </c>
      <c r="N49" s="8">
        <v>6.1</v>
      </c>
      <c r="O49" s="8">
        <v>6.6</v>
      </c>
      <c r="P49" s="8"/>
    </row>
    <row r="50" spans="1:16">
      <c r="A50" s="8" t="s">
        <v>5</v>
      </c>
      <c r="B50" s="8" t="s">
        <v>242</v>
      </c>
      <c r="C50" s="8" t="s">
        <v>587</v>
      </c>
      <c r="D50" s="8" t="s">
        <v>582</v>
      </c>
      <c r="E50" s="8">
        <v>5</v>
      </c>
      <c r="F50" s="8">
        <v>6</v>
      </c>
      <c r="G50" s="8" t="s">
        <v>582</v>
      </c>
      <c r="H50" s="8">
        <v>4</v>
      </c>
      <c r="I50" s="8">
        <v>2</v>
      </c>
      <c r="J50" s="8">
        <v>1</v>
      </c>
      <c r="K50" s="8" t="s">
        <v>582</v>
      </c>
      <c r="L50" s="8">
        <v>31</v>
      </c>
      <c r="M50" s="8">
        <v>19</v>
      </c>
      <c r="N50" s="8">
        <v>5.9</v>
      </c>
      <c r="O50" s="8">
        <v>6.4</v>
      </c>
      <c r="P50" s="8"/>
    </row>
    <row r="51" spans="1:16">
      <c r="A51" s="8" t="s">
        <v>5</v>
      </c>
      <c r="B51" s="8" t="s">
        <v>355</v>
      </c>
      <c r="C51" s="8" t="s">
        <v>584</v>
      </c>
      <c r="D51" s="8" t="s">
        <v>582</v>
      </c>
      <c r="E51" s="8">
        <v>1</v>
      </c>
      <c r="F51" s="8">
        <v>1</v>
      </c>
      <c r="G51" s="8" t="s">
        <v>582</v>
      </c>
      <c r="H51" s="8">
        <v>2</v>
      </c>
      <c r="I51" s="8">
        <v>1</v>
      </c>
      <c r="J51" s="8" t="s">
        <v>582</v>
      </c>
      <c r="K51" s="8" t="s">
        <v>582</v>
      </c>
      <c r="L51" s="8">
        <v>19</v>
      </c>
      <c r="M51" s="8">
        <v>5</v>
      </c>
      <c r="N51" s="8">
        <v>5.7</v>
      </c>
      <c r="O51" s="8">
        <v>5.9</v>
      </c>
      <c r="P51" s="8"/>
    </row>
    <row r="52" spans="1:16">
      <c r="A52" s="8" t="s">
        <v>63</v>
      </c>
      <c r="B52" s="8" t="s">
        <v>83</v>
      </c>
      <c r="C52" s="8" t="s">
        <v>589</v>
      </c>
      <c r="D52" s="8">
        <v>34</v>
      </c>
      <c r="E52" s="8" t="s">
        <v>582</v>
      </c>
      <c r="F52" s="8">
        <v>1</v>
      </c>
      <c r="G52" s="8" t="s">
        <v>582</v>
      </c>
      <c r="H52" s="8" t="s">
        <v>582</v>
      </c>
      <c r="I52" s="8" t="s">
        <v>582</v>
      </c>
      <c r="J52" s="8" t="s">
        <v>582</v>
      </c>
      <c r="K52" s="8" t="s">
        <v>582</v>
      </c>
      <c r="L52" s="8">
        <v>34</v>
      </c>
      <c r="M52" s="8">
        <v>33</v>
      </c>
      <c r="N52" s="8">
        <v>6.4</v>
      </c>
      <c r="O52" s="8">
        <v>5.4</v>
      </c>
      <c r="P52" s="8"/>
    </row>
    <row r="53" spans="1:16">
      <c r="A53" s="8" t="s">
        <v>63</v>
      </c>
      <c r="B53" s="8" t="s">
        <v>608</v>
      </c>
      <c r="C53" s="8"/>
      <c r="D53" s="8">
        <v>3</v>
      </c>
      <c r="E53" s="8" t="s">
        <v>582</v>
      </c>
      <c r="F53" s="8" t="s">
        <v>582</v>
      </c>
      <c r="G53" s="8" t="s">
        <v>582</v>
      </c>
      <c r="H53" s="8" t="s">
        <v>582</v>
      </c>
      <c r="I53" s="8" t="s">
        <v>582</v>
      </c>
      <c r="J53" s="8" t="s">
        <v>582</v>
      </c>
      <c r="K53" s="8" t="s">
        <v>582</v>
      </c>
      <c r="L53" s="8">
        <v>3</v>
      </c>
      <c r="M53" s="8">
        <v>2</v>
      </c>
      <c r="N53" s="8">
        <v>6.1</v>
      </c>
      <c r="O53" s="8">
        <v>5.0999999999999996</v>
      </c>
      <c r="P53" s="8"/>
    </row>
    <row r="54" spans="1:16">
      <c r="A54" s="8" t="s">
        <v>63</v>
      </c>
      <c r="B54" s="8" t="s">
        <v>468</v>
      </c>
      <c r="C54" s="8" t="s">
        <v>589</v>
      </c>
      <c r="D54" s="8" t="s">
        <v>582</v>
      </c>
      <c r="E54" s="8" t="s">
        <v>582</v>
      </c>
      <c r="F54" s="8" t="s">
        <v>582</v>
      </c>
      <c r="G54" s="8" t="s">
        <v>582</v>
      </c>
      <c r="H54" s="8" t="s">
        <v>582</v>
      </c>
      <c r="I54" s="8" t="s">
        <v>582</v>
      </c>
      <c r="J54" s="8" t="s">
        <v>582</v>
      </c>
      <c r="K54" s="8" t="s">
        <v>582</v>
      </c>
      <c r="L54" s="8" t="s">
        <v>582</v>
      </c>
      <c r="M54" s="8" t="s">
        <v>582</v>
      </c>
      <c r="N54" s="8" t="s">
        <v>582</v>
      </c>
      <c r="O54" s="8" t="s">
        <v>582</v>
      </c>
      <c r="P54" s="8"/>
    </row>
    <row r="55" spans="1:16">
      <c r="A55" s="8" t="s">
        <v>41</v>
      </c>
      <c r="B55" s="8" t="s">
        <v>609</v>
      </c>
      <c r="C55" s="8"/>
      <c r="D55" s="8" t="s">
        <v>582</v>
      </c>
      <c r="E55" s="8" t="s">
        <v>582</v>
      </c>
      <c r="F55" s="8">
        <v>2</v>
      </c>
      <c r="G55" s="8" t="s">
        <v>582</v>
      </c>
      <c r="H55" s="8">
        <v>3</v>
      </c>
      <c r="I55" s="8" t="s">
        <v>582</v>
      </c>
      <c r="J55" s="8" t="s">
        <v>582</v>
      </c>
      <c r="K55" s="8" t="s">
        <v>582</v>
      </c>
      <c r="L55" s="8">
        <v>26</v>
      </c>
      <c r="M55" s="8">
        <v>17</v>
      </c>
      <c r="N55" s="8">
        <v>6</v>
      </c>
      <c r="O55" s="8">
        <v>6</v>
      </c>
      <c r="P55" s="8"/>
    </row>
    <row r="56" spans="1:16">
      <c r="A56" s="8" t="s">
        <v>41</v>
      </c>
      <c r="B56" s="8" t="s">
        <v>235</v>
      </c>
      <c r="C56" s="8" t="s">
        <v>596</v>
      </c>
      <c r="D56" s="8" t="s">
        <v>582</v>
      </c>
      <c r="E56" s="8">
        <v>1</v>
      </c>
      <c r="F56" s="8">
        <v>4</v>
      </c>
      <c r="G56" s="8">
        <v>1</v>
      </c>
      <c r="H56" s="8" t="s">
        <v>582</v>
      </c>
      <c r="I56" s="8" t="s">
        <v>582</v>
      </c>
      <c r="J56" s="8" t="s">
        <v>582</v>
      </c>
      <c r="K56" s="8" t="s">
        <v>582</v>
      </c>
      <c r="L56" s="8">
        <v>31</v>
      </c>
      <c r="M56" s="8">
        <v>29</v>
      </c>
      <c r="N56" s="8">
        <v>6</v>
      </c>
      <c r="O56" s="8">
        <v>6</v>
      </c>
      <c r="P56" s="8"/>
    </row>
    <row r="57" spans="1:16">
      <c r="A57" s="8" t="s">
        <v>41</v>
      </c>
      <c r="B57" s="8" t="s">
        <v>192</v>
      </c>
      <c r="C57" s="8" t="s">
        <v>589</v>
      </c>
      <c r="D57" s="8" t="s">
        <v>582</v>
      </c>
      <c r="E57" s="8">
        <v>1</v>
      </c>
      <c r="F57" s="8">
        <v>6</v>
      </c>
      <c r="G57" s="8" t="s">
        <v>582</v>
      </c>
      <c r="H57" s="8">
        <v>2</v>
      </c>
      <c r="I57" s="8" t="s">
        <v>582</v>
      </c>
      <c r="J57" s="8" t="s">
        <v>582</v>
      </c>
      <c r="K57" s="8" t="s">
        <v>582</v>
      </c>
      <c r="L57" s="8">
        <v>33</v>
      </c>
      <c r="M57" s="8">
        <v>31</v>
      </c>
      <c r="N57" s="8">
        <v>6.1</v>
      </c>
      <c r="O57" s="8">
        <v>6.1</v>
      </c>
      <c r="P57" s="8"/>
    </row>
    <row r="58" spans="1:16">
      <c r="A58" s="8" t="s">
        <v>41</v>
      </c>
      <c r="B58" s="8" t="s">
        <v>234</v>
      </c>
      <c r="C58" s="8" t="s">
        <v>596</v>
      </c>
      <c r="D58" s="8" t="s">
        <v>582</v>
      </c>
      <c r="E58" s="8">
        <v>1</v>
      </c>
      <c r="F58" s="8">
        <v>4</v>
      </c>
      <c r="G58" s="8" t="s">
        <v>582</v>
      </c>
      <c r="H58" s="8">
        <v>3</v>
      </c>
      <c r="I58" s="8" t="s">
        <v>582</v>
      </c>
      <c r="J58" s="8" t="s">
        <v>582</v>
      </c>
      <c r="K58" s="8" t="s">
        <v>582</v>
      </c>
      <c r="L58" s="8">
        <v>36</v>
      </c>
      <c r="M58" s="8">
        <v>34</v>
      </c>
      <c r="N58" s="8">
        <v>6</v>
      </c>
      <c r="O58" s="8">
        <v>6.1</v>
      </c>
      <c r="P58" s="8"/>
    </row>
    <row r="59" spans="1:16">
      <c r="A59" s="8" t="s">
        <v>41</v>
      </c>
      <c r="B59" s="8" t="s">
        <v>129</v>
      </c>
      <c r="C59" s="8" t="s">
        <v>589</v>
      </c>
      <c r="D59" s="8" t="s">
        <v>582</v>
      </c>
      <c r="E59" s="8" t="s">
        <v>582</v>
      </c>
      <c r="F59" s="8">
        <v>10</v>
      </c>
      <c r="G59" s="8" t="s">
        <v>582</v>
      </c>
      <c r="H59" s="8" t="s">
        <v>582</v>
      </c>
      <c r="I59" s="8" t="s">
        <v>582</v>
      </c>
      <c r="J59" s="8" t="s">
        <v>582</v>
      </c>
      <c r="K59" s="8" t="s">
        <v>582</v>
      </c>
      <c r="L59" s="8">
        <v>29</v>
      </c>
      <c r="M59" s="8">
        <v>26</v>
      </c>
      <c r="N59" s="8">
        <v>5.9</v>
      </c>
      <c r="O59" s="8">
        <v>5.8</v>
      </c>
      <c r="P59" s="8"/>
    </row>
    <row r="60" spans="1:16">
      <c r="A60" s="8" t="s">
        <v>41</v>
      </c>
      <c r="B60" s="8" t="s">
        <v>157</v>
      </c>
      <c r="C60" s="8" t="s">
        <v>592</v>
      </c>
      <c r="D60" s="8" t="s">
        <v>582</v>
      </c>
      <c r="E60" s="8" t="s">
        <v>582</v>
      </c>
      <c r="F60" s="8">
        <v>1</v>
      </c>
      <c r="G60" s="8" t="s">
        <v>582</v>
      </c>
      <c r="H60" s="8">
        <v>1</v>
      </c>
      <c r="I60" s="8" t="s">
        <v>582</v>
      </c>
      <c r="J60" s="8" t="s">
        <v>582</v>
      </c>
      <c r="K60" s="8" t="s">
        <v>582</v>
      </c>
      <c r="L60" s="8">
        <v>34</v>
      </c>
      <c r="M60" s="8">
        <v>32</v>
      </c>
      <c r="N60" s="8">
        <v>6.2</v>
      </c>
      <c r="O60" s="8">
        <v>6.2</v>
      </c>
      <c r="P60" s="8"/>
    </row>
    <row r="61" spans="1:16">
      <c r="A61" s="8" t="s">
        <v>41</v>
      </c>
      <c r="B61" s="8" t="s">
        <v>228</v>
      </c>
      <c r="C61" s="8" t="s">
        <v>600</v>
      </c>
      <c r="D61" s="8" t="s">
        <v>582</v>
      </c>
      <c r="E61" s="8">
        <v>1</v>
      </c>
      <c r="F61" s="8">
        <v>1</v>
      </c>
      <c r="G61" s="8" t="s">
        <v>582</v>
      </c>
      <c r="H61" s="8" t="s">
        <v>582</v>
      </c>
      <c r="I61" s="8" t="s">
        <v>582</v>
      </c>
      <c r="J61" s="8" t="s">
        <v>582</v>
      </c>
      <c r="K61" s="8" t="s">
        <v>582</v>
      </c>
      <c r="L61" s="8">
        <v>21</v>
      </c>
      <c r="M61" s="8">
        <v>16</v>
      </c>
      <c r="N61" s="8">
        <v>5.8</v>
      </c>
      <c r="O61" s="8">
        <v>5.8</v>
      </c>
      <c r="P61" s="8"/>
    </row>
    <row r="62" spans="1:16">
      <c r="A62" s="8" t="s">
        <v>41</v>
      </c>
      <c r="B62" s="8" t="s">
        <v>260</v>
      </c>
      <c r="C62" s="8" t="s">
        <v>600</v>
      </c>
      <c r="D62" s="8" t="s">
        <v>582</v>
      </c>
      <c r="E62" s="8" t="s">
        <v>582</v>
      </c>
      <c r="F62" s="8">
        <v>6</v>
      </c>
      <c r="G62" s="8" t="s">
        <v>582</v>
      </c>
      <c r="H62" s="8">
        <v>6</v>
      </c>
      <c r="I62" s="8" t="s">
        <v>582</v>
      </c>
      <c r="J62" s="8" t="s">
        <v>582</v>
      </c>
      <c r="K62" s="8" t="s">
        <v>582</v>
      </c>
      <c r="L62" s="8">
        <v>31</v>
      </c>
      <c r="M62" s="8">
        <v>24</v>
      </c>
      <c r="N62" s="8">
        <v>6</v>
      </c>
      <c r="O62" s="8">
        <v>6</v>
      </c>
      <c r="P62" s="8"/>
    </row>
    <row r="63" spans="1:16">
      <c r="A63" s="8" t="s">
        <v>12</v>
      </c>
      <c r="B63" s="8" t="s">
        <v>110</v>
      </c>
      <c r="C63" s="8" t="s">
        <v>610</v>
      </c>
      <c r="D63" s="8" t="s">
        <v>582</v>
      </c>
      <c r="E63" s="8">
        <v>3</v>
      </c>
      <c r="F63" s="8">
        <v>4</v>
      </c>
      <c r="G63" s="8" t="s">
        <v>582</v>
      </c>
      <c r="H63" s="8">
        <v>2</v>
      </c>
      <c r="I63" s="8" t="s">
        <v>582</v>
      </c>
      <c r="J63" s="8" t="s">
        <v>582</v>
      </c>
      <c r="K63" s="8" t="s">
        <v>582</v>
      </c>
      <c r="L63" s="8">
        <v>36</v>
      </c>
      <c r="M63" s="8">
        <v>28</v>
      </c>
      <c r="N63" s="8">
        <v>6.1</v>
      </c>
      <c r="O63" s="8">
        <v>6.3</v>
      </c>
      <c r="P63" s="8"/>
    </row>
    <row r="64" spans="1:16">
      <c r="A64" s="8" t="s">
        <v>12</v>
      </c>
      <c r="B64" s="8" t="s">
        <v>162</v>
      </c>
      <c r="C64" s="8" t="s">
        <v>611</v>
      </c>
      <c r="D64" s="8" t="s">
        <v>582</v>
      </c>
      <c r="E64" s="8">
        <v>3</v>
      </c>
      <c r="F64" s="8">
        <v>2</v>
      </c>
      <c r="G64" s="8" t="s">
        <v>582</v>
      </c>
      <c r="H64" s="8">
        <v>2</v>
      </c>
      <c r="I64" s="8" t="s">
        <v>582</v>
      </c>
      <c r="J64" s="8" t="s">
        <v>582</v>
      </c>
      <c r="K64" s="8" t="s">
        <v>582</v>
      </c>
      <c r="L64" s="8">
        <v>33</v>
      </c>
      <c r="M64" s="8">
        <v>18</v>
      </c>
      <c r="N64" s="8">
        <v>5.9</v>
      </c>
      <c r="O64" s="8">
        <v>6.2</v>
      </c>
      <c r="P64" s="8"/>
    </row>
    <row r="65" spans="1:16">
      <c r="A65" s="8" t="s">
        <v>12</v>
      </c>
      <c r="B65" s="8" t="s">
        <v>117</v>
      </c>
      <c r="C65" s="8" t="s">
        <v>581</v>
      </c>
      <c r="D65" s="8" t="s">
        <v>582</v>
      </c>
      <c r="E65" s="8">
        <v>2</v>
      </c>
      <c r="F65" s="8">
        <v>9</v>
      </c>
      <c r="G65" s="8" t="s">
        <v>582</v>
      </c>
      <c r="H65" s="8">
        <v>2</v>
      </c>
      <c r="I65" s="8">
        <v>1</v>
      </c>
      <c r="J65" s="8" t="s">
        <v>582</v>
      </c>
      <c r="K65" s="8" t="s">
        <v>582</v>
      </c>
      <c r="L65" s="8">
        <v>35</v>
      </c>
      <c r="M65" s="8">
        <v>32</v>
      </c>
      <c r="N65" s="8">
        <v>6.3</v>
      </c>
      <c r="O65" s="8">
        <v>6.4</v>
      </c>
      <c r="P65" s="8"/>
    </row>
    <row r="66" spans="1:16">
      <c r="A66" s="8" t="s">
        <v>12</v>
      </c>
      <c r="B66" s="8" t="s">
        <v>139</v>
      </c>
      <c r="C66" s="8" t="s">
        <v>612</v>
      </c>
      <c r="D66" s="8" t="s">
        <v>582</v>
      </c>
      <c r="E66" s="8">
        <v>1</v>
      </c>
      <c r="F66" s="8">
        <v>5</v>
      </c>
      <c r="G66" s="8" t="s">
        <v>582</v>
      </c>
      <c r="H66" s="8">
        <v>6</v>
      </c>
      <c r="I66" s="8" t="s">
        <v>582</v>
      </c>
      <c r="J66" s="8" t="s">
        <v>582</v>
      </c>
      <c r="K66" s="8" t="s">
        <v>582</v>
      </c>
      <c r="L66" s="8">
        <v>34</v>
      </c>
      <c r="M66" s="8">
        <v>28</v>
      </c>
      <c r="N66" s="8">
        <v>6</v>
      </c>
      <c r="O66" s="8">
        <v>6.2</v>
      </c>
      <c r="P66" s="8"/>
    </row>
    <row r="67" spans="1:16">
      <c r="A67" s="8" t="s">
        <v>12</v>
      </c>
      <c r="B67" s="8" t="s">
        <v>156</v>
      </c>
      <c r="C67" s="8" t="s">
        <v>612</v>
      </c>
      <c r="D67" s="8" t="s">
        <v>582</v>
      </c>
      <c r="E67" s="8">
        <v>1</v>
      </c>
      <c r="F67" s="8">
        <v>8</v>
      </c>
      <c r="G67" s="8">
        <v>1</v>
      </c>
      <c r="H67" s="8">
        <v>1</v>
      </c>
      <c r="I67" s="8" t="s">
        <v>582</v>
      </c>
      <c r="J67" s="8" t="s">
        <v>582</v>
      </c>
      <c r="K67" s="8" t="s">
        <v>582</v>
      </c>
      <c r="L67" s="8">
        <v>34</v>
      </c>
      <c r="M67" s="8">
        <v>32</v>
      </c>
      <c r="N67" s="8">
        <v>6.2</v>
      </c>
      <c r="O67" s="8">
        <v>6.2</v>
      </c>
      <c r="P67" s="8"/>
    </row>
    <row r="68" spans="1:16">
      <c r="A68" s="8" t="s">
        <v>12</v>
      </c>
      <c r="B68" s="8" t="s">
        <v>154</v>
      </c>
      <c r="C68" s="8" t="s">
        <v>581</v>
      </c>
      <c r="D68" s="8" t="s">
        <v>582</v>
      </c>
      <c r="E68" s="8">
        <v>2</v>
      </c>
      <c r="F68" s="8">
        <v>3</v>
      </c>
      <c r="G68" s="8" t="s">
        <v>582</v>
      </c>
      <c r="H68" s="8">
        <v>4</v>
      </c>
      <c r="I68" s="8" t="s">
        <v>582</v>
      </c>
      <c r="J68" s="8" t="s">
        <v>582</v>
      </c>
      <c r="K68" s="8" t="s">
        <v>582</v>
      </c>
      <c r="L68" s="8">
        <v>31</v>
      </c>
      <c r="M68" s="8">
        <v>26</v>
      </c>
      <c r="N68" s="8">
        <v>5.8</v>
      </c>
      <c r="O68" s="8">
        <v>6.1</v>
      </c>
      <c r="P68" s="8"/>
    </row>
    <row r="69" spans="1:16">
      <c r="A69" s="8" t="s">
        <v>12</v>
      </c>
      <c r="B69" s="8" t="s">
        <v>215</v>
      </c>
      <c r="C69" s="8" t="s">
        <v>586</v>
      </c>
      <c r="D69" s="8" t="s">
        <v>582</v>
      </c>
      <c r="E69" s="8" t="s">
        <v>582</v>
      </c>
      <c r="F69" s="8">
        <v>13</v>
      </c>
      <c r="G69" s="8" t="s">
        <v>582</v>
      </c>
      <c r="H69" s="8">
        <v>3</v>
      </c>
      <c r="I69" s="8" t="s">
        <v>582</v>
      </c>
      <c r="J69" s="8" t="s">
        <v>582</v>
      </c>
      <c r="K69" s="8" t="s">
        <v>582</v>
      </c>
      <c r="L69" s="8">
        <v>33</v>
      </c>
      <c r="M69" s="8">
        <v>29</v>
      </c>
      <c r="N69" s="8">
        <v>6.3</v>
      </c>
      <c r="O69" s="8">
        <v>6.2</v>
      </c>
      <c r="P69" s="8"/>
    </row>
    <row r="70" spans="1:16">
      <c r="A70" s="8" t="s">
        <v>12</v>
      </c>
      <c r="B70" s="8" t="s">
        <v>613</v>
      </c>
      <c r="C70" s="8"/>
      <c r="D70" s="8" t="s">
        <v>582</v>
      </c>
      <c r="E70" s="8">
        <v>10</v>
      </c>
      <c r="F70" s="8">
        <v>2</v>
      </c>
      <c r="G70" s="8">
        <v>1</v>
      </c>
      <c r="H70" s="8">
        <v>4</v>
      </c>
      <c r="I70" s="8" t="s">
        <v>582</v>
      </c>
      <c r="J70" s="8" t="s">
        <v>582</v>
      </c>
      <c r="K70" s="8" t="s">
        <v>582</v>
      </c>
      <c r="L70" s="8">
        <v>37</v>
      </c>
      <c r="M70" s="8">
        <v>33</v>
      </c>
      <c r="N70" s="8">
        <v>6.2</v>
      </c>
      <c r="O70" s="8">
        <v>7</v>
      </c>
      <c r="P70" s="8"/>
    </row>
    <row r="71" spans="1:16">
      <c r="A71" s="8" t="s">
        <v>5</v>
      </c>
      <c r="B71" s="8" t="s">
        <v>614</v>
      </c>
      <c r="C71" s="8"/>
      <c r="D71" s="8" t="s">
        <v>582</v>
      </c>
      <c r="E71" s="8">
        <v>6</v>
      </c>
      <c r="F71" s="8">
        <v>2</v>
      </c>
      <c r="G71" s="8" t="s">
        <v>582</v>
      </c>
      <c r="H71" s="8">
        <v>1</v>
      </c>
      <c r="I71" s="8">
        <v>1</v>
      </c>
      <c r="J71" s="8" t="s">
        <v>582</v>
      </c>
      <c r="K71" s="8" t="s">
        <v>582</v>
      </c>
      <c r="L71" s="8">
        <v>23</v>
      </c>
      <c r="M71" s="8">
        <v>19</v>
      </c>
      <c r="N71" s="8">
        <v>5.7</v>
      </c>
      <c r="O71" s="8">
        <v>6.5</v>
      </c>
      <c r="P71" s="8"/>
    </row>
    <row r="72" spans="1:16">
      <c r="A72" s="8" t="s">
        <v>5</v>
      </c>
      <c r="B72" s="8" t="s">
        <v>31</v>
      </c>
      <c r="C72" s="8" t="s">
        <v>612</v>
      </c>
      <c r="D72" s="8" t="s">
        <v>582</v>
      </c>
      <c r="E72" s="8">
        <v>8</v>
      </c>
      <c r="F72" s="8">
        <v>5</v>
      </c>
      <c r="G72" s="8" t="s">
        <v>582</v>
      </c>
      <c r="H72" s="8">
        <v>8</v>
      </c>
      <c r="I72" s="8" t="s">
        <v>582</v>
      </c>
      <c r="J72" s="8" t="s">
        <v>582</v>
      </c>
      <c r="K72" s="8" t="s">
        <v>582</v>
      </c>
      <c r="L72" s="8">
        <v>34</v>
      </c>
      <c r="M72" s="8">
        <v>24</v>
      </c>
      <c r="N72" s="8">
        <v>6</v>
      </c>
      <c r="O72" s="8">
        <v>6.8</v>
      </c>
      <c r="P72" s="8"/>
    </row>
    <row r="73" spans="1:16">
      <c r="A73" s="8" t="s">
        <v>5</v>
      </c>
      <c r="B73" s="8" t="s">
        <v>29</v>
      </c>
      <c r="C73" s="8" t="s">
        <v>581</v>
      </c>
      <c r="D73" s="8" t="s">
        <v>582</v>
      </c>
      <c r="E73" s="8">
        <v>7</v>
      </c>
      <c r="F73" s="8">
        <v>2</v>
      </c>
      <c r="G73" s="8">
        <v>1</v>
      </c>
      <c r="H73" s="8">
        <v>4</v>
      </c>
      <c r="I73" s="8" t="s">
        <v>582</v>
      </c>
      <c r="J73" s="8" t="s">
        <v>582</v>
      </c>
      <c r="K73" s="8" t="s">
        <v>582</v>
      </c>
      <c r="L73" s="8">
        <v>35</v>
      </c>
      <c r="M73" s="8">
        <v>26</v>
      </c>
      <c r="N73" s="8">
        <v>6.2</v>
      </c>
      <c r="O73" s="8">
        <v>6.8</v>
      </c>
      <c r="P73" s="8"/>
    </row>
    <row r="74" spans="1:16">
      <c r="A74" s="8" t="s">
        <v>5</v>
      </c>
      <c r="B74" s="8" t="s">
        <v>71</v>
      </c>
      <c r="C74" s="8" t="s">
        <v>611</v>
      </c>
      <c r="D74" s="8" t="s">
        <v>582</v>
      </c>
      <c r="E74" s="8">
        <v>8</v>
      </c>
      <c r="F74" s="8" t="s">
        <v>582</v>
      </c>
      <c r="G74" s="8" t="s">
        <v>582</v>
      </c>
      <c r="H74" s="8">
        <v>3</v>
      </c>
      <c r="I74" s="8">
        <v>1</v>
      </c>
      <c r="J74" s="8">
        <v>2</v>
      </c>
      <c r="K74" s="8" t="s">
        <v>582</v>
      </c>
      <c r="L74" s="8">
        <v>25</v>
      </c>
      <c r="M74" s="8">
        <v>24</v>
      </c>
      <c r="N74" s="8">
        <v>6.3</v>
      </c>
      <c r="O74" s="8">
        <v>7.1</v>
      </c>
      <c r="P74" s="8"/>
    </row>
    <row r="75" spans="1:16">
      <c r="A75" s="8" t="s">
        <v>5</v>
      </c>
      <c r="B75" s="8" t="s">
        <v>155</v>
      </c>
      <c r="C75" s="8" t="s">
        <v>615</v>
      </c>
      <c r="D75" s="8" t="s">
        <v>582</v>
      </c>
      <c r="E75" s="8">
        <v>4</v>
      </c>
      <c r="F75" s="8">
        <v>4</v>
      </c>
      <c r="G75" s="8">
        <v>1</v>
      </c>
      <c r="H75" s="8">
        <v>2</v>
      </c>
      <c r="I75" s="8" t="s">
        <v>582</v>
      </c>
      <c r="J75" s="8" t="s">
        <v>582</v>
      </c>
      <c r="K75" s="8" t="s">
        <v>582</v>
      </c>
      <c r="L75" s="8">
        <v>35</v>
      </c>
      <c r="M75" s="8">
        <v>21</v>
      </c>
      <c r="N75" s="8">
        <v>5.7</v>
      </c>
      <c r="O75" s="8">
        <v>6</v>
      </c>
      <c r="P75" s="8"/>
    </row>
    <row r="76" spans="1:16">
      <c r="A76" s="8" t="s">
        <v>5</v>
      </c>
      <c r="B76" s="8" t="s">
        <v>102</v>
      </c>
      <c r="C76" s="8" t="s">
        <v>592</v>
      </c>
      <c r="D76" s="8" t="s">
        <v>582</v>
      </c>
      <c r="E76" s="8">
        <v>6</v>
      </c>
      <c r="F76" s="8">
        <v>1</v>
      </c>
      <c r="G76" s="8" t="s">
        <v>582</v>
      </c>
      <c r="H76" s="8">
        <v>1</v>
      </c>
      <c r="I76" s="8" t="s">
        <v>582</v>
      </c>
      <c r="J76" s="8" t="s">
        <v>582</v>
      </c>
      <c r="K76" s="8" t="s">
        <v>582</v>
      </c>
      <c r="L76" s="8">
        <v>21</v>
      </c>
      <c r="M76" s="8">
        <v>9</v>
      </c>
      <c r="N76" s="8">
        <v>6.1</v>
      </c>
      <c r="O76" s="8">
        <v>7</v>
      </c>
      <c r="P76" s="8"/>
    </row>
    <row r="77" spans="1:16">
      <c r="A77" s="8" t="s">
        <v>63</v>
      </c>
      <c r="B77" s="8" t="s">
        <v>533</v>
      </c>
      <c r="C77" s="8" t="s">
        <v>600</v>
      </c>
      <c r="D77" s="8" t="s">
        <v>582</v>
      </c>
      <c r="E77" s="8" t="s">
        <v>582</v>
      </c>
      <c r="F77" s="8" t="s">
        <v>582</v>
      </c>
      <c r="G77" s="8" t="s">
        <v>582</v>
      </c>
      <c r="H77" s="8" t="s">
        <v>582</v>
      </c>
      <c r="I77" s="8" t="s">
        <v>582</v>
      </c>
      <c r="J77" s="8" t="s">
        <v>582</v>
      </c>
      <c r="K77" s="8" t="s">
        <v>582</v>
      </c>
      <c r="L77" s="8" t="s">
        <v>582</v>
      </c>
      <c r="M77" s="8" t="s">
        <v>582</v>
      </c>
      <c r="N77" s="8" t="s">
        <v>582</v>
      </c>
      <c r="O77" s="8" t="s">
        <v>582</v>
      </c>
      <c r="P77" s="8"/>
    </row>
    <row r="78" spans="1:16" ht="28.5">
      <c r="A78" s="8" t="s">
        <v>63</v>
      </c>
      <c r="B78" s="8" t="s">
        <v>365</v>
      </c>
      <c r="C78" s="8" t="s">
        <v>592</v>
      </c>
      <c r="D78" s="8">
        <v>42</v>
      </c>
      <c r="E78" s="8" t="s">
        <v>582</v>
      </c>
      <c r="F78" s="8">
        <v>3</v>
      </c>
      <c r="G78" s="8" t="s">
        <v>582</v>
      </c>
      <c r="H78" s="8" t="s">
        <v>582</v>
      </c>
      <c r="I78" s="8" t="s">
        <v>582</v>
      </c>
      <c r="J78" s="8" t="s">
        <v>582</v>
      </c>
      <c r="K78" s="8">
        <v>4</v>
      </c>
      <c r="L78" s="8">
        <v>37</v>
      </c>
      <c r="M78" s="8">
        <v>35</v>
      </c>
      <c r="N78" s="8">
        <v>6.3</v>
      </c>
      <c r="O78" s="8">
        <v>5.5</v>
      </c>
      <c r="P78" s="8"/>
    </row>
    <row r="79" spans="1:16">
      <c r="A79" s="8" t="s">
        <v>63</v>
      </c>
      <c r="B79" s="8" t="s">
        <v>534</v>
      </c>
      <c r="C79" s="8" t="s">
        <v>600</v>
      </c>
      <c r="D79" s="8">
        <v>3</v>
      </c>
      <c r="E79" s="8" t="s">
        <v>582</v>
      </c>
      <c r="F79" s="8" t="s">
        <v>582</v>
      </c>
      <c r="G79" s="8" t="s">
        <v>582</v>
      </c>
      <c r="H79" s="8" t="s">
        <v>582</v>
      </c>
      <c r="I79" s="8" t="s">
        <v>582</v>
      </c>
      <c r="J79" s="8" t="s">
        <v>582</v>
      </c>
      <c r="K79" s="8" t="s">
        <v>582</v>
      </c>
      <c r="L79" s="8">
        <v>1</v>
      </c>
      <c r="M79" s="8">
        <v>1</v>
      </c>
      <c r="N79" s="8">
        <v>6.5</v>
      </c>
      <c r="O79" s="8">
        <v>3.5</v>
      </c>
      <c r="P79" s="8"/>
    </row>
    <row r="80" spans="1:16">
      <c r="A80" s="8" t="s">
        <v>41</v>
      </c>
      <c r="B80" s="8" t="s">
        <v>305</v>
      </c>
      <c r="C80" s="8" t="s">
        <v>587</v>
      </c>
      <c r="D80" s="8" t="s">
        <v>582</v>
      </c>
      <c r="E80" s="8" t="s">
        <v>582</v>
      </c>
      <c r="F80" s="8">
        <v>1</v>
      </c>
      <c r="G80" s="8">
        <v>1</v>
      </c>
      <c r="H80" s="8" t="s">
        <v>582</v>
      </c>
      <c r="I80" s="8" t="s">
        <v>582</v>
      </c>
      <c r="J80" s="8" t="s">
        <v>582</v>
      </c>
      <c r="K80" s="8" t="s">
        <v>582</v>
      </c>
      <c r="L80" s="8">
        <v>18</v>
      </c>
      <c r="M80" s="8">
        <v>14</v>
      </c>
      <c r="N80" s="8">
        <v>6</v>
      </c>
      <c r="O80" s="8">
        <v>5.8</v>
      </c>
      <c r="P80" s="8"/>
    </row>
    <row r="81" spans="1:16">
      <c r="A81" s="8" t="s">
        <v>41</v>
      </c>
      <c r="B81" s="8" t="s">
        <v>210</v>
      </c>
      <c r="C81" s="8" t="s">
        <v>584</v>
      </c>
      <c r="D81" s="8" t="s">
        <v>582</v>
      </c>
      <c r="E81" s="8" t="s">
        <v>582</v>
      </c>
      <c r="F81" s="8">
        <v>4</v>
      </c>
      <c r="G81" s="8" t="s">
        <v>582</v>
      </c>
      <c r="H81" s="8">
        <v>1</v>
      </c>
      <c r="I81" s="8" t="s">
        <v>582</v>
      </c>
      <c r="J81" s="8" t="s">
        <v>582</v>
      </c>
      <c r="K81" s="8" t="s">
        <v>582</v>
      </c>
      <c r="L81" s="8">
        <v>22</v>
      </c>
      <c r="M81" s="8">
        <v>17</v>
      </c>
      <c r="N81" s="8">
        <v>5.9</v>
      </c>
      <c r="O81" s="8">
        <v>5.9</v>
      </c>
      <c r="P81" s="8"/>
    </row>
    <row r="82" spans="1:16">
      <c r="A82" s="8" t="s">
        <v>41</v>
      </c>
      <c r="B82" s="8" t="s">
        <v>211</v>
      </c>
      <c r="C82" s="8" t="s">
        <v>581</v>
      </c>
      <c r="D82" s="8" t="s">
        <v>582</v>
      </c>
      <c r="E82" s="8">
        <v>1</v>
      </c>
      <c r="F82" s="8">
        <v>2</v>
      </c>
      <c r="G82" s="8" t="s">
        <v>582</v>
      </c>
      <c r="H82" s="8" t="s">
        <v>582</v>
      </c>
      <c r="I82" s="8" t="s">
        <v>582</v>
      </c>
      <c r="J82" s="8" t="s">
        <v>582</v>
      </c>
      <c r="K82" s="8" t="s">
        <v>582</v>
      </c>
      <c r="L82" s="8">
        <v>28</v>
      </c>
      <c r="M82" s="8">
        <v>26</v>
      </c>
      <c r="N82" s="8">
        <v>6.2</v>
      </c>
      <c r="O82" s="8">
        <v>6.3</v>
      </c>
      <c r="P82" s="8"/>
    </row>
    <row r="83" spans="1:16">
      <c r="A83" s="8" t="s">
        <v>41</v>
      </c>
      <c r="B83" s="8" t="s">
        <v>250</v>
      </c>
      <c r="C83" s="8" t="s">
        <v>612</v>
      </c>
      <c r="D83" s="8" t="s">
        <v>582</v>
      </c>
      <c r="E83" s="8">
        <v>2</v>
      </c>
      <c r="F83" s="8">
        <v>3</v>
      </c>
      <c r="G83" s="8">
        <v>1</v>
      </c>
      <c r="H83" s="8">
        <v>1</v>
      </c>
      <c r="I83" s="8" t="s">
        <v>582</v>
      </c>
      <c r="J83" s="8" t="s">
        <v>582</v>
      </c>
      <c r="K83" s="8" t="s">
        <v>582</v>
      </c>
      <c r="L83" s="8">
        <v>22</v>
      </c>
      <c r="M83" s="8">
        <v>18</v>
      </c>
      <c r="N83" s="8">
        <v>5.8</v>
      </c>
      <c r="O83" s="8">
        <v>6</v>
      </c>
      <c r="P83" s="8"/>
    </row>
    <row r="84" spans="1:16">
      <c r="A84" s="8" t="s">
        <v>41</v>
      </c>
      <c r="B84" s="8" t="s">
        <v>616</v>
      </c>
      <c r="C84" s="8"/>
      <c r="D84" s="8" t="s">
        <v>582</v>
      </c>
      <c r="E84" s="8" t="s">
        <v>582</v>
      </c>
      <c r="F84" s="8">
        <v>1</v>
      </c>
      <c r="G84" s="8" t="s">
        <v>582</v>
      </c>
      <c r="H84" s="8" t="s">
        <v>582</v>
      </c>
      <c r="I84" s="8" t="s">
        <v>582</v>
      </c>
      <c r="J84" s="8" t="s">
        <v>582</v>
      </c>
      <c r="K84" s="8" t="s">
        <v>582</v>
      </c>
      <c r="L84" s="8">
        <v>13</v>
      </c>
      <c r="M84" s="8">
        <v>11</v>
      </c>
      <c r="N84" s="8">
        <v>6.3</v>
      </c>
      <c r="O84" s="8">
        <v>6.1</v>
      </c>
      <c r="P84" s="8"/>
    </row>
    <row r="85" spans="1:16">
      <c r="A85" s="8" t="s">
        <v>41</v>
      </c>
      <c r="B85" s="8" t="s">
        <v>241</v>
      </c>
      <c r="C85" s="8" t="s">
        <v>587</v>
      </c>
      <c r="D85" s="8" t="s">
        <v>582</v>
      </c>
      <c r="E85" s="8">
        <v>1</v>
      </c>
      <c r="F85" s="8">
        <v>7</v>
      </c>
      <c r="G85" s="8" t="s">
        <v>582</v>
      </c>
      <c r="H85" s="8">
        <v>3</v>
      </c>
      <c r="I85" s="8" t="s">
        <v>582</v>
      </c>
      <c r="J85" s="8" t="s">
        <v>582</v>
      </c>
      <c r="K85" s="8" t="s">
        <v>582</v>
      </c>
      <c r="L85" s="8">
        <v>36</v>
      </c>
      <c r="M85" s="8">
        <v>32</v>
      </c>
      <c r="N85" s="8">
        <v>6</v>
      </c>
      <c r="O85" s="8">
        <v>6</v>
      </c>
      <c r="P85" s="8"/>
    </row>
    <row r="86" spans="1:16">
      <c r="A86" s="8" t="s">
        <v>41</v>
      </c>
      <c r="B86" s="8" t="s">
        <v>362</v>
      </c>
      <c r="C86" s="8" t="s">
        <v>612</v>
      </c>
      <c r="D86" s="8" t="s">
        <v>582</v>
      </c>
      <c r="E86" s="8" t="s">
        <v>582</v>
      </c>
      <c r="F86" s="8">
        <v>2</v>
      </c>
      <c r="G86" s="8" t="s">
        <v>582</v>
      </c>
      <c r="H86" s="8" t="s">
        <v>582</v>
      </c>
      <c r="I86" s="8" t="s">
        <v>582</v>
      </c>
      <c r="J86" s="8" t="s">
        <v>582</v>
      </c>
      <c r="K86" s="8" t="s">
        <v>582</v>
      </c>
      <c r="L86" s="8">
        <v>22</v>
      </c>
      <c r="M86" s="8">
        <v>18</v>
      </c>
      <c r="N86" s="8">
        <v>5.7</v>
      </c>
      <c r="O86" s="8">
        <v>5.4</v>
      </c>
      <c r="P86" s="8"/>
    </row>
    <row r="87" spans="1:16">
      <c r="A87" s="8" t="s">
        <v>41</v>
      </c>
      <c r="B87" s="8" t="s">
        <v>432</v>
      </c>
      <c r="C87" s="8" t="s">
        <v>611</v>
      </c>
      <c r="D87" s="8" t="s">
        <v>582</v>
      </c>
      <c r="E87" s="8">
        <v>1</v>
      </c>
      <c r="F87" s="8">
        <v>4</v>
      </c>
      <c r="G87" s="8" t="s">
        <v>582</v>
      </c>
      <c r="H87" s="8" t="s">
        <v>582</v>
      </c>
      <c r="I87" s="8" t="s">
        <v>582</v>
      </c>
      <c r="J87" s="8" t="s">
        <v>582</v>
      </c>
      <c r="K87" s="8" t="s">
        <v>582</v>
      </c>
      <c r="L87" s="8">
        <v>13</v>
      </c>
      <c r="M87" s="8">
        <v>11</v>
      </c>
      <c r="N87" s="8">
        <v>5.8</v>
      </c>
      <c r="O87" s="8">
        <v>5.6</v>
      </c>
      <c r="P87" s="8"/>
    </row>
    <row r="88" spans="1:16">
      <c r="A88" s="8" t="s">
        <v>12</v>
      </c>
      <c r="B88" s="8" t="s">
        <v>106</v>
      </c>
      <c r="C88" s="8" t="s">
        <v>589</v>
      </c>
      <c r="D88" s="8" t="s">
        <v>582</v>
      </c>
      <c r="E88" s="8">
        <v>4</v>
      </c>
      <c r="F88" s="8">
        <v>5</v>
      </c>
      <c r="G88" s="8" t="s">
        <v>582</v>
      </c>
      <c r="H88" s="8">
        <v>4</v>
      </c>
      <c r="I88" s="8" t="s">
        <v>582</v>
      </c>
      <c r="J88" s="8" t="s">
        <v>582</v>
      </c>
      <c r="K88" s="8" t="s">
        <v>582</v>
      </c>
      <c r="L88" s="8">
        <v>36</v>
      </c>
      <c r="M88" s="8">
        <v>33</v>
      </c>
      <c r="N88" s="8">
        <v>6.2</v>
      </c>
      <c r="O88" s="8">
        <v>6.5</v>
      </c>
      <c r="P88" s="8"/>
    </row>
    <row r="89" spans="1:16">
      <c r="A89" s="8" t="s">
        <v>12</v>
      </c>
      <c r="B89" s="8" t="s">
        <v>617</v>
      </c>
      <c r="C89" s="8"/>
      <c r="D89" s="8" t="s">
        <v>582</v>
      </c>
      <c r="E89" s="8">
        <v>1</v>
      </c>
      <c r="F89" s="8">
        <v>1</v>
      </c>
      <c r="G89" s="8" t="s">
        <v>582</v>
      </c>
      <c r="H89" s="8">
        <v>1</v>
      </c>
      <c r="I89" s="8" t="s">
        <v>582</v>
      </c>
      <c r="J89" s="8" t="s">
        <v>582</v>
      </c>
      <c r="K89" s="8" t="s">
        <v>582</v>
      </c>
      <c r="L89" s="8">
        <v>18</v>
      </c>
      <c r="M89" s="8">
        <v>11</v>
      </c>
      <c r="N89" s="8">
        <v>5.6</v>
      </c>
      <c r="O89" s="8">
        <v>5.8</v>
      </c>
      <c r="P89" s="8"/>
    </row>
    <row r="90" spans="1:16">
      <c r="A90" s="8" t="s">
        <v>12</v>
      </c>
      <c r="B90" s="8" t="s">
        <v>82</v>
      </c>
      <c r="C90" s="8" t="s">
        <v>600</v>
      </c>
      <c r="D90" s="8" t="s">
        <v>582</v>
      </c>
      <c r="E90" s="8">
        <v>5</v>
      </c>
      <c r="F90" s="8" t="s">
        <v>582</v>
      </c>
      <c r="G90" s="8" t="s">
        <v>582</v>
      </c>
      <c r="H90" s="8">
        <v>4</v>
      </c>
      <c r="I90" s="8">
        <v>1</v>
      </c>
      <c r="J90" s="8" t="s">
        <v>582</v>
      </c>
      <c r="K90" s="8" t="s">
        <v>582</v>
      </c>
      <c r="L90" s="8">
        <v>30</v>
      </c>
      <c r="M90" s="8">
        <v>21</v>
      </c>
      <c r="N90" s="8">
        <v>6</v>
      </c>
      <c r="O90" s="8">
        <v>6.6</v>
      </c>
      <c r="P90" s="8"/>
    </row>
    <row r="91" spans="1:16">
      <c r="A91" s="8" t="s">
        <v>12</v>
      </c>
      <c r="B91" s="8" t="s">
        <v>540</v>
      </c>
      <c r="C91" s="8" t="s">
        <v>611</v>
      </c>
      <c r="D91" s="8" t="s">
        <v>582</v>
      </c>
      <c r="E91" s="8" t="s">
        <v>582</v>
      </c>
      <c r="F91" s="8" t="s">
        <v>582</v>
      </c>
      <c r="G91" s="8" t="s">
        <v>582</v>
      </c>
      <c r="H91" s="8" t="s">
        <v>582</v>
      </c>
      <c r="I91" s="8" t="s">
        <v>582</v>
      </c>
      <c r="J91" s="8" t="s">
        <v>582</v>
      </c>
      <c r="K91" s="8" t="s">
        <v>582</v>
      </c>
      <c r="L91" s="8">
        <v>6</v>
      </c>
      <c r="M91" s="8" t="s">
        <v>582</v>
      </c>
      <c r="N91" s="8">
        <v>5.6</v>
      </c>
      <c r="O91" s="8">
        <v>5.6</v>
      </c>
      <c r="P91" s="8"/>
    </row>
    <row r="92" spans="1:16">
      <c r="A92" s="8" t="s">
        <v>12</v>
      </c>
      <c r="B92" s="8" t="s">
        <v>67</v>
      </c>
      <c r="C92" s="8" t="s">
        <v>581</v>
      </c>
      <c r="D92" s="8" t="s">
        <v>582</v>
      </c>
      <c r="E92" s="8">
        <v>4</v>
      </c>
      <c r="F92" s="8">
        <v>5</v>
      </c>
      <c r="G92" s="8" t="s">
        <v>582</v>
      </c>
      <c r="H92" s="8">
        <v>5</v>
      </c>
      <c r="I92" s="8" t="s">
        <v>582</v>
      </c>
      <c r="J92" s="8" t="s">
        <v>582</v>
      </c>
      <c r="K92" s="8" t="s">
        <v>582</v>
      </c>
      <c r="L92" s="8">
        <v>34</v>
      </c>
      <c r="M92" s="8">
        <v>25</v>
      </c>
      <c r="N92" s="8">
        <v>6.2</v>
      </c>
      <c r="O92" s="8">
        <v>6.7</v>
      </c>
      <c r="P92" s="8"/>
    </row>
    <row r="93" spans="1:16">
      <c r="A93" s="8" t="s">
        <v>12</v>
      </c>
      <c r="B93" s="8" t="s">
        <v>313</v>
      </c>
      <c r="C93" s="8" t="s">
        <v>581</v>
      </c>
      <c r="D93" s="8" t="s">
        <v>582</v>
      </c>
      <c r="E93" s="8">
        <v>3</v>
      </c>
      <c r="F93" s="8">
        <v>2</v>
      </c>
      <c r="G93" s="8" t="s">
        <v>582</v>
      </c>
      <c r="H93" s="8">
        <v>3</v>
      </c>
      <c r="I93" s="8" t="s">
        <v>582</v>
      </c>
      <c r="J93" s="8" t="s">
        <v>582</v>
      </c>
      <c r="K93" s="8" t="s">
        <v>582</v>
      </c>
      <c r="L93" s="8">
        <v>25</v>
      </c>
      <c r="M93" s="8">
        <v>23</v>
      </c>
      <c r="N93" s="8">
        <v>5.8</v>
      </c>
      <c r="O93" s="8">
        <v>6.3</v>
      </c>
      <c r="P93" s="8"/>
    </row>
    <row r="94" spans="1:16">
      <c r="A94" s="8" t="s">
        <v>12</v>
      </c>
      <c r="B94" s="8" t="s">
        <v>308</v>
      </c>
      <c r="C94" s="8" t="s">
        <v>597</v>
      </c>
      <c r="D94" s="8" t="s">
        <v>582</v>
      </c>
      <c r="E94" s="8">
        <v>1</v>
      </c>
      <c r="F94" s="8">
        <v>2</v>
      </c>
      <c r="G94" s="8" t="s">
        <v>582</v>
      </c>
      <c r="H94" s="8" t="s">
        <v>582</v>
      </c>
      <c r="I94" s="8" t="s">
        <v>582</v>
      </c>
      <c r="J94" s="8" t="s">
        <v>582</v>
      </c>
      <c r="K94" s="8" t="s">
        <v>582</v>
      </c>
      <c r="L94" s="8">
        <v>23</v>
      </c>
      <c r="M94" s="8">
        <v>14</v>
      </c>
      <c r="N94" s="8">
        <v>6.1</v>
      </c>
      <c r="O94" s="8">
        <v>6.1</v>
      </c>
      <c r="P94" s="8"/>
    </row>
    <row r="95" spans="1:16">
      <c r="A95" s="8" t="s">
        <v>12</v>
      </c>
      <c r="B95" s="8" t="s">
        <v>618</v>
      </c>
      <c r="C95" s="8"/>
      <c r="D95" s="8" t="s">
        <v>582</v>
      </c>
      <c r="E95" s="8">
        <v>2</v>
      </c>
      <c r="F95" s="8">
        <v>1</v>
      </c>
      <c r="G95" s="8" t="s">
        <v>582</v>
      </c>
      <c r="H95" s="8">
        <v>1</v>
      </c>
      <c r="I95" s="8" t="s">
        <v>582</v>
      </c>
      <c r="J95" s="8" t="s">
        <v>582</v>
      </c>
      <c r="K95" s="8" t="s">
        <v>582</v>
      </c>
      <c r="L95" s="8">
        <v>22</v>
      </c>
      <c r="M95" s="8">
        <v>17</v>
      </c>
      <c r="N95" s="8">
        <v>5.5</v>
      </c>
      <c r="O95" s="8">
        <v>5.8</v>
      </c>
      <c r="P95" s="8"/>
    </row>
    <row r="96" spans="1:16">
      <c r="A96" s="8" t="s">
        <v>5</v>
      </c>
      <c r="B96" s="8" t="s">
        <v>619</v>
      </c>
      <c r="C96" s="8"/>
      <c r="D96" s="8" t="s">
        <v>582</v>
      </c>
      <c r="E96" s="8">
        <v>1</v>
      </c>
      <c r="F96" s="8">
        <v>1</v>
      </c>
      <c r="G96" s="8" t="s">
        <v>582</v>
      </c>
      <c r="H96" s="8">
        <v>1</v>
      </c>
      <c r="I96" s="8" t="s">
        <v>582</v>
      </c>
      <c r="J96" s="8" t="s">
        <v>582</v>
      </c>
      <c r="K96" s="8" t="s">
        <v>582</v>
      </c>
      <c r="L96" s="8">
        <v>22</v>
      </c>
      <c r="M96" s="8" t="s">
        <v>582</v>
      </c>
      <c r="N96" s="8">
        <v>5.7</v>
      </c>
      <c r="O96" s="8">
        <v>5.9</v>
      </c>
      <c r="P96" s="8"/>
    </row>
    <row r="97" spans="1:16">
      <c r="A97" s="8" t="s">
        <v>5</v>
      </c>
      <c r="B97" s="8" t="s">
        <v>8</v>
      </c>
      <c r="C97" s="8" t="s">
        <v>587</v>
      </c>
      <c r="D97" s="8" t="s">
        <v>582</v>
      </c>
      <c r="E97" s="8">
        <v>19</v>
      </c>
      <c r="F97" s="8">
        <v>6</v>
      </c>
      <c r="G97" s="8" t="s">
        <v>582</v>
      </c>
      <c r="H97" s="8">
        <v>3</v>
      </c>
      <c r="I97" s="8">
        <v>1</v>
      </c>
      <c r="J97" s="8">
        <v>1</v>
      </c>
      <c r="K97" s="8" t="s">
        <v>582</v>
      </c>
      <c r="L97" s="8">
        <v>32</v>
      </c>
      <c r="M97" s="8">
        <v>28</v>
      </c>
      <c r="N97" s="8">
        <v>6.5</v>
      </c>
      <c r="O97" s="8">
        <v>8.1999999999999993</v>
      </c>
      <c r="P97" s="8"/>
    </row>
    <row r="98" spans="1:16">
      <c r="A98" s="8" t="s">
        <v>5</v>
      </c>
      <c r="B98" s="8" t="s">
        <v>30</v>
      </c>
      <c r="C98" s="8" t="s">
        <v>581</v>
      </c>
      <c r="D98" s="8" t="s">
        <v>582</v>
      </c>
      <c r="E98" s="8">
        <v>10</v>
      </c>
      <c r="F98" s="8">
        <v>3</v>
      </c>
      <c r="G98" s="8" t="s">
        <v>582</v>
      </c>
      <c r="H98" s="8">
        <v>4</v>
      </c>
      <c r="I98" s="8">
        <v>4</v>
      </c>
      <c r="J98" s="8" t="s">
        <v>582</v>
      </c>
      <c r="K98" s="8" t="s">
        <v>582</v>
      </c>
      <c r="L98" s="8">
        <v>27</v>
      </c>
      <c r="M98" s="8">
        <v>21</v>
      </c>
      <c r="N98" s="8">
        <v>5.8</v>
      </c>
      <c r="O98" s="8">
        <v>7</v>
      </c>
      <c r="P98" s="8"/>
    </row>
    <row r="99" spans="1:16">
      <c r="A99" s="8" t="s">
        <v>5</v>
      </c>
      <c r="B99" s="8" t="s">
        <v>498</v>
      </c>
      <c r="C99" s="8" t="s">
        <v>581</v>
      </c>
      <c r="D99" s="8" t="s">
        <v>582</v>
      </c>
      <c r="E99" s="8" t="s">
        <v>582</v>
      </c>
      <c r="F99" s="8" t="s">
        <v>582</v>
      </c>
      <c r="G99" s="8" t="s">
        <v>582</v>
      </c>
      <c r="H99" s="8" t="s">
        <v>582</v>
      </c>
      <c r="I99" s="8" t="s">
        <v>582</v>
      </c>
      <c r="J99" s="8" t="s">
        <v>582</v>
      </c>
      <c r="K99" s="8" t="s">
        <v>582</v>
      </c>
      <c r="L99" s="8" t="s">
        <v>582</v>
      </c>
      <c r="M99" s="8" t="s">
        <v>582</v>
      </c>
      <c r="N99" s="8" t="s">
        <v>582</v>
      </c>
      <c r="O99" s="8" t="s">
        <v>582</v>
      </c>
      <c r="P99" s="8"/>
    </row>
    <row r="100" spans="1:16">
      <c r="A100" s="8" t="s">
        <v>5</v>
      </c>
      <c r="B100" s="8" t="s">
        <v>620</v>
      </c>
      <c r="C100" s="8"/>
      <c r="D100" s="8" t="s">
        <v>582</v>
      </c>
      <c r="E100" s="8">
        <v>2</v>
      </c>
      <c r="F100" s="8">
        <v>3</v>
      </c>
      <c r="G100" s="8" t="s">
        <v>582</v>
      </c>
      <c r="H100" s="8" t="s">
        <v>582</v>
      </c>
      <c r="I100" s="8" t="s">
        <v>582</v>
      </c>
      <c r="J100" s="8" t="s">
        <v>582</v>
      </c>
      <c r="K100" s="8" t="s">
        <v>582</v>
      </c>
      <c r="L100" s="8">
        <v>13</v>
      </c>
      <c r="M100" s="8">
        <v>5</v>
      </c>
      <c r="N100" s="8">
        <v>5.8</v>
      </c>
      <c r="O100" s="8">
        <v>6.1</v>
      </c>
      <c r="P100" s="8"/>
    </row>
    <row r="101" spans="1:16">
      <c r="A101" s="8" t="s">
        <v>5</v>
      </c>
      <c r="B101" s="8" t="s">
        <v>311</v>
      </c>
      <c r="C101" s="8" t="s">
        <v>584</v>
      </c>
      <c r="D101" s="8" t="s">
        <v>582</v>
      </c>
      <c r="E101" s="8">
        <v>6</v>
      </c>
      <c r="F101" s="8">
        <v>2</v>
      </c>
      <c r="G101" s="8" t="s">
        <v>582</v>
      </c>
      <c r="H101" s="8">
        <v>4</v>
      </c>
      <c r="I101" s="8">
        <v>2</v>
      </c>
      <c r="J101" s="8">
        <v>1</v>
      </c>
      <c r="K101" s="8" t="s">
        <v>582</v>
      </c>
      <c r="L101" s="8">
        <v>37</v>
      </c>
      <c r="M101" s="8">
        <v>28</v>
      </c>
      <c r="N101" s="8">
        <v>6</v>
      </c>
      <c r="O101" s="8">
        <v>6.5</v>
      </c>
      <c r="P101" s="8"/>
    </row>
    <row r="102" spans="1:16">
      <c r="A102" s="8" t="s">
        <v>63</v>
      </c>
      <c r="B102" s="8" t="s">
        <v>273</v>
      </c>
      <c r="C102" s="8" t="s">
        <v>615</v>
      </c>
      <c r="D102" s="8">
        <v>58</v>
      </c>
      <c r="E102" s="8" t="s">
        <v>582</v>
      </c>
      <c r="F102" s="8">
        <v>2</v>
      </c>
      <c r="G102" s="8" t="s">
        <v>582</v>
      </c>
      <c r="H102" s="8" t="s">
        <v>582</v>
      </c>
      <c r="I102" s="8" t="s">
        <v>582</v>
      </c>
      <c r="J102" s="8" t="s">
        <v>582</v>
      </c>
      <c r="K102" s="8">
        <v>1</v>
      </c>
      <c r="L102" s="8">
        <v>38</v>
      </c>
      <c r="M102" s="8">
        <v>36</v>
      </c>
      <c r="N102" s="8">
        <v>6.2</v>
      </c>
      <c r="O102" s="8">
        <v>4.7</v>
      </c>
      <c r="P102" s="8"/>
    </row>
    <row r="103" spans="1:16">
      <c r="A103" s="8" t="s">
        <v>63</v>
      </c>
      <c r="B103" s="8" t="s">
        <v>86</v>
      </c>
      <c r="C103" s="8" t="s">
        <v>587</v>
      </c>
      <c r="D103" s="8">
        <v>38</v>
      </c>
      <c r="E103" s="8" t="s">
        <v>582</v>
      </c>
      <c r="F103" s="8">
        <v>1</v>
      </c>
      <c r="G103" s="8" t="s">
        <v>582</v>
      </c>
      <c r="H103" s="8">
        <v>1</v>
      </c>
      <c r="I103" s="8" t="s">
        <v>582</v>
      </c>
      <c r="J103" s="8" t="s">
        <v>582</v>
      </c>
      <c r="K103" s="8">
        <v>2</v>
      </c>
      <c r="L103" s="8">
        <v>35</v>
      </c>
      <c r="M103" s="8">
        <v>32</v>
      </c>
      <c r="N103" s="8">
        <v>6.4</v>
      </c>
      <c r="O103" s="8">
        <v>5.5</v>
      </c>
      <c r="P103" s="8"/>
    </row>
    <row r="104" spans="1:16">
      <c r="A104" s="8" t="s">
        <v>63</v>
      </c>
      <c r="B104" s="8" t="s">
        <v>146</v>
      </c>
      <c r="C104" s="8" t="s">
        <v>607</v>
      </c>
      <c r="D104" s="8">
        <v>33</v>
      </c>
      <c r="E104" s="8" t="s">
        <v>582</v>
      </c>
      <c r="F104" s="8">
        <v>1</v>
      </c>
      <c r="G104" s="8" t="s">
        <v>582</v>
      </c>
      <c r="H104" s="8" t="s">
        <v>582</v>
      </c>
      <c r="I104" s="8" t="s">
        <v>582</v>
      </c>
      <c r="J104" s="8" t="s">
        <v>582</v>
      </c>
      <c r="K104" s="8">
        <v>1</v>
      </c>
      <c r="L104" s="8">
        <v>27</v>
      </c>
      <c r="M104" s="8">
        <v>25</v>
      </c>
      <c r="N104" s="8">
        <v>6.1</v>
      </c>
      <c r="O104" s="8">
        <v>5</v>
      </c>
      <c r="P104" s="8"/>
    </row>
    <row r="105" spans="1:16">
      <c r="A105" s="8" t="s">
        <v>41</v>
      </c>
      <c r="B105" s="8" t="s">
        <v>174</v>
      </c>
      <c r="C105" s="8" t="s">
        <v>584</v>
      </c>
      <c r="D105" s="8" t="s">
        <v>582</v>
      </c>
      <c r="E105" s="8" t="s">
        <v>582</v>
      </c>
      <c r="F105" s="8" t="s">
        <v>582</v>
      </c>
      <c r="G105" s="8" t="s">
        <v>582</v>
      </c>
      <c r="H105" s="8">
        <v>1</v>
      </c>
      <c r="I105" s="8" t="s">
        <v>582</v>
      </c>
      <c r="J105" s="8" t="s">
        <v>582</v>
      </c>
      <c r="K105" s="8" t="s">
        <v>582</v>
      </c>
      <c r="L105" s="8">
        <v>20</v>
      </c>
      <c r="M105" s="8">
        <v>18</v>
      </c>
      <c r="N105" s="8">
        <v>6.3</v>
      </c>
      <c r="O105" s="8">
        <v>6.3</v>
      </c>
      <c r="P105" s="8"/>
    </row>
    <row r="106" spans="1:16">
      <c r="A106" s="8" t="s">
        <v>41</v>
      </c>
      <c r="B106" s="8" t="s">
        <v>143</v>
      </c>
      <c r="C106" s="8" t="s">
        <v>583</v>
      </c>
      <c r="D106" s="8" t="s">
        <v>582</v>
      </c>
      <c r="E106" s="8">
        <v>2</v>
      </c>
      <c r="F106" s="8">
        <v>8</v>
      </c>
      <c r="G106" s="8" t="s">
        <v>582</v>
      </c>
      <c r="H106" s="8" t="s">
        <v>582</v>
      </c>
      <c r="I106" s="8" t="s">
        <v>582</v>
      </c>
      <c r="J106" s="8" t="s">
        <v>582</v>
      </c>
      <c r="K106" s="8" t="s">
        <v>582</v>
      </c>
      <c r="L106" s="8">
        <v>37</v>
      </c>
      <c r="M106" s="8">
        <v>34</v>
      </c>
      <c r="N106" s="8">
        <v>6.1</v>
      </c>
      <c r="O106" s="8">
        <v>6.1</v>
      </c>
      <c r="P106" s="8"/>
    </row>
    <row r="107" spans="1:16">
      <c r="A107" s="8" t="s">
        <v>41</v>
      </c>
      <c r="B107" s="8" t="s">
        <v>92</v>
      </c>
      <c r="C107" s="8" t="s">
        <v>592</v>
      </c>
      <c r="D107" s="8" t="s">
        <v>582</v>
      </c>
      <c r="E107" s="8">
        <v>3</v>
      </c>
      <c r="F107" s="8">
        <v>6</v>
      </c>
      <c r="G107" s="8" t="s">
        <v>582</v>
      </c>
      <c r="H107" s="8">
        <v>2</v>
      </c>
      <c r="I107" s="8" t="s">
        <v>582</v>
      </c>
      <c r="J107" s="8" t="s">
        <v>582</v>
      </c>
      <c r="K107" s="8" t="s">
        <v>582</v>
      </c>
      <c r="L107" s="8">
        <v>37</v>
      </c>
      <c r="M107" s="8">
        <v>35</v>
      </c>
      <c r="N107" s="8">
        <v>6.1</v>
      </c>
      <c r="O107" s="8">
        <v>6.3</v>
      </c>
      <c r="P107" s="8"/>
    </row>
    <row r="108" spans="1:16">
      <c r="A108" s="8" t="s">
        <v>41</v>
      </c>
      <c r="B108" s="8" t="s">
        <v>359</v>
      </c>
      <c r="C108" s="8" t="s">
        <v>586</v>
      </c>
      <c r="D108" s="8" t="s">
        <v>582</v>
      </c>
      <c r="E108" s="8" t="s">
        <v>582</v>
      </c>
      <c r="F108" s="8">
        <v>3</v>
      </c>
      <c r="G108" s="8" t="s">
        <v>582</v>
      </c>
      <c r="H108" s="8">
        <v>1</v>
      </c>
      <c r="I108" s="8" t="s">
        <v>582</v>
      </c>
      <c r="J108" s="8" t="s">
        <v>582</v>
      </c>
      <c r="K108" s="8" t="s">
        <v>582</v>
      </c>
      <c r="L108" s="8">
        <v>23</v>
      </c>
      <c r="M108" s="8">
        <v>16</v>
      </c>
      <c r="N108" s="8">
        <v>5.9</v>
      </c>
      <c r="O108" s="8">
        <v>5.9</v>
      </c>
      <c r="P108" s="8"/>
    </row>
    <row r="109" spans="1:16">
      <c r="A109" s="8" t="s">
        <v>41</v>
      </c>
      <c r="B109" s="8" t="s">
        <v>293</v>
      </c>
      <c r="C109" s="8" t="s">
        <v>607</v>
      </c>
      <c r="D109" s="8" t="s">
        <v>582</v>
      </c>
      <c r="E109" s="8" t="s">
        <v>582</v>
      </c>
      <c r="F109" s="8">
        <v>1</v>
      </c>
      <c r="G109" s="8" t="s">
        <v>582</v>
      </c>
      <c r="H109" s="8" t="s">
        <v>582</v>
      </c>
      <c r="I109" s="8" t="s">
        <v>582</v>
      </c>
      <c r="J109" s="8" t="s">
        <v>582</v>
      </c>
      <c r="K109" s="8" t="s">
        <v>582</v>
      </c>
      <c r="L109" s="8">
        <v>15</v>
      </c>
      <c r="M109" s="8">
        <v>11</v>
      </c>
      <c r="N109" s="8">
        <v>5.8</v>
      </c>
      <c r="O109" s="8">
        <v>5.8</v>
      </c>
      <c r="P109" s="8"/>
    </row>
    <row r="110" spans="1:16">
      <c r="A110" s="8" t="s">
        <v>41</v>
      </c>
      <c r="B110" s="8" t="s">
        <v>213</v>
      </c>
      <c r="C110" s="8" t="s">
        <v>586</v>
      </c>
      <c r="D110" s="8" t="s">
        <v>582</v>
      </c>
      <c r="E110" s="8">
        <v>2</v>
      </c>
      <c r="F110" s="8">
        <v>4</v>
      </c>
      <c r="G110" s="8">
        <v>2</v>
      </c>
      <c r="H110" s="8" t="s">
        <v>582</v>
      </c>
      <c r="I110" s="8" t="s">
        <v>582</v>
      </c>
      <c r="J110" s="8" t="s">
        <v>582</v>
      </c>
      <c r="K110" s="8" t="s">
        <v>582</v>
      </c>
      <c r="L110" s="8">
        <v>32</v>
      </c>
      <c r="M110" s="8">
        <v>29</v>
      </c>
      <c r="N110" s="8">
        <v>6</v>
      </c>
      <c r="O110" s="8">
        <v>6</v>
      </c>
      <c r="P110" s="8"/>
    </row>
    <row r="111" spans="1:16">
      <c r="A111" s="8" t="s">
        <v>41</v>
      </c>
      <c r="B111" s="8" t="s">
        <v>97</v>
      </c>
      <c r="C111" s="8" t="s">
        <v>589</v>
      </c>
      <c r="D111" s="8" t="s">
        <v>582</v>
      </c>
      <c r="E111" s="8">
        <v>4</v>
      </c>
      <c r="F111" s="8">
        <v>3</v>
      </c>
      <c r="G111" s="8" t="s">
        <v>582</v>
      </c>
      <c r="H111" s="8">
        <v>2</v>
      </c>
      <c r="I111" s="8" t="s">
        <v>582</v>
      </c>
      <c r="J111" s="8" t="s">
        <v>582</v>
      </c>
      <c r="K111" s="8" t="s">
        <v>582</v>
      </c>
      <c r="L111" s="8">
        <v>30</v>
      </c>
      <c r="M111" s="8">
        <v>26</v>
      </c>
      <c r="N111" s="8">
        <v>6.1</v>
      </c>
      <c r="O111" s="8">
        <v>6.5</v>
      </c>
      <c r="P111" s="8"/>
    </row>
    <row r="112" spans="1:16">
      <c r="A112" s="8" t="s">
        <v>41</v>
      </c>
      <c r="B112" s="8" t="s">
        <v>419</v>
      </c>
      <c r="C112" s="8" t="s">
        <v>592</v>
      </c>
      <c r="D112" s="8" t="s">
        <v>582</v>
      </c>
      <c r="E112" s="8" t="s">
        <v>582</v>
      </c>
      <c r="F112" s="8">
        <v>1</v>
      </c>
      <c r="G112" s="8" t="s">
        <v>582</v>
      </c>
      <c r="H112" s="8" t="s">
        <v>582</v>
      </c>
      <c r="I112" s="8" t="s">
        <v>582</v>
      </c>
      <c r="J112" s="8" t="s">
        <v>582</v>
      </c>
      <c r="K112" s="8" t="s">
        <v>582</v>
      </c>
      <c r="L112" s="8">
        <v>12</v>
      </c>
      <c r="M112" s="8">
        <v>7</v>
      </c>
      <c r="N112" s="8">
        <v>5.9</v>
      </c>
      <c r="O112" s="8">
        <v>5.9</v>
      </c>
      <c r="P112" s="8"/>
    </row>
    <row r="113" spans="1:16">
      <c r="A113" s="8" t="s">
        <v>12</v>
      </c>
      <c r="B113" s="8" t="s">
        <v>207</v>
      </c>
      <c r="C113" s="8" t="s">
        <v>597</v>
      </c>
      <c r="D113" s="8" t="s">
        <v>582</v>
      </c>
      <c r="E113" s="8">
        <v>1</v>
      </c>
      <c r="F113" s="8">
        <v>1</v>
      </c>
      <c r="G113" s="8" t="s">
        <v>582</v>
      </c>
      <c r="H113" s="8">
        <v>1</v>
      </c>
      <c r="I113" s="8" t="s">
        <v>582</v>
      </c>
      <c r="J113" s="8">
        <v>1</v>
      </c>
      <c r="K113" s="8" t="s">
        <v>582</v>
      </c>
      <c r="L113" s="8">
        <v>16</v>
      </c>
      <c r="M113" s="8">
        <v>7</v>
      </c>
      <c r="N113" s="8">
        <v>6</v>
      </c>
      <c r="O113" s="8">
        <v>6</v>
      </c>
      <c r="P113" s="8"/>
    </row>
    <row r="114" spans="1:16">
      <c r="A114" s="8" t="s">
        <v>12</v>
      </c>
      <c r="B114" s="8" t="s">
        <v>198</v>
      </c>
      <c r="C114" s="8" t="s">
        <v>607</v>
      </c>
      <c r="D114" s="8" t="s">
        <v>582</v>
      </c>
      <c r="E114" s="8">
        <v>2</v>
      </c>
      <c r="F114" s="8">
        <v>4</v>
      </c>
      <c r="G114" s="8">
        <v>2</v>
      </c>
      <c r="H114" s="8">
        <v>2</v>
      </c>
      <c r="I114" s="8" t="s">
        <v>582</v>
      </c>
      <c r="J114" s="8" t="s">
        <v>582</v>
      </c>
      <c r="K114" s="8" t="s">
        <v>582</v>
      </c>
      <c r="L114" s="8">
        <v>21</v>
      </c>
      <c r="M114" s="8">
        <v>13</v>
      </c>
      <c r="N114" s="8">
        <v>6</v>
      </c>
      <c r="O114" s="8">
        <v>6.1</v>
      </c>
      <c r="P114" s="8"/>
    </row>
    <row r="115" spans="1:16">
      <c r="A115" s="8" t="s">
        <v>12</v>
      </c>
      <c r="B115" s="8" t="s">
        <v>13</v>
      </c>
      <c r="C115" s="8" t="s">
        <v>607</v>
      </c>
      <c r="D115" s="8" t="s">
        <v>582</v>
      </c>
      <c r="E115" s="8">
        <v>15</v>
      </c>
      <c r="F115" s="8">
        <v>2</v>
      </c>
      <c r="G115" s="8" t="s">
        <v>582</v>
      </c>
      <c r="H115" s="8">
        <v>4</v>
      </c>
      <c r="I115" s="8">
        <v>3</v>
      </c>
      <c r="J115" s="8" t="s">
        <v>582</v>
      </c>
      <c r="K115" s="8" t="s">
        <v>582</v>
      </c>
      <c r="L115" s="8">
        <v>29</v>
      </c>
      <c r="M115" s="8">
        <v>22</v>
      </c>
      <c r="N115" s="8">
        <v>6.4</v>
      </c>
      <c r="O115" s="8">
        <v>8.1</v>
      </c>
      <c r="P115" s="8"/>
    </row>
    <row r="116" spans="1:16">
      <c r="A116" s="8" t="s">
        <v>12</v>
      </c>
      <c r="B116" s="8" t="s">
        <v>87</v>
      </c>
      <c r="C116" s="8" t="s">
        <v>587</v>
      </c>
      <c r="D116" s="8" t="s">
        <v>582</v>
      </c>
      <c r="E116" s="8">
        <v>4</v>
      </c>
      <c r="F116" s="8">
        <v>7</v>
      </c>
      <c r="G116" s="8" t="s">
        <v>582</v>
      </c>
      <c r="H116" s="8">
        <v>3</v>
      </c>
      <c r="I116" s="8">
        <v>1</v>
      </c>
      <c r="J116" s="8" t="s">
        <v>582</v>
      </c>
      <c r="K116" s="8" t="s">
        <v>582</v>
      </c>
      <c r="L116" s="8">
        <v>28</v>
      </c>
      <c r="M116" s="8">
        <v>20</v>
      </c>
      <c r="N116" s="8">
        <v>6.2</v>
      </c>
      <c r="O116" s="8">
        <v>6.6</v>
      </c>
      <c r="P116" s="8"/>
    </row>
    <row r="117" spans="1:16">
      <c r="A117" s="8" t="s">
        <v>12</v>
      </c>
      <c r="B117" s="8" t="s">
        <v>89</v>
      </c>
      <c r="C117" s="8" t="s">
        <v>584</v>
      </c>
      <c r="D117" s="8" t="s">
        <v>582</v>
      </c>
      <c r="E117" s="8">
        <v>5</v>
      </c>
      <c r="F117" s="8" t="s">
        <v>582</v>
      </c>
      <c r="G117" s="8" t="s">
        <v>582</v>
      </c>
      <c r="H117" s="8">
        <v>1</v>
      </c>
      <c r="I117" s="8" t="s">
        <v>582</v>
      </c>
      <c r="J117" s="8" t="s">
        <v>582</v>
      </c>
      <c r="K117" s="8" t="s">
        <v>582</v>
      </c>
      <c r="L117" s="8">
        <v>25</v>
      </c>
      <c r="M117" s="8">
        <v>9</v>
      </c>
      <c r="N117" s="8">
        <v>5.9</v>
      </c>
      <c r="O117" s="8">
        <v>6.5</v>
      </c>
      <c r="P117" s="8"/>
    </row>
    <row r="118" spans="1:16">
      <c r="A118" s="8" t="s">
        <v>12</v>
      </c>
      <c r="B118" s="8" t="s">
        <v>77</v>
      </c>
      <c r="C118" s="8" t="s">
        <v>592</v>
      </c>
      <c r="D118" s="8" t="s">
        <v>582</v>
      </c>
      <c r="E118" s="8">
        <v>3</v>
      </c>
      <c r="F118" s="8">
        <v>3</v>
      </c>
      <c r="G118" s="8" t="s">
        <v>582</v>
      </c>
      <c r="H118" s="8">
        <v>4</v>
      </c>
      <c r="I118" s="8" t="s">
        <v>582</v>
      </c>
      <c r="J118" s="8" t="s">
        <v>582</v>
      </c>
      <c r="K118" s="8" t="s">
        <v>582</v>
      </c>
      <c r="L118" s="8">
        <v>37</v>
      </c>
      <c r="M118" s="8">
        <v>32</v>
      </c>
      <c r="N118" s="8">
        <v>6.2</v>
      </c>
      <c r="O118" s="8">
        <v>6.5</v>
      </c>
      <c r="P118" s="8"/>
    </row>
    <row r="119" spans="1:16">
      <c r="A119" s="8" t="s">
        <v>12</v>
      </c>
      <c r="B119" s="8" t="s">
        <v>76</v>
      </c>
      <c r="C119" s="8" t="s">
        <v>592</v>
      </c>
      <c r="D119" s="8" t="s">
        <v>582</v>
      </c>
      <c r="E119" s="8">
        <v>6</v>
      </c>
      <c r="F119" s="8">
        <v>5</v>
      </c>
      <c r="G119" s="8" t="s">
        <v>582</v>
      </c>
      <c r="H119" s="8">
        <v>4</v>
      </c>
      <c r="I119" s="8" t="s">
        <v>582</v>
      </c>
      <c r="J119" s="8" t="s">
        <v>582</v>
      </c>
      <c r="K119" s="8" t="s">
        <v>582</v>
      </c>
      <c r="L119" s="8">
        <v>35</v>
      </c>
      <c r="M119" s="8">
        <v>30</v>
      </c>
      <c r="N119" s="8">
        <v>6.4</v>
      </c>
      <c r="O119" s="8">
        <v>7</v>
      </c>
      <c r="P119" s="8"/>
    </row>
    <row r="120" spans="1:16">
      <c r="A120" s="8" t="s">
        <v>12</v>
      </c>
      <c r="B120" s="8" t="s">
        <v>131</v>
      </c>
      <c r="C120" s="8" t="s">
        <v>607</v>
      </c>
      <c r="D120" s="8" t="s">
        <v>582</v>
      </c>
      <c r="E120" s="8">
        <v>1</v>
      </c>
      <c r="F120" s="8" t="s">
        <v>582</v>
      </c>
      <c r="G120" s="8" t="s">
        <v>582</v>
      </c>
      <c r="H120" s="8">
        <v>1</v>
      </c>
      <c r="I120" s="8">
        <v>1</v>
      </c>
      <c r="J120" s="8" t="s">
        <v>582</v>
      </c>
      <c r="K120" s="8" t="s">
        <v>582</v>
      </c>
      <c r="L120" s="8">
        <v>15</v>
      </c>
      <c r="M120" s="8">
        <v>7</v>
      </c>
      <c r="N120" s="8">
        <v>6.4</v>
      </c>
      <c r="O120" s="8">
        <v>6.6</v>
      </c>
      <c r="P120" s="8"/>
    </row>
    <row r="121" spans="1:16">
      <c r="A121" s="8" t="s">
        <v>5</v>
      </c>
      <c r="B121" s="8" t="s">
        <v>61</v>
      </c>
      <c r="C121" s="8" t="s">
        <v>607</v>
      </c>
      <c r="D121" s="8" t="s">
        <v>582</v>
      </c>
      <c r="E121" s="8">
        <v>6</v>
      </c>
      <c r="F121" s="8">
        <v>1</v>
      </c>
      <c r="G121" s="8" t="s">
        <v>582</v>
      </c>
      <c r="H121" s="8">
        <v>1</v>
      </c>
      <c r="I121" s="8" t="s">
        <v>582</v>
      </c>
      <c r="J121" s="8" t="s">
        <v>582</v>
      </c>
      <c r="K121" s="8" t="s">
        <v>582</v>
      </c>
      <c r="L121" s="8">
        <v>28</v>
      </c>
      <c r="M121" s="8">
        <v>24</v>
      </c>
      <c r="N121" s="8">
        <v>6.4</v>
      </c>
      <c r="O121" s="8">
        <v>7.1</v>
      </c>
      <c r="P121" s="8"/>
    </row>
    <row r="122" spans="1:16">
      <c r="A122" s="8" t="s">
        <v>5</v>
      </c>
      <c r="B122" s="8" t="s">
        <v>169</v>
      </c>
      <c r="C122" s="8" t="s">
        <v>607</v>
      </c>
      <c r="D122" s="8" t="s">
        <v>582</v>
      </c>
      <c r="E122" s="8">
        <v>3</v>
      </c>
      <c r="F122" s="8" t="s">
        <v>582</v>
      </c>
      <c r="G122" s="8" t="s">
        <v>582</v>
      </c>
      <c r="H122" s="8">
        <v>2</v>
      </c>
      <c r="I122" s="8" t="s">
        <v>582</v>
      </c>
      <c r="J122" s="8" t="s">
        <v>582</v>
      </c>
      <c r="K122" s="8" t="s">
        <v>582</v>
      </c>
      <c r="L122" s="8">
        <v>20</v>
      </c>
      <c r="M122" s="8">
        <v>15</v>
      </c>
      <c r="N122" s="8">
        <v>6.3</v>
      </c>
      <c r="O122" s="8">
        <v>6.9</v>
      </c>
      <c r="P122" s="8"/>
    </row>
    <row r="123" spans="1:16">
      <c r="A123" s="8" t="s">
        <v>5</v>
      </c>
      <c r="B123" s="8" t="s">
        <v>621</v>
      </c>
      <c r="C123" s="8"/>
      <c r="D123" s="8" t="s">
        <v>582</v>
      </c>
      <c r="E123" s="8">
        <v>3</v>
      </c>
      <c r="F123" s="8">
        <v>1</v>
      </c>
      <c r="G123" s="8" t="s">
        <v>582</v>
      </c>
      <c r="H123" s="8">
        <v>4</v>
      </c>
      <c r="I123" s="8">
        <v>1</v>
      </c>
      <c r="J123" s="8">
        <v>1</v>
      </c>
      <c r="K123" s="8" t="s">
        <v>582</v>
      </c>
      <c r="L123" s="8">
        <v>25</v>
      </c>
      <c r="M123" s="8">
        <v>13</v>
      </c>
      <c r="N123" s="8">
        <v>5.7</v>
      </c>
      <c r="O123" s="8">
        <v>6.1</v>
      </c>
      <c r="P123" s="8"/>
    </row>
    <row r="124" spans="1:16">
      <c r="A124" s="8" t="s">
        <v>5</v>
      </c>
      <c r="B124" s="8" t="s">
        <v>148</v>
      </c>
      <c r="C124" s="8" t="s">
        <v>607</v>
      </c>
      <c r="D124" s="8" t="s">
        <v>582</v>
      </c>
      <c r="E124" s="8">
        <v>3</v>
      </c>
      <c r="F124" s="8">
        <v>1</v>
      </c>
      <c r="G124" s="8" t="s">
        <v>582</v>
      </c>
      <c r="H124" s="8">
        <v>2</v>
      </c>
      <c r="I124" s="8" t="s">
        <v>582</v>
      </c>
      <c r="J124" s="8" t="s">
        <v>582</v>
      </c>
      <c r="K124" s="8" t="s">
        <v>582</v>
      </c>
      <c r="L124" s="8">
        <v>26</v>
      </c>
      <c r="M124" s="8">
        <v>11</v>
      </c>
      <c r="N124" s="8">
        <v>5.8</v>
      </c>
      <c r="O124" s="8">
        <v>6.2</v>
      </c>
      <c r="P124" s="8"/>
    </row>
    <row r="125" spans="1:16">
      <c r="A125" s="8" t="s">
        <v>5</v>
      </c>
      <c r="B125" s="8" t="s">
        <v>244</v>
      </c>
      <c r="C125" s="8" t="s">
        <v>584</v>
      </c>
      <c r="D125" s="8" t="s">
        <v>582</v>
      </c>
      <c r="E125" s="8">
        <v>8</v>
      </c>
      <c r="F125" s="8">
        <v>1</v>
      </c>
      <c r="G125" s="8" t="s">
        <v>582</v>
      </c>
      <c r="H125" s="8" t="s">
        <v>582</v>
      </c>
      <c r="I125" s="8">
        <v>1</v>
      </c>
      <c r="J125" s="8">
        <v>1</v>
      </c>
      <c r="K125" s="8" t="s">
        <v>582</v>
      </c>
      <c r="L125" s="8">
        <v>33</v>
      </c>
      <c r="M125" s="8">
        <v>25</v>
      </c>
      <c r="N125" s="8">
        <v>6</v>
      </c>
      <c r="O125" s="8">
        <v>6.6</v>
      </c>
      <c r="P125" s="8"/>
    </row>
    <row r="126" spans="1:16">
      <c r="A126" s="8" t="s">
        <v>5</v>
      </c>
      <c r="B126" s="8" t="s">
        <v>622</v>
      </c>
      <c r="C126" s="8"/>
      <c r="D126" s="8" t="s">
        <v>582</v>
      </c>
      <c r="E126" s="8">
        <v>3</v>
      </c>
      <c r="F126" s="8">
        <v>3</v>
      </c>
      <c r="G126" s="8" t="s">
        <v>582</v>
      </c>
      <c r="H126" s="8">
        <v>2</v>
      </c>
      <c r="I126" s="8">
        <v>2</v>
      </c>
      <c r="J126" s="8" t="s">
        <v>582</v>
      </c>
      <c r="K126" s="8" t="s">
        <v>582</v>
      </c>
      <c r="L126" s="8">
        <v>30</v>
      </c>
      <c r="M126" s="8">
        <v>16</v>
      </c>
      <c r="N126" s="8">
        <v>5.7</v>
      </c>
      <c r="O126" s="8">
        <v>6.1</v>
      </c>
      <c r="P126" s="8"/>
    </row>
    <row r="127" spans="1:16">
      <c r="A127" s="8" t="s">
        <v>63</v>
      </c>
      <c r="B127" s="8" t="s">
        <v>79</v>
      </c>
      <c r="C127" s="8" t="s">
        <v>583</v>
      </c>
      <c r="D127" s="8">
        <v>35</v>
      </c>
      <c r="E127" s="8" t="s">
        <v>582</v>
      </c>
      <c r="F127" s="8">
        <v>1</v>
      </c>
      <c r="G127" s="8" t="s">
        <v>582</v>
      </c>
      <c r="H127" s="8" t="s">
        <v>582</v>
      </c>
      <c r="I127" s="8" t="s">
        <v>582</v>
      </c>
      <c r="J127" s="8" t="s">
        <v>582</v>
      </c>
      <c r="K127" s="8" t="s">
        <v>582</v>
      </c>
      <c r="L127" s="8">
        <v>38</v>
      </c>
      <c r="M127" s="8">
        <v>36</v>
      </c>
      <c r="N127" s="8">
        <v>6.3</v>
      </c>
      <c r="O127" s="8">
        <v>5.3</v>
      </c>
      <c r="P127" s="8"/>
    </row>
    <row r="128" spans="1:16">
      <c r="A128" s="8" t="s">
        <v>63</v>
      </c>
      <c r="B128" s="8" t="s">
        <v>525</v>
      </c>
      <c r="C128" s="8" t="s">
        <v>583</v>
      </c>
      <c r="D128" s="8">
        <v>15</v>
      </c>
      <c r="E128" s="8" t="s">
        <v>582</v>
      </c>
      <c r="F128" s="8">
        <v>1</v>
      </c>
      <c r="G128" s="8" t="s">
        <v>582</v>
      </c>
      <c r="H128" s="8" t="s">
        <v>582</v>
      </c>
      <c r="I128" s="8" t="s">
        <v>582</v>
      </c>
      <c r="J128" s="8" t="s">
        <v>582</v>
      </c>
      <c r="K128" s="8">
        <v>1</v>
      </c>
      <c r="L128" s="8">
        <v>7</v>
      </c>
      <c r="M128" s="8">
        <v>7</v>
      </c>
      <c r="N128" s="8">
        <v>5.9</v>
      </c>
      <c r="O128" s="8">
        <v>4.0999999999999996</v>
      </c>
      <c r="P128" s="8"/>
    </row>
    <row r="129" spans="1:16">
      <c r="A129" s="8" t="s">
        <v>63</v>
      </c>
      <c r="B129" s="8" t="s">
        <v>623</v>
      </c>
      <c r="C129" s="8"/>
      <c r="D129" s="8" t="s">
        <v>582</v>
      </c>
      <c r="E129" s="8" t="s">
        <v>582</v>
      </c>
      <c r="F129" s="8" t="s">
        <v>582</v>
      </c>
      <c r="G129" s="8" t="s">
        <v>582</v>
      </c>
      <c r="H129" s="8" t="s">
        <v>582</v>
      </c>
      <c r="I129" s="8" t="s">
        <v>582</v>
      </c>
      <c r="J129" s="8" t="s">
        <v>582</v>
      </c>
      <c r="K129" s="8" t="s">
        <v>582</v>
      </c>
      <c r="L129" s="8" t="s">
        <v>582</v>
      </c>
      <c r="M129" s="8" t="s">
        <v>582</v>
      </c>
      <c r="N129" s="8" t="s">
        <v>582</v>
      </c>
      <c r="O129" s="8" t="s">
        <v>582</v>
      </c>
      <c r="P129" s="8"/>
    </row>
    <row r="130" spans="1:16">
      <c r="A130" s="8" t="s">
        <v>41</v>
      </c>
      <c r="B130" s="8" t="s">
        <v>624</v>
      </c>
      <c r="C130" s="8"/>
      <c r="D130" s="8" t="s">
        <v>582</v>
      </c>
      <c r="E130" s="8" t="s">
        <v>582</v>
      </c>
      <c r="F130" s="8">
        <v>3</v>
      </c>
      <c r="G130" s="8">
        <v>1</v>
      </c>
      <c r="H130" s="8">
        <v>1</v>
      </c>
      <c r="I130" s="8" t="s">
        <v>582</v>
      </c>
      <c r="J130" s="8" t="s">
        <v>582</v>
      </c>
      <c r="K130" s="8" t="s">
        <v>582</v>
      </c>
      <c r="L130" s="8">
        <v>33</v>
      </c>
      <c r="M130" s="8">
        <v>28</v>
      </c>
      <c r="N130" s="8">
        <v>5.6</v>
      </c>
      <c r="O130" s="8">
        <v>5.6</v>
      </c>
      <c r="P130" s="8"/>
    </row>
    <row r="131" spans="1:16">
      <c r="A131" s="8" t="s">
        <v>41</v>
      </c>
      <c r="B131" s="8" t="s">
        <v>625</v>
      </c>
      <c r="C131" s="8"/>
      <c r="D131" s="8" t="s">
        <v>582</v>
      </c>
      <c r="E131" s="8">
        <v>4</v>
      </c>
      <c r="F131" s="8">
        <v>4</v>
      </c>
      <c r="G131" s="8">
        <v>1</v>
      </c>
      <c r="H131" s="8">
        <v>3</v>
      </c>
      <c r="I131" s="8" t="s">
        <v>582</v>
      </c>
      <c r="J131" s="8">
        <v>1</v>
      </c>
      <c r="K131" s="8" t="s">
        <v>582</v>
      </c>
      <c r="L131" s="8">
        <v>33</v>
      </c>
      <c r="M131" s="8">
        <v>29</v>
      </c>
      <c r="N131" s="8">
        <v>5.6</v>
      </c>
      <c r="O131" s="8">
        <v>5.9</v>
      </c>
      <c r="P131" s="8"/>
    </row>
    <row r="132" spans="1:16">
      <c r="A132" s="8" t="s">
        <v>41</v>
      </c>
      <c r="B132" s="8" t="s">
        <v>626</v>
      </c>
      <c r="C132" s="8"/>
      <c r="D132" s="8" t="s">
        <v>582</v>
      </c>
      <c r="E132" s="8">
        <v>2</v>
      </c>
      <c r="F132" s="8">
        <v>10</v>
      </c>
      <c r="G132" s="8" t="s">
        <v>582</v>
      </c>
      <c r="H132" s="8" t="s">
        <v>582</v>
      </c>
      <c r="I132" s="8" t="s">
        <v>582</v>
      </c>
      <c r="J132" s="8" t="s">
        <v>582</v>
      </c>
      <c r="K132" s="8" t="s">
        <v>582</v>
      </c>
      <c r="L132" s="8">
        <v>33</v>
      </c>
      <c r="M132" s="8">
        <v>31</v>
      </c>
      <c r="N132" s="8">
        <v>5.9</v>
      </c>
      <c r="O132" s="8">
        <v>5.9</v>
      </c>
      <c r="P132" s="8"/>
    </row>
    <row r="133" spans="1:16">
      <c r="A133" s="8" t="s">
        <v>41</v>
      </c>
      <c r="B133" s="8" t="s">
        <v>231</v>
      </c>
      <c r="C133" s="8" t="s">
        <v>589</v>
      </c>
      <c r="D133" s="8" t="s">
        <v>582</v>
      </c>
      <c r="E133" s="8" t="s">
        <v>582</v>
      </c>
      <c r="F133" s="8">
        <v>7</v>
      </c>
      <c r="G133" s="8" t="s">
        <v>582</v>
      </c>
      <c r="H133" s="8">
        <v>2</v>
      </c>
      <c r="I133" s="8" t="s">
        <v>582</v>
      </c>
      <c r="J133" s="8" t="s">
        <v>582</v>
      </c>
      <c r="K133" s="8" t="s">
        <v>582</v>
      </c>
      <c r="L133" s="8">
        <v>23</v>
      </c>
      <c r="M133" s="8">
        <v>23</v>
      </c>
      <c r="N133" s="8">
        <v>6.2</v>
      </c>
      <c r="O133" s="8">
        <v>6.1</v>
      </c>
      <c r="P133" s="8"/>
    </row>
    <row r="134" spans="1:16">
      <c r="A134" s="8" t="s">
        <v>41</v>
      </c>
      <c r="B134" s="8" t="s">
        <v>62</v>
      </c>
      <c r="C134" s="8" t="s">
        <v>596</v>
      </c>
      <c r="D134" s="8" t="s">
        <v>582</v>
      </c>
      <c r="E134" s="8">
        <v>6</v>
      </c>
      <c r="F134" s="8">
        <v>3</v>
      </c>
      <c r="G134" s="8" t="s">
        <v>582</v>
      </c>
      <c r="H134" s="8">
        <v>2</v>
      </c>
      <c r="I134" s="8" t="s">
        <v>582</v>
      </c>
      <c r="J134" s="8" t="s">
        <v>582</v>
      </c>
      <c r="K134" s="8" t="s">
        <v>582</v>
      </c>
      <c r="L134" s="8">
        <v>35</v>
      </c>
      <c r="M134" s="8">
        <v>31</v>
      </c>
      <c r="N134" s="8">
        <v>6</v>
      </c>
      <c r="O134" s="8">
        <v>6.5</v>
      </c>
      <c r="P134" s="8"/>
    </row>
    <row r="135" spans="1:16">
      <c r="A135" s="8" t="s">
        <v>41</v>
      </c>
      <c r="B135" s="8" t="s">
        <v>627</v>
      </c>
      <c r="C135" s="8"/>
      <c r="D135" s="8" t="s">
        <v>582</v>
      </c>
      <c r="E135" s="8" t="s">
        <v>582</v>
      </c>
      <c r="F135" s="8">
        <v>8</v>
      </c>
      <c r="G135" s="8">
        <v>1</v>
      </c>
      <c r="H135" s="8">
        <v>1</v>
      </c>
      <c r="I135" s="8" t="s">
        <v>582</v>
      </c>
      <c r="J135" s="8" t="s">
        <v>582</v>
      </c>
      <c r="K135" s="8" t="s">
        <v>582</v>
      </c>
      <c r="L135" s="8">
        <v>32</v>
      </c>
      <c r="M135" s="8" t="s">
        <v>582</v>
      </c>
      <c r="N135" s="8">
        <v>5.8</v>
      </c>
      <c r="O135" s="8">
        <v>5.7</v>
      </c>
      <c r="P135" s="8"/>
    </row>
    <row r="136" spans="1:16">
      <c r="A136" s="8" t="s">
        <v>41</v>
      </c>
      <c r="B136" s="8" t="s">
        <v>315</v>
      </c>
      <c r="C136" s="8" t="s">
        <v>615</v>
      </c>
      <c r="D136" s="8" t="s">
        <v>582</v>
      </c>
      <c r="E136" s="8" t="s">
        <v>582</v>
      </c>
      <c r="F136" s="8">
        <v>3</v>
      </c>
      <c r="G136" s="8">
        <v>1</v>
      </c>
      <c r="H136" s="8">
        <v>2</v>
      </c>
      <c r="I136" s="8" t="s">
        <v>582</v>
      </c>
      <c r="J136" s="8" t="s">
        <v>582</v>
      </c>
      <c r="K136" s="8" t="s">
        <v>582</v>
      </c>
      <c r="L136" s="8">
        <v>31</v>
      </c>
      <c r="M136" s="8">
        <v>29</v>
      </c>
      <c r="N136" s="8">
        <v>5.8</v>
      </c>
      <c r="O136" s="8">
        <v>5.7</v>
      </c>
      <c r="P136" s="8"/>
    </row>
    <row r="137" spans="1:16">
      <c r="A137" s="8" t="s">
        <v>41</v>
      </c>
      <c r="B137" s="8" t="s">
        <v>628</v>
      </c>
      <c r="C137" s="8"/>
      <c r="D137" s="8" t="s">
        <v>582</v>
      </c>
      <c r="E137" s="8" t="s">
        <v>582</v>
      </c>
      <c r="F137" s="8">
        <v>3</v>
      </c>
      <c r="G137" s="8" t="s">
        <v>582</v>
      </c>
      <c r="H137" s="8">
        <v>1</v>
      </c>
      <c r="I137" s="8" t="s">
        <v>582</v>
      </c>
      <c r="J137" s="8" t="s">
        <v>582</v>
      </c>
      <c r="K137" s="8" t="s">
        <v>582</v>
      </c>
      <c r="L137" s="8">
        <v>8</v>
      </c>
      <c r="M137" s="8">
        <v>1</v>
      </c>
      <c r="N137" s="8">
        <v>5.8</v>
      </c>
      <c r="O137" s="8">
        <v>5.8</v>
      </c>
      <c r="P137" s="8"/>
    </row>
    <row r="138" spans="1:16">
      <c r="A138" s="8" t="s">
        <v>12</v>
      </c>
      <c r="B138" s="8" t="s">
        <v>18</v>
      </c>
      <c r="C138" s="8" t="s">
        <v>612</v>
      </c>
      <c r="D138" s="8" t="s">
        <v>582</v>
      </c>
      <c r="E138" s="8">
        <v>11</v>
      </c>
      <c r="F138" s="8">
        <v>1</v>
      </c>
      <c r="G138" s="8" t="s">
        <v>582</v>
      </c>
      <c r="H138" s="8">
        <v>9</v>
      </c>
      <c r="I138" s="8">
        <v>3</v>
      </c>
      <c r="J138" s="8">
        <v>1</v>
      </c>
      <c r="K138" s="8" t="s">
        <v>582</v>
      </c>
      <c r="L138" s="8">
        <v>34</v>
      </c>
      <c r="M138" s="8">
        <v>27</v>
      </c>
      <c r="N138" s="8">
        <v>6.2</v>
      </c>
      <c r="O138" s="8">
        <v>7.3</v>
      </c>
      <c r="P138" s="8"/>
    </row>
    <row r="139" spans="1:16">
      <c r="A139" s="8" t="s">
        <v>12</v>
      </c>
      <c r="B139" s="8" t="s">
        <v>629</v>
      </c>
      <c r="C139" s="8"/>
      <c r="D139" s="8" t="s">
        <v>582</v>
      </c>
      <c r="E139" s="8">
        <v>3</v>
      </c>
      <c r="F139" s="8">
        <v>3</v>
      </c>
      <c r="G139" s="8" t="s">
        <v>582</v>
      </c>
      <c r="H139" s="8">
        <v>3</v>
      </c>
      <c r="I139" s="8" t="s">
        <v>582</v>
      </c>
      <c r="J139" s="8" t="s">
        <v>582</v>
      </c>
      <c r="K139" s="8" t="s">
        <v>582</v>
      </c>
      <c r="L139" s="8">
        <v>36</v>
      </c>
      <c r="M139" s="8">
        <v>28</v>
      </c>
      <c r="N139" s="8">
        <v>5.9</v>
      </c>
      <c r="O139" s="8">
        <v>6.2</v>
      </c>
      <c r="P139" s="8"/>
    </row>
    <row r="140" spans="1:16">
      <c r="A140" s="8" t="s">
        <v>12</v>
      </c>
      <c r="B140" s="8" t="s">
        <v>630</v>
      </c>
      <c r="C140" s="8"/>
      <c r="D140" s="8" t="s">
        <v>582</v>
      </c>
      <c r="E140" s="8">
        <v>1</v>
      </c>
      <c r="F140" s="8">
        <v>1</v>
      </c>
      <c r="G140" s="8" t="s">
        <v>582</v>
      </c>
      <c r="H140" s="8">
        <v>1</v>
      </c>
      <c r="I140" s="8" t="s">
        <v>582</v>
      </c>
      <c r="J140" s="8" t="s">
        <v>582</v>
      </c>
      <c r="K140" s="8" t="s">
        <v>582</v>
      </c>
      <c r="L140" s="8">
        <v>19</v>
      </c>
      <c r="M140" s="8" t="s">
        <v>582</v>
      </c>
      <c r="N140" s="8">
        <v>6.3</v>
      </c>
      <c r="O140" s="8">
        <v>6.5</v>
      </c>
      <c r="P140" s="8"/>
    </row>
    <row r="141" spans="1:16">
      <c r="A141" s="8" t="s">
        <v>12</v>
      </c>
      <c r="B141" s="8" t="s">
        <v>218</v>
      </c>
      <c r="C141" s="8" t="s">
        <v>615</v>
      </c>
      <c r="D141" s="8" t="s">
        <v>582</v>
      </c>
      <c r="E141" s="8" t="s">
        <v>582</v>
      </c>
      <c r="F141" s="8" t="s">
        <v>582</v>
      </c>
      <c r="G141" s="8" t="s">
        <v>582</v>
      </c>
      <c r="H141" s="8">
        <v>4</v>
      </c>
      <c r="I141" s="8" t="s">
        <v>582</v>
      </c>
      <c r="J141" s="8" t="s">
        <v>582</v>
      </c>
      <c r="K141" s="8" t="s">
        <v>582</v>
      </c>
      <c r="L141" s="8">
        <v>21</v>
      </c>
      <c r="M141" s="8">
        <v>12</v>
      </c>
      <c r="N141" s="8">
        <v>6</v>
      </c>
      <c r="O141" s="8">
        <v>6.1</v>
      </c>
      <c r="P141" s="8"/>
    </row>
    <row r="142" spans="1:16">
      <c r="A142" s="8" t="s">
        <v>12</v>
      </c>
      <c r="B142" s="8" t="s">
        <v>224</v>
      </c>
      <c r="C142" s="8" t="s">
        <v>583</v>
      </c>
      <c r="D142" s="8" t="s">
        <v>582</v>
      </c>
      <c r="E142" s="8">
        <v>1</v>
      </c>
      <c r="F142" s="8">
        <v>2</v>
      </c>
      <c r="G142" s="8" t="s">
        <v>582</v>
      </c>
      <c r="H142" s="8">
        <v>1</v>
      </c>
      <c r="I142" s="8" t="s">
        <v>582</v>
      </c>
      <c r="J142" s="8" t="s">
        <v>582</v>
      </c>
      <c r="K142" s="8" t="s">
        <v>582</v>
      </c>
      <c r="L142" s="8">
        <v>23</v>
      </c>
      <c r="M142" s="8">
        <v>5</v>
      </c>
      <c r="N142" s="8">
        <v>5.9</v>
      </c>
      <c r="O142" s="8">
        <v>6</v>
      </c>
      <c r="P142" s="8"/>
    </row>
    <row r="143" spans="1:16">
      <c r="A143" s="8" t="s">
        <v>12</v>
      </c>
      <c r="B143" s="8" t="s">
        <v>390</v>
      </c>
      <c r="C143" s="8" t="s">
        <v>607</v>
      </c>
      <c r="D143" s="8" t="s">
        <v>582</v>
      </c>
      <c r="E143" s="8">
        <v>2</v>
      </c>
      <c r="F143" s="8">
        <v>3</v>
      </c>
      <c r="G143" s="8" t="s">
        <v>582</v>
      </c>
      <c r="H143" s="8" t="s">
        <v>582</v>
      </c>
      <c r="I143" s="8">
        <v>1</v>
      </c>
      <c r="J143" s="8" t="s">
        <v>582</v>
      </c>
      <c r="K143" s="8" t="s">
        <v>582</v>
      </c>
      <c r="L143" s="8">
        <v>16</v>
      </c>
      <c r="M143" s="8">
        <v>8</v>
      </c>
      <c r="N143" s="8">
        <v>5.6</v>
      </c>
      <c r="O143" s="8">
        <v>5.9</v>
      </c>
      <c r="P143" s="8"/>
    </row>
    <row r="144" spans="1:16">
      <c r="A144" s="8" t="s">
        <v>12</v>
      </c>
      <c r="B144" s="8" t="s">
        <v>480</v>
      </c>
      <c r="C144" s="8" t="s">
        <v>610</v>
      </c>
      <c r="D144" s="8" t="s">
        <v>582</v>
      </c>
      <c r="E144" s="8" t="s">
        <v>582</v>
      </c>
      <c r="F144" s="8" t="s">
        <v>582</v>
      </c>
      <c r="G144" s="8">
        <v>1</v>
      </c>
      <c r="H144" s="8" t="s">
        <v>582</v>
      </c>
      <c r="I144" s="8" t="s">
        <v>582</v>
      </c>
      <c r="J144" s="8" t="s">
        <v>582</v>
      </c>
      <c r="K144" s="8" t="s">
        <v>582</v>
      </c>
      <c r="L144" s="8">
        <v>1</v>
      </c>
      <c r="M144" s="8" t="s">
        <v>582</v>
      </c>
      <c r="N144" s="8">
        <v>4.5</v>
      </c>
      <c r="O144" s="8">
        <v>3.5</v>
      </c>
      <c r="P144" s="8"/>
    </row>
    <row r="145" spans="1:16">
      <c r="A145" s="8" t="s">
        <v>12</v>
      </c>
      <c r="B145" s="8" t="s">
        <v>631</v>
      </c>
      <c r="C145" s="8"/>
      <c r="D145" s="8" t="s">
        <v>582</v>
      </c>
      <c r="E145" s="8">
        <v>2</v>
      </c>
      <c r="F145" s="8">
        <v>6</v>
      </c>
      <c r="G145" s="8">
        <v>1</v>
      </c>
      <c r="H145" s="8">
        <v>2</v>
      </c>
      <c r="I145" s="8" t="s">
        <v>582</v>
      </c>
      <c r="J145" s="8" t="s">
        <v>582</v>
      </c>
      <c r="K145" s="8" t="s">
        <v>582</v>
      </c>
      <c r="L145" s="8">
        <v>20</v>
      </c>
      <c r="M145" s="8">
        <v>5</v>
      </c>
      <c r="N145" s="8">
        <v>5.8</v>
      </c>
      <c r="O145" s="8">
        <v>6</v>
      </c>
      <c r="P145" s="8"/>
    </row>
    <row r="146" spans="1:16">
      <c r="A146" s="8" t="s">
        <v>5</v>
      </c>
      <c r="B146" s="8" t="s">
        <v>15</v>
      </c>
      <c r="C146" s="8" t="s">
        <v>589</v>
      </c>
      <c r="D146" s="8" t="s">
        <v>582</v>
      </c>
      <c r="E146" s="8">
        <v>15</v>
      </c>
      <c r="F146" s="8">
        <v>4</v>
      </c>
      <c r="G146" s="8" t="s">
        <v>582</v>
      </c>
      <c r="H146" s="8">
        <v>5</v>
      </c>
      <c r="I146" s="8">
        <v>1</v>
      </c>
      <c r="J146" s="8" t="s">
        <v>582</v>
      </c>
      <c r="K146" s="8" t="s">
        <v>582</v>
      </c>
      <c r="L146" s="8">
        <v>31</v>
      </c>
      <c r="M146" s="8">
        <v>28</v>
      </c>
      <c r="N146" s="8">
        <v>6.4</v>
      </c>
      <c r="O146" s="8">
        <v>7.9</v>
      </c>
      <c r="P146" s="8"/>
    </row>
    <row r="147" spans="1:16">
      <c r="A147" s="8" t="s">
        <v>5</v>
      </c>
      <c r="B147" s="8" t="s">
        <v>632</v>
      </c>
      <c r="C147" s="8"/>
      <c r="D147" s="8" t="s">
        <v>582</v>
      </c>
      <c r="E147" s="8">
        <v>25</v>
      </c>
      <c r="F147" s="8">
        <v>2</v>
      </c>
      <c r="G147" s="8" t="s">
        <v>582</v>
      </c>
      <c r="H147" s="8">
        <v>8</v>
      </c>
      <c r="I147" s="8">
        <v>4</v>
      </c>
      <c r="J147" s="8">
        <v>1</v>
      </c>
      <c r="K147" s="8" t="s">
        <v>582</v>
      </c>
      <c r="L147" s="8">
        <v>36</v>
      </c>
      <c r="M147" s="8">
        <v>30</v>
      </c>
      <c r="N147" s="8">
        <v>6.4</v>
      </c>
      <c r="O147" s="8">
        <v>8.6</v>
      </c>
      <c r="P147" s="8"/>
    </row>
    <row r="148" spans="1:16">
      <c r="A148" s="8" t="s">
        <v>5</v>
      </c>
      <c r="B148" s="8" t="s">
        <v>121</v>
      </c>
      <c r="C148" s="8" t="s">
        <v>615</v>
      </c>
      <c r="D148" s="8" t="s">
        <v>582</v>
      </c>
      <c r="E148" s="8" t="s">
        <v>582</v>
      </c>
      <c r="F148" s="8" t="s">
        <v>582</v>
      </c>
      <c r="G148" s="8" t="s">
        <v>582</v>
      </c>
      <c r="H148" s="8" t="s">
        <v>582</v>
      </c>
      <c r="I148" s="8" t="s">
        <v>582</v>
      </c>
      <c r="J148" s="8" t="s">
        <v>582</v>
      </c>
      <c r="K148" s="8" t="s">
        <v>582</v>
      </c>
      <c r="L148" s="8">
        <v>6</v>
      </c>
      <c r="M148" s="8">
        <v>1</v>
      </c>
      <c r="N148" s="8">
        <v>6</v>
      </c>
      <c r="O148" s="8">
        <v>6</v>
      </c>
      <c r="P148" s="8"/>
    </row>
    <row r="149" spans="1:16">
      <c r="A149" s="8" t="s">
        <v>5</v>
      </c>
      <c r="B149" s="8" t="s">
        <v>27</v>
      </c>
      <c r="C149" s="8" t="s">
        <v>612</v>
      </c>
      <c r="D149" s="8" t="s">
        <v>582</v>
      </c>
      <c r="E149" s="8">
        <v>5</v>
      </c>
      <c r="F149" s="8">
        <v>3</v>
      </c>
      <c r="G149" s="8">
        <v>1</v>
      </c>
      <c r="H149" s="8">
        <v>2</v>
      </c>
      <c r="I149" s="8" t="s">
        <v>582</v>
      </c>
      <c r="J149" s="8">
        <v>1</v>
      </c>
      <c r="K149" s="8" t="s">
        <v>582</v>
      </c>
      <c r="L149" s="8">
        <v>13</v>
      </c>
      <c r="M149" s="8">
        <v>6</v>
      </c>
      <c r="N149" s="8">
        <v>5.7</v>
      </c>
      <c r="O149" s="8">
        <v>6.6</v>
      </c>
      <c r="P149" s="8"/>
    </row>
    <row r="150" spans="1:16">
      <c r="A150" s="8" t="s">
        <v>5</v>
      </c>
      <c r="B150" s="8" t="s">
        <v>633</v>
      </c>
      <c r="C150" s="8"/>
      <c r="D150" s="8" t="s">
        <v>582</v>
      </c>
      <c r="E150" s="8" t="s">
        <v>582</v>
      </c>
      <c r="F150" s="8" t="s">
        <v>582</v>
      </c>
      <c r="G150" s="8" t="s">
        <v>582</v>
      </c>
      <c r="H150" s="8" t="s">
        <v>582</v>
      </c>
      <c r="I150" s="8" t="s">
        <v>582</v>
      </c>
      <c r="J150" s="8" t="s">
        <v>582</v>
      </c>
      <c r="K150" s="8" t="s">
        <v>582</v>
      </c>
      <c r="L150" s="8">
        <v>2</v>
      </c>
      <c r="M150" s="8" t="s">
        <v>582</v>
      </c>
      <c r="N150" s="8">
        <v>6</v>
      </c>
      <c r="O150" s="8">
        <v>6</v>
      </c>
      <c r="P150" s="8"/>
    </row>
    <row r="151" spans="1:16">
      <c r="A151" s="8" t="s">
        <v>5</v>
      </c>
      <c r="B151" s="8" t="s">
        <v>634</v>
      </c>
      <c r="C151" s="8"/>
      <c r="D151" s="8" t="s">
        <v>582</v>
      </c>
      <c r="E151" s="8" t="s">
        <v>582</v>
      </c>
      <c r="F151" s="8" t="s">
        <v>582</v>
      </c>
      <c r="G151" s="8" t="s">
        <v>582</v>
      </c>
      <c r="H151" s="8" t="s">
        <v>582</v>
      </c>
      <c r="I151" s="8" t="s">
        <v>582</v>
      </c>
      <c r="J151" s="8" t="s">
        <v>582</v>
      </c>
      <c r="K151" s="8" t="s">
        <v>582</v>
      </c>
      <c r="L151" s="8">
        <v>7</v>
      </c>
      <c r="M151" s="8">
        <v>5</v>
      </c>
      <c r="N151" s="8">
        <v>5.2</v>
      </c>
      <c r="O151" s="8">
        <v>5.2</v>
      </c>
      <c r="P151" s="8"/>
    </row>
    <row r="152" spans="1:16">
      <c r="A152" s="8" t="s">
        <v>63</v>
      </c>
      <c r="B152" s="8" t="s">
        <v>492</v>
      </c>
      <c r="C152" s="8" t="s">
        <v>597</v>
      </c>
      <c r="D152" s="8">
        <v>1</v>
      </c>
      <c r="E152" s="8" t="s">
        <v>582</v>
      </c>
      <c r="F152" s="8" t="s">
        <v>582</v>
      </c>
      <c r="G152" s="8" t="s">
        <v>582</v>
      </c>
      <c r="H152" s="8" t="s">
        <v>582</v>
      </c>
      <c r="I152" s="8" t="s">
        <v>582</v>
      </c>
      <c r="J152" s="8" t="s">
        <v>582</v>
      </c>
      <c r="K152" s="8" t="s">
        <v>582</v>
      </c>
      <c r="L152" s="8">
        <v>1</v>
      </c>
      <c r="M152" s="8" t="s">
        <v>582</v>
      </c>
      <c r="N152" s="8">
        <v>6.5</v>
      </c>
      <c r="O152" s="8">
        <v>5.5</v>
      </c>
      <c r="P152" s="8"/>
    </row>
    <row r="153" spans="1:16">
      <c r="A153" s="8" t="s">
        <v>63</v>
      </c>
      <c r="B153" s="8" t="s">
        <v>205</v>
      </c>
      <c r="C153" s="8" t="s">
        <v>597</v>
      </c>
      <c r="D153" s="8">
        <v>31</v>
      </c>
      <c r="E153" s="8" t="s">
        <v>582</v>
      </c>
      <c r="F153" s="8">
        <v>1</v>
      </c>
      <c r="G153" s="8" t="s">
        <v>582</v>
      </c>
      <c r="H153" s="8" t="s">
        <v>582</v>
      </c>
      <c r="I153" s="8" t="s">
        <v>582</v>
      </c>
      <c r="J153" s="8" t="s">
        <v>582</v>
      </c>
      <c r="K153" s="8">
        <v>1</v>
      </c>
      <c r="L153" s="8">
        <v>29</v>
      </c>
      <c r="M153" s="8">
        <v>28</v>
      </c>
      <c r="N153" s="8">
        <v>6.1</v>
      </c>
      <c r="O153" s="8">
        <v>5.0999999999999996</v>
      </c>
      <c r="P153" s="8"/>
    </row>
    <row r="154" spans="1:16">
      <c r="A154" s="8" t="s">
        <v>63</v>
      </c>
      <c r="B154" s="8" t="s">
        <v>491</v>
      </c>
      <c r="C154" s="8" t="s">
        <v>597</v>
      </c>
      <c r="D154" s="8">
        <v>2</v>
      </c>
      <c r="E154" s="8" t="s">
        <v>582</v>
      </c>
      <c r="F154" s="8" t="s">
        <v>582</v>
      </c>
      <c r="G154" s="8" t="s">
        <v>582</v>
      </c>
      <c r="H154" s="8" t="s">
        <v>582</v>
      </c>
      <c r="I154" s="8" t="s">
        <v>582</v>
      </c>
      <c r="J154" s="8" t="s">
        <v>582</v>
      </c>
      <c r="K154" s="8" t="s">
        <v>582</v>
      </c>
      <c r="L154" s="8">
        <v>2</v>
      </c>
      <c r="M154" s="8">
        <v>1</v>
      </c>
      <c r="N154" s="8">
        <v>6.2</v>
      </c>
      <c r="O154" s="8">
        <v>5.2</v>
      </c>
      <c r="P154" s="8"/>
    </row>
    <row r="155" spans="1:16">
      <c r="A155" s="8" t="s">
        <v>41</v>
      </c>
      <c r="B155" s="8" t="s">
        <v>65</v>
      </c>
      <c r="C155" s="8" t="s">
        <v>584</v>
      </c>
      <c r="D155" s="8" t="s">
        <v>582</v>
      </c>
      <c r="E155" s="8">
        <v>1</v>
      </c>
      <c r="F155" s="8">
        <v>4</v>
      </c>
      <c r="G155" s="8">
        <v>1</v>
      </c>
      <c r="H155" s="8">
        <v>5</v>
      </c>
      <c r="I155" s="8" t="s">
        <v>582</v>
      </c>
      <c r="J155" s="8" t="s">
        <v>582</v>
      </c>
      <c r="K155" s="8" t="s">
        <v>582</v>
      </c>
      <c r="L155" s="8">
        <v>33</v>
      </c>
      <c r="M155" s="8">
        <v>29</v>
      </c>
      <c r="N155" s="8">
        <v>6.1</v>
      </c>
      <c r="O155" s="8">
        <v>6.3</v>
      </c>
      <c r="P155" s="8"/>
    </row>
    <row r="156" spans="1:16">
      <c r="A156" s="8" t="s">
        <v>41</v>
      </c>
      <c r="B156" s="8" t="s">
        <v>219</v>
      </c>
      <c r="C156" s="8" t="s">
        <v>612</v>
      </c>
      <c r="D156" s="8" t="s">
        <v>582</v>
      </c>
      <c r="E156" s="8" t="s">
        <v>582</v>
      </c>
      <c r="F156" s="8">
        <v>2</v>
      </c>
      <c r="G156" s="8">
        <v>1</v>
      </c>
      <c r="H156" s="8">
        <v>1</v>
      </c>
      <c r="I156" s="8" t="s">
        <v>582</v>
      </c>
      <c r="J156" s="8" t="s">
        <v>582</v>
      </c>
      <c r="K156" s="8" t="s">
        <v>582</v>
      </c>
      <c r="L156" s="8">
        <v>19</v>
      </c>
      <c r="M156" s="8">
        <v>16</v>
      </c>
      <c r="N156" s="8">
        <v>5.6</v>
      </c>
      <c r="O156" s="8">
        <v>5.6</v>
      </c>
      <c r="P156" s="8"/>
    </row>
    <row r="157" spans="1:16">
      <c r="A157" s="8" t="s">
        <v>41</v>
      </c>
      <c r="B157" s="8" t="s">
        <v>418</v>
      </c>
      <c r="C157" s="8" t="s">
        <v>592</v>
      </c>
      <c r="D157" s="8" t="s">
        <v>582</v>
      </c>
      <c r="E157" s="8">
        <v>1</v>
      </c>
      <c r="F157" s="8">
        <v>3</v>
      </c>
      <c r="G157" s="8" t="s">
        <v>582</v>
      </c>
      <c r="H157" s="8" t="s">
        <v>582</v>
      </c>
      <c r="I157" s="8" t="s">
        <v>582</v>
      </c>
      <c r="J157" s="8" t="s">
        <v>582</v>
      </c>
      <c r="K157" s="8" t="s">
        <v>582</v>
      </c>
      <c r="L157" s="8">
        <v>30</v>
      </c>
      <c r="M157" s="8">
        <v>19</v>
      </c>
      <c r="N157" s="8">
        <v>6</v>
      </c>
      <c r="O157" s="8">
        <v>6</v>
      </c>
      <c r="P157" s="8"/>
    </row>
    <row r="158" spans="1:16">
      <c r="A158" s="8" t="s">
        <v>41</v>
      </c>
      <c r="B158" s="8" t="s">
        <v>140</v>
      </c>
      <c r="C158" s="8" t="s">
        <v>592</v>
      </c>
      <c r="D158" s="8" t="s">
        <v>582</v>
      </c>
      <c r="E158" s="8">
        <v>1</v>
      </c>
      <c r="F158" s="8">
        <v>2</v>
      </c>
      <c r="G158" s="8" t="s">
        <v>582</v>
      </c>
      <c r="H158" s="8">
        <v>2</v>
      </c>
      <c r="I158" s="8" t="s">
        <v>582</v>
      </c>
      <c r="J158" s="8" t="s">
        <v>582</v>
      </c>
      <c r="K158" s="8" t="s">
        <v>582</v>
      </c>
      <c r="L158" s="8">
        <v>38</v>
      </c>
      <c r="M158" s="8">
        <v>36</v>
      </c>
      <c r="N158" s="8">
        <v>6.2</v>
      </c>
      <c r="O158" s="8">
        <v>6.3</v>
      </c>
      <c r="P158" s="8"/>
    </row>
    <row r="159" spans="1:16">
      <c r="A159" s="8" t="s">
        <v>41</v>
      </c>
      <c r="B159" s="8" t="s">
        <v>431</v>
      </c>
      <c r="C159" s="8" t="s">
        <v>600</v>
      </c>
      <c r="D159" s="8" t="s">
        <v>582</v>
      </c>
      <c r="E159" s="8">
        <v>1</v>
      </c>
      <c r="F159" s="8">
        <v>5</v>
      </c>
      <c r="G159" s="8" t="s">
        <v>582</v>
      </c>
      <c r="H159" s="8">
        <v>2</v>
      </c>
      <c r="I159" s="8" t="s">
        <v>582</v>
      </c>
      <c r="J159" s="8" t="s">
        <v>582</v>
      </c>
      <c r="K159" s="8" t="s">
        <v>582</v>
      </c>
      <c r="L159" s="8">
        <v>25</v>
      </c>
      <c r="M159" s="8">
        <v>18</v>
      </c>
      <c r="N159" s="8">
        <v>6</v>
      </c>
      <c r="O159" s="8">
        <v>6.1</v>
      </c>
      <c r="P159" s="8"/>
    </row>
    <row r="160" spans="1:16">
      <c r="A160" s="8" t="s">
        <v>41</v>
      </c>
      <c r="B160" s="8" t="s">
        <v>332</v>
      </c>
      <c r="C160" s="8" t="s">
        <v>611</v>
      </c>
      <c r="D160" s="8" t="s">
        <v>582</v>
      </c>
      <c r="E160" s="8" t="s">
        <v>582</v>
      </c>
      <c r="F160" s="8">
        <v>5</v>
      </c>
      <c r="G160" s="8" t="s">
        <v>582</v>
      </c>
      <c r="H160" s="8">
        <v>1</v>
      </c>
      <c r="I160" s="8" t="s">
        <v>582</v>
      </c>
      <c r="J160" s="8" t="s">
        <v>582</v>
      </c>
      <c r="K160" s="8" t="s">
        <v>582</v>
      </c>
      <c r="L160" s="8">
        <v>32</v>
      </c>
      <c r="M160" s="8">
        <v>28</v>
      </c>
      <c r="N160" s="8">
        <v>5.7</v>
      </c>
      <c r="O160" s="8">
        <v>5.7</v>
      </c>
      <c r="P160" s="8"/>
    </row>
    <row r="161" spans="1:16">
      <c r="A161" s="8" t="s">
        <v>41</v>
      </c>
      <c r="B161" s="8" t="s">
        <v>371</v>
      </c>
      <c r="C161" s="8" t="s">
        <v>583</v>
      </c>
      <c r="D161" s="8" t="s">
        <v>582</v>
      </c>
      <c r="E161" s="8" t="s">
        <v>582</v>
      </c>
      <c r="F161" s="8" t="s">
        <v>582</v>
      </c>
      <c r="G161" s="8" t="s">
        <v>582</v>
      </c>
      <c r="H161" s="8">
        <v>1</v>
      </c>
      <c r="I161" s="8" t="s">
        <v>582</v>
      </c>
      <c r="J161" s="8" t="s">
        <v>582</v>
      </c>
      <c r="K161" s="8" t="s">
        <v>582</v>
      </c>
      <c r="L161" s="8">
        <v>2</v>
      </c>
      <c r="M161" s="8">
        <v>2</v>
      </c>
      <c r="N161" s="8">
        <v>6</v>
      </c>
      <c r="O161" s="8">
        <v>6.5</v>
      </c>
      <c r="P161" s="8"/>
    </row>
    <row r="162" spans="1:16">
      <c r="A162" s="8" t="s">
        <v>41</v>
      </c>
      <c r="B162" s="8" t="s">
        <v>635</v>
      </c>
      <c r="C162" s="8"/>
      <c r="D162" s="8" t="s">
        <v>582</v>
      </c>
      <c r="E162" s="8" t="s">
        <v>582</v>
      </c>
      <c r="F162" s="8">
        <v>3</v>
      </c>
      <c r="G162" s="8" t="s">
        <v>582</v>
      </c>
      <c r="H162" s="8" t="s">
        <v>582</v>
      </c>
      <c r="I162" s="8" t="s">
        <v>582</v>
      </c>
      <c r="J162" s="8" t="s">
        <v>582</v>
      </c>
      <c r="K162" s="8" t="s">
        <v>582</v>
      </c>
      <c r="L162" s="8">
        <v>20</v>
      </c>
      <c r="M162" s="8">
        <v>17</v>
      </c>
      <c r="N162" s="8">
        <v>6</v>
      </c>
      <c r="O162" s="8">
        <v>5.9</v>
      </c>
      <c r="P162" s="8"/>
    </row>
    <row r="163" spans="1:16">
      <c r="A163" s="8" t="s">
        <v>12</v>
      </c>
      <c r="B163" s="8" t="s">
        <v>173</v>
      </c>
      <c r="C163" s="8" t="s">
        <v>597</v>
      </c>
      <c r="D163" s="8" t="s">
        <v>582</v>
      </c>
      <c r="E163" s="8">
        <v>2</v>
      </c>
      <c r="F163" s="8">
        <v>5</v>
      </c>
      <c r="G163" s="8" t="s">
        <v>582</v>
      </c>
      <c r="H163" s="8" t="s">
        <v>582</v>
      </c>
      <c r="I163" s="8" t="s">
        <v>582</v>
      </c>
      <c r="J163" s="8" t="s">
        <v>582</v>
      </c>
      <c r="K163" s="8" t="s">
        <v>582</v>
      </c>
      <c r="L163" s="8">
        <v>35</v>
      </c>
      <c r="M163" s="8">
        <v>34</v>
      </c>
      <c r="N163" s="8">
        <v>6</v>
      </c>
      <c r="O163" s="8">
        <v>6.1</v>
      </c>
      <c r="P163" s="8"/>
    </row>
    <row r="164" spans="1:16">
      <c r="A164" s="8" t="s">
        <v>12</v>
      </c>
      <c r="B164" s="8" t="s">
        <v>88</v>
      </c>
      <c r="C164" s="8" t="s">
        <v>584</v>
      </c>
      <c r="D164" s="8" t="s">
        <v>582</v>
      </c>
      <c r="E164" s="8">
        <v>3</v>
      </c>
      <c r="F164" s="8">
        <v>4</v>
      </c>
      <c r="G164" s="8" t="s">
        <v>582</v>
      </c>
      <c r="H164" s="8">
        <v>6</v>
      </c>
      <c r="I164" s="8" t="s">
        <v>582</v>
      </c>
      <c r="J164" s="8" t="s">
        <v>582</v>
      </c>
      <c r="K164" s="8" t="s">
        <v>582</v>
      </c>
      <c r="L164" s="8">
        <v>33</v>
      </c>
      <c r="M164" s="8">
        <v>27</v>
      </c>
      <c r="N164" s="8">
        <v>6.3</v>
      </c>
      <c r="O164" s="8">
        <v>6.7</v>
      </c>
      <c r="P164" s="8"/>
    </row>
    <row r="165" spans="1:16">
      <c r="A165" s="8" t="s">
        <v>12</v>
      </c>
      <c r="B165" s="8" t="s">
        <v>22</v>
      </c>
      <c r="C165" s="8" t="s">
        <v>586</v>
      </c>
      <c r="D165" s="8" t="s">
        <v>582</v>
      </c>
      <c r="E165" s="8">
        <v>8</v>
      </c>
      <c r="F165" s="8">
        <v>10</v>
      </c>
      <c r="G165" s="8" t="s">
        <v>582</v>
      </c>
      <c r="H165" s="8">
        <v>6</v>
      </c>
      <c r="I165" s="8">
        <v>2</v>
      </c>
      <c r="J165" s="8" t="s">
        <v>582</v>
      </c>
      <c r="K165" s="8" t="s">
        <v>582</v>
      </c>
      <c r="L165" s="8">
        <v>34</v>
      </c>
      <c r="M165" s="8">
        <v>32</v>
      </c>
      <c r="N165" s="8">
        <v>6.2</v>
      </c>
      <c r="O165" s="8">
        <v>6.9</v>
      </c>
      <c r="P165" s="8"/>
    </row>
    <row r="166" spans="1:16">
      <c r="A166" s="8" t="s">
        <v>12</v>
      </c>
      <c r="B166" s="8" t="s">
        <v>107</v>
      </c>
      <c r="C166" s="8" t="s">
        <v>589</v>
      </c>
      <c r="D166" s="8" t="s">
        <v>582</v>
      </c>
      <c r="E166" s="8">
        <v>2</v>
      </c>
      <c r="F166" s="8">
        <v>3</v>
      </c>
      <c r="G166" s="8" t="s">
        <v>582</v>
      </c>
      <c r="H166" s="8">
        <v>1</v>
      </c>
      <c r="I166" s="8" t="s">
        <v>582</v>
      </c>
      <c r="J166" s="8" t="s">
        <v>582</v>
      </c>
      <c r="K166" s="8" t="s">
        <v>582</v>
      </c>
      <c r="L166" s="8">
        <v>28</v>
      </c>
      <c r="M166" s="8">
        <v>6</v>
      </c>
      <c r="N166" s="8">
        <v>5.9</v>
      </c>
      <c r="O166" s="8">
        <v>6.1</v>
      </c>
      <c r="P166" s="8"/>
    </row>
    <row r="167" spans="1:16">
      <c r="A167" s="8" t="s">
        <v>12</v>
      </c>
      <c r="B167" s="8" t="s">
        <v>178</v>
      </c>
      <c r="C167" s="8" t="s">
        <v>584</v>
      </c>
      <c r="D167" s="8" t="s">
        <v>582</v>
      </c>
      <c r="E167" s="8">
        <v>1</v>
      </c>
      <c r="F167" s="8">
        <v>4</v>
      </c>
      <c r="G167" s="8" t="s">
        <v>582</v>
      </c>
      <c r="H167" s="8">
        <v>4</v>
      </c>
      <c r="I167" s="8" t="s">
        <v>582</v>
      </c>
      <c r="J167" s="8" t="s">
        <v>582</v>
      </c>
      <c r="K167" s="8" t="s">
        <v>582</v>
      </c>
      <c r="L167" s="8">
        <v>32</v>
      </c>
      <c r="M167" s="8">
        <v>28</v>
      </c>
      <c r="N167" s="8">
        <v>5.9</v>
      </c>
      <c r="O167" s="8">
        <v>6.1</v>
      </c>
      <c r="P167" s="8"/>
    </row>
    <row r="168" spans="1:16">
      <c r="A168" s="8" t="s">
        <v>12</v>
      </c>
      <c r="B168" s="8" t="s">
        <v>188</v>
      </c>
      <c r="C168" s="8" t="s">
        <v>611</v>
      </c>
      <c r="D168" s="8" t="s">
        <v>582</v>
      </c>
      <c r="E168" s="8">
        <v>2</v>
      </c>
      <c r="F168" s="8">
        <v>5</v>
      </c>
      <c r="G168" s="8" t="s">
        <v>582</v>
      </c>
      <c r="H168" s="8">
        <v>3</v>
      </c>
      <c r="I168" s="8" t="s">
        <v>582</v>
      </c>
      <c r="J168" s="8" t="s">
        <v>582</v>
      </c>
      <c r="K168" s="8" t="s">
        <v>582</v>
      </c>
      <c r="L168" s="8">
        <v>35</v>
      </c>
      <c r="M168" s="8">
        <v>30</v>
      </c>
      <c r="N168" s="8">
        <v>5.9</v>
      </c>
      <c r="O168" s="8">
        <v>6</v>
      </c>
      <c r="P168" s="8"/>
    </row>
    <row r="169" spans="1:16">
      <c r="A169" s="8" t="s">
        <v>12</v>
      </c>
      <c r="B169" s="8" t="s">
        <v>636</v>
      </c>
      <c r="C169" s="8"/>
      <c r="D169" s="8" t="s">
        <v>582</v>
      </c>
      <c r="E169" s="8">
        <v>3</v>
      </c>
      <c r="F169" s="8">
        <v>2</v>
      </c>
      <c r="G169" s="8" t="s">
        <v>582</v>
      </c>
      <c r="H169" s="8">
        <v>1</v>
      </c>
      <c r="I169" s="8" t="s">
        <v>582</v>
      </c>
      <c r="J169" s="8" t="s">
        <v>582</v>
      </c>
      <c r="K169" s="8" t="s">
        <v>582</v>
      </c>
      <c r="L169" s="8">
        <v>26</v>
      </c>
      <c r="M169" s="8">
        <v>17</v>
      </c>
      <c r="N169" s="8">
        <v>5.9</v>
      </c>
      <c r="O169" s="8">
        <v>6.2</v>
      </c>
      <c r="P169" s="8"/>
    </row>
    <row r="170" spans="1:16">
      <c r="A170" s="8" t="s">
        <v>12</v>
      </c>
      <c r="B170" s="8" t="s">
        <v>127</v>
      </c>
      <c r="C170" s="8" t="s">
        <v>600</v>
      </c>
      <c r="D170" s="8" t="s">
        <v>582</v>
      </c>
      <c r="E170" s="8">
        <v>1</v>
      </c>
      <c r="F170" s="8">
        <v>1</v>
      </c>
      <c r="G170" s="8" t="s">
        <v>582</v>
      </c>
      <c r="H170" s="8">
        <v>1</v>
      </c>
      <c r="I170" s="8" t="s">
        <v>582</v>
      </c>
      <c r="J170" s="8" t="s">
        <v>582</v>
      </c>
      <c r="K170" s="8" t="s">
        <v>582</v>
      </c>
      <c r="L170" s="8">
        <v>15</v>
      </c>
      <c r="M170" s="8">
        <v>11</v>
      </c>
      <c r="N170" s="8">
        <v>5.8</v>
      </c>
      <c r="O170" s="8">
        <v>6.1</v>
      </c>
      <c r="P170" s="8"/>
    </row>
    <row r="171" spans="1:16">
      <c r="A171" s="8" t="s">
        <v>5</v>
      </c>
      <c r="B171" s="8" t="s">
        <v>537</v>
      </c>
      <c r="C171" s="8" t="s">
        <v>600</v>
      </c>
      <c r="D171" s="8" t="s">
        <v>582</v>
      </c>
      <c r="E171" s="8">
        <v>1</v>
      </c>
      <c r="F171" s="8">
        <v>1</v>
      </c>
      <c r="G171" s="8" t="s">
        <v>582</v>
      </c>
      <c r="H171" s="8" t="s">
        <v>582</v>
      </c>
      <c r="I171" s="8" t="s">
        <v>582</v>
      </c>
      <c r="J171" s="8" t="s">
        <v>582</v>
      </c>
      <c r="K171" s="8" t="s">
        <v>582</v>
      </c>
      <c r="L171" s="8">
        <v>11</v>
      </c>
      <c r="M171" s="8" t="s">
        <v>582</v>
      </c>
      <c r="N171" s="8">
        <v>6</v>
      </c>
      <c r="O171" s="8">
        <v>6.3</v>
      </c>
      <c r="P171" s="8"/>
    </row>
    <row r="172" spans="1:16">
      <c r="A172" s="8" t="s">
        <v>5</v>
      </c>
      <c r="B172" s="8" t="s">
        <v>70</v>
      </c>
      <c r="C172" s="8" t="s">
        <v>637</v>
      </c>
      <c r="D172" s="8" t="s">
        <v>582</v>
      </c>
      <c r="E172" s="8">
        <v>10</v>
      </c>
      <c r="F172" s="8">
        <v>4</v>
      </c>
      <c r="G172" s="8" t="s">
        <v>582</v>
      </c>
      <c r="H172" s="8">
        <v>1</v>
      </c>
      <c r="I172" s="8" t="s">
        <v>582</v>
      </c>
      <c r="J172" s="8">
        <v>1</v>
      </c>
      <c r="K172" s="8" t="s">
        <v>582</v>
      </c>
      <c r="L172" s="8">
        <v>36</v>
      </c>
      <c r="M172" s="8">
        <v>32</v>
      </c>
      <c r="N172" s="8">
        <v>5.9</v>
      </c>
      <c r="O172" s="8">
        <v>6.6</v>
      </c>
      <c r="P172" s="8"/>
    </row>
    <row r="173" spans="1:16">
      <c r="A173" s="8" t="s">
        <v>5</v>
      </c>
      <c r="B173" s="8" t="s">
        <v>230</v>
      </c>
      <c r="C173" s="8" t="s">
        <v>638</v>
      </c>
      <c r="D173" s="8" t="s">
        <v>582</v>
      </c>
      <c r="E173" s="8">
        <v>4</v>
      </c>
      <c r="F173" s="8">
        <v>1</v>
      </c>
      <c r="G173" s="8" t="s">
        <v>582</v>
      </c>
      <c r="H173" s="8">
        <v>1</v>
      </c>
      <c r="I173" s="8" t="s">
        <v>582</v>
      </c>
      <c r="J173" s="8" t="s">
        <v>582</v>
      </c>
      <c r="K173" s="8" t="s">
        <v>582</v>
      </c>
      <c r="L173" s="8">
        <v>29</v>
      </c>
      <c r="M173" s="8">
        <v>23</v>
      </c>
      <c r="N173" s="8">
        <v>5.6</v>
      </c>
      <c r="O173" s="8">
        <v>6.1</v>
      </c>
      <c r="P173" s="8"/>
    </row>
    <row r="174" spans="1:16">
      <c r="A174" s="8" t="s">
        <v>5</v>
      </c>
      <c r="B174" s="8" t="s">
        <v>118</v>
      </c>
      <c r="C174" s="8" t="s">
        <v>581</v>
      </c>
      <c r="D174" s="8" t="s">
        <v>582</v>
      </c>
      <c r="E174" s="8">
        <v>3</v>
      </c>
      <c r="F174" s="8">
        <v>3</v>
      </c>
      <c r="G174" s="8" t="s">
        <v>582</v>
      </c>
      <c r="H174" s="8">
        <v>2</v>
      </c>
      <c r="I174" s="8" t="s">
        <v>582</v>
      </c>
      <c r="J174" s="8" t="s">
        <v>582</v>
      </c>
      <c r="K174" s="8" t="s">
        <v>582</v>
      </c>
      <c r="L174" s="8">
        <v>25</v>
      </c>
      <c r="M174" s="8">
        <v>21</v>
      </c>
      <c r="N174" s="8">
        <v>5.8</v>
      </c>
      <c r="O174" s="8">
        <v>6.2</v>
      </c>
      <c r="P174" s="8"/>
    </row>
    <row r="175" spans="1:16">
      <c r="A175" s="8" t="s">
        <v>5</v>
      </c>
      <c r="B175" s="8" t="s">
        <v>78</v>
      </c>
      <c r="C175" s="8" t="s">
        <v>592</v>
      </c>
      <c r="D175" s="8" t="s">
        <v>582</v>
      </c>
      <c r="E175" s="8">
        <v>12</v>
      </c>
      <c r="F175" s="8">
        <v>10</v>
      </c>
      <c r="G175" s="8" t="s">
        <v>582</v>
      </c>
      <c r="H175" s="8">
        <v>1</v>
      </c>
      <c r="I175" s="8">
        <v>1</v>
      </c>
      <c r="J175" s="8" t="s">
        <v>582</v>
      </c>
      <c r="K175" s="8" t="s">
        <v>582</v>
      </c>
      <c r="L175" s="8">
        <v>33</v>
      </c>
      <c r="M175" s="8">
        <v>26</v>
      </c>
      <c r="N175" s="8">
        <v>6.1</v>
      </c>
      <c r="O175" s="8">
        <v>7</v>
      </c>
      <c r="P175" s="8"/>
    </row>
    <row r="176" spans="1:16">
      <c r="A176" s="8" t="s">
        <v>5</v>
      </c>
      <c r="B176" s="8" t="s">
        <v>99</v>
      </c>
      <c r="C176" s="8" t="s">
        <v>586</v>
      </c>
      <c r="D176" s="8" t="s">
        <v>582</v>
      </c>
      <c r="E176" s="8">
        <v>10</v>
      </c>
      <c r="F176" s="8">
        <v>2</v>
      </c>
      <c r="G176" s="8" t="s">
        <v>582</v>
      </c>
      <c r="H176" s="8">
        <v>1</v>
      </c>
      <c r="I176" s="8">
        <v>2</v>
      </c>
      <c r="J176" s="8" t="s">
        <v>582</v>
      </c>
      <c r="K176" s="8" t="s">
        <v>582</v>
      </c>
      <c r="L176" s="8">
        <v>28</v>
      </c>
      <c r="M176" s="8">
        <v>6</v>
      </c>
      <c r="N176" s="8">
        <v>6.2</v>
      </c>
      <c r="O176" s="8">
        <v>7.3</v>
      </c>
      <c r="P176" s="8"/>
    </row>
    <row r="177" spans="1:16">
      <c r="A177" s="8" t="s">
        <v>63</v>
      </c>
      <c r="B177" s="8" t="s">
        <v>64</v>
      </c>
      <c r="C177" s="8" t="s">
        <v>584</v>
      </c>
      <c r="D177" s="8">
        <v>32</v>
      </c>
      <c r="E177" s="8" t="s">
        <v>582</v>
      </c>
      <c r="F177" s="8" t="s">
        <v>582</v>
      </c>
      <c r="G177" s="8" t="s">
        <v>582</v>
      </c>
      <c r="H177" s="8" t="s">
        <v>582</v>
      </c>
      <c r="I177" s="8" t="s">
        <v>582</v>
      </c>
      <c r="J177" s="8" t="s">
        <v>582</v>
      </c>
      <c r="K177" s="8">
        <v>1</v>
      </c>
      <c r="L177" s="8">
        <v>33</v>
      </c>
      <c r="M177" s="8">
        <v>30</v>
      </c>
      <c r="N177" s="8">
        <v>6.2</v>
      </c>
      <c r="O177" s="8">
        <v>5.3</v>
      </c>
      <c r="P177" s="8"/>
    </row>
    <row r="178" spans="1:16">
      <c r="A178" s="8" t="s">
        <v>63</v>
      </c>
      <c r="B178" s="8" t="s">
        <v>451</v>
      </c>
      <c r="C178" s="8" t="s">
        <v>584</v>
      </c>
      <c r="D178" s="8">
        <v>3</v>
      </c>
      <c r="E178" s="8" t="s">
        <v>582</v>
      </c>
      <c r="F178" s="8" t="s">
        <v>582</v>
      </c>
      <c r="G178" s="8" t="s">
        <v>582</v>
      </c>
      <c r="H178" s="8" t="s">
        <v>582</v>
      </c>
      <c r="I178" s="8" t="s">
        <v>582</v>
      </c>
      <c r="J178" s="8" t="s">
        <v>582</v>
      </c>
      <c r="K178" s="8" t="s">
        <v>582</v>
      </c>
      <c r="L178" s="8">
        <v>5</v>
      </c>
      <c r="M178" s="8">
        <v>5</v>
      </c>
      <c r="N178" s="8">
        <v>6.3</v>
      </c>
      <c r="O178" s="8">
        <v>5.7</v>
      </c>
      <c r="P178" s="8"/>
    </row>
    <row r="179" spans="1:16">
      <c r="A179" s="8" t="s">
        <v>63</v>
      </c>
      <c r="B179" s="8" t="s">
        <v>494</v>
      </c>
      <c r="C179" s="8" t="s">
        <v>584</v>
      </c>
      <c r="D179" s="8" t="s">
        <v>582</v>
      </c>
      <c r="E179" s="8" t="s">
        <v>582</v>
      </c>
      <c r="F179" s="8" t="s">
        <v>582</v>
      </c>
      <c r="G179" s="8" t="s">
        <v>582</v>
      </c>
      <c r="H179" s="8" t="s">
        <v>582</v>
      </c>
      <c r="I179" s="8" t="s">
        <v>582</v>
      </c>
      <c r="J179" s="8" t="s">
        <v>582</v>
      </c>
      <c r="K179" s="8" t="s">
        <v>582</v>
      </c>
      <c r="L179" s="8" t="s">
        <v>582</v>
      </c>
      <c r="M179" s="8" t="s">
        <v>582</v>
      </c>
      <c r="N179" s="8" t="s">
        <v>582</v>
      </c>
      <c r="O179" s="8" t="s">
        <v>582</v>
      </c>
      <c r="P179" s="8"/>
    </row>
    <row r="180" spans="1:16">
      <c r="A180" s="8" t="s">
        <v>41</v>
      </c>
      <c r="B180" s="8" t="s">
        <v>639</v>
      </c>
      <c r="C180" s="8"/>
      <c r="D180" s="8" t="s">
        <v>582</v>
      </c>
      <c r="E180" s="8" t="s">
        <v>582</v>
      </c>
      <c r="F180" s="8">
        <v>1</v>
      </c>
      <c r="G180" s="8" t="s">
        <v>582</v>
      </c>
      <c r="H180" s="8" t="s">
        <v>582</v>
      </c>
      <c r="I180" s="8" t="s">
        <v>582</v>
      </c>
      <c r="J180" s="8" t="s">
        <v>582</v>
      </c>
      <c r="K180" s="8" t="s">
        <v>582</v>
      </c>
      <c r="L180" s="8">
        <v>10</v>
      </c>
      <c r="M180" s="8">
        <v>7</v>
      </c>
      <c r="N180" s="8">
        <v>5.9</v>
      </c>
      <c r="O180" s="8">
        <v>5.9</v>
      </c>
      <c r="P180" s="8"/>
    </row>
    <row r="181" spans="1:16">
      <c r="A181" s="8" t="s">
        <v>41</v>
      </c>
      <c r="B181" s="8" t="s">
        <v>53</v>
      </c>
      <c r="C181" s="8" t="s">
        <v>584</v>
      </c>
      <c r="D181" s="8" t="s">
        <v>582</v>
      </c>
      <c r="E181" s="8">
        <v>4</v>
      </c>
      <c r="F181" s="8">
        <v>3</v>
      </c>
      <c r="G181" s="8" t="s">
        <v>582</v>
      </c>
      <c r="H181" s="8">
        <v>7</v>
      </c>
      <c r="I181" s="8" t="s">
        <v>582</v>
      </c>
      <c r="J181" s="8" t="s">
        <v>582</v>
      </c>
      <c r="K181" s="8" t="s">
        <v>582</v>
      </c>
      <c r="L181" s="8">
        <v>32</v>
      </c>
      <c r="M181" s="8">
        <v>26</v>
      </c>
      <c r="N181" s="8">
        <v>6.2</v>
      </c>
      <c r="O181" s="8">
        <v>6.8</v>
      </c>
      <c r="P181" s="8"/>
    </row>
    <row r="182" spans="1:16">
      <c r="A182" s="8" t="s">
        <v>41</v>
      </c>
      <c r="B182" s="8" t="s">
        <v>251</v>
      </c>
      <c r="C182" s="8" t="s">
        <v>592</v>
      </c>
      <c r="D182" s="8" t="s">
        <v>582</v>
      </c>
      <c r="E182" s="8">
        <v>1</v>
      </c>
      <c r="F182" s="8">
        <v>1</v>
      </c>
      <c r="G182" s="8" t="s">
        <v>582</v>
      </c>
      <c r="H182" s="8">
        <v>1</v>
      </c>
      <c r="I182" s="8" t="s">
        <v>582</v>
      </c>
      <c r="J182" s="8" t="s">
        <v>582</v>
      </c>
      <c r="K182" s="8" t="s">
        <v>582</v>
      </c>
      <c r="L182" s="8">
        <v>22</v>
      </c>
      <c r="M182" s="8">
        <v>15</v>
      </c>
      <c r="N182" s="8">
        <v>6</v>
      </c>
      <c r="O182" s="8">
        <v>6.2</v>
      </c>
      <c r="P182" s="8"/>
    </row>
    <row r="183" spans="1:16">
      <c r="A183" s="8" t="s">
        <v>41</v>
      </c>
      <c r="B183" s="8" t="s">
        <v>159</v>
      </c>
      <c r="C183" s="8" t="s">
        <v>603</v>
      </c>
      <c r="D183" s="8" t="s">
        <v>582</v>
      </c>
      <c r="E183" s="8">
        <v>2</v>
      </c>
      <c r="F183" s="8">
        <v>1</v>
      </c>
      <c r="G183" s="8" t="s">
        <v>582</v>
      </c>
      <c r="H183" s="8">
        <v>6</v>
      </c>
      <c r="I183" s="8">
        <v>1</v>
      </c>
      <c r="J183" s="8" t="s">
        <v>582</v>
      </c>
      <c r="K183" s="8" t="s">
        <v>582</v>
      </c>
      <c r="L183" s="8">
        <v>34</v>
      </c>
      <c r="M183" s="8">
        <v>31</v>
      </c>
      <c r="N183" s="8">
        <v>5.9</v>
      </c>
      <c r="O183" s="8">
        <v>6.2</v>
      </c>
      <c r="P183" s="8"/>
    </row>
    <row r="184" spans="1:16">
      <c r="A184" s="8" t="s">
        <v>41</v>
      </c>
      <c r="B184" s="8" t="s">
        <v>206</v>
      </c>
      <c r="C184" s="8" t="s">
        <v>597</v>
      </c>
      <c r="D184" s="8" t="s">
        <v>582</v>
      </c>
      <c r="E184" s="8">
        <v>3</v>
      </c>
      <c r="F184" s="8">
        <v>6</v>
      </c>
      <c r="G184" s="8" t="s">
        <v>582</v>
      </c>
      <c r="H184" s="8" t="s">
        <v>582</v>
      </c>
      <c r="I184" s="8" t="s">
        <v>582</v>
      </c>
      <c r="J184" s="8" t="s">
        <v>582</v>
      </c>
      <c r="K184" s="8" t="s">
        <v>582</v>
      </c>
      <c r="L184" s="8">
        <v>25</v>
      </c>
      <c r="M184" s="8">
        <v>22</v>
      </c>
      <c r="N184" s="8">
        <v>5.8</v>
      </c>
      <c r="O184" s="8">
        <v>6</v>
      </c>
      <c r="P184" s="8"/>
    </row>
    <row r="185" spans="1:16">
      <c r="A185" s="8" t="s">
        <v>41</v>
      </c>
      <c r="B185" s="8" t="s">
        <v>145</v>
      </c>
      <c r="C185" s="8" t="s">
        <v>611</v>
      </c>
      <c r="D185" s="8" t="s">
        <v>582</v>
      </c>
      <c r="E185" s="8">
        <v>1</v>
      </c>
      <c r="F185" s="8">
        <v>1</v>
      </c>
      <c r="G185" s="8">
        <v>1</v>
      </c>
      <c r="H185" s="8">
        <v>2</v>
      </c>
      <c r="I185" s="8" t="s">
        <v>582</v>
      </c>
      <c r="J185" s="8" t="s">
        <v>582</v>
      </c>
      <c r="K185" s="8" t="s">
        <v>582</v>
      </c>
      <c r="L185" s="8">
        <v>19</v>
      </c>
      <c r="M185" s="8">
        <v>17</v>
      </c>
      <c r="N185" s="8">
        <v>6.1</v>
      </c>
      <c r="O185" s="8">
        <v>6.3</v>
      </c>
      <c r="P185" s="8"/>
    </row>
    <row r="186" spans="1:16">
      <c r="A186" s="8" t="s">
        <v>41</v>
      </c>
      <c r="B186" s="8" t="s">
        <v>404</v>
      </c>
      <c r="C186" s="8" t="s">
        <v>581</v>
      </c>
      <c r="D186" s="8" t="s">
        <v>582</v>
      </c>
      <c r="E186" s="8">
        <v>2</v>
      </c>
      <c r="F186" s="8">
        <v>5</v>
      </c>
      <c r="G186" s="8" t="s">
        <v>582</v>
      </c>
      <c r="H186" s="8">
        <v>1</v>
      </c>
      <c r="I186" s="8" t="s">
        <v>582</v>
      </c>
      <c r="J186" s="8" t="s">
        <v>582</v>
      </c>
      <c r="K186" s="8" t="s">
        <v>582</v>
      </c>
      <c r="L186" s="8">
        <v>27</v>
      </c>
      <c r="M186" s="8">
        <v>18</v>
      </c>
      <c r="N186" s="8">
        <v>5.9</v>
      </c>
      <c r="O186" s="8">
        <v>6.1</v>
      </c>
      <c r="P186" s="8"/>
    </row>
    <row r="187" spans="1:16">
      <c r="A187" s="8" t="s">
        <v>41</v>
      </c>
      <c r="B187" s="8" t="s">
        <v>180</v>
      </c>
      <c r="C187" s="8" t="s">
        <v>586</v>
      </c>
      <c r="D187" s="8" t="s">
        <v>582</v>
      </c>
      <c r="E187" s="8">
        <v>1</v>
      </c>
      <c r="F187" s="8">
        <v>8</v>
      </c>
      <c r="G187" s="8" t="s">
        <v>582</v>
      </c>
      <c r="H187" s="8" t="s">
        <v>582</v>
      </c>
      <c r="I187" s="8" t="s">
        <v>582</v>
      </c>
      <c r="J187" s="8" t="s">
        <v>582</v>
      </c>
      <c r="K187" s="8" t="s">
        <v>582</v>
      </c>
      <c r="L187" s="8">
        <v>32</v>
      </c>
      <c r="M187" s="8">
        <v>29</v>
      </c>
      <c r="N187" s="8">
        <v>6.1</v>
      </c>
      <c r="O187" s="8">
        <v>6</v>
      </c>
      <c r="P187" s="8"/>
    </row>
    <row r="188" spans="1:16">
      <c r="A188" s="8" t="s">
        <v>12</v>
      </c>
      <c r="B188" s="8" t="s">
        <v>220</v>
      </c>
      <c r="C188" s="8" t="s">
        <v>612</v>
      </c>
      <c r="D188" s="8" t="s">
        <v>582</v>
      </c>
      <c r="E188" s="8" t="s">
        <v>582</v>
      </c>
      <c r="F188" s="8">
        <v>3</v>
      </c>
      <c r="G188" s="8" t="s">
        <v>582</v>
      </c>
      <c r="H188" s="8" t="s">
        <v>582</v>
      </c>
      <c r="I188" s="8" t="s">
        <v>582</v>
      </c>
      <c r="J188" s="8" t="s">
        <v>582</v>
      </c>
      <c r="K188" s="8" t="s">
        <v>582</v>
      </c>
      <c r="L188" s="8">
        <v>18</v>
      </c>
      <c r="M188" s="8">
        <v>8</v>
      </c>
      <c r="N188" s="8">
        <v>5.7</v>
      </c>
      <c r="O188" s="8">
        <v>5.6</v>
      </c>
      <c r="P188" s="8"/>
    </row>
    <row r="189" spans="1:16">
      <c r="A189" s="8" t="s">
        <v>12</v>
      </c>
      <c r="B189" s="8" t="s">
        <v>101</v>
      </c>
      <c r="C189" s="8" t="s">
        <v>592</v>
      </c>
      <c r="D189" s="8" t="s">
        <v>582</v>
      </c>
      <c r="E189" s="8">
        <v>2</v>
      </c>
      <c r="F189" s="8">
        <v>2</v>
      </c>
      <c r="G189" s="8" t="s">
        <v>582</v>
      </c>
      <c r="H189" s="8">
        <v>4</v>
      </c>
      <c r="I189" s="8" t="s">
        <v>582</v>
      </c>
      <c r="J189" s="8" t="s">
        <v>582</v>
      </c>
      <c r="K189" s="8" t="s">
        <v>582</v>
      </c>
      <c r="L189" s="8">
        <v>28</v>
      </c>
      <c r="M189" s="8">
        <v>13</v>
      </c>
      <c r="N189" s="8">
        <v>6.2</v>
      </c>
      <c r="O189" s="8">
        <v>6.5</v>
      </c>
      <c r="P189" s="8"/>
    </row>
    <row r="190" spans="1:16">
      <c r="A190" s="8" t="s">
        <v>12</v>
      </c>
      <c r="B190" s="8" t="s">
        <v>455</v>
      </c>
      <c r="C190" s="8" t="s">
        <v>603</v>
      </c>
      <c r="D190" s="8" t="s">
        <v>582</v>
      </c>
      <c r="E190" s="8" t="s">
        <v>582</v>
      </c>
      <c r="F190" s="8">
        <v>2</v>
      </c>
      <c r="G190" s="8" t="s">
        <v>582</v>
      </c>
      <c r="H190" s="8" t="s">
        <v>582</v>
      </c>
      <c r="I190" s="8" t="s">
        <v>582</v>
      </c>
      <c r="J190" s="8" t="s">
        <v>582</v>
      </c>
      <c r="K190" s="8" t="s">
        <v>582</v>
      </c>
      <c r="L190" s="8">
        <v>12</v>
      </c>
      <c r="M190" s="8">
        <v>8</v>
      </c>
      <c r="N190" s="8">
        <v>5.9</v>
      </c>
      <c r="O190" s="8">
        <v>5.8</v>
      </c>
      <c r="P190" s="8"/>
    </row>
    <row r="191" spans="1:16">
      <c r="A191" s="8" t="s">
        <v>12</v>
      </c>
      <c r="B191" s="8" t="s">
        <v>142</v>
      </c>
      <c r="C191" s="8" t="s">
        <v>603</v>
      </c>
      <c r="D191" s="8" t="s">
        <v>582</v>
      </c>
      <c r="E191" s="8">
        <v>4</v>
      </c>
      <c r="F191" s="8" t="s">
        <v>582</v>
      </c>
      <c r="G191" s="8" t="s">
        <v>582</v>
      </c>
      <c r="H191" s="8">
        <v>4</v>
      </c>
      <c r="I191" s="8" t="s">
        <v>582</v>
      </c>
      <c r="J191" s="8" t="s">
        <v>582</v>
      </c>
      <c r="K191" s="8" t="s">
        <v>582</v>
      </c>
      <c r="L191" s="8">
        <v>32</v>
      </c>
      <c r="M191" s="8">
        <v>23</v>
      </c>
      <c r="N191" s="8">
        <v>5.7</v>
      </c>
      <c r="O191" s="8">
        <v>6.2</v>
      </c>
      <c r="P191" s="8"/>
    </row>
    <row r="192" spans="1:16">
      <c r="A192" s="8" t="s">
        <v>12</v>
      </c>
      <c r="B192" s="8" t="s">
        <v>57</v>
      </c>
      <c r="C192" s="8" t="s">
        <v>581</v>
      </c>
      <c r="D192" s="8" t="s">
        <v>582</v>
      </c>
      <c r="E192" s="8">
        <v>3</v>
      </c>
      <c r="F192" s="8">
        <v>3</v>
      </c>
      <c r="G192" s="8">
        <v>1</v>
      </c>
      <c r="H192" s="8">
        <v>3</v>
      </c>
      <c r="I192" s="8" t="s">
        <v>582</v>
      </c>
      <c r="J192" s="8" t="s">
        <v>582</v>
      </c>
      <c r="K192" s="8" t="s">
        <v>582</v>
      </c>
      <c r="L192" s="8">
        <v>26</v>
      </c>
      <c r="M192" s="8">
        <v>11</v>
      </c>
      <c r="N192" s="8">
        <v>6.2</v>
      </c>
      <c r="O192" s="8">
        <v>6.5</v>
      </c>
      <c r="P192" s="8"/>
    </row>
    <row r="193" spans="1:16">
      <c r="A193" s="8" t="s">
        <v>12</v>
      </c>
      <c r="B193" s="8" t="s">
        <v>640</v>
      </c>
      <c r="C193" s="8" t="s">
        <v>589</v>
      </c>
      <c r="D193" s="8" t="s">
        <v>582</v>
      </c>
      <c r="E193" s="8">
        <v>4</v>
      </c>
      <c r="F193" s="8">
        <v>3</v>
      </c>
      <c r="G193" s="8">
        <v>1</v>
      </c>
      <c r="H193" s="8">
        <v>1</v>
      </c>
      <c r="I193" s="8" t="s">
        <v>582</v>
      </c>
      <c r="J193" s="8" t="s">
        <v>582</v>
      </c>
      <c r="K193" s="8" t="s">
        <v>582</v>
      </c>
      <c r="L193" s="8">
        <v>36</v>
      </c>
      <c r="M193" s="8">
        <v>32</v>
      </c>
      <c r="N193" s="8">
        <v>6.3</v>
      </c>
      <c r="O193" s="8">
        <v>6.5</v>
      </c>
      <c r="P193" s="8"/>
    </row>
    <row r="194" spans="1:16">
      <c r="A194" s="8" t="s">
        <v>12</v>
      </c>
      <c r="B194" s="8" t="s">
        <v>223</v>
      </c>
      <c r="C194" s="8" t="s">
        <v>583</v>
      </c>
      <c r="D194" s="8" t="s">
        <v>582</v>
      </c>
      <c r="E194" s="8">
        <v>3</v>
      </c>
      <c r="F194" s="8">
        <v>2</v>
      </c>
      <c r="G194" s="8" t="s">
        <v>582</v>
      </c>
      <c r="H194" s="8">
        <v>4</v>
      </c>
      <c r="I194" s="8" t="s">
        <v>582</v>
      </c>
      <c r="J194" s="8" t="s">
        <v>582</v>
      </c>
      <c r="K194" s="8" t="s">
        <v>582</v>
      </c>
      <c r="L194" s="8">
        <v>24</v>
      </c>
      <c r="M194" s="8">
        <v>12</v>
      </c>
      <c r="N194" s="8">
        <v>6</v>
      </c>
      <c r="O194" s="8">
        <v>6.5</v>
      </c>
      <c r="P194" s="8"/>
    </row>
    <row r="195" spans="1:16">
      <c r="A195" s="8" t="s">
        <v>12</v>
      </c>
      <c r="B195" s="8" t="s">
        <v>204</v>
      </c>
      <c r="C195" s="8" t="s">
        <v>587</v>
      </c>
      <c r="D195" s="8" t="s">
        <v>582</v>
      </c>
      <c r="E195" s="8">
        <v>1</v>
      </c>
      <c r="F195" s="8">
        <v>4</v>
      </c>
      <c r="G195" s="8" t="s">
        <v>582</v>
      </c>
      <c r="H195" s="8">
        <v>2</v>
      </c>
      <c r="I195" s="8" t="s">
        <v>582</v>
      </c>
      <c r="J195" s="8" t="s">
        <v>582</v>
      </c>
      <c r="K195" s="8" t="s">
        <v>582</v>
      </c>
      <c r="L195" s="8">
        <v>25</v>
      </c>
      <c r="M195" s="8">
        <v>13</v>
      </c>
      <c r="N195" s="8">
        <v>6</v>
      </c>
      <c r="O195" s="8">
        <v>6.1</v>
      </c>
      <c r="P195" s="8"/>
    </row>
    <row r="196" spans="1:16">
      <c r="A196" s="8" t="s">
        <v>5</v>
      </c>
      <c r="B196" s="8" t="s">
        <v>44</v>
      </c>
      <c r="C196" s="8" t="s">
        <v>615</v>
      </c>
      <c r="D196" s="8" t="s">
        <v>582</v>
      </c>
      <c r="E196" s="8">
        <v>11</v>
      </c>
      <c r="F196" s="8">
        <v>5</v>
      </c>
      <c r="G196" s="8" t="s">
        <v>582</v>
      </c>
      <c r="H196" s="8">
        <v>5</v>
      </c>
      <c r="I196" s="8">
        <v>1</v>
      </c>
      <c r="J196" s="8">
        <v>1</v>
      </c>
      <c r="K196" s="8" t="s">
        <v>582</v>
      </c>
      <c r="L196" s="8">
        <v>37</v>
      </c>
      <c r="M196" s="8">
        <v>35</v>
      </c>
      <c r="N196" s="8">
        <v>6</v>
      </c>
      <c r="O196" s="8">
        <v>6.9</v>
      </c>
      <c r="P196" s="8"/>
    </row>
    <row r="197" spans="1:16">
      <c r="A197" s="8" t="s">
        <v>5</v>
      </c>
      <c r="B197" s="8" t="s">
        <v>36</v>
      </c>
      <c r="C197" s="8" t="s">
        <v>583</v>
      </c>
      <c r="D197" s="8" t="s">
        <v>582</v>
      </c>
      <c r="E197" s="8">
        <v>12</v>
      </c>
      <c r="F197" s="8" t="s">
        <v>582</v>
      </c>
      <c r="G197" s="8" t="s">
        <v>582</v>
      </c>
      <c r="H197" s="8">
        <v>2</v>
      </c>
      <c r="I197" s="8">
        <v>2</v>
      </c>
      <c r="J197" s="8" t="s">
        <v>582</v>
      </c>
      <c r="K197" s="8" t="s">
        <v>582</v>
      </c>
      <c r="L197" s="8">
        <v>32</v>
      </c>
      <c r="M197" s="8">
        <v>27</v>
      </c>
      <c r="N197" s="8">
        <v>5.9</v>
      </c>
      <c r="O197" s="8">
        <v>7.1</v>
      </c>
      <c r="P197" s="8"/>
    </row>
    <row r="198" spans="1:16">
      <c r="A198" s="8" t="s">
        <v>5</v>
      </c>
      <c r="B198" s="8" t="s">
        <v>108</v>
      </c>
      <c r="C198" s="8" t="s">
        <v>596</v>
      </c>
      <c r="D198" s="8" t="s">
        <v>582</v>
      </c>
      <c r="E198" s="8">
        <v>2</v>
      </c>
      <c r="F198" s="8">
        <v>2</v>
      </c>
      <c r="G198" s="8" t="s">
        <v>582</v>
      </c>
      <c r="H198" s="8">
        <v>2</v>
      </c>
      <c r="I198" s="8" t="s">
        <v>582</v>
      </c>
      <c r="J198" s="8" t="s">
        <v>582</v>
      </c>
      <c r="K198" s="8" t="s">
        <v>582</v>
      </c>
      <c r="L198" s="8">
        <v>26</v>
      </c>
      <c r="M198" s="8">
        <v>18</v>
      </c>
      <c r="N198" s="8">
        <v>6</v>
      </c>
      <c r="O198" s="8">
        <v>6.3</v>
      </c>
      <c r="P198" s="8"/>
    </row>
    <row r="199" spans="1:16">
      <c r="A199" s="8" t="s">
        <v>5</v>
      </c>
      <c r="B199" s="8" t="s">
        <v>264</v>
      </c>
      <c r="C199" s="8" t="s">
        <v>611</v>
      </c>
      <c r="D199" s="8" t="s">
        <v>582</v>
      </c>
      <c r="E199" s="8" t="s">
        <v>582</v>
      </c>
      <c r="F199" s="8" t="s">
        <v>582</v>
      </c>
      <c r="G199" s="8" t="s">
        <v>582</v>
      </c>
      <c r="H199" s="8" t="s">
        <v>582</v>
      </c>
      <c r="I199" s="8" t="s">
        <v>582</v>
      </c>
      <c r="J199" s="8" t="s">
        <v>582</v>
      </c>
      <c r="K199" s="8" t="s">
        <v>582</v>
      </c>
      <c r="L199" s="8">
        <v>11</v>
      </c>
      <c r="M199" s="8">
        <v>5</v>
      </c>
      <c r="N199" s="8">
        <v>5.7</v>
      </c>
      <c r="O199" s="8">
        <v>5.7</v>
      </c>
      <c r="P199" s="8"/>
    </row>
    <row r="200" spans="1:16">
      <c r="A200" s="8" t="s">
        <v>5</v>
      </c>
      <c r="B200" s="8" t="s">
        <v>183</v>
      </c>
      <c r="C200" s="8" t="s">
        <v>603</v>
      </c>
      <c r="D200" s="8" t="s">
        <v>582</v>
      </c>
      <c r="E200" s="8">
        <v>5</v>
      </c>
      <c r="F200" s="8">
        <v>4</v>
      </c>
      <c r="G200" s="8" t="s">
        <v>582</v>
      </c>
      <c r="H200" s="8">
        <v>1</v>
      </c>
      <c r="I200" s="8" t="s">
        <v>582</v>
      </c>
      <c r="J200" s="8" t="s">
        <v>582</v>
      </c>
      <c r="K200" s="8" t="s">
        <v>582</v>
      </c>
      <c r="L200" s="8">
        <v>23</v>
      </c>
      <c r="M200" s="8">
        <v>16</v>
      </c>
      <c r="N200" s="8">
        <v>5.9</v>
      </c>
      <c r="O200" s="8">
        <v>6.5</v>
      </c>
      <c r="P200" s="8"/>
    </row>
    <row r="201" spans="1:16">
      <c r="A201" s="8" t="s">
        <v>5</v>
      </c>
      <c r="B201" s="8" t="s">
        <v>641</v>
      </c>
      <c r="C201" s="8"/>
      <c r="D201" s="8" t="s">
        <v>582</v>
      </c>
      <c r="E201" s="8" t="s">
        <v>582</v>
      </c>
      <c r="F201" s="8" t="s">
        <v>582</v>
      </c>
      <c r="G201" s="8" t="s">
        <v>582</v>
      </c>
      <c r="H201" s="8" t="s">
        <v>582</v>
      </c>
      <c r="I201" s="8" t="s">
        <v>582</v>
      </c>
      <c r="J201" s="8" t="s">
        <v>582</v>
      </c>
      <c r="K201" s="8" t="s">
        <v>582</v>
      </c>
      <c r="L201" s="8">
        <v>1</v>
      </c>
      <c r="M201" s="8">
        <v>1</v>
      </c>
      <c r="N201" s="8">
        <v>6</v>
      </c>
      <c r="O201" s="8">
        <v>6</v>
      </c>
      <c r="P201" s="8"/>
    </row>
    <row r="202" spans="1:16">
      <c r="A202" s="8" t="s">
        <v>63</v>
      </c>
      <c r="B202" s="8" t="s">
        <v>68</v>
      </c>
      <c r="C202" s="8" t="s">
        <v>612</v>
      </c>
      <c r="D202" s="8">
        <v>41</v>
      </c>
      <c r="E202" s="8" t="s">
        <v>582</v>
      </c>
      <c r="F202" s="8">
        <v>1</v>
      </c>
      <c r="G202" s="8" t="s">
        <v>582</v>
      </c>
      <c r="H202" s="8" t="s">
        <v>582</v>
      </c>
      <c r="I202" s="8" t="s">
        <v>582</v>
      </c>
      <c r="J202" s="8" t="s">
        <v>582</v>
      </c>
      <c r="K202" s="8">
        <v>1</v>
      </c>
      <c r="L202" s="8">
        <v>37</v>
      </c>
      <c r="M202" s="8">
        <v>34</v>
      </c>
      <c r="N202" s="8">
        <v>6.2</v>
      </c>
      <c r="O202" s="8">
        <v>5.0999999999999996</v>
      </c>
      <c r="P202" s="8"/>
    </row>
    <row r="203" spans="1:16">
      <c r="A203" s="8" t="s">
        <v>63</v>
      </c>
      <c r="B203" s="8" t="s">
        <v>149</v>
      </c>
      <c r="C203" s="8" t="s">
        <v>610</v>
      </c>
      <c r="D203" s="8">
        <v>20</v>
      </c>
      <c r="E203" s="8" t="s">
        <v>582</v>
      </c>
      <c r="F203" s="8" t="s">
        <v>582</v>
      </c>
      <c r="G203" s="8" t="s">
        <v>582</v>
      </c>
      <c r="H203" s="8" t="s">
        <v>582</v>
      </c>
      <c r="I203" s="8" t="s">
        <v>582</v>
      </c>
      <c r="J203" s="8" t="s">
        <v>582</v>
      </c>
      <c r="K203" s="8" t="s">
        <v>582</v>
      </c>
      <c r="L203" s="8">
        <v>19</v>
      </c>
      <c r="M203" s="8">
        <v>17</v>
      </c>
      <c r="N203" s="8">
        <v>6</v>
      </c>
      <c r="O203" s="8">
        <v>5</v>
      </c>
      <c r="P203" s="8"/>
    </row>
    <row r="204" spans="1:16">
      <c r="A204" s="8" t="s">
        <v>63</v>
      </c>
      <c r="B204" s="8" t="s">
        <v>469</v>
      </c>
      <c r="C204" s="8" t="s">
        <v>589</v>
      </c>
      <c r="D204" s="8">
        <v>2</v>
      </c>
      <c r="E204" s="8" t="s">
        <v>582</v>
      </c>
      <c r="F204" s="8" t="s">
        <v>582</v>
      </c>
      <c r="G204" s="8" t="s">
        <v>582</v>
      </c>
      <c r="H204" s="8" t="s">
        <v>582</v>
      </c>
      <c r="I204" s="8" t="s">
        <v>582</v>
      </c>
      <c r="J204" s="8" t="s">
        <v>582</v>
      </c>
      <c r="K204" s="8" t="s">
        <v>582</v>
      </c>
      <c r="L204" s="8">
        <v>2</v>
      </c>
      <c r="M204" s="8">
        <v>1</v>
      </c>
      <c r="N204" s="8">
        <v>6</v>
      </c>
      <c r="O204" s="8">
        <v>5</v>
      </c>
      <c r="P204" s="8"/>
    </row>
    <row r="205" spans="1:16">
      <c r="A205" s="8" t="s">
        <v>41</v>
      </c>
      <c r="B205" s="8" t="s">
        <v>100</v>
      </c>
      <c r="C205" s="8" t="s">
        <v>592</v>
      </c>
      <c r="D205" s="8" t="s">
        <v>582</v>
      </c>
      <c r="E205" s="8">
        <v>1</v>
      </c>
      <c r="F205" s="8">
        <v>2</v>
      </c>
      <c r="G205" s="8" t="s">
        <v>582</v>
      </c>
      <c r="H205" s="8" t="s">
        <v>582</v>
      </c>
      <c r="I205" s="8" t="s">
        <v>582</v>
      </c>
      <c r="J205" s="8" t="s">
        <v>582</v>
      </c>
      <c r="K205" s="8" t="s">
        <v>582</v>
      </c>
      <c r="L205" s="8">
        <v>22</v>
      </c>
      <c r="M205" s="8">
        <v>22</v>
      </c>
      <c r="N205" s="8">
        <v>6.4</v>
      </c>
      <c r="O205" s="8">
        <v>6.5</v>
      </c>
      <c r="P205" s="8"/>
    </row>
    <row r="206" spans="1:16">
      <c r="A206" s="8" t="s">
        <v>41</v>
      </c>
      <c r="B206" s="8" t="s">
        <v>158</v>
      </c>
      <c r="C206" s="8" t="s">
        <v>592</v>
      </c>
      <c r="D206" s="8" t="s">
        <v>582</v>
      </c>
      <c r="E206" s="8" t="s">
        <v>582</v>
      </c>
      <c r="F206" s="8">
        <v>4</v>
      </c>
      <c r="G206" s="8" t="s">
        <v>582</v>
      </c>
      <c r="H206" s="8">
        <v>2</v>
      </c>
      <c r="I206" s="8" t="s">
        <v>582</v>
      </c>
      <c r="J206" s="8" t="s">
        <v>582</v>
      </c>
      <c r="K206" s="8" t="s">
        <v>582</v>
      </c>
      <c r="L206" s="8">
        <v>30</v>
      </c>
      <c r="M206" s="8">
        <v>24</v>
      </c>
      <c r="N206" s="8">
        <v>6</v>
      </c>
      <c r="O206" s="8">
        <v>6</v>
      </c>
      <c r="P206" s="8"/>
    </row>
    <row r="207" spans="1:16">
      <c r="A207" s="8" t="s">
        <v>41</v>
      </c>
      <c r="B207" s="8" t="s">
        <v>270</v>
      </c>
      <c r="C207" s="8" t="s">
        <v>610</v>
      </c>
      <c r="D207" s="8" t="s">
        <v>582</v>
      </c>
      <c r="E207" s="8" t="s">
        <v>582</v>
      </c>
      <c r="F207" s="8">
        <v>2</v>
      </c>
      <c r="G207" s="8" t="s">
        <v>582</v>
      </c>
      <c r="H207" s="8" t="s">
        <v>582</v>
      </c>
      <c r="I207" s="8" t="s">
        <v>582</v>
      </c>
      <c r="J207" s="8" t="s">
        <v>582</v>
      </c>
      <c r="K207" s="8" t="s">
        <v>582</v>
      </c>
      <c r="L207" s="8">
        <v>13</v>
      </c>
      <c r="M207" s="8">
        <v>10</v>
      </c>
      <c r="N207" s="8">
        <v>5.9</v>
      </c>
      <c r="O207" s="8">
        <v>5.8</v>
      </c>
      <c r="P207" s="8"/>
    </row>
    <row r="208" spans="1:16">
      <c r="A208" s="8" t="s">
        <v>41</v>
      </c>
      <c r="B208" s="8" t="s">
        <v>267</v>
      </c>
      <c r="C208" s="8" t="s">
        <v>596</v>
      </c>
      <c r="D208" s="8" t="s">
        <v>582</v>
      </c>
      <c r="E208" s="8">
        <v>2</v>
      </c>
      <c r="F208" s="8">
        <v>4</v>
      </c>
      <c r="G208" s="8" t="s">
        <v>582</v>
      </c>
      <c r="H208" s="8" t="s">
        <v>582</v>
      </c>
      <c r="I208" s="8" t="s">
        <v>582</v>
      </c>
      <c r="J208" s="8" t="s">
        <v>582</v>
      </c>
      <c r="K208" s="8" t="s">
        <v>582</v>
      </c>
      <c r="L208" s="8">
        <v>36</v>
      </c>
      <c r="M208" s="8">
        <v>33</v>
      </c>
      <c r="N208" s="8">
        <v>5.8</v>
      </c>
      <c r="O208" s="8">
        <v>6</v>
      </c>
      <c r="P208" s="8"/>
    </row>
    <row r="209" spans="1:16">
      <c r="A209" s="8" t="s">
        <v>41</v>
      </c>
      <c r="B209" s="8" t="s">
        <v>323</v>
      </c>
      <c r="C209" s="8" t="s">
        <v>583</v>
      </c>
      <c r="D209" s="8" t="s">
        <v>582</v>
      </c>
      <c r="E209" s="8" t="s">
        <v>582</v>
      </c>
      <c r="F209" s="8" t="s">
        <v>582</v>
      </c>
      <c r="G209" s="8" t="s">
        <v>582</v>
      </c>
      <c r="H209" s="8">
        <v>1</v>
      </c>
      <c r="I209" s="8" t="s">
        <v>582</v>
      </c>
      <c r="J209" s="8" t="s">
        <v>582</v>
      </c>
      <c r="K209" s="8" t="s">
        <v>582</v>
      </c>
      <c r="L209" s="8">
        <v>9</v>
      </c>
      <c r="M209" s="8">
        <v>5</v>
      </c>
      <c r="N209" s="8">
        <v>5.9</v>
      </c>
      <c r="O209" s="8">
        <v>6</v>
      </c>
      <c r="P209" s="8"/>
    </row>
    <row r="210" spans="1:16">
      <c r="A210" s="8" t="s">
        <v>41</v>
      </c>
      <c r="B210" s="8" t="s">
        <v>167</v>
      </c>
      <c r="C210" s="8" t="s">
        <v>607</v>
      </c>
      <c r="D210" s="8" t="s">
        <v>582</v>
      </c>
      <c r="E210" s="8" t="s">
        <v>582</v>
      </c>
      <c r="F210" s="8">
        <v>4</v>
      </c>
      <c r="G210" s="8">
        <v>1</v>
      </c>
      <c r="H210" s="8">
        <v>6</v>
      </c>
      <c r="I210" s="8" t="s">
        <v>582</v>
      </c>
      <c r="J210" s="8" t="s">
        <v>582</v>
      </c>
      <c r="K210" s="8" t="s">
        <v>582</v>
      </c>
      <c r="L210" s="8">
        <v>28</v>
      </c>
      <c r="M210" s="8">
        <v>23</v>
      </c>
      <c r="N210" s="8">
        <v>6</v>
      </c>
      <c r="O210" s="8">
        <v>6.1</v>
      </c>
      <c r="P210" s="8"/>
    </row>
    <row r="211" spans="1:16">
      <c r="A211" s="8" t="s">
        <v>41</v>
      </c>
      <c r="B211" s="8" t="s">
        <v>152</v>
      </c>
      <c r="C211" s="8" t="s">
        <v>597</v>
      </c>
      <c r="D211" s="8" t="s">
        <v>582</v>
      </c>
      <c r="E211" s="8" t="s">
        <v>582</v>
      </c>
      <c r="F211" s="8">
        <v>5</v>
      </c>
      <c r="G211" s="8" t="s">
        <v>582</v>
      </c>
      <c r="H211" s="8">
        <v>8</v>
      </c>
      <c r="I211" s="8" t="s">
        <v>582</v>
      </c>
      <c r="J211" s="8" t="s">
        <v>582</v>
      </c>
      <c r="K211" s="8" t="s">
        <v>582</v>
      </c>
      <c r="L211" s="8">
        <v>36</v>
      </c>
      <c r="M211" s="8">
        <v>33</v>
      </c>
      <c r="N211" s="8">
        <v>5.9</v>
      </c>
      <c r="O211" s="8">
        <v>6</v>
      </c>
      <c r="P211" s="8"/>
    </row>
    <row r="212" spans="1:16">
      <c r="A212" s="8" t="s">
        <v>41</v>
      </c>
      <c r="B212" s="8" t="s">
        <v>229</v>
      </c>
      <c r="C212" s="8" t="s">
        <v>638</v>
      </c>
      <c r="D212" s="8" t="s">
        <v>582</v>
      </c>
      <c r="E212" s="8">
        <v>2</v>
      </c>
      <c r="F212" s="8">
        <v>7</v>
      </c>
      <c r="G212" s="8">
        <v>1</v>
      </c>
      <c r="H212" s="8">
        <v>3</v>
      </c>
      <c r="I212" s="8" t="s">
        <v>582</v>
      </c>
      <c r="J212" s="8" t="s">
        <v>582</v>
      </c>
      <c r="K212" s="8" t="s">
        <v>582</v>
      </c>
      <c r="L212" s="8">
        <v>36</v>
      </c>
      <c r="M212" s="8">
        <v>34</v>
      </c>
      <c r="N212" s="8">
        <v>5.8</v>
      </c>
      <c r="O212" s="8">
        <v>5.9</v>
      </c>
      <c r="P212" s="8"/>
    </row>
    <row r="213" spans="1:16">
      <c r="A213" s="8" t="s">
        <v>12</v>
      </c>
      <c r="B213" s="8" t="s">
        <v>194</v>
      </c>
      <c r="C213" s="8" t="s">
        <v>589</v>
      </c>
      <c r="D213" s="8" t="s">
        <v>582</v>
      </c>
      <c r="E213" s="8">
        <v>4</v>
      </c>
      <c r="F213" s="8">
        <v>1</v>
      </c>
      <c r="G213" s="8" t="s">
        <v>582</v>
      </c>
      <c r="H213" s="8">
        <v>2</v>
      </c>
      <c r="I213" s="8" t="s">
        <v>582</v>
      </c>
      <c r="J213" s="8" t="s">
        <v>582</v>
      </c>
      <c r="K213" s="8" t="s">
        <v>582</v>
      </c>
      <c r="L213" s="8">
        <v>22</v>
      </c>
      <c r="M213" s="8">
        <v>7</v>
      </c>
      <c r="N213" s="8">
        <v>6.1</v>
      </c>
      <c r="O213" s="8">
        <v>6.7</v>
      </c>
      <c r="P213" s="8"/>
    </row>
    <row r="214" spans="1:16">
      <c r="A214" s="8" t="s">
        <v>12</v>
      </c>
      <c r="B214" s="8" t="s">
        <v>90</v>
      </c>
      <c r="C214" s="8" t="s">
        <v>581</v>
      </c>
      <c r="D214" s="8" t="s">
        <v>582</v>
      </c>
      <c r="E214" s="8">
        <v>3</v>
      </c>
      <c r="F214" s="8">
        <v>3</v>
      </c>
      <c r="G214" s="8" t="s">
        <v>582</v>
      </c>
      <c r="H214" s="8">
        <v>3</v>
      </c>
      <c r="I214" s="8" t="s">
        <v>582</v>
      </c>
      <c r="J214" s="8" t="s">
        <v>582</v>
      </c>
      <c r="K214" s="8" t="s">
        <v>582</v>
      </c>
      <c r="L214" s="8">
        <v>28</v>
      </c>
      <c r="M214" s="8">
        <v>23</v>
      </c>
      <c r="N214" s="8">
        <v>5.8</v>
      </c>
      <c r="O214" s="8">
        <v>6.1</v>
      </c>
      <c r="P214" s="8"/>
    </row>
    <row r="215" spans="1:16">
      <c r="A215" s="8" t="s">
        <v>12</v>
      </c>
      <c r="B215" s="8" t="s">
        <v>147</v>
      </c>
      <c r="C215" s="8" t="s">
        <v>607</v>
      </c>
      <c r="D215" s="8" t="s">
        <v>582</v>
      </c>
      <c r="E215" s="8">
        <v>3</v>
      </c>
      <c r="F215" s="8">
        <v>1</v>
      </c>
      <c r="G215" s="8" t="s">
        <v>582</v>
      </c>
      <c r="H215" s="8" t="s">
        <v>582</v>
      </c>
      <c r="I215" s="8" t="s">
        <v>582</v>
      </c>
      <c r="J215" s="8" t="s">
        <v>582</v>
      </c>
      <c r="K215" s="8" t="s">
        <v>582</v>
      </c>
      <c r="L215" s="8">
        <v>24</v>
      </c>
      <c r="M215" s="8">
        <v>7</v>
      </c>
      <c r="N215" s="8">
        <v>5.9</v>
      </c>
      <c r="O215" s="8">
        <v>6.3</v>
      </c>
      <c r="P215" s="8"/>
    </row>
    <row r="216" spans="1:16">
      <c r="A216" s="8" t="s">
        <v>12</v>
      </c>
      <c r="B216" s="8" t="s">
        <v>354</v>
      </c>
      <c r="C216" s="8" t="s">
        <v>584</v>
      </c>
      <c r="D216" s="8" t="s">
        <v>582</v>
      </c>
      <c r="E216" s="8">
        <v>2</v>
      </c>
      <c r="F216" s="8" t="s">
        <v>582</v>
      </c>
      <c r="G216" s="8" t="s">
        <v>582</v>
      </c>
      <c r="H216" s="8">
        <v>2</v>
      </c>
      <c r="I216" s="8">
        <v>2</v>
      </c>
      <c r="J216" s="8" t="s">
        <v>582</v>
      </c>
      <c r="K216" s="8" t="s">
        <v>582</v>
      </c>
      <c r="L216" s="8">
        <v>23</v>
      </c>
      <c r="M216" s="8">
        <v>8</v>
      </c>
      <c r="N216" s="8">
        <v>5.9</v>
      </c>
      <c r="O216" s="8">
        <v>6.3</v>
      </c>
      <c r="P216" s="8"/>
    </row>
    <row r="217" spans="1:16">
      <c r="A217" s="8" t="s">
        <v>12</v>
      </c>
      <c r="B217" s="8" t="s">
        <v>39</v>
      </c>
      <c r="C217" s="8" t="s">
        <v>610</v>
      </c>
      <c r="D217" s="8" t="s">
        <v>582</v>
      </c>
      <c r="E217" s="8">
        <v>6</v>
      </c>
      <c r="F217" s="8">
        <v>6</v>
      </c>
      <c r="G217" s="8" t="s">
        <v>582</v>
      </c>
      <c r="H217" s="8">
        <v>8</v>
      </c>
      <c r="I217" s="8" t="s">
        <v>582</v>
      </c>
      <c r="J217" s="8">
        <v>1</v>
      </c>
      <c r="K217" s="8" t="s">
        <v>582</v>
      </c>
      <c r="L217" s="8">
        <v>34</v>
      </c>
      <c r="M217" s="8">
        <v>28</v>
      </c>
      <c r="N217" s="8">
        <v>6.4</v>
      </c>
      <c r="O217" s="8">
        <v>7</v>
      </c>
      <c r="P217" s="8"/>
    </row>
    <row r="218" spans="1:16">
      <c r="A218" s="8" t="s">
        <v>12</v>
      </c>
      <c r="B218" s="8" t="s">
        <v>189</v>
      </c>
      <c r="C218" s="8" t="s">
        <v>638</v>
      </c>
      <c r="D218" s="8" t="s">
        <v>582</v>
      </c>
      <c r="E218" s="8" t="s">
        <v>582</v>
      </c>
      <c r="F218" s="8">
        <v>5</v>
      </c>
      <c r="G218" s="8">
        <v>1</v>
      </c>
      <c r="H218" s="8">
        <v>1</v>
      </c>
      <c r="I218" s="8" t="s">
        <v>582</v>
      </c>
      <c r="J218" s="8" t="s">
        <v>582</v>
      </c>
      <c r="K218" s="8" t="s">
        <v>582</v>
      </c>
      <c r="L218" s="8">
        <v>31</v>
      </c>
      <c r="M218" s="8">
        <v>26</v>
      </c>
      <c r="N218" s="8">
        <v>5.7</v>
      </c>
      <c r="O218" s="8">
        <v>5.6</v>
      </c>
      <c r="P218" s="8"/>
    </row>
    <row r="219" spans="1:16">
      <c r="A219" s="8" t="s">
        <v>12</v>
      </c>
      <c r="B219" s="8" t="s">
        <v>122</v>
      </c>
      <c r="C219" s="8" t="s">
        <v>612</v>
      </c>
      <c r="D219" s="8" t="s">
        <v>582</v>
      </c>
      <c r="E219" s="8">
        <v>7</v>
      </c>
      <c r="F219" s="8">
        <v>4</v>
      </c>
      <c r="G219" s="8" t="s">
        <v>582</v>
      </c>
      <c r="H219" s="8">
        <v>3</v>
      </c>
      <c r="I219" s="8" t="s">
        <v>582</v>
      </c>
      <c r="J219" s="8" t="s">
        <v>582</v>
      </c>
      <c r="K219" s="8" t="s">
        <v>582</v>
      </c>
      <c r="L219" s="8">
        <v>22</v>
      </c>
      <c r="M219" s="8">
        <v>16</v>
      </c>
      <c r="N219" s="8">
        <v>6.3</v>
      </c>
      <c r="O219" s="8">
        <v>7.3</v>
      </c>
      <c r="P219" s="8"/>
    </row>
    <row r="220" spans="1:16">
      <c r="A220" s="8" t="s">
        <v>12</v>
      </c>
      <c r="B220" s="8" t="s">
        <v>84</v>
      </c>
      <c r="C220" s="8" t="s">
        <v>610</v>
      </c>
      <c r="D220" s="8" t="s">
        <v>582</v>
      </c>
      <c r="E220" s="8">
        <v>6</v>
      </c>
      <c r="F220" s="8">
        <v>5</v>
      </c>
      <c r="G220" s="8" t="s">
        <v>582</v>
      </c>
      <c r="H220" s="8">
        <v>4</v>
      </c>
      <c r="I220" s="8" t="s">
        <v>582</v>
      </c>
      <c r="J220" s="8" t="s">
        <v>582</v>
      </c>
      <c r="K220" s="8" t="s">
        <v>582</v>
      </c>
      <c r="L220" s="8">
        <v>37</v>
      </c>
      <c r="M220" s="8">
        <v>30</v>
      </c>
      <c r="N220" s="8">
        <v>6.2</v>
      </c>
      <c r="O220" s="8">
        <v>6.7</v>
      </c>
      <c r="P220" s="8"/>
    </row>
    <row r="221" spans="1:16">
      <c r="A221" s="8" t="s">
        <v>5</v>
      </c>
      <c r="B221" s="8" t="s">
        <v>35</v>
      </c>
      <c r="C221" s="8" t="s">
        <v>586</v>
      </c>
      <c r="D221" s="8" t="s">
        <v>582</v>
      </c>
      <c r="E221" s="8">
        <v>10</v>
      </c>
      <c r="F221" s="8">
        <v>7</v>
      </c>
      <c r="G221" s="8">
        <v>1</v>
      </c>
      <c r="H221" s="8">
        <v>3</v>
      </c>
      <c r="I221" s="8">
        <v>2</v>
      </c>
      <c r="J221" s="8">
        <v>1</v>
      </c>
      <c r="K221" s="8" t="s">
        <v>582</v>
      </c>
      <c r="L221" s="8">
        <v>29</v>
      </c>
      <c r="M221" s="8">
        <v>26</v>
      </c>
      <c r="N221" s="8">
        <v>6.3</v>
      </c>
      <c r="O221" s="8">
        <v>7.1</v>
      </c>
      <c r="P221" s="8"/>
    </row>
    <row r="222" spans="1:16">
      <c r="A222" s="8" t="s">
        <v>5</v>
      </c>
      <c r="B222" s="8" t="s">
        <v>34</v>
      </c>
      <c r="C222" s="8" t="s">
        <v>589</v>
      </c>
      <c r="D222" s="8" t="s">
        <v>582</v>
      </c>
      <c r="E222" s="8">
        <v>7</v>
      </c>
      <c r="F222" s="8">
        <v>1</v>
      </c>
      <c r="G222" s="8" t="s">
        <v>582</v>
      </c>
      <c r="H222" s="8">
        <v>6</v>
      </c>
      <c r="I222" s="8" t="s">
        <v>582</v>
      </c>
      <c r="J222" s="8" t="s">
        <v>582</v>
      </c>
      <c r="K222" s="8" t="s">
        <v>582</v>
      </c>
      <c r="L222" s="8">
        <v>35</v>
      </c>
      <c r="M222" s="8">
        <v>24</v>
      </c>
      <c r="N222" s="8">
        <v>6.1</v>
      </c>
      <c r="O222" s="8">
        <v>6.9</v>
      </c>
      <c r="P222" s="8"/>
    </row>
    <row r="223" spans="1:16">
      <c r="A223" s="8" t="s">
        <v>5</v>
      </c>
      <c r="B223" s="8" t="s">
        <v>221</v>
      </c>
      <c r="C223" s="8" t="s">
        <v>592</v>
      </c>
      <c r="D223" s="8" t="s">
        <v>582</v>
      </c>
      <c r="E223" s="8">
        <v>1</v>
      </c>
      <c r="F223" s="8">
        <v>1</v>
      </c>
      <c r="G223" s="8" t="s">
        <v>582</v>
      </c>
      <c r="H223" s="8">
        <v>1</v>
      </c>
      <c r="I223" s="8" t="s">
        <v>582</v>
      </c>
      <c r="J223" s="8" t="s">
        <v>582</v>
      </c>
      <c r="K223" s="8" t="s">
        <v>582</v>
      </c>
      <c r="L223" s="8">
        <v>20</v>
      </c>
      <c r="M223" s="8">
        <v>1</v>
      </c>
      <c r="N223" s="8">
        <v>5.7</v>
      </c>
      <c r="O223" s="8">
        <v>5.9</v>
      </c>
      <c r="P223" s="8"/>
    </row>
    <row r="224" spans="1:16">
      <c r="A224" s="8" t="s">
        <v>5</v>
      </c>
      <c r="B224" s="8" t="s">
        <v>410</v>
      </c>
      <c r="C224" s="8" t="s">
        <v>586</v>
      </c>
      <c r="D224" s="8" t="s">
        <v>582</v>
      </c>
      <c r="E224" s="8">
        <v>3</v>
      </c>
      <c r="F224" s="8">
        <v>2</v>
      </c>
      <c r="G224" s="8">
        <v>1</v>
      </c>
      <c r="H224" s="8" t="s">
        <v>582</v>
      </c>
      <c r="I224" s="8" t="s">
        <v>582</v>
      </c>
      <c r="J224" s="8" t="s">
        <v>582</v>
      </c>
      <c r="K224" s="8" t="s">
        <v>582</v>
      </c>
      <c r="L224" s="8">
        <v>25</v>
      </c>
      <c r="M224" s="8">
        <v>19</v>
      </c>
      <c r="N224" s="8">
        <v>5.6</v>
      </c>
      <c r="O224" s="8">
        <v>5.9</v>
      </c>
      <c r="P224" s="8"/>
    </row>
    <row r="225" spans="1:16">
      <c r="A225" s="8" t="s">
        <v>5</v>
      </c>
      <c r="B225" s="8" t="s">
        <v>43</v>
      </c>
      <c r="C225" s="8" t="s">
        <v>586</v>
      </c>
      <c r="D225" s="8" t="s">
        <v>582</v>
      </c>
      <c r="E225" s="8">
        <v>9</v>
      </c>
      <c r="F225" s="8">
        <v>2</v>
      </c>
      <c r="G225" s="8" t="s">
        <v>582</v>
      </c>
      <c r="H225" s="8">
        <v>3</v>
      </c>
      <c r="I225" s="8" t="s">
        <v>582</v>
      </c>
      <c r="J225" s="8" t="s">
        <v>582</v>
      </c>
      <c r="K225" s="8" t="s">
        <v>582</v>
      </c>
      <c r="L225" s="8">
        <v>35</v>
      </c>
      <c r="M225" s="8">
        <v>25</v>
      </c>
      <c r="N225" s="8">
        <v>5.9</v>
      </c>
      <c r="O225" s="8">
        <v>6.8</v>
      </c>
      <c r="P225" s="8"/>
    </row>
    <row r="226" spans="1:16">
      <c r="A226" s="8" t="s">
        <v>5</v>
      </c>
      <c r="B226" s="8" t="s">
        <v>10</v>
      </c>
      <c r="C226" s="8" t="s">
        <v>592</v>
      </c>
      <c r="D226" s="8" t="s">
        <v>582</v>
      </c>
      <c r="E226" s="8">
        <v>14</v>
      </c>
      <c r="F226" s="8">
        <v>4</v>
      </c>
      <c r="G226" s="8" t="s">
        <v>582</v>
      </c>
      <c r="H226" s="8">
        <v>10</v>
      </c>
      <c r="I226" s="8">
        <v>3</v>
      </c>
      <c r="J226" s="8">
        <v>1</v>
      </c>
      <c r="K226" s="8" t="s">
        <v>582</v>
      </c>
      <c r="L226" s="8">
        <v>36</v>
      </c>
      <c r="M226" s="8">
        <v>33</v>
      </c>
      <c r="N226" s="8">
        <v>6.2</v>
      </c>
      <c r="O226" s="8">
        <v>7.5</v>
      </c>
      <c r="P226" s="8"/>
    </row>
    <row r="227" spans="1:16">
      <c r="A227" s="8" t="s">
        <v>63</v>
      </c>
      <c r="B227" s="8" t="s">
        <v>119</v>
      </c>
      <c r="C227" s="8" t="s">
        <v>586</v>
      </c>
      <c r="D227" s="8">
        <v>42</v>
      </c>
      <c r="E227" s="8" t="s">
        <v>582</v>
      </c>
      <c r="F227" s="8" t="s">
        <v>582</v>
      </c>
      <c r="G227" s="8" t="s">
        <v>582</v>
      </c>
      <c r="H227" s="8" t="s">
        <v>582</v>
      </c>
      <c r="I227" s="8" t="s">
        <v>582</v>
      </c>
      <c r="J227" s="8" t="s">
        <v>582</v>
      </c>
      <c r="K227" s="8" t="s">
        <v>582</v>
      </c>
      <c r="L227" s="8">
        <v>29</v>
      </c>
      <c r="M227" s="8">
        <v>29</v>
      </c>
      <c r="N227" s="8">
        <v>5.9</v>
      </c>
      <c r="O227" s="8">
        <v>4.5</v>
      </c>
      <c r="P227" s="8"/>
    </row>
    <row r="228" spans="1:16">
      <c r="A228" s="8" t="s">
        <v>63</v>
      </c>
      <c r="B228" s="8" t="s">
        <v>642</v>
      </c>
      <c r="C228" s="8"/>
      <c r="D228" s="8">
        <v>64</v>
      </c>
      <c r="E228" s="8" t="s">
        <v>582</v>
      </c>
      <c r="F228" s="8" t="s">
        <v>582</v>
      </c>
      <c r="G228" s="8" t="s">
        <v>582</v>
      </c>
      <c r="H228" s="8" t="s">
        <v>582</v>
      </c>
      <c r="I228" s="8" t="s">
        <v>582</v>
      </c>
      <c r="J228" s="8" t="s">
        <v>582</v>
      </c>
      <c r="K228" s="8">
        <v>1</v>
      </c>
      <c r="L228" s="8">
        <v>36</v>
      </c>
      <c r="M228" s="8" t="s">
        <v>582</v>
      </c>
      <c r="N228" s="8">
        <v>6</v>
      </c>
      <c r="O228" s="8">
        <v>4.3</v>
      </c>
      <c r="P228" s="8"/>
    </row>
    <row r="229" spans="1:16">
      <c r="A229" s="8" t="s">
        <v>63</v>
      </c>
      <c r="B229" s="8" t="s">
        <v>406</v>
      </c>
      <c r="C229" s="8" t="s">
        <v>586</v>
      </c>
      <c r="D229" s="8">
        <v>7</v>
      </c>
      <c r="E229" s="8" t="s">
        <v>582</v>
      </c>
      <c r="F229" s="8" t="s">
        <v>582</v>
      </c>
      <c r="G229" s="8" t="s">
        <v>582</v>
      </c>
      <c r="H229" s="8" t="s">
        <v>582</v>
      </c>
      <c r="I229" s="8" t="s">
        <v>582</v>
      </c>
      <c r="J229" s="8" t="s">
        <v>582</v>
      </c>
      <c r="K229" s="8" t="s">
        <v>582</v>
      </c>
      <c r="L229" s="8">
        <v>9</v>
      </c>
      <c r="M229" s="8">
        <v>7</v>
      </c>
      <c r="N229" s="8">
        <v>5.9</v>
      </c>
      <c r="O229" s="8">
        <v>5.0999999999999996</v>
      </c>
      <c r="P229" s="8"/>
    </row>
    <row r="230" spans="1:16">
      <c r="A230" s="8" t="s">
        <v>41</v>
      </c>
      <c r="B230" s="8" t="s">
        <v>75</v>
      </c>
      <c r="C230" s="8" t="s">
        <v>581</v>
      </c>
      <c r="D230" s="8" t="s">
        <v>582</v>
      </c>
      <c r="E230" s="8">
        <v>2</v>
      </c>
      <c r="F230" s="8">
        <v>4</v>
      </c>
      <c r="G230" s="8" t="s">
        <v>582</v>
      </c>
      <c r="H230" s="8">
        <v>3</v>
      </c>
      <c r="I230" s="8" t="s">
        <v>582</v>
      </c>
      <c r="J230" s="8" t="s">
        <v>582</v>
      </c>
      <c r="K230" s="8" t="s">
        <v>582</v>
      </c>
      <c r="L230" s="8">
        <v>32</v>
      </c>
      <c r="M230" s="8">
        <v>23</v>
      </c>
      <c r="N230" s="8">
        <v>6</v>
      </c>
      <c r="O230" s="8">
        <v>6.2</v>
      </c>
      <c r="P230" s="8"/>
    </row>
    <row r="231" spans="1:16">
      <c r="A231" s="8" t="s">
        <v>41</v>
      </c>
      <c r="B231" s="8" t="s">
        <v>80</v>
      </c>
      <c r="C231" s="8" t="s">
        <v>583</v>
      </c>
      <c r="D231" s="8" t="s">
        <v>582</v>
      </c>
      <c r="E231" s="8">
        <v>2</v>
      </c>
      <c r="F231" s="8">
        <v>1</v>
      </c>
      <c r="G231" s="8" t="s">
        <v>582</v>
      </c>
      <c r="H231" s="8">
        <v>1</v>
      </c>
      <c r="I231" s="8" t="s">
        <v>582</v>
      </c>
      <c r="J231" s="8" t="s">
        <v>582</v>
      </c>
      <c r="K231" s="8" t="s">
        <v>582</v>
      </c>
      <c r="L231" s="8">
        <v>38</v>
      </c>
      <c r="M231" s="8">
        <v>34</v>
      </c>
      <c r="N231" s="8">
        <v>6</v>
      </c>
      <c r="O231" s="8">
        <v>6.2</v>
      </c>
      <c r="P231" s="8"/>
    </row>
    <row r="232" spans="1:16">
      <c r="A232" s="8" t="s">
        <v>41</v>
      </c>
      <c r="B232" s="8" t="s">
        <v>643</v>
      </c>
      <c r="C232" s="8"/>
      <c r="D232" s="8" t="s">
        <v>582</v>
      </c>
      <c r="E232" s="8" t="s">
        <v>582</v>
      </c>
      <c r="F232" s="8">
        <v>8</v>
      </c>
      <c r="G232" s="8" t="s">
        <v>582</v>
      </c>
      <c r="H232" s="8">
        <v>5</v>
      </c>
      <c r="I232" s="8" t="s">
        <v>582</v>
      </c>
      <c r="J232" s="8" t="s">
        <v>582</v>
      </c>
      <c r="K232" s="8" t="s">
        <v>582</v>
      </c>
      <c r="L232" s="8">
        <v>35</v>
      </c>
      <c r="M232" s="8" t="s">
        <v>582</v>
      </c>
      <c r="N232" s="8">
        <v>6.2</v>
      </c>
      <c r="O232" s="8">
        <v>6.2</v>
      </c>
      <c r="P232" s="8"/>
    </row>
    <row r="233" spans="1:16">
      <c r="A233" s="8" t="s">
        <v>41</v>
      </c>
      <c r="B233" s="8" t="s">
        <v>302</v>
      </c>
      <c r="C233" s="8" t="s">
        <v>599</v>
      </c>
      <c r="D233" s="8" t="s">
        <v>582</v>
      </c>
      <c r="E233" s="8" t="s">
        <v>582</v>
      </c>
      <c r="F233" s="8">
        <v>7</v>
      </c>
      <c r="G233" s="8" t="s">
        <v>582</v>
      </c>
      <c r="H233" s="8">
        <v>3</v>
      </c>
      <c r="I233" s="8" t="s">
        <v>582</v>
      </c>
      <c r="J233" s="8" t="s">
        <v>582</v>
      </c>
      <c r="K233" s="8" t="s">
        <v>582</v>
      </c>
      <c r="L233" s="8">
        <v>35</v>
      </c>
      <c r="M233" s="8">
        <v>32</v>
      </c>
      <c r="N233" s="8">
        <v>6</v>
      </c>
      <c r="O233" s="8">
        <v>6</v>
      </c>
      <c r="P233" s="8"/>
    </row>
    <row r="234" spans="1:16">
      <c r="A234" s="8" t="s">
        <v>41</v>
      </c>
      <c r="B234" s="8" t="s">
        <v>263</v>
      </c>
      <c r="C234" s="8" t="s">
        <v>611</v>
      </c>
      <c r="D234" s="8" t="s">
        <v>582</v>
      </c>
      <c r="E234" s="8">
        <v>1</v>
      </c>
      <c r="F234" s="8">
        <v>6</v>
      </c>
      <c r="G234" s="8">
        <v>1</v>
      </c>
      <c r="H234" s="8">
        <v>4</v>
      </c>
      <c r="I234" s="8" t="s">
        <v>582</v>
      </c>
      <c r="J234" s="8" t="s">
        <v>582</v>
      </c>
      <c r="K234" s="8" t="s">
        <v>582</v>
      </c>
      <c r="L234" s="8">
        <v>30</v>
      </c>
      <c r="M234" s="8">
        <v>24</v>
      </c>
      <c r="N234" s="8">
        <v>5.8</v>
      </c>
      <c r="O234" s="8">
        <v>5.9</v>
      </c>
      <c r="P234" s="8"/>
    </row>
    <row r="235" spans="1:16">
      <c r="A235" s="8" t="s">
        <v>41</v>
      </c>
      <c r="B235" s="8" t="s">
        <v>175</v>
      </c>
      <c r="C235" s="8" t="s">
        <v>584</v>
      </c>
      <c r="D235" s="8" t="s">
        <v>582</v>
      </c>
      <c r="E235" s="8">
        <v>3</v>
      </c>
      <c r="F235" s="8">
        <v>4</v>
      </c>
      <c r="G235" s="8" t="s">
        <v>582</v>
      </c>
      <c r="H235" s="8">
        <v>2</v>
      </c>
      <c r="I235" s="8" t="s">
        <v>582</v>
      </c>
      <c r="J235" s="8" t="s">
        <v>582</v>
      </c>
      <c r="K235" s="8" t="s">
        <v>582</v>
      </c>
      <c r="L235" s="8">
        <v>27</v>
      </c>
      <c r="M235" s="8">
        <v>14</v>
      </c>
      <c r="N235" s="8">
        <v>5.8</v>
      </c>
      <c r="O235" s="8">
        <v>6.2</v>
      </c>
      <c r="P235" s="8"/>
    </row>
    <row r="236" spans="1:16">
      <c r="A236" s="8" t="s">
        <v>41</v>
      </c>
      <c r="B236" s="8" t="s">
        <v>269</v>
      </c>
      <c r="C236" s="8" t="s">
        <v>610</v>
      </c>
      <c r="D236" s="8" t="s">
        <v>582</v>
      </c>
      <c r="E236" s="8">
        <v>1</v>
      </c>
      <c r="F236" s="8">
        <v>6</v>
      </c>
      <c r="G236" s="8" t="s">
        <v>582</v>
      </c>
      <c r="H236" s="8">
        <v>2</v>
      </c>
      <c r="I236" s="8" t="s">
        <v>582</v>
      </c>
      <c r="J236" s="8" t="s">
        <v>582</v>
      </c>
      <c r="K236" s="8" t="s">
        <v>582</v>
      </c>
      <c r="L236" s="8">
        <v>27</v>
      </c>
      <c r="M236" s="8">
        <v>19</v>
      </c>
      <c r="N236" s="8">
        <v>5.9</v>
      </c>
      <c r="O236" s="8">
        <v>6</v>
      </c>
      <c r="P236" s="8"/>
    </row>
    <row r="237" spans="1:16">
      <c r="A237" s="8" t="s">
        <v>41</v>
      </c>
      <c r="B237" s="8" t="s">
        <v>259</v>
      </c>
      <c r="C237" s="8" t="s">
        <v>600</v>
      </c>
      <c r="D237" s="8" t="s">
        <v>582</v>
      </c>
      <c r="E237" s="8">
        <v>1</v>
      </c>
      <c r="F237" s="8">
        <v>4</v>
      </c>
      <c r="G237" s="8">
        <v>1</v>
      </c>
      <c r="H237" s="8">
        <v>1</v>
      </c>
      <c r="I237" s="8" t="s">
        <v>582</v>
      </c>
      <c r="J237" s="8" t="s">
        <v>582</v>
      </c>
      <c r="K237" s="8" t="s">
        <v>582</v>
      </c>
      <c r="L237" s="8">
        <v>28</v>
      </c>
      <c r="M237" s="8">
        <v>25</v>
      </c>
      <c r="N237" s="8">
        <v>6</v>
      </c>
      <c r="O237" s="8">
        <v>6</v>
      </c>
      <c r="P237" s="8"/>
    </row>
    <row r="238" spans="1:16">
      <c r="A238" s="8" t="s">
        <v>12</v>
      </c>
      <c r="B238" s="8" t="s">
        <v>60</v>
      </c>
      <c r="C238" s="8" t="s">
        <v>610</v>
      </c>
      <c r="D238" s="8" t="s">
        <v>582</v>
      </c>
      <c r="E238" s="8">
        <v>8</v>
      </c>
      <c r="F238" s="8">
        <v>2</v>
      </c>
      <c r="G238" s="8" t="s">
        <v>582</v>
      </c>
      <c r="H238" s="8">
        <v>1</v>
      </c>
      <c r="I238" s="8" t="s">
        <v>582</v>
      </c>
      <c r="J238" s="8" t="s">
        <v>582</v>
      </c>
      <c r="K238" s="8" t="s">
        <v>582</v>
      </c>
      <c r="L238" s="8">
        <v>15</v>
      </c>
      <c r="M238" s="8">
        <v>14</v>
      </c>
      <c r="N238" s="8">
        <v>6.5</v>
      </c>
      <c r="O238" s="8">
        <v>8.1</v>
      </c>
      <c r="P238" s="8"/>
    </row>
    <row r="239" spans="1:16">
      <c r="A239" s="8" t="s">
        <v>12</v>
      </c>
      <c r="B239" s="8" t="s">
        <v>199</v>
      </c>
      <c r="C239" s="8" t="s">
        <v>596</v>
      </c>
      <c r="D239" s="8" t="s">
        <v>582</v>
      </c>
      <c r="E239" s="8">
        <v>2</v>
      </c>
      <c r="F239" s="8" t="s">
        <v>582</v>
      </c>
      <c r="G239" s="8" t="s">
        <v>582</v>
      </c>
      <c r="H239" s="8">
        <v>4</v>
      </c>
      <c r="I239" s="8" t="s">
        <v>582</v>
      </c>
      <c r="J239" s="8" t="s">
        <v>582</v>
      </c>
      <c r="K239" s="8" t="s">
        <v>582</v>
      </c>
      <c r="L239" s="8">
        <v>27</v>
      </c>
      <c r="M239" s="8">
        <v>8</v>
      </c>
      <c r="N239" s="8">
        <v>5.7</v>
      </c>
      <c r="O239" s="8">
        <v>6.1</v>
      </c>
      <c r="P239" s="8"/>
    </row>
    <row r="240" spans="1:16">
      <c r="A240" s="8" t="s">
        <v>12</v>
      </c>
      <c r="B240" s="8" t="s">
        <v>165</v>
      </c>
      <c r="C240" s="8" t="s">
        <v>589</v>
      </c>
      <c r="D240" s="8" t="s">
        <v>582</v>
      </c>
      <c r="E240" s="8">
        <v>6</v>
      </c>
      <c r="F240" s="8">
        <v>5</v>
      </c>
      <c r="G240" s="8" t="s">
        <v>582</v>
      </c>
      <c r="H240" s="8" t="s">
        <v>582</v>
      </c>
      <c r="I240" s="8" t="s">
        <v>582</v>
      </c>
      <c r="J240" s="8" t="s">
        <v>582</v>
      </c>
      <c r="K240" s="8" t="s">
        <v>582</v>
      </c>
      <c r="L240" s="8">
        <v>28</v>
      </c>
      <c r="M240" s="8">
        <v>16</v>
      </c>
      <c r="N240" s="8">
        <v>5.9</v>
      </c>
      <c r="O240" s="8">
        <v>6.5</v>
      </c>
      <c r="P240" s="8"/>
    </row>
    <row r="241" spans="1:16">
      <c r="A241" s="8" t="s">
        <v>12</v>
      </c>
      <c r="B241" s="8" t="s">
        <v>278</v>
      </c>
      <c r="C241" s="8" t="s">
        <v>612</v>
      </c>
      <c r="D241" s="8" t="s">
        <v>582</v>
      </c>
      <c r="E241" s="8" t="s">
        <v>582</v>
      </c>
      <c r="F241" s="8">
        <v>5</v>
      </c>
      <c r="G241" s="8" t="s">
        <v>582</v>
      </c>
      <c r="H241" s="8">
        <v>2</v>
      </c>
      <c r="I241" s="8" t="s">
        <v>582</v>
      </c>
      <c r="J241" s="8" t="s">
        <v>582</v>
      </c>
      <c r="K241" s="8" t="s">
        <v>582</v>
      </c>
      <c r="L241" s="8">
        <v>26</v>
      </c>
      <c r="M241" s="8">
        <v>16</v>
      </c>
      <c r="N241" s="8">
        <v>5.6</v>
      </c>
      <c r="O241" s="8">
        <v>5.5</v>
      </c>
      <c r="P241" s="8"/>
    </row>
    <row r="242" spans="1:16">
      <c r="A242" s="8" t="s">
        <v>12</v>
      </c>
      <c r="B242" s="8" t="s">
        <v>255</v>
      </c>
      <c r="C242" s="8" t="s">
        <v>603</v>
      </c>
      <c r="D242" s="8" t="s">
        <v>582</v>
      </c>
      <c r="E242" s="8">
        <v>3</v>
      </c>
      <c r="F242" s="8">
        <v>7</v>
      </c>
      <c r="G242" s="8" t="s">
        <v>582</v>
      </c>
      <c r="H242" s="8">
        <v>3</v>
      </c>
      <c r="I242" s="8">
        <v>3</v>
      </c>
      <c r="J242" s="8" t="s">
        <v>582</v>
      </c>
      <c r="K242" s="8" t="s">
        <v>582</v>
      </c>
      <c r="L242" s="8">
        <v>25</v>
      </c>
      <c r="M242" s="8">
        <v>14</v>
      </c>
      <c r="N242" s="8">
        <v>5.9</v>
      </c>
      <c r="O242" s="8">
        <v>6.3</v>
      </c>
      <c r="P242" s="8"/>
    </row>
    <row r="243" spans="1:16">
      <c r="A243" s="8" t="s">
        <v>12</v>
      </c>
      <c r="B243" s="8" t="s">
        <v>50</v>
      </c>
      <c r="C243" s="8" t="s">
        <v>607</v>
      </c>
      <c r="D243" s="8" t="s">
        <v>582</v>
      </c>
      <c r="E243" s="8">
        <v>8</v>
      </c>
      <c r="F243" s="8">
        <v>4</v>
      </c>
      <c r="G243" s="8" t="s">
        <v>582</v>
      </c>
      <c r="H243" s="8">
        <v>4</v>
      </c>
      <c r="I243" s="8">
        <v>2</v>
      </c>
      <c r="J243" s="8" t="s">
        <v>582</v>
      </c>
      <c r="K243" s="8" t="s">
        <v>582</v>
      </c>
      <c r="L243" s="8">
        <v>29</v>
      </c>
      <c r="M243" s="8">
        <v>23</v>
      </c>
      <c r="N243" s="8">
        <v>6.4</v>
      </c>
      <c r="O243" s="8">
        <v>7.3</v>
      </c>
      <c r="P243" s="8"/>
    </row>
    <row r="244" spans="1:16">
      <c r="A244" s="8" t="s">
        <v>12</v>
      </c>
      <c r="B244" s="8" t="s">
        <v>24</v>
      </c>
      <c r="C244" s="8" t="s">
        <v>592</v>
      </c>
      <c r="D244" s="8" t="s">
        <v>582</v>
      </c>
      <c r="E244" s="8">
        <v>12</v>
      </c>
      <c r="F244" s="8">
        <v>3</v>
      </c>
      <c r="G244" s="8" t="s">
        <v>582</v>
      </c>
      <c r="H244" s="8">
        <v>4</v>
      </c>
      <c r="I244" s="8" t="s">
        <v>582</v>
      </c>
      <c r="J244" s="8" t="s">
        <v>582</v>
      </c>
      <c r="K244" s="8" t="s">
        <v>582</v>
      </c>
      <c r="L244" s="8">
        <v>34</v>
      </c>
      <c r="M244" s="8">
        <v>31</v>
      </c>
      <c r="N244" s="8">
        <v>6.5</v>
      </c>
      <c r="O244" s="8">
        <v>7.7</v>
      </c>
      <c r="P244" s="8"/>
    </row>
    <row r="245" spans="1:16">
      <c r="A245" s="8" t="s">
        <v>12</v>
      </c>
      <c r="B245" s="8" t="s">
        <v>247</v>
      </c>
      <c r="C245" s="8" t="s">
        <v>581</v>
      </c>
      <c r="D245" s="8" t="s">
        <v>582</v>
      </c>
      <c r="E245" s="8">
        <v>5</v>
      </c>
      <c r="F245" s="8">
        <v>4</v>
      </c>
      <c r="G245" s="8" t="s">
        <v>582</v>
      </c>
      <c r="H245" s="8">
        <v>2</v>
      </c>
      <c r="I245" s="8" t="s">
        <v>582</v>
      </c>
      <c r="J245" s="8" t="s">
        <v>582</v>
      </c>
      <c r="K245" s="8" t="s">
        <v>582</v>
      </c>
      <c r="L245" s="8">
        <v>28</v>
      </c>
      <c r="M245" s="8">
        <v>18</v>
      </c>
      <c r="N245" s="8">
        <v>5.9</v>
      </c>
      <c r="O245" s="8">
        <v>6.5</v>
      </c>
      <c r="P245" s="8"/>
    </row>
    <row r="246" spans="1:16">
      <c r="A246" s="8" t="s">
        <v>5</v>
      </c>
      <c r="B246" s="8" t="s">
        <v>17</v>
      </c>
      <c r="C246" s="8" t="s">
        <v>584</v>
      </c>
      <c r="D246" s="8" t="s">
        <v>582</v>
      </c>
      <c r="E246" s="8">
        <v>14</v>
      </c>
      <c r="F246" s="8">
        <v>1</v>
      </c>
      <c r="G246" s="8" t="s">
        <v>582</v>
      </c>
      <c r="H246" s="8">
        <v>4</v>
      </c>
      <c r="I246" s="8" t="s">
        <v>582</v>
      </c>
      <c r="J246" s="8" t="s">
        <v>582</v>
      </c>
      <c r="K246" s="8" t="s">
        <v>582</v>
      </c>
      <c r="L246" s="8">
        <v>32</v>
      </c>
      <c r="M246" s="8">
        <v>25</v>
      </c>
      <c r="N246" s="8">
        <v>6.3</v>
      </c>
      <c r="O246" s="8">
        <v>7.7</v>
      </c>
      <c r="P246" s="8"/>
    </row>
    <row r="247" spans="1:16">
      <c r="A247" s="8" t="s">
        <v>5</v>
      </c>
      <c r="B247" s="8" t="s">
        <v>132</v>
      </c>
      <c r="C247" s="8" t="s">
        <v>607</v>
      </c>
      <c r="D247" s="8" t="s">
        <v>582</v>
      </c>
      <c r="E247" s="8">
        <v>1</v>
      </c>
      <c r="F247" s="8" t="s">
        <v>582</v>
      </c>
      <c r="G247" s="8" t="s">
        <v>582</v>
      </c>
      <c r="H247" s="8">
        <v>3</v>
      </c>
      <c r="I247" s="8" t="s">
        <v>582</v>
      </c>
      <c r="J247" s="8" t="s">
        <v>582</v>
      </c>
      <c r="K247" s="8" t="s">
        <v>582</v>
      </c>
      <c r="L247" s="8">
        <v>17</v>
      </c>
      <c r="M247" s="8">
        <v>3</v>
      </c>
      <c r="N247" s="8">
        <v>6.2</v>
      </c>
      <c r="O247" s="8">
        <v>6.6</v>
      </c>
      <c r="P247" s="8"/>
    </row>
    <row r="248" spans="1:16">
      <c r="A248" s="8" t="s">
        <v>5</v>
      </c>
      <c r="B248" s="8" t="s">
        <v>105</v>
      </c>
      <c r="C248" s="8" t="s">
        <v>603</v>
      </c>
      <c r="D248" s="8" t="s">
        <v>582</v>
      </c>
      <c r="E248" s="8">
        <v>3</v>
      </c>
      <c r="F248" s="8">
        <v>2</v>
      </c>
      <c r="G248" s="8" t="s">
        <v>582</v>
      </c>
      <c r="H248" s="8">
        <v>1</v>
      </c>
      <c r="I248" s="8" t="s">
        <v>582</v>
      </c>
      <c r="J248" s="8" t="s">
        <v>582</v>
      </c>
      <c r="K248" s="8" t="s">
        <v>582</v>
      </c>
      <c r="L248" s="8">
        <v>12</v>
      </c>
      <c r="M248" s="8">
        <v>6</v>
      </c>
      <c r="N248" s="8">
        <v>6.1</v>
      </c>
      <c r="O248" s="8">
        <v>6.8</v>
      </c>
      <c r="P248" s="8"/>
    </row>
    <row r="249" spans="1:16">
      <c r="A249" s="8" t="s">
        <v>5</v>
      </c>
      <c r="B249" s="8" t="s">
        <v>644</v>
      </c>
      <c r="C249" s="8"/>
      <c r="D249" s="8" t="s">
        <v>582</v>
      </c>
      <c r="E249" s="8">
        <v>4</v>
      </c>
      <c r="F249" s="8" t="s">
        <v>582</v>
      </c>
      <c r="G249" s="8" t="s">
        <v>582</v>
      </c>
      <c r="H249" s="8">
        <v>4</v>
      </c>
      <c r="I249" s="8" t="s">
        <v>582</v>
      </c>
      <c r="J249" s="8" t="s">
        <v>582</v>
      </c>
      <c r="K249" s="8" t="s">
        <v>582</v>
      </c>
      <c r="L249" s="8">
        <v>21</v>
      </c>
      <c r="M249" s="8">
        <v>9</v>
      </c>
      <c r="N249" s="8">
        <v>6</v>
      </c>
      <c r="O249" s="8">
        <v>6.8</v>
      </c>
      <c r="P249" s="8"/>
    </row>
    <row r="250" spans="1:16">
      <c r="A250" s="8" t="s">
        <v>5</v>
      </c>
      <c r="B250" s="8" t="s">
        <v>201</v>
      </c>
      <c r="C250" s="8" t="s">
        <v>610</v>
      </c>
      <c r="D250" s="8" t="s">
        <v>582</v>
      </c>
      <c r="E250" s="8">
        <v>2</v>
      </c>
      <c r="F250" s="8">
        <v>1</v>
      </c>
      <c r="G250" s="8" t="s">
        <v>582</v>
      </c>
      <c r="H250" s="8">
        <v>2</v>
      </c>
      <c r="I250" s="8" t="s">
        <v>582</v>
      </c>
      <c r="J250" s="8" t="s">
        <v>582</v>
      </c>
      <c r="K250" s="8" t="s">
        <v>582</v>
      </c>
      <c r="L250" s="8">
        <v>12</v>
      </c>
      <c r="M250" s="8">
        <v>4</v>
      </c>
      <c r="N250" s="8">
        <v>6</v>
      </c>
      <c r="O250" s="8">
        <v>6.7</v>
      </c>
      <c r="P250" s="8"/>
    </row>
    <row r="251" spans="1:16">
      <c r="A251" s="8" t="s">
        <v>5</v>
      </c>
      <c r="B251" s="8" t="s">
        <v>95</v>
      </c>
      <c r="C251" s="8" t="s">
        <v>600</v>
      </c>
      <c r="D251" s="8" t="s">
        <v>582</v>
      </c>
      <c r="E251" s="8">
        <v>9</v>
      </c>
      <c r="F251" s="8">
        <v>2</v>
      </c>
      <c r="G251" s="8" t="s">
        <v>582</v>
      </c>
      <c r="H251" s="8">
        <v>3</v>
      </c>
      <c r="I251" s="8" t="s">
        <v>582</v>
      </c>
      <c r="J251" s="8">
        <v>1</v>
      </c>
      <c r="K251" s="8" t="s">
        <v>582</v>
      </c>
      <c r="L251" s="8">
        <v>36</v>
      </c>
      <c r="M251" s="8">
        <v>28</v>
      </c>
      <c r="N251" s="8">
        <v>6</v>
      </c>
      <c r="O251" s="8">
        <v>6.7</v>
      </c>
      <c r="P251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F401B-6D0F-4A85-B0E0-FEC756BF66B2}">
  <sheetPr codeName="Foglio8"/>
  <dimension ref="A1:E9"/>
  <sheetViews>
    <sheetView workbookViewId="0">
      <selection activeCell="E23" sqref="E23"/>
    </sheetView>
  </sheetViews>
  <sheetFormatPr defaultRowHeight="15"/>
  <cols>
    <col min="1" max="1" width="18.7109375" bestFit="1" customWidth="1"/>
    <col min="2" max="2" width="10.140625" bestFit="1" customWidth="1"/>
    <col min="3" max="3" width="15" bestFit="1" customWidth="1"/>
    <col min="4" max="4" width="6.5703125" bestFit="1" customWidth="1"/>
    <col min="5" max="5" width="51.85546875" bestFit="1" customWidth="1"/>
  </cols>
  <sheetData>
    <row r="1" spans="1:5">
      <c r="A1" s="3" t="s">
        <v>678</v>
      </c>
      <c r="B1" s="3" t="s">
        <v>550</v>
      </c>
      <c r="C1" s="3" t="s">
        <v>645</v>
      </c>
      <c r="D1" s="3" t="s">
        <v>878</v>
      </c>
      <c r="E1" s="3" t="s">
        <v>879</v>
      </c>
    </row>
    <row r="2" spans="1:5" ht="30">
      <c r="A2" s="5" t="s">
        <v>880</v>
      </c>
      <c r="B2" s="4" t="s">
        <v>551</v>
      </c>
      <c r="C2" s="4" t="s">
        <v>881</v>
      </c>
      <c r="D2" s="4">
        <v>2005</v>
      </c>
      <c r="E2" s="4" t="s">
        <v>882</v>
      </c>
    </row>
    <row r="3" spans="1:5" ht="30">
      <c r="A3" s="5" t="s">
        <v>883</v>
      </c>
      <c r="B3" s="4" t="s">
        <v>565</v>
      </c>
      <c r="C3" s="4" t="s">
        <v>884</v>
      </c>
      <c r="D3" s="4">
        <v>2006</v>
      </c>
      <c r="E3" s="4" t="s">
        <v>885</v>
      </c>
    </row>
    <row r="4" spans="1:5" ht="30">
      <c r="A4" s="5" t="s">
        <v>886</v>
      </c>
      <c r="B4" s="4" t="s">
        <v>569</v>
      </c>
      <c r="C4" s="4" t="s">
        <v>881</v>
      </c>
      <c r="D4" s="4">
        <v>2005</v>
      </c>
      <c r="E4" s="4" t="s">
        <v>887</v>
      </c>
    </row>
    <row r="5" spans="1:5" ht="30">
      <c r="A5" s="5" t="s">
        <v>558</v>
      </c>
      <c r="B5" s="4" t="s">
        <v>557</v>
      </c>
      <c r="C5" s="4" t="s">
        <v>706</v>
      </c>
      <c r="D5" s="4">
        <v>2004</v>
      </c>
      <c r="E5" s="4" t="s">
        <v>888</v>
      </c>
    </row>
    <row r="6" spans="1:5" ht="30">
      <c r="A6" s="5" t="s">
        <v>722</v>
      </c>
      <c r="B6" s="4" t="s">
        <v>551</v>
      </c>
      <c r="C6" s="4" t="s">
        <v>889</v>
      </c>
      <c r="D6" s="4">
        <v>2008</v>
      </c>
      <c r="E6" s="4" t="s">
        <v>890</v>
      </c>
    </row>
    <row r="7" spans="1:5" ht="30">
      <c r="A7" s="5" t="s">
        <v>891</v>
      </c>
      <c r="B7" s="4" t="s">
        <v>560</v>
      </c>
      <c r="C7" s="4" t="s">
        <v>704</v>
      </c>
      <c r="D7" s="4">
        <v>2005</v>
      </c>
      <c r="E7" s="4" t="s">
        <v>892</v>
      </c>
    </row>
    <row r="8" spans="1:5" ht="30">
      <c r="A8" s="5" t="s">
        <v>893</v>
      </c>
      <c r="B8" s="4" t="s">
        <v>573</v>
      </c>
      <c r="C8" s="4" t="s">
        <v>705</v>
      </c>
      <c r="D8" s="4">
        <v>2004</v>
      </c>
      <c r="E8" s="4" t="s">
        <v>894</v>
      </c>
    </row>
    <row r="9" spans="1:5">
      <c r="A9" s="5" t="s">
        <v>895</v>
      </c>
      <c r="B9" s="4" t="s">
        <v>563</v>
      </c>
      <c r="C9" s="4" t="s">
        <v>706</v>
      </c>
      <c r="D9" s="4">
        <v>2005</v>
      </c>
      <c r="E9" s="4" t="s">
        <v>896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prompt</vt:lpstr>
      <vt:lpstr>Dati</vt:lpstr>
      <vt:lpstr>Result1</vt:lpstr>
      <vt:lpstr>Result2</vt:lpstr>
      <vt:lpstr>scelte</vt:lpstr>
      <vt:lpstr>Giocatori</vt:lpstr>
      <vt:lpstr>Statistiche</vt:lpstr>
      <vt:lpstr>promesse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</dc:creator>
  <cp:lastModifiedBy>Fernando Iurisci</cp:lastModifiedBy>
  <dcterms:created xsi:type="dcterms:W3CDTF">2025-08-02T04:07:40Z</dcterms:created>
  <dcterms:modified xsi:type="dcterms:W3CDTF">2025-08-05T13:58:36Z</dcterms:modified>
</cp:coreProperties>
</file>