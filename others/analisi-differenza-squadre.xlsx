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dafone-my.sharepoint.com/personal/fernando_iurisci_vodafone_com/Documents/"/>
    </mc:Choice>
  </mc:AlternateContent>
  <xr:revisionPtr revIDLastSave="0" documentId="8_{C8CDF4E5-6D9F-4E77-AAFE-74845FA0F4B1}" xr6:coauthVersionLast="47" xr6:coauthVersionMax="47" xr10:uidLastSave="{00000000-0000-0000-0000-000000000000}"/>
  <bookViews>
    <workbookView xWindow="-98" yWindow="-98" windowWidth="28996" windowHeight="15675" xr2:uid="{E6266D3A-0556-40F9-9012-CD3D46346C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3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34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56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12" i="1"/>
  <c r="D7" i="1"/>
  <c r="D8" i="1"/>
  <c r="D9" i="1"/>
  <c r="D6" i="1"/>
  <c r="D3" i="1"/>
</calcChain>
</file>

<file path=xl/sharedStrings.xml><?xml version="1.0" encoding="utf-8"?>
<sst xmlns="http://schemas.openxmlformats.org/spreadsheetml/2006/main" count="59" uniqueCount="32">
  <si>
    <t>dentro</t>
  </si>
  <si>
    <t>fuori</t>
  </si>
  <si>
    <t>ruolo</t>
  </si>
  <si>
    <t>A</t>
  </si>
  <si>
    <t>C</t>
  </si>
  <si>
    <t>D</t>
  </si>
  <si>
    <t>P</t>
  </si>
  <si>
    <t>squadra</t>
  </si>
  <si>
    <t>ATALANTA</t>
  </si>
  <si>
    <t>BOLOGNA</t>
  </si>
  <si>
    <t>CAGLIARI</t>
  </si>
  <si>
    <t>COMO</t>
  </si>
  <si>
    <t>CREMONESE</t>
  </si>
  <si>
    <t>FIORENTINA</t>
  </si>
  <si>
    <t>GENOA</t>
  </si>
  <si>
    <t>INTER</t>
  </si>
  <si>
    <t>JUVENTUS</t>
  </si>
  <si>
    <t>LAZIO</t>
  </si>
  <si>
    <t>LECCE</t>
  </si>
  <si>
    <t>MILAN</t>
  </si>
  <si>
    <t>NAPOLI</t>
  </si>
  <si>
    <t>PARMA</t>
  </si>
  <si>
    <t>PISA</t>
  </si>
  <si>
    <t>ROMA</t>
  </si>
  <si>
    <t>SASSUOLO</t>
  </si>
  <si>
    <t>TORINO</t>
  </si>
  <si>
    <t>UDINESE</t>
  </si>
  <si>
    <t>VERONA</t>
  </si>
  <si>
    <t>avg</t>
  </si>
  <si>
    <t>pos</t>
  </si>
  <si>
    <t>avv</t>
  </si>
  <si>
    <t>Expr1002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</si>
</sst>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%"/>
    <numFmt numFmtId="176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9">
    <xf numFmtId="0" fontId="0" fillId="0" borderId="0" xfId="0"/>
    <xf numFmtId="0" fontId="3" fillId="2" borderId="1" xfId="2" applyFont="1" applyFill="1" applyBorder="1" applyAlignment="1">
      <alignment horizontal="center"/>
    </xf>
    <xf numFmtId="0" fontId="3" fillId="0" borderId="2" xfId="2" applyFont="1" applyFill="1" applyBorder="1" applyAlignment="1">
      <alignment horizontal="right" wrapText="1"/>
    </xf>
    <xf numFmtId="10" fontId="0" fillId="0" borderId="0" xfId="1" applyNumberFormat="1" applyFont="1"/>
    <xf numFmtId="169" fontId="0" fillId="0" borderId="0" xfId="1" applyNumberFormat="1" applyFont="1"/>
    <xf numFmtId="0" fontId="3" fillId="0" borderId="2" xfId="2" applyFont="1" applyFill="1" applyBorder="1" applyAlignment="1">
      <alignment wrapText="1"/>
    </xf>
    <xf numFmtId="176" fontId="3" fillId="0" borderId="2" xfId="2" applyNumberFormat="1" applyFont="1" applyFill="1" applyBorder="1" applyAlignment="1">
      <alignment horizontal="right" wrapText="1"/>
    </xf>
    <xf numFmtId="176" fontId="0" fillId="0" borderId="0" xfId="0" applyNumberFormat="1"/>
    <xf numFmtId="176" fontId="3" fillId="2" borderId="1" xfId="2" applyNumberFormat="1" applyFont="1" applyFill="1" applyBorder="1" applyAlignment="1">
      <alignment horizontal="center"/>
    </xf>
  </cellXfs>
  <cellStyles count="3">
    <cellStyle name="Normal" xfId="0" builtinId="0"/>
    <cellStyle name="Normal_Sheet1" xfId="2" xr:uid="{F3696A38-BF1B-43C9-9298-2926A5783E9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6CCC-E649-4C9B-8708-900280E9AD96}">
  <dimension ref="A2:I75"/>
  <sheetViews>
    <sheetView tabSelected="1" workbookViewId="0">
      <selection activeCell="M15" sqref="M15"/>
    </sheetView>
  </sheetViews>
  <sheetFormatPr defaultRowHeight="14.25" x14ac:dyDescent="0.45"/>
  <cols>
    <col min="1" max="1" width="16.46484375" customWidth="1"/>
    <col min="2" max="3" width="11.19921875" bestFit="1" customWidth="1"/>
    <col min="4" max="4" width="7.33203125" bestFit="1" customWidth="1"/>
  </cols>
  <sheetData>
    <row r="2" spans="1:9" x14ac:dyDescent="0.45">
      <c r="A2" s="1" t="s">
        <v>0</v>
      </c>
      <c r="B2" s="1" t="s">
        <v>1</v>
      </c>
      <c r="F2" s="1" t="s">
        <v>29</v>
      </c>
      <c r="G2" s="1" t="s">
        <v>30</v>
      </c>
      <c r="H2" s="1" t="s">
        <v>31</v>
      </c>
    </row>
    <row r="3" spans="1:9" x14ac:dyDescent="0.45">
      <c r="A3" s="2">
        <v>169365</v>
      </c>
      <c r="B3" s="2">
        <v>167910</v>
      </c>
      <c r="D3" s="4">
        <f>(A3-B3)/B3</f>
        <v>8.6653564409505095E-3</v>
      </c>
      <c r="F3" s="2">
        <v>0</v>
      </c>
      <c r="G3" s="2">
        <v>0</v>
      </c>
      <c r="H3" s="2">
        <v>60.880829015544045</v>
      </c>
      <c r="I3" s="3">
        <f>(H3-MIN(H$3:H$7))/MIN(H$3:H$7)</f>
        <v>0</v>
      </c>
    </row>
    <row r="4" spans="1:9" x14ac:dyDescent="0.45">
      <c r="F4" s="2">
        <v>0</v>
      </c>
      <c r="G4" s="2">
        <v>1</v>
      </c>
      <c r="H4" s="2">
        <v>63.96551724137931</v>
      </c>
      <c r="I4" s="3">
        <f t="shared" ref="I4:I26" si="0">(H4-MIN(H$3:H$7))/MIN(H$3:H$7)</f>
        <v>5.0667644900953712E-2</v>
      </c>
    </row>
    <row r="5" spans="1:9" x14ac:dyDescent="0.45">
      <c r="A5" s="1" t="s">
        <v>2</v>
      </c>
      <c r="B5" s="1" t="s">
        <v>0</v>
      </c>
      <c r="C5" s="1" t="s">
        <v>1</v>
      </c>
      <c r="F5" s="2">
        <v>0</v>
      </c>
      <c r="G5" s="2">
        <v>2</v>
      </c>
      <c r="H5" s="2">
        <v>64.777777777777771</v>
      </c>
      <c r="I5" s="3">
        <f t="shared" si="0"/>
        <v>6.400945626477525E-2</v>
      </c>
    </row>
    <row r="6" spans="1:9" x14ac:dyDescent="0.45">
      <c r="A6" s="5" t="s">
        <v>3</v>
      </c>
      <c r="B6" s="6">
        <v>64.743401759530798</v>
      </c>
      <c r="C6" s="6">
        <v>64.007142857142853</v>
      </c>
      <c r="D6" s="4">
        <f>(B6-C6)/C6</f>
        <v>1.1502761559459024E-2</v>
      </c>
      <c r="F6" s="2">
        <v>0</v>
      </c>
      <c r="G6" s="2">
        <v>3</v>
      </c>
      <c r="H6" s="2">
        <v>66.128640776699029</v>
      </c>
      <c r="I6" s="3">
        <f t="shared" si="0"/>
        <v>8.6198099566205277E-2</v>
      </c>
    </row>
    <row r="7" spans="1:9" x14ac:dyDescent="0.45">
      <c r="A7" s="5" t="s">
        <v>4</v>
      </c>
      <c r="B7" s="6">
        <v>62.116704805491992</v>
      </c>
      <c r="C7" s="6">
        <v>61.367276887871853</v>
      </c>
      <c r="D7" s="4">
        <f t="shared" ref="D7:D9" si="1">(B7-C7)/C7</f>
        <v>1.2212174885802207E-2</v>
      </c>
      <c r="F7" s="2">
        <v>0</v>
      </c>
      <c r="G7" s="2">
        <v>4</v>
      </c>
      <c r="H7" s="2">
        <v>68.125</v>
      </c>
      <c r="I7" s="3">
        <f t="shared" si="0"/>
        <v>0.11898936170212761</v>
      </c>
    </row>
    <row r="8" spans="1:9" x14ac:dyDescent="0.45">
      <c r="A8" s="5" t="s">
        <v>5</v>
      </c>
      <c r="B8" s="6">
        <v>60.492047713717696</v>
      </c>
      <c r="C8" s="6">
        <v>59.323647294589179</v>
      </c>
      <c r="D8" s="4">
        <f t="shared" si="1"/>
        <v>1.9695357120011144E-2</v>
      </c>
      <c r="F8" s="2">
        <v>1</v>
      </c>
      <c r="G8" s="2">
        <v>0</v>
      </c>
      <c r="H8" s="2">
        <v>58.198653198653197</v>
      </c>
      <c r="I8" s="3">
        <f t="shared" si="0"/>
        <v>-4.4056164481696469E-2</v>
      </c>
    </row>
    <row r="9" spans="1:9" x14ac:dyDescent="0.45">
      <c r="A9" s="5" t="s">
        <v>6</v>
      </c>
      <c r="B9" s="6">
        <v>51.091370558375637</v>
      </c>
      <c r="C9" s="6">
        <v>51.843434343434346</v>
      </c>
      <c r="D9" s="4">
        <f t="shared" si="1"/>
        <v>-1.4506442225194781E-2</v>
      </c>
      <c r="F9" s="2">
        <v>1</v>
      </c>
      <c r="G9" s="2">
        <v>1</v>
      </c>
      <c r="H9" s="2">
        <v>60.908045977011497</v>
      </c>
      <c r="I9" s="3">
        <f t="shared" si="0"/>
        <v>4.4705306921007001E-4</v>
      </c>
    </row>
    <row r="10" spans="1:9" x14ac:dyDescent="0.45">
      <c r="B10" s="7"/>
      <c r="C10" s="7"/>
      <c r="F10" s="2">
        <v>1</v>
      </c>
      <c r="G10" s="2">
        <v>2</v>
      </c>
      <c r="H10" s="2">
        <v>64.444444444444443</v>
      </c>
      <c r="I10" s="3">
        <f t="shared" si="0"/>
        <v>5.8534278959810795E-2</v>
      </c>
    </row>
    <row r="11" spans="1:9" x14ac:dyDescent="0.45">
      <c r="A11" s="1" t="s">
        <v>7</v>
      </c>
      <c r="B11" s="8" t="s">
        <v>0</v>
      </c>
      <c r="C11" s="8" t="s">
        <v>1</v>
      </c>
      <c r="F11" s="2">
        <v>1</v>
      </c>
      <c r="G11" s="2">
        <v>3</v>
      </c>
      <c r="H11" s="2">
        <v>64.663461538461533</v>
      </c>
      <c r="I11" s="3">
        <f t="shared" si="0"/>
        <v>6.2131751227495764E-2</v>
      </c>
    </row>
    <row r="12" spans="1:9" x14ac:dyDescent="0.45">
      <c r="A12" s="5" t="s">
        <v>8</v>
      </c>
      <c r="B12" s="6">
        <v>62.736486486486484</v>
      </c>
      <c r="C12" s="6">
        <v>61.259541984732827</v>
      </c>
      <c r="D12" s="4">
        <f>(B12-C12)/C12</f>
        <v>2.4109623642333836E-2</v>
      </c>
      <c r="F12" s="2">
        <v>1</v>
      </c>
      <c r="G12" s="2">
        <v>4</v>
      </c>
      <c r="H12" s="2">
        <v>72.375</v>
      </c>
      <c r="I12" s="3">
        <f t="shared" si="0"/>
        <v>0.18879787234042547</v>
      </c>
    </row>
    <row r="13" spans="1:9" x14ac:dyDescent="0.45">
      <c r="A13" s="5" t="s">
        <v>9</v>
      </c>
      <c r="B13" s="6">
        <v>62.42537313432836</v>
      </c>
      <c r="C13" s="6">
        <v>61.149068322981364</v>
      </c>
      <c r="D13" s="4">
        <f t="shared" ref="D13:D31" si="2">(B13-C13)/C13</f>
        <v>2.0872023832083943E-2</v>
      </c>
      <c r="F13" s="2">
        <v>2</v>
      </c>
      <c r="G13" s="2">
        <v>0</v>
      </c>
      <c r="H13" s="2">
        <v>57.870036101083031</v>
      </c>
      <c r="I13" s="3">
        <f t="shared" si="0"/>
        <v>-4.9453875105614949E-2</v>
      </c>
    </row>
    <row r="14" spans="1:9" x14ac:dyDescent="0.45">
      <c r="A14" s="5" t="s">
        <v>10</v>
      </c>
      <c r="B14" s="6">
        <v>60.474452554744524</v>
      </c>
      <c r="C14" s="6">
        <v>61.433823529411768</v>
      </c>
      <c r="D14" s="4">
        <f t="shared" si="2"/>
        <v>-1.5616331843775613E-2</v>
      </c>
      <c r="F14" s="2">
        <v>2</v>
      </c>
      <c r="G14" s="2">
        <v>1</v>
      </c>
      <c r="H14" s="2">
        <v>57.28092783505155</v>
      </c>
      <c r="I14" s="3">
        <f t="shared" si="0"/>
        <v>-5.913029173064268E-2</v>
      </c>
    </row>
    <row r="15" spans="1:9" x14ac:dyDescent="0.45">
      <c r="A15" s="5" t="s">
        <v>11</v>
      </c>
      <c r="B15" s="6">
        <v>64.366197183098592</v>
      </c>
      <c r="C15" s="6">
        <v>62.676056338028168</v>
      </c>
      <c r="D15" s="4">
        <f t="shared" si="2"/>
        <v>2.6966292134831482E-2</v>
      </c>
      <c r="F15" s="2">
        <v>2</v>
      </c>
      <c r="G15" s="2">
        <v>2</v>
      </c>
      <c r="H15" s="2">
        <v>60.785907859078591</v>
      </c>
      <c r="I15" s="3">
        <f t="shared" si="0"/>
        <v>-1.5591304849219135E-3</v>
      </c>
    </row>
    <row r="16" spans="1:9" x14ac:dyDescent="0.45">
      <c r="A16" s="5" t="s">
        <v>12</v>
      </c>
      <c r="B16" s="6">
        <v>60.974576271186443</v>
      </c>
      <c r="C16" s="6">
        <v>60.205479452054796</v>
      </c>
      <c r="D16" s="4">
        <f t="shared" si="2"/>
        <v>1.2774531921868088E-2</v>
      </c>
      <c r="F16" s="2">
        <v>2</v>
      </c>
      <c r="G16" s="2">
        <v>3</v>
      </c>
      <c r="H16" s="2">
        <v>62.905660377358494</v>
      </c>
      <c r="I16" s="3">
        <f t="shared" si="0"/>
        <v>3.3258932155760743E-2</v>
      </c>
    </row>
    <row r="17" spans="1:9" x14ac:dyDescent="0.45">
      <c r="A17" s="5" t="s">
        <v>13</v>
      </c>
      <c r="B17" s="6">
        <v>57.180451127819552</v>
      </c>
      <c r="C17" s="6">
        <v>55.629370629370626</v>
      </c>
      <c r="D17" s="4">
        <f t="shared" si="2"/>
        <v>2.7882402423406203E-2</v>
      </c>
      <c r="F17" s="2">
        <v>2</v>
      </c>
      <c r="G17" s="2">
        <v>4</v>
      </c>
      <c r="H17" s="2">
        <v>60.56818181818182</v>
      </c>
      <c r="I17" s="3">
        <f t="shared" si="0"/>
        <v>-5.1353965183752607E-3</v>
      </c>
    </row>
    <row r="18" spans="1:9" x14ac:dyDescent="0.45">
      <c r="A18" s="5" t="s">
        <v>14</v>
      </c>
      <c r="B18" s="6">
        <v>57.5</v>
      </c>
      <c r="C18" s="6">
        <v>60.375</v>
      </c>
      <c r="D18" s="4">
        <f t="shared" si="2"/>
        <v>-4.7619047619047616E-2</v>
      </c>
      <c r="F18" s="2">
        <v>3</v>
      </c>
      <c r="G18" s="2">
        <v>0</v>
      </c>
      <c r="H18" s="2">
        <v>56.646341463414636</v>
      </c>
      <c r="I18" s="3">
        <f t="shared" si="0"/>
        <v>-6.9553710430721338E-2</v>
      </c>
    </row>
    <row r="19" spans="1:9" x14ac:dyDescent="0.45">
      <c r="A19" s="5" t="s">
        <v>15</v>
      </c>
      <c r="B19" s="6">
        <v>67.115384615384613</v>
      </c>
      <c r="C19" s="6">
        <v>63.511450381679388</v>
      </c>
      <c r="D19" s="4">
        <f t="shared" si="2"/>
        <v>5.6744637573964474E-2</v>
      </c>
      <c r="F19" s="2">
        <v>3</v>
      </c>
      <c r="G19" s="2">
        <v>1</v>
      </c>
      <c r="H19" s="2">
        <v>57.451219512195124</v>
      </c>
      <c r="I19" s="3">
        <f t="shared" si="0"/>
        <v>-5.6333160352880142E-2</v>
      </c>
    </row>
    <row r="20" spans="1:9" x14ac:dyDescent="0.45">
      <c r="A20" s="5" t="s">
        <v>16</v>
      </c>
      <c r="B20" s="6">
        <v>63.81679389312977</v>
      </c>
      <c r="C20" s="6">
        <v>60.321428571428569</v>
      </c>
      <c r="D20" s="4">
        <f t="shared" si="2"/>
        <v>5.7945665487053648E-2</v>
      </c>
      <c r="F20" s="2">
        <v>3</v>
      </c>
      <c r="G20" s="2">
        <v>2</v>
      </c>
      <c r="H20" s="2">
        <v>59.712643678160923</v>
      </c>
      <c r="I20" s="3">
        <f t="shared" si="0"/>
        <v>-1.9188065541697233E-2</v>
      </c>
    </row>
    <row r="21" spans="1:9" x14ac:dyDescent="0.45">
      <c r="A21" s="5" t="s">
        <v>17</v>
      </c>
      <c r="B21" s="6">
        <v>61.952054794520549</v>
      </c>
      <c r="C21" s="6">
        <v>58.346153846153847</v>
      </c>
      <c r="D21" s="4">
        <f t="shared" si="2"/>
        <v>6.1801862002329774E-2</v>
      </c>
      <c r="F21" s="2">
        <v>3</v>
      </c>
      <c r="G21" s="2">
        <v>3</v>
      </c>
      <c r="H21" s="2">
        <v>59.685714285714283</v>
      </c>
      <c r="I21" s="3">
        <f t="shared" si="0"/>
        <v>-1.9630395136778205E-2</v>
      </c>
    </row>
    <row r="22" spans="1:9" x14ac:dyDescent="0.45">
      <c r="A22" s="5" t="s">
        <v>18</v>
      </c>
      <c r="B22" s="6">
        <v>58.424657534246577</v>
      </c>
      <c r="C22" s="6">
        <v>59.358108108108105</v>
      </c>
      <c r="D22" s="4">
        <f t="shared" si="2"/>
        <v>-1.5725746719579523E-2</v>
      </c>
      <c r="F22" s="2">
        <v>3</v>
      </c>
      <c r="G22" s="2">
        <v>4</v>
      </c>
      <c r="H22" s="2">
        <v>63.75</v>
      </c>
      <c r="I22" s="3">
        <f t="shared" si="0"/>
        <v>4.7127659574468031E-2</v>
      </c>
    </row>
    <row r="23" spans="1:9" x14ac:dyDescent="0.45">
      <c r="A23" s="5" t="s">
        <v>19</v>
      </c>
      <c r="B23" s="6">
        <v>65.75</v>
      </c>
      <c r="C23" s="6">
        <v>64.280303030303031</v>
      </c>
      <c r="D23" s="4">
        <f t="shared" si="2"/>
        <v>2.2863877430760151E-2</v>
      </c>
      <c r="F23" s="2">
        <v>4</v>
      </c>
      <c r="G23" s="2">
        <v>0</v>
      </c>
      <c r="H23" s="2">
        <v>60.666666666666664</v>
      </c>
      <c r="I23" s="3">
        <f t="shared" si="0"/>
        <v>-3.5177304964539909E-3</v>
      </c>
    </row>
    <row r="24" spans="1:9" x14ac:dyDescent="0.45">
      <c r="A24" s="5" t="s">
        <v>20</v>
      </c>
      <c r="B24" s="6">
        <v>64.857142857142861</v>
      </c>
      <c r="C24" s="6">
        <v>62.570422535211264</v>
      </c>
      <c r="D24" s="4">
        <f t="shared" si="2"/>
        <v>3.6546346169306333E-2</v>
      </c>
      <c r="F24" s="2">
        <v>4</v>
      </c>
      <c r="G24" s="2">
        <v>1</v>
      </c>
      <c r="H24" s="2">
        <v>49.545454545454547</v>
      </c>
      <c r="I24" s="3">
        <f t="shared" si="0"/>
        <v>-0.18618955512572535</v>
      </c>
    </row>
    <row r="25" spans="1:9" x14ac:dyDescent="0.45">
      <c r="A25" s="5" t="s">
        <v>21</v>
      </c>
      <c r="B25" s="6">
        <v>58.951048951048953</v>
      </c>
      <c r="C25" s="6">
        <v>59.379562043795623</v>
      </c>
      <c r="D25" s="4">
        <f t="shared" si="2"/>
        <v>-7.2165081384503666E-3</v>
      </c>
      <c r="F25" s="2">
        <v>4</v>
      </c>
      <c r="G25" s="2">
        <v>2</v>
      </c>
      <c r="H25" s="2">
        <v>59.090909090909093</v>
      </c>
      <c r="I25" s="3">
        <f t="shared" si="0"/>
        <v>-2.9400386847195367E-2</v>
      </c>
    </row>
    <row r="26" spans="1:9" x14ac:dyDescent="0.45">
      <c r="A26" s="5" t="s">
        <v>22</v>
      </c>
      <c r="B26" s="6">
        <v>57.867132867132867</v>
      </c>
      <c r="C26" s="6">
        <v>59.926470588235297</v>
      </c>
      <c r="D26" s="4">
        <f t="shared" si="2"/>
        <v>-3.4364408597537491E-2</v>
      </c>
      <c r="F26" s="2">
        <v>4</v>
      </c>
      <c r="G26" s="2">
        <v>3</v>
      </c>
      <c r="H26" s="2">
        <v>54.888888888888886</v>
      </c>
      <c r="I26" s="3">
        <f t="shared" si="0"/>
        <v>-9.8420803782506006E-2</v>
      </c>
    </row>
    <row r="27" spans="1:9" x14ac:dyDescent="0.45">
      <c r="A27" s="5" t="s">
        <v>23</v>
      </c>
      <c r="B27" s="6">
        <v>63.425196850393704</v>
      </c>
      <c r="C27" s="6">
        <v>61.736111111111114</v>
      </c>
      <c r="D27" s="4">
        <f t="shared" si="2"/>
        <v>2.7359769005252287E-2</v>
      </c>
    </row>
    <row r="28" spans="1:9" x14ac:dyDescent="0.45">
      <c r="A28" s="5" t="s">
        <v>24</v>
      </c>
      <c r="B28" s="6">
        <v>60.071428571428569</v>
      </c>
      <c r="C28" s="6">
        <v>62.047244094488192</v>
      </c>
      <c r="D28" s="4">
        <f t="shared" si="2"/>
        <v>-3.1843727338651283E-2</v>
      </c>
    </row>
    <row r="29" spans="1:9" x14ac:dyDescent="0.45">
      <c r="A29" s="5" t="s">
        <v>25</v>
      </c>
      <c r="B29" s="6">
        <v>58.766666666666666</v>
      </c>
      <c r="C29" s="6">
        <v>61.46153846153846</v>
      </c>
      <c r="D29" s="4">
        <f t="shared" si="2"/>
        <v>-4.3846474760116799E-2</v>
      </c>
    </row>
    <row r="30" spans="1:9" x14ac:dyDescent="0.45">
      <c r="A30" s="5" t="s">
        <v>26</v>
      </c>
      <c r="B30" s="6">
        <v>60.277777777777779</v>
      </c>
      <c r="C30" s="6">
        <v>59.533333333333331</v>
      </c>
      <c r="D30" s="4">
        <f t="shared" si="2"/>
        <v>1.2504665920119493E-2</v>
      </c>
    </row>
    <row r="31" spans="1:9" x14ac:dyDescent="0.45">
      <c r="A31" s="5" t="s">
        <v>27</v>
      </c>
      <c r="B31" s="6">
        <v>61.148148148148145</v>
      </c>
      <c r="C31" s="6">
        <v>57.743055555555557</v>
      </c>
      <c r="D31" s="4">
        <f t="shared" si="2"/>
        <v>5.896973341350964E-2</v>
      </c>
    </row>
    <row r="33" spans="1:3" x14ac:dyDescent="0.45">
      <c r="A33" s="1" t="s">
        <v>7</v>
      </c>
      <c r="B33" s="1" t="s">
        <v>28</v>
      </c>
    </row>
    <row r="34" spans="1:3" x14ac:dyDescent="0.45">
      <c r="A34" s="5" t="s">
        <v>15</v>
      </c>
      <c r="B34" s="2">
        <v>65.470383275261327</v>
      </c>
      <c r="C34" s="3">
        <f>(B34-MIN(B$34:B$53))/MIN(B$34:B$53)</f>
        <v>0.16129985758175619</v>
      </c>
    </row>
    <row r="35" spans="1:3" x14ac:dyDescent="0.45">
      <c r="A35" s="5" t="s">
        <v>19</v>
      </c>
      <c r="B35" s="2">
        <v>64.980158730158735</v>
      </c>
      <c r="C35" s="3">
        <f t="shared" ref="C35:C53" si="3">(B35-MIN(B$34:B$53))/MIN(B$34:B$53)</f>
        <v>0.15260435793854826</v>
      </c>
    </row>
    <row r="36" spans="1:3" x14ac:dyDescent="0.45">
      <c r="A36" s="5" t="s">
        <v>20</v>
      </c>
      <c r="B36" s="2">
        <v>63.705673758865245</v>
      </c>
      <c r="C36" s="3">
        <f t="shared" si="3"/>
        <v>0.12999781217524473</v>
      </c>
    </row>
    <row r="37" spans="1:3" x14ac:dyDescent="0.45">
      <c r="A37" s="5" t="s">
        <v>11</v>
      </c>
      <c r="B37" s="2">
        <v>63.521126760563384</v>
      </c>
      <c r="C37" s="3">
        <f t="shared" si="3"/>
        <v>0.12672435642130422</v>
      </c>
    </row>
    <row r="38" spans="1:3" x14ac:dyDescent="0.45">
      <c r="A38" s="5" t="s">
        <v>23</v>
      </c>
      <c r="B38" s="2">
        <v>62.527675276752767</v>
      </c>
      <c r="C38" s="3">
        <f t="shared" si="3"/>
        <v>0.10910272341797968</v>
      </c>
    </row>
    <row r="39" spans="1:3" x14ac:dyDescent="0.45">
      <c r="A39" s="5" t="s">
        <v>8</v>
      </c>
      <c r="B39" s="2">
        <v>62.043010752688176</v>
      </c>
      <c r="C39" s="3">
        <f t="shared" si="3"/>
        <v>0.10050584625590851</v>
      </c>
    </row>
    <row r="40" spans="1:3" x14ac:dyDescent="0.45">
      <c r="A40" s="5" t="s">
        <v>16</v>
      </c>
      <c r="B40" s="2">
        <v>62.011070110701105</v>
      </c>
      <c r="C40" s="3">
        <f t="shared" si="3"/>
        <v>9.9939289881330662E-2</v>
      </c>
    </row>
    <row r="41" spans="1:3" x14ac:dyDescent="0.45">
      <c r="A41" s="5" t="s">
        <v>9</v>
      </c>
      <c r="B41" s="2">
        <v>61.728813559322035</v>
      </c>
      <c r="C41" s="3">
        <f t="shared" si="3"/>
        <v>9.4932682671779026E-2</v>
      </c>
    </row>
    <row r="42" spans="1:3" x14ac:dyDescent="0.45">
      <c r="A42" s="5" t="s">
        <v>24</v>
      </c>
      <c r="B42" s="2">
        <v>61.011235955056179</v>
      </c>
      <c r="C42" s="3">
        <f t="shared" si="3"/>
        <v>8.2204442390456656E-2</v>
      </c>
    </row>
    <row r="43" spans="1:3" x14ac:dyDescent="0.45">
      <c r="A43" s="5" t="s">
        <v>10</v>
      </c>
      <c r="B43" s="2">
        <v>60.952380952380949</v>
      </c>
      <c r="C43" s="3">
        <f t="shared" si="3"/>
        <v>8.1160484759456419E-2</v>
      </c>
    </row>
    <row r="44" spans="1:3" x14ac:dyDescent="0.45">
      <c r="A44" s="5" t="s">
        <v>12</v>
      </c>
      <c r="B44" s="2">
        <v>60.549242424242422</v>
      </c>
      <c r="C44" s="3">
        <f t="shared" si="3"/>
        <v>7.4009698527693346E-2</v>
      </c>
    </row>
    <row r="45" spans="1:3" x14ac:dyDescent="0.45">
      <c r="A45" s="5" t="s">
        <v>17</v>
      </c>
      <c r="B45" s="2">
        <v>60.253623188405797</v>
      </c>
      <c r="C45" s="3">
        <f t="shared" si="3"/>
        <v>6.8766066838046272E-2</v>
      </c>
    </row>
    <row r="46" spans="1:3" x14ac:dyDescent="0.45">
      <c r="A46" s="5" t="s">
        <v>25</v>
      </c>
      <c r="B46" s="2">
        <v>60.017857142857146</v>
      </c>
      <c r="C46" s="3">
        <f t="shared" si="3"/>
        <v>6.4584098420859395E-2</v>
      </c>
    </row>
    <row r="47" spans="1:3" x14ac:dyDescent="0.45">
      <c r="A47" s="5" t="s">
        <v>26</v>
      </c>
      <c r="B47" s="2">
        <v>59.873188405797102</v>
      </c>
      <c r="C47" s="3">
        <f t="shared" si="3"/>
        <v>6.2017994858611827E-2</v>
      </c>
    </row>
    <row r="48" spans="1:3" x14ac:dyDescent="0.45">
      <c r="A48" s="5" t="s">
        <v>27</v>
      </c>
      <c r="B48" s="2">
        <v>59.390681003584227</v>
      </c>
      <c r="C48" s="3">
        <f t="shared" si="3"/>
        <v>5.345938026923179E-2</v>
      </c>
    </row>
    <row r="49" spans="1:3" x14ac:dyDescent="0.45">
      <c r="A49" s="5" t="s">
        <v>21</v>
      </c>
      <c r="B49" s="2">
        <v>59.160714285714285</v>
      </c>
      <c r="C49" s="3">
        <f t="shared" si="3"/>
        <v>4.9380279103929475E-2</v>
      </c>
    </row>
    <row r="50" spans="1:3" x14ac:dyDescent="0.45">
      <c r="A50" s="5" t="s">
        <v>18</v>
      </c>
      <c r="B50" s="2">
        <v>58.894557823129254</v>
      </c>
      <c r="C50" s="3">
        <f t="shared" si="3"/>
        <v>4.4659251875557471E-2</v>
      </c>
    </row>
    <row r="51" spans="1:3" x14ac:dyDescent="0.45">
      <c r="A51" s="5" t="s">
        <v>22</v>
      </c>
      <c r="B51" s="2">
        <v>58.87096774193548</v>
      </c>
      <c r="C51" s="3">
        <f t="shared" si="3"/>
        <v>4.4240815988058652E-2</v>
      </c>
    </row>
    <row r="52" spans="1:3" x14ac:dyDescent="0.45">
      <c r="A52" s="5" t="s">
        <v>14</v>
      </c>
      <c r="B52" s="2">
        <v>58.80681818181818</v>
      </c>
      <c r="C52" s="3">
        <f t="shared" si="3"/>
        <v>4.3102944613227355E-2</v>
      </c>
    </row>
    <row r="53" spans="1:3" x14ac:dyDescent="0.45">
      <c r="A53" s="5" t="s">
        <v>13</v>
      </c>
      <c r="B53" s="2">
        <v>56.376811594202898</v>
      </c>
      <c r="C53" s="3">
        <f t="shared" si="3"/>
        <v>0</v>
      </c>
    </row>
    <row r="55" spans="1:3" x14ac:dyDescent="0.45">
      <c r="A55" s="1" t="s">
        <v>29</v>
      </c>
      <c r="B55" s="1" t="s">
        <v>28</v>
      </c>
    </row>
    <row r="56" spans="1:3" x14ac:dyDescent="0.45">
      <c r="A56" s="2">
        <v>1</v>
      </c>
      <c r="B56" s="2">
        <v>67.427466150870401</v>
      </c>
      <c r="C56" s="3">
        <f>(B56-MIN(B$56:B$75))/MIN(B$56:B$75)</f>
        <v>0.22294914097166901</v>
      </c>
    </row>
    <row r="57" spans="1:3" x14ac:dyDescent="0.45">
      <c r="A57" s="2">
        <v>5</v>
      </c>
      <c r="B57" s="2">
        <v>65.383275261324044</v>
      </c>
      <c r="C57" s="3">
        <f t="shared" ref="C57:C75" si="4">(B57-MIN(B$56:B$75))/MIN(B$56:B$75)</f>
        <v>0.18587312973970077</v>
      </c>
    </row>
    <row r="58" spans="1:3" x14ac:dyDescent="0.45">
      <c r="A58" s="2">
        <v>6</v>
      </c>
      <c r="B58" s="2">
        <v>63.846153846153847</v>
      </c>
      <c r="C58" s="3">
        <f t="shared" si="4"/>
        <v>0.1579939668174962</v>
      </c>
    </row>
    <row r="59" spans="1:3" x14ac:dyDescent="0.45">
      <c r="A59" s="2">
        <v>8</v>
      </c>
      <c r="B59" s="2">
        <v>63.406940063091483</v>
      </c>
      <c r="C59" s="3">
        <f t="shared" si="4"/>
        <v>0.15002783447763959</v>
      </c>
    </row>
    <row r="60" spans="1:3" x14ac:dyDescent="0.45">
      <c r="A60" s="2">
        <v>3</v>
      </c>
      <c r="B60" s="2">
        <v>62.579365079365083</v>
      </c>
      <c r="C60" s="3">
        <f t="shared" si="4"/>
        <v>0.13501789604730782</v>
      </c>
    </row>
    <row r="61" spans="1:3" x14ac:dyDescent="0.45">
      <c r="A61" s="2">
        <v>2</v>
      </c>
      <c r="B61" s="2">
        <v>62.16346153846154</v>
      </c>
      <c r="C61" s="3">
        <f t="shared" si="4"/>
        <v>0.12747454751131221</v>
      </c>
    </row>
    <row r="62" spans="1:3" x14ac:dyDescent="0.45">
      <c r="A62" s="2">
        <v>4</v>
      </c>
      <c r="B62" s="2">
        <v>61.593137254901961</v>
      </c>
      <c r="C62" s="3">
        <f t="shared" si="4"/>
        <v>0.11713043060361397</v>
      </c>
    </row>
    <row r="63" spans="1:3" x14ac:dyDescent="0.45">
      <c r="A63" s="2">
        <v>14</v>
      </c>
      <c r="B63" s="2">
        <v>61.401384083044981</v>
      </c>
      <c r="C63" s="3">
        <f t="shared" si="4"/>
        <v>0.11365255444738442</v>
      </c>
    </row>
    <row r="64" spans="1:3" x14ac:dyDescent="0.45">
      <c r="A64" s="2">
        <v>10</v>
      </c>
      <c r="B64" s="2">
        <v>61.221719457013577</v>
      </c>
      <c r="C64" s="3">
        <f t="shared" si="4"/>
        <v>0.11039393132818739</v>
      </c>
    </row>
    <row r="65" spans="1:3" x14ac:dyDescent="0.45">
      <c r="A65" s="2">
        <v>12</v>
      </c>
      <c r="B65" s="2">
        <v>61.128048780487802</v>
      </c>
      <c r="C65" s="3">
        <f t="shared" si="4"/>
        <v>0.10869500239120029</v>
      </c>
    </row>
    <row r="66" spans="1:3" x14ac:dyDescent="0.45">
      <c r="A66" s="2">
        <v>7</v>
      </c>
      <c r="B66" s="2">
        <v>60.407894736842103</v>
      </c>
      <c r="C66" s="3">
        <f t="shared" si="4"/>
        <v>9.5633384932920451E-2</v>
      </c>
    </row>
    <row r="67" spans="1:3" x14ac:dyDescent="0.45">
      <c r="A67" s="2">
        <v>9</v>
      </c>
      <c r="B67" s="2">
        <v>60.018248175182485</v>
      </c>
      <c r="C67" s="3">
        <f t="shared" si="4"/>
        <v>8.856626592242739E-2</v>
      </c>
    </row>
    <row r="68" spans="1:3" x14ac:dyDescent="0.45">
      <c r="A68" s="2">
        <v>17</v>
      </c>
      <c r="B68" s="2">
        <v>59.628571428571426</v>
      </c>
      <c r="C68" s="3">
        <f t="shared" si="4"/>
        <v>8.1498599439775832E-2</v>
      </c>
    </row>
    <row r="69" spans="1:3" x14ac:dyDescent="0.45">
      <c r="A69" s="2">
        <v>18</v>
      </c>
      <c r="B69" s="2">
        <v>58.512747875354108</v>
      </c>
      <c r="C69" s="3">
        <f t="shared" si="4"/>
        <v>6.1260623229461734E-2</v>
      </c>
    </row>
    <row r="70" spans="1:3" x14ac:dyDescent="0.45">
      <c r="A70" s="2">
        <v>13</v>
      </c>
      <c r="B70" s="2">
        <v>58.418674698795179</v>
      </c>
      <c r="C70" s="3">
        <f t="shared" si="4"/>
        <v>5.9554394046775275E-2</v>
      </c>
    </row>
    <row r="71" spans="1:3" x14ac:dyDescent="0.45">
      <c r="A71" s="2">
        <v>19</v>
      </c>
      <c r="B71" s="2">
        <v>58.24074074074074</v>
      </c>
      <c r="C71" s="3">
        <f t="shared" si="4"/>
        <v>5.6327160493827119E-2</v>
      </c>
    </row>
    <row r="72" spans="1:3" x14ac:dyDescent="0.45">
      <c r="A72" s="2">
        <v>15</v>
      </c>
      <c r="B72" s="2">
        <v>57.5</v>
      </c>
      <c r="C72" s="3">
        <f t="shared" si="4"/>
        <v>4.2892156862745064E-2</v>
      </c>
    </row>
    <row r="73" spans="1:3" x14ac:dyDescent="0.45">
      <c r="A73" s="2">
        <v>16</v>
      </c>
      <c r="B73" s="2">
        <v>57.397540983606561</v>
      </c>
      <c r="C73" s="3">
        <f t="shared" si="4"/>
        <v>4.1033831565413084E-2</v>
      </c>
    </row>
    <row r="74" spans="1:3" x14ac:dyDescent="0.45">
      <c r="A74" s="2">
        <v>11</v>
      </c>
      <c r="B74" s="2">
        <v>57.344213649851632</v>
      </c>
      <c r="C74" s="3">
        <f t="shared" si="4"/>
        <v>4.0066620119857996E-2</v>
      </c>
    </row>
    <row r="75" spans="1:3" x14ac:dyDescent="0.45">
      <c r="A75" s="2">
        <v>20</v>
      </c>
      <c r="B75" s="2">
        <v>55.135135135135137</v>
      </c>
      <c r="C75" s="3">
        <f t="shared" si="4"/>
        <v>0</v>
      </c>
    </row>
  </sheetData>
  <pageMargins left="0.7" right="0.7" top="0.75" bottom="0.75" header="0.3" footer="0.3"/>
  <headerFooter>
    <oddFooter>&amp;L_x000D_&amp;1#&amp;"Aptos"&amp;7&amp;K000000 C2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Iurisci, Vodafone</dc:creator>
  <cp:lastModifiedBy>Fernando Iurisci, Vodafone</cp:lastModifiedBy>
  <dcterms:created xsi:type="dcterms:W3CDTF">2026-01-08T15:35:03Z</dcterms:created>
  <dcterms:modified xsi:type="dcterms:W3CDTF">2026-01-08T17:05:36Z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59f705-2ba0-454b-9cfc-6ce5bcaac040_Enabled">
    <vt:lpwstr>true</vt:lpwstr>
  </property>
  <property fmtid="{D5CDD505-2E9C-101B-9397-08002B2CF9AE}" pid="3" name="MSIP_Label_0359f705-2ba0-454b-9cfc-6ce5bcaac040_SetDate">
    <vt:lpwstr>2026-01-08T17:05:36Z</vt:lpwstr>
  </property>
  <property fmtid="{D5CDD505-2E9C-101B-9397-08002B2CF9AE}" pid="4" name="MSIP_Label_0359f705-2ba0-454b-9cfc-6ce5bcaac040_Method">
    <vt:lpwstr>Standard</vt:lpwstr>
  </property>
  <property fmtid="{D5CDD505-2E9C-101B-9397-08002B2CF9AE}" pid="5" name="MSIP_Label_0359f705-2ba0-454b-9cfc-6ce5bcaac040_Name">
    <vt:lpwstr>0359f705-2ba0-454b-9cfc-6ce5bcaac040</vt:lpwstr>
  </property>
  <property fmtid="{D5CDD505-2E9C-101B-9397-08002B2CF9AE}" pid="6" name="MSIP_Label_0359f705-2ba0-454b-9cfc-6ce5bcaac040_SiteId">
    <vt:lpwstr>68283f3b-8487-4c86-adb3-a5228f18b893</vt:lpwstr>
  </property>
  <property fmtid="{D5CDD505-2E9C-101B-9397-08002B2CF9AE}" pid="7" name="MSIP_Label_0359f705-2ba0-454b-9cfc-6ce5bcaac040_ActionId">
    <vt:lpwstr>200e53d8-7afc-4f5b-b173-5984bb8986f9</vt:lpwstr>
  </property>
  <property fmtid="{D5CDD505-2E9C-101B-9397-08002B2CF9AE}" pid="8" name="MSIP_Label_0359f705-2ba0-454b-9cfc-6ce5bcaac040_ContentBits">
    <vt:lpwstr>2</vt:lpwstr>
  </property>
  <property fmtid="{D5CDD505-2E9C-101B-9397-08002B2CF9AE}" pid="9" name="MSIP_Label_0359f705-2ba0-454b-9cfc-6ce5bcaac040_Tag">
    <vt:lpwstr>10, 3, 0, 1</vt:lpwstr>
  </property>
</Properties>
</file>